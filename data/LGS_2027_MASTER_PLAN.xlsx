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6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b42672ebd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cab3b23edd84182"/>
    <x:sheet xmlns:r="http://schemas.openxmlformats.org/officeDocument/2006/relationships" name="Gunluk_Gorevler" sheetId="2" r:id="R26730039ece145c8"/>
    <x:sheet xmlns:r="http://schemas.openxmlformats.org/officeDocument/2006/relationships" name="Ana_Takvim" sheetId="3" r:id="Red222e667a1d4753"/>
    <x:sheet xmlns:r="http://schemas.openxmlformats.org/officeDocument/2006/relationships" name="Soru_Takibi" sheetId="4" r:id="R82c38962c2754799"/>
    <x:sheet xmlns:r="http://schemas.openxmlformats.org/officeDocument/2006/relationships" name="Deneme_Takibi" sheetId="5" r:id="R62939134222a4120"/>
    <x:sheet xmlns:r="http://schemas.openxmlformats.org/officeDocument/2006/relationships" name="Konu_Ustaligi" sheetId="6" r:id="R59df18f07e214137"/>
    <x:sheet xmlns:r="http://schemas.openxmlformats.org/officeDocument/2006/relationships" name="Haftalik_Degerlendirme" sheetId="7" r:id="Rd08040b22474489b"/>
    <x:sheet xmlns:r="http://schemas.openxmlformats.org/officeDocument/2006/relationships" name="Matematik_Yol" sheetId="8" r:id="R020718701d6944aa"/>
    <x:sheet xmlns:r="http://schemas.openxmlformats.org/officeDocument/2006/relationships" name="Turkce_Yol" sheetId="9" r:id="R2dc49199b1384be4"/>
    <x:sheet xmlns:r="http://schemas.openxmlformats.org/officeDocument/2006/relationships" name="Fen_Yol" sheetId="10" r:id="R8e3571a4283043ff"/>
    <x:sheet xmlns:r="http://schemas.openxmlformats.org/officeDocument/2006/relationships" name="Inkilap_Yol" sheetId="11" r:id="Ref8807422f3a46b1"/>
    <x:sheet xmlns:r="http://schemas.openxmlformats.org/officeDocument/2006/relationships" name="Din_Yol" sheetId="12" r:id="Rdf513e360c694614"/>
    <x:sheet xmlns:r="http://schemas.openxmlformats.org/officeDocument/2006/relationships" name="Ingilizce_Yol" sheetId="13" r:id="Rac3d002075d84026"/>
    <x:sheet xmlns:r="http://schemas.openxmlformats.org/officeDocument/2006/relationships" name="MEB_Takibi" sheetId="14" r:id="Ra0c34f1806f64148"/>
    <x:sheet xmlns:r="http://schemas.openxmlformats.org/officeDocument/2006/relationships" name="Yanlis_Defteri" sheetId="15" r:id="R1c1bc74785194400"/>
    <x:sheet xmlns:r="http://schemas.openxmlformats.org/officeDocument/2006/relationships" name="Telafi_Takibi" sheetId="16" r:id="Rbf44ea0e15aa413b"/>
    <x:sheet xmlns:r="http://schemas.openxmlformats.org/officeDocument/2006/relationships" name="Kaynak_Ilerleme" sheetId="17" r:id="R219e5e11d9d24e45"/>
    <x:sheet xmlns:r="http://schemas.openxmlformats.org/officeDocument/2006/relationships" name="Kaynaklar" sheetId="18" r:id="Rd1d414ddc1884d53"/>
    <x:sheet xmlns:r="http://schemas.openxmlformats.org/officeDocument/2006/relationships" name="Mufredat_Dogrulama" sheetId="19" r:id="R10249e1b68ae423d"/>
    <x:sheet xmlns:r="http://schemas.openxmlformats.org/officeDocument/2006/relationships" name="Kurallar" sheetId="20" r:id="Rcb88797e954f4f42"/>
    <x:sheet xmlns:r="http://schemas.openxmlformats.org/officeDocument/2006/relationships" name="Ayarlar" sheetId="21" r:id="Rbebcc1be8228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[h]:mm:ss"/>
    <x:numFmt numFmtId="202" formatCode="0.0"/>
    <x:numFmt numFmtId="203" formatCode="0.0%"/>
    <x:numFmt numFmtId="204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52aa125bdb44c6" /><Relationship Type="http://schemas.openxmlformats.org/officeDocument/2006/relationships/theme" Target="/xl/theme/theme1.xml" Id="R5c2f50e2aef4464d" /><Relationship Type="http://schemas.openxmlformats.org/officeDocument/2006/relationships/sharedStrings" Target="/xl/sharedStrings.xml" Id="Re42b91c46d594e53" /><Relationship Type="http://schemas.openxmlformats.org/officeDocument/2006/relationships/worksheet" Target="/xl/worksheets/sheet1.xml" Id="R9cab3b23edd84182" /><Relationship Type="http://schemas.openxmlformats.org/officeDocument/2006/relationships/worksheet" Target="/xl/worksheets/sheet2.xml" Id="R26730039ece145c8" /><Relationship Type="http://schemas.openxmlformats.org/officeDocument/2006/relationships/worksheet" Target="/xl/worksheets/sheet3.xml" Id="Red222e667a1d4753" /><Relationship Type="http://schemas.openxmlformats.org/officeDocument/2006/relationships/worksheet" Target="/xl/worksheets/sheet4.xml" Id="R82c38962c2754799" /><Relationship Type="http://schemas.openxmlformats.org/officeDocument/2006/relationships/worksheet" Target="/xl/worksheets/sheet5.xml" Id="R62939134222a4120" /><Relationship Type="http://schemas.openxmlformats.org/officeDocument/2006/relationships/worksheet" Target="/xl/worksheets/sheet6.xml" Id="R59df18f07e214137" /><Relationship Type="http://schemas.openxmlformats.org/officeDocument/2006/relationships/worksheet" Target="/xl/worksheets/sheet7.xml" Id="Rd08040b22474489b" /><Relationship Type="http://schemas.openxmlformats.org/officeDocument/2006/relationships/worksheet" Target="/xl/worksheets/sheet8.xml" Id="R020718701d6944aa" /><Relationship Type="http://schemas.openxmlformats.org/officeDocument/2006/relationships/worksheet" Target="/xl/worksheets/sheet9.xml" Id="R2dc49199b1384be4" /><Relationship Type="http://schemas.openxmlformats.org/officeDocument/2006/relationships/worksheet" Target="/xl/worksheets/sheet10.xml" Id="R8e3571a4283043ff" /><Relationship Type="http://schemas.openxmlformats.org/officeDocument/2006/relationships/worksheet" Target="/xl/worksheets/sheet11.xml" Id="Ref8807422f3a46b1" /><Relationship Type="http://schemas.openxmlformats.org/officeDocument/2006/relationships/worksheet" Target="/xl/worksheets/sheet12.xml" Id="Rdf513e360c694614" /><Relationship Type="http://schemas.openxmlformats.org/officeDocument/2006/relationships/worksheet" Target="/xl/worksheets/sheet13.xml" Id="Rac3d002075d84026" /><Relationship Type="http://schemas.openxmlformats.org/officeDocument/2006/relationships/worksheet" Target="/xl/worksheets/sheet14.xml" Id="Ra0c34f1806f64148" /><Relationship Type="http://schemas.openxmlformats.org/officeDocument/2006/relationships/worksheet" Target="/xl/worksheets/sheet15.xml" Id="R1c1bc74785194400" /><Relationship Type="http://schemas.openxmlformats.org/officeDocument/2006/relationships/worksheet" Target="/xl/worksheets/sheet16.xml" Id="Rbf44ea0e15aa413b" /><Relationship Type="http://schemas.openxmlformats.org/officeDocument/2006/relationships/worksheet" Target="/xl/worksheets/sheet17.xml" Id="R219e5e11d9d24e45" /><Relationship Type="http://schemas.openxmlformats.org/officeDocument/2006/relationships/worksheet" Target="/xl/worksheets/sheet18.xml" Id="Rd1d414ddc1884d53" /><Relationship Type="http://schemas.openxmlformats.org/officeDocument/2006/relationships/worksheet" Target="/xl/worksheets/sheet19.xml" Id="R10249e1b68ae423d" /><Relationship Type="http://schemas.openxmlformats.org/officeDocument/2006/relationships/worksheet" Target="/xl/worksheets/sheet20.xml" Id="Rcb88797e954f4f42" /><Relationship Type="http://schemas.openxmlformats.org/officeDocument/2006/relationships/worksheet" Target="/xl/worksheets/sheet21.xml" Id="Rbebcc1be82284ec1" /></Relationships>
</file>

<file path=xl/tables/table1.xml><?xml version="1.0" encoding="utf-8"?>
<x:table xmlns:x="http://schemas.openxmlformats.org/spreadsheetml/2006/main" id="1" name="GunlukGorevlerTable" displayName="GunlukGorevlerTable" ref="A1:T2948" headerRowCount="1" totalsRowCount="0" totalsRowShown="0">
  <x:tableColumns count="20">
    <x:tableColumn id="1" name="TaskID"/>
    <x:tableColumn id="2" name="Tarih"/>
    <x:tableColumn id="3" name="Gün"/>
    <x:tableColumn id="4" name="Gün Tipi"/>
    <x:tableColumn id="5" name="Müsaitlik"/>
    <x:tableColumn id="6" name="Faz"/>
    <x:tableColumn id="7" name="Başlangıç"/>
    <x:tableColumn id="8" name="Bitiş"/>
    <x:tableColumn id="9" name="Ders"/>
    <x:tableColumn id="10" name="Görev Türü"/>
    <x:tableColumn id="11" name="Konu"/>
    <x:tableColumn id="12" name="Görev"/>
    <x:tableColumn id="13" name="Kaynak"/>
    <x:tableColumn id="14" name="Kaynak URL"/>
    <x:tableColumn id="15" name="Planlanan Soru"/>
    <x:tableColumn id="16" name="Kronometre"/>
    <x:tableColumn id="17" name="Zorunlu"/>
    <x:tableColumn id="18" name="Durum"/>
    <x:tableColumn id="19" name="Telafi Tarihi"/>
    <x:tableColumn id="20" name="No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TakvimTable" displayName="AnaTakvimTable" ref="A1:O257" headerRowCount="1" totalsRowCount="0" totalsRowShown="0">
  <x:tableColumns count="15">
    <x:tableColumn id="1" name="Tarih"/>
    <x:tableColumn id="2" name="Gün No"/>
    <x:tableColumn id="3" name="Gün"/>
    <x:tableColumn id="4" name="Gün Tipi"/>
    <x:tableColumn id="5" name="Müsaitlik"/>
    <x:tableColumn id="6" name="Faz"/>
    <x:tableColumn id="7" name="Matematik"/>
    <x:tableColumn id="8" name="Math Modu"/>
    <x:tableColumn id="9" name="Türkçe"/>
    <x:tableColumn id="10" name="Türkçe Modu"/>
    <x:tableColumn id="11" name="3. Ders"/>
    <x:tableColumn id="12" name="3. Ders Konu"/>
    <x:tableColumn id="13" name="3. Ders Modu"/>
    <x:tableColumn id="14" name="Ek Blok"/>
    <x:tableColumn id="15" name="Ana Hede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ruTakibiTable" displayName="SoruTakibiTable" ref="A1:P391" headerRowCount="1" totalsRowCount="0" totalsRowShown="0">
  <x:tableColumns count="16">
    <x:tableColumn id="1" name="Tarih"/>
    <x:tableColumn id="2" name="Gün No"/>
    <x:tableColumn id="3" name="Gün"/>
    <x:tableColumn id="4" name="Ders"/>
    <x:tableColumn id="5" name="Konu"/>
    <x:tableColumn id="6" name="Toplam Soru Hedefi"/>
    <x:tableColumn id="7" name="Süreli Set"/>
    <x:tableColumn id="8" name="Doğru"/>
    <x:tableColumn id="9" name="Yanlış"/>
    <x:tableColumn id="10" name="Boş"/>
    <x:tableColumn id="11" name="Süre (ss:dd:ss)"/>
    <x:tableColumn id="12" name="Saniye / Soru"/>
    <x:tableColumn id="13" name="Doğruluk"/>
    <x:tableColumn id="14" name="Ek Soru Hedefi"/>
    <x:tableColumn id="15" name="Toplam Çözülen"/>
    <x:tableColumn id="16" name="No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nemeTakibiTable" displayName="DenemeTakibiTable" ref="A1:AN61" headerRowCount="1" totalsRowCount="0" totalsRowShown="0">
  <x:tableColumns count="40">
    <x:tableColumn id="1" name="Deneme No"/>
    <x:tableColumn id="2" name="Tarih"/>
    <x:tableColumn id="3" name="Gün"/>
    <x:tableColumn id="4" name="Tür"/>
    <x:tableColumn id="5" name="Sözel Plan dk"/>
    <x:tableColumn id="6" name="Sayısal Plan dk"/>
    <x:tableColumn id="7" name="Türkçe D"/>
    <x:tableColumn id="8" name="Türkçe Y"/>
    <x:tableColumn id="9" name="Türkçe B"/>
    <x:tableColumn id="10" name="Türkçe Net"/>
    <x:tableColumn id="11" name="İnkılap D"/>
    <x:tableColumn id="12" name="İnkılap Y"/>
    <x:tableColumn id="13" name="İnkılap B"/>
    <x:tableColumn id="14" name="İnkılap Net"/>
    <x:tableColumn id="15" name="Din D"/>
    <x:tableColumn id="16" name="Din Y"/>
    <x:tableColumn id="17" name="Din B"/>
    <x:tableColumn id="18" name="Din Net"/>
    <x:tableColumn id="19" name="İngilizce D"/>
    <x:tableColumn id="20" name="İngilizce Y"/>
    <x:tableColumn id="21" name="İngilizce B"/>
    <x:tableColumn id="22" name="İngilizce Net"/>
    <x:tableColumn id="23" name="Matematik D"/>
    <x:tableColumn id="24" name="Matematik Y"/>
    <x:tableColumn id="25" name="Matematik B"/>
    <x:tableColumn id="26" name="Matematik Net"/>
    <x:tableColumn id="27" name="Fen D"/>
    <x:tableColumn id="28" name="Fen Y"/>
    <x:tableColumn id="29" name="Fen B"/>
    <x:tableColumn id="30" name="Fen Net"/>
    <x:tableColumn id="31" name="Toplam Net"/>
    <x:tableColumn id="32" name="Deneme Puanı"/>
    <x:tableColumn id="33" name="En Kritik Eksik 1"/>
    <x:tableColumn id="34" name="En Kritik Eksik 2"/>
    <x:tableColumn id="35" name="En Kritik Eksik 3"/>
    <x:tableColumn id="36" name="Analiz Bitti?"/>
    <x:tableColumn id="37" name="Hedefli Telafi Bitti?"/>
    <x:tableColumn id="38" name="Yorgunluk 1-5"/>
    <x:tableColumn id="39" name="Durum"/>
    <x:tableColumn id="40" name="No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onuUstaligiTable" displayName="KonuUstaligiTable" ref="A1:M110" headerRowCount="1" totalsRowCount="0" totalsRowShown="0">
  <x:tableColumns count="13">
    <x:tableColumn id="1" name="Ders"/>
    <x:tableColumn id="2" name="Konu"/>
    <x:tableColumn id="3" name="Planlı MEB Gate Tarihi"/>
    <x:tableColumn id="4" name="Kitap Konu Bölümü Bitti?"/>
    <x:tableColumn id="5" name="MEB Bitti?"/>
    <x:tableColumn id="6" name="MEB Doğru"/>
    <x:tableColumn id="7" name="MEB Yanlış"/>
    <x:tableColumn id="8" name="MEB Boş"/>
    <x:tableColumn id="9" name="MEB Doğruluk"/>
    <x:tableColumn id="10" name="Açık Hata Sayısı"/>
    <x:tableColumn id="11" name="Ustalık Durumu"/>
    <x:tableColumn id="12" name="Sonraki Aksiyon"/>
    <x:tableColumn id="13" name="Koç Notu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BTakibiTable" displayName="MEBTakibiTable" ref="A1:L110" headerRowCount="1" totalsRowCount="0" totalsRowShown="0">
  <x:tableColumns count="12">
    <x:tableColumn id="1" name="Planlı Tarih"/>
    <x:tableColumn id="2" name="Ders"/>
    <x:tableColumn id="3" name="Konu/Ünite"/>
    <x:tableColumn id="4" name="Tür"/>
    <x:tableColumn id="5" name="MEB URL"/>
    <x:tableColumn id="6" name="Doğru"/>
    <x:tableColumn id="7" name="Yanlış"/>
    <x:tableColumn id="8" name="Boş"/>
    <x:tableColumn id="9" name="Doğruluk"/>
    <x:tableColumn id="10" name="Açık Hata"/>
    <x:tableColumn id="11" name="Durum"/>
    <x:tableColumn id="12" name="No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a2df64f91441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3548ca5fc84c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2f80119e3742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740bc26a72042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a266dd6e48457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6.xml" Id="R4adcd1576c90422a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8" hidden="0" customWidth="1"/>
    <x:col min="4" max="4" width="36" hidden="0" customWidth="1"/>
    <x:col min="5" max="5" width="26" hidden="0" customWidth="1"/>
    <x:col min="6" max="6" width="44" hidden="0" customWidth="1"/>
    <x:col min="7" max="7" width="30" hidden="0" customWidth="1"/>
    <x:col min="8" max="8" width="48" hidden="0" customWidth="1"/>
  </x:cols>
  <x:sheetData>
    <x:row r="1">
      <x:c r="A1" s="32" t="str">
        <x:v>LGS 2027 — 500 TAM PUAN HEDEFLİ FINAL KOÇLUK PLANI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>
      <x:c r="A4" s="6" t="str">
        <x:v>ANA KPI</x:v>
      </x:c>
      <x:c r="B4" s="6" t="str">
        <x:v>DEĞER</x:v>
      </x:c>
      <x:c r="C4" s="14"/>
      <x:c r="D4" s="6" t="str">
        <x:v>KAPSAM / PLANLI KAPANIŞ</x:v>
      </x:c>
      <x:c r="E4" s="6" t="str">
        <x:v>TARİH</x:v>
      </x:c>
      <x:c r="F4" s="14"/>
      <x:c r="G4" s="6" t="str">
        <x:v>USTALIK MODELİ</x:v>
      </x:c>
      <x:c r="H4" s="6" t="str">
        <x:v>KURAL</x:v>
      </x:c>
    </x:row>
    <x:row r="5">
      <x:c r="A5" s="14" t="str">
        <x:v>Plan Başlangıç</x:v>
      </x:c>
      <x:c r="B5" s="14" t="str">
        <x:v>01.10.2026</x:v>
      </x:c>
      <x:c r="C5" s="14"/>
      <x:c r="D5" s="14" t="str">
        <x:v>Türkçe konu + MEB ilk tur</x:v>
      </x:c>
      <x:c r="E5" s="14" t="str">
        <x:v>03.01.2027</x:v>
      </x:c>
      <x:c r="F5" s="14"/>
      <x:c r="G5" s="14" t="str">
        <x:v>Konu Akışı</x:v>
      </x:c>
      <x:c r="H5" s="14" t="str">
        <x:v>Video/Konu → Kitap → MEB</x:v>
      </x:c>
    </x:row>
    <x:row r="6">
      <x:c r="A6" s="14" t="str">
        <x:v>Konu+Kitap+MEB Hard Deadline</x:v>
      </x:c>
      <x:c r="B6" s="14" t="str">
        <x:v>13.04.2027</x:v>
      </x:c>
      <x:c r="C6" s="14"/>
      <x:c r="D6" s="14" t="str">
        <x:v>Matematik konu + MEB ilk tur</x:v>
      </x:c>
      <x:c r="E6" s="14" t="str">
        <x:v>29.01.2027</x:v>
      </x:c>
      <x:c r="F6" s="14"/>
      <x:c r="G6" s="14" t="str">
        <x:v>Güçlü</x:v>
      </x:c>
      <x:c r="H6" s="14" t="str">
        <x:v>&gt;= %90 MEB + 0 açık hata</x:v>
      </x:c>
    </x:row>
    <x:row r="7">
      <x:c r="A7" s="14" t="str">
        <x:v>60 Deneme Kampı</x:v>
      </x:c>
      <x:c r="B7" s="14" t="str">
        <x:v>14.04.2027 - 12.06.2027</x:v>
      </x:c>
      <x:c r="C7" s="14"/>
      <x:c r="D7" s="14" t="str">
        <x:v>Din konu + MEB ilk tur</x:v>
      </x:c>
      <x:c r="E7" s="14" t="str">
        <x:v>07.02.2027</x:v>
      </x:c>
      <x:c r="F7" s="14"/>
      <x:c r="G7" s="14" t="str">
        <x:v>Pekiştirme</x:v>
      </x:c>
      <x:c r="H7" s="14" t="str">
        <x:v>%80-89 veya açık hata</x:v>
      </x:c>
    </x:row>
    <x:row r="8">
      <x:c r="A8" s="14" t="str">
        <x:v>Planlanan Tam Deneme</x:v>
      </x:c>
      <x:c r="B8" s="14" t="n">
        <x:v>60</x:v>
      </x:c>
      <x:c r="C8" s="14"/>
      <x:c r="D8" s="14" t="str">
        <x:v>İnkılap konu + MEB ilk tur</x:v>
      </x:c>
      <x:c r="E8" s="14" t="str">
        <x:v>08.03.2027</x:v>
      </x:c>
      <x:c r="F8" s="14"/>
      <x:c r="G8" s="14" t="str">
        <x:v>Zayıf</x:v>
      </x:c>
      <x:c r="H8" s="14" t="str">
        <x:v>&lt; %80</x:v>
      </x:c>
    </x:row>
    <x:row r="9">
      <x:c r="A9" s="14" t="str">
        <x:v>Geçici Sınav Çıpası</x:v>
      </x:c>
      <x:c r="B9" s="14" t="str">
        <x:v>13.06.2027</x:v>
      </x:c>
      <x:c r="C9" s="14"/>
      <x:c r="D9" s="14" t="str">
        <x:v>İngilizce konu + MEB ilk tur</x:v>
      </x:c>
      <x:c r="E9" s="14" t="str">
        <x:v>09.03.2027</x:v>
      </x:c>
      <x:c r="F9" s="14"/>
      <x:c r="G9" s="14" t="str">
        <x:v>Hata Tekrarı</x:v>
      </x:c>
      <x:c r="H9" s="14" t="str">
        <x:v>+1 / +7 / +21 gün</x:v>
      </x:c>
    </x:row>
    <x:row r="10">
      <x:c r="A10" s="14" t="str">
        <x:v>Toplam Gün</x:v>
      </x:c>
      <x:c r="B10" s="14" t="n">
        <x:v>256</x:v>
      </x:c>
      <x:c r="C10" s="14"/>
      <x:c r="D10" s="14" t="str">
        <x:v>Fen konu + MEB ilk tur</x:v>
      </x:c>
      <x:c r="E10" s="14" t="str">
        <x:v>22.03.2027</x:v>
      </x:c>
      <x:c r="F10" s="14"/>
      <x:c r="G10" s="14" t="str">
        <x:v>Fen</x:v>
      </x:c>
      <x:c r="H10" s="14" t="str">
        <x:v>Her Cumartesi ek temas</x:v>
      </x:c>
    </x:row>
    <x:row r="11">
      <x:c r="A11" s="14" t="str">
        <x:v>Toplam Görev</x:v>
      </x:c>
      <x:c r="B11" s="14" t="n">
        <x:v>2947</x:v>
      </x:c>
      <x:c r="C11" s="14"/>
      <x:c r="D11" s="14" t="str">
        <x:v>Tüm zorunlu kaynaklar / açık hatalar</x:v>
      </x:c>
      <x:c r="E11" s="14" t="str">
        <x:v>13.04.2027</x:v>
      </x:c>
      <x:c r="F11" s="14"/>
      <x:c r="G11" s="14" t="str">
        <x:v>Pazar</x:v>
      </x:c>
      <x:c r="H11" s="14" t="str">
        <x:v>En geride kalan zorunlu kaynak</x:v>
      </x:c>
    </x:row>
    <x:row r="12">
      <x:c r="A12" s="14" t="str">
        <x:v>Güçlü Konu</x:v>
      </x:c>
      <x:c r="B12" s="14" t="n">
        <x:f>COUNTIF(Konu_Ustaligi!$K$2:$K$110,"Güçlü")</x:f>
        <x:v>0</x:v>
      </x:c>
      <x:c r="C12" s="14"/>
      <x:c r="D12" s="14" t="str">
        <x:v>Tam deneme kampı</x:v>
      </x:c>
      <x:c r="E12" s="14" t="str">
        <x:v>14.04 - 12.06</x:v>
      </x:c>
      <x:c r="F12" s="14"/>
      <x:c r="G12" s="14" t="str">
        <x:v>Deneme</x:v>
      </x:c>
      <x:c r="H12" s="14" t="str">
        <x:v>Analiz+telafi bitmeden tamamlanmış sayılmaz</x:v>
      </x:c>
    </x:row>
    <x:row r="13">
      <x:c r="A13" s="14" t="str">
        <x:v>Açık/Pekiştirme Konu</x:v>
      </x:c>
      <x:c r="B13" s="14" t="n">
        <x:f>COUNTIF(Konu_Ustaligi!$K$2:$K$110,"Zayıf")+COUNTIF(Konu_Ustaligi!$K$2:$K$110,"Pekiştirme")+COUNTIF(Konu_Ustaligi!$K$2:$K$110,"Eksik")</x:f>
        <x:v>109</x:v>
      </x:c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6" t="str">
        <x:v>FAZ</x:v>
      </x:c>
      <x:c r="B16" s="6" t="str">
        <x:v>TARİH</x:v>
      </x:c>
      <x:c r="C16" s="6" t="str">
        <x:v>ANA AMAÇ</x:v>
      </x:c>
      <x:c r="D16" s="6" t="str">
        <x:v>DENEME</x:v>
      </x:c>
      <x:c r="E16" s="6" t="str">
        <x:v>KAYNAK/MEB</x:v>
      </x:c>
      <x:c r="F16" s="6" t="str">
        <x:v>NOT</x:v>
      </x:c>
      <x:c r="G16" s="14"/>
      <x:c r="H16" s="14"/>
    </x:row>
    <x:row r="17">
      <x:c r="A17" s="14" t="str">
        <x:v>F1</x:v>
      </x:c>
      <x:c r="B17" s="14" t="str">
        <x:v>01.10-31.12</x:v>
      </x:c>
      <x:c r="C17" s="14" t="str">
        <x:v>Sıfır temel + düzen</x:v>
      </x:c>
      <x:c r="D17" s="14" t="str">
        <x:v>Yok</x:v>
      </x:c>
      <x:c r="E17" s="14" t="str">
        <x:v>Konu sonrası kitap/MEB başlar</x:v>
      </x:c>
      <x:c r="F17" s="14" t="str">
        <x:v>Doğruluk ve kavrama öncelikli</x:v>
      </x:c>
      <x:c r="G17" s="14"/>
      <x:c r="H17" s="14"/>
    </x:row>
    <x:row r="18">
      <x:c r="A18" s="14" t="str">
        <x:v>F2</x:v>
      </x:c>
      <x:c r="B18" s="14" t="str">
        <x:v>01.01-28.02</x:v>
      </x:c>
      <x:c r="C18" s="14" t="str">
        <x:v>LGS kapsam + mastery</x:v>
      </x:c>
      <x:c r="D18" s="14" t="str">
        <x:v>Yok</x:v>
      </x:c>
      <x:c r="E18" s="14" t="str">
        <x:v>Kitap/MEB yoğun</x:v>
      </x:c>
      <x:c r="F18" s="14" t="str">
        <x:v>Zayıf konular kapanır</x:v>
      </x:c>
      <x:c r="G18" s="14"/>
      <x:c r="H18" s="14"/>
    </x:row>
    <x:row r="19">
      <x:c r="A19" s="14" t="str">
        <x:v>F3</x:v>
      </x:c>
      <x:c r="B19" s="14" t="str">
        <x:v>01.03-13.04</x:v>
      </x:c>
      <x:c r="C19" s="14" t="str">
        <x:v>%100 kaynak/MEB kapanışı</x:v>
      </x:c>
      <x:c r="D19" s="14" t="str">
        <x:v>Yok</x:v>
      </x:c>
      <x:c r="E19" s="14" t="str">
        <x:v>Tüm zorunlu kaynaklar 100%</x:v>
      </x:c>
      <x:c r="F19" s="14" t="str">
        <x:v>Tam denemeye geçmeden cephane tamam</x:v>
      </x:c>
      <x:c r="G19" s="14"/>
      <x:c r="H19" s="14"/>
    </x:row>
    <x:row r="20">
      <x:c r="A20" s="14" t="str">
        <x:v>F4</x:v>
      </x:c>
      <x:c r="B20" s="14" t="str">
        <x:v>14.04-12.06</x:v>
      </x:c>
      <x:c r="C20" s="14" t="str">
        <x:v>60 gün / 60 tam deneme</x:v>
      </x:c>
      <x:c r="D20" s="14" t="str">
        <x:v>60</x:v>
      </x:c>
      <x:c r="E20" s="14" t="str">
        <x:v>Yalnız deneme kaynaklı mikro telafi</x:v>
      </x:c>
      <x:c r="F20" s="14" t="str">
        <x:v>Her deneme analiz+hedefli düzeltme</x:v>
      </x:c>
      <x:c r="G20" s="14"/>
      <x:c r="H20" s="14"/>
    </x:row>
    <x:row r="21">
      <x:c r="A21" s="14" t="str">
        <x:v>F5</x:v>
      </x:c>
      <x:c r="B21" s="14" t="str">
        <x:v>13.06</x:v>
      </x:c>
      <x:c r="C21" s="14" t="str">
        <x:v>Geçici sınav günü</x:v>
      </x:c>
      <x:c r="D21" s="14" t="str">
        <x:v>0</x:v>
      </x:c>
      <x:c r="E21" s="14" t="str">
        <x:v>Yeni çalışma yok</x:v>
      </x:c>
      <x:c r="F21" s="14" t="str">
        <x:v>2027 resmî tarih açıklanınca güncellenir</x:v>
      </x:c>
      <x:c r="G21" s="14"/>
      <x:c r="H21" s="14"/>
    </x:row>
    <x:row r="22">
      <x:c r="A22" s="14" t="str">
        <x:v>PRİNSİP</x:v>
      </x:c>
      <x:c r="B22" s="14" t="str">
        <x:v>—</x:v>
      </x:c>
      <x:c r="C22" s="14" t="str">
        <x:v>Öğren → Pekiştir → MEB ile doğrula → Hatayı kapat → Deneme performansına çevir</x:v>
      </x:c>
      <x:c r="D22" s="14" t="str">
        <x:v>—</x:v>
      </x:c>
      <x:c r="E22" s="14" t="str">
        <x:v>—</x:v>
      </x:c>
      <x:c r="F22" s="14" t="str">
        <x:v>500 puan kalite standardı; baskı aracı değil</x:v>
      </x:c>
      <x:c r="G22" s="14"/>
      <x:c r="H22" s="14"/>
    </x:row>
    <x:row r="23">
      <x:c r="A23" s="14"/>
      <x:c r="B23" s="14"/>
      <x:c r="C23" s="14"/>
      <x:c r="D23" s="14"/>
      <x:c r="E23" s="14"/>
      <x:c r="F23" s="14"/>
      <x:c r="G23" s="14"/>
      <x:c r="H23" s="14"/>
    </x:row>
    <x:row r="24">
      <x:c r="A24" s="14"/>
      <x:c r="B24" s="14"/>
      <x:c r="C24" s="14"/>
      <x:c r="D24" s="14"/>
      <x:c r="E24" s="14"/>
      <x:c r="F24" s="14"/>
      <x:c r="G24" s="14"/>
      <x:c r="H24" s="14"/>
    </x:row>
    <x:row r="25">
      <x:c r="A25" s="6" t="str">
        <x:v>KALİTE KONTROLÜ</x:v>
      </x:c>
      <x:c r="B25" s="6" t="str">
        <x:v>SONUÇ</x:v>
      </x:c>
      <x:c r="C25" s="14" t="str"/>
      <x:c r="D25" s="14" t="str"/>
      <x:c r="E25" s="14" t="str"/>
      <x:c r="F25" s="14" t="str"/>
      <x:c r="G25" s="14" t="str"/>
      <x:c r="H25" s="14" t="str"/>
    </x:row>
    <x:row r="26">
      <x:c r="A26" s="14" t="str">
        <x:v>Erken tam deneme var mı?</x:v>
      </x:c>
      <x:c r="B26" s="14" t="str">
        <x:v>HAYIR</x:v>
      </x:c>
      <x:c r="C26" s="14" t="str"/>
      <x:c r="D26" s="14" t="str"/>
      <x:c r="E26" s="14" t="str"/>
      <x:c r="F26" s="14" t="str"/>
      <x:c r="G26" s="14" t="str"/>
      <x:c r="H26" s="14" t="str"/>
    </x:row>
    <x:row r="27">
      <x:c r="A27" s="14" t="str">
        <x:v>14.04-12.06 arası deneme sayısı</x:v>
      </x:c>
      <x:c r="B27" s="14" t="str">
        <x:v>60</x:v>
      </x:c>
      <x:c r="C27" s="14" t="str"/>
      <x:c r="D27" s="14" t="str"/>
      <x:c r="E27" s="14" t="str"/>
      <x:c r="F27" s="14" t="str"/>
      <x:c r="G27" s="14" t="str"/>
      <x:c r="H27" s="14" t="str"/>
    </x:row>
    <x:row r="28">
      <x:c r="A28" s="14" t="str">
        <x:v>Konu sonrası MEB gate var mı?</x:v>
      </x:c>
      <x:c r="B28" s="14" t="str">
        <x:v>EVET — 109 konu/ünite</x:v>
      </x:c>
      <x:c r="C28" s="14" t="str"/>
      <x:c r="D28" s="14" t="str"/>
      <x:c r="E28" s="14" t="str"/>
      <x:c r="F28" s="14" t="str"/>
      <x:c r="G28" s="14" t="str"/>
      <x:c r="H28" s="14" t="str"/>
    </x:row>
    <x:row r="29">
      <x:c r="A29" s="14" t="str">
        <x:v>Yanlış tekrar sistemi</x:v>
      </x:c>
      <x:c r="B29" s="14" t="str">
        <x:v>+1/+7/+21</x:v>
      </x:c>
      <x:c r="C29" s="14" t="str"/>
      <x:c r="D29" s="14" t="str"/>
      <x:c r="E29" s="14" t="str"/>
      <x:c r="F29" s="14" t="str"/>
      <x:c r="G29" s="14" t="str"/>
      <x:c r="H29" s="14" t="str"/>
    </x:row>
    <x:row r="30">
      <x:c r="A30" s="14" t="str">
        <x:v>Fen ek temas</x:v>
      </x:c>
      <x:c r="B30" s="14" t="str">
        <x:v>Her Cumartesi</x:v>
      </x:c>
      <x:c r="C30" s="14" t="str"/>
      <x:c r="D30" s="14" t="str"/>
      <x:c r="E30" s="14" t="str"/>
      <x:c r="F30" s="14" t="str"/>
      <x:c r="G30" s="14" t="str"/>
      <x:c r="H30" s="14" t="str"/>
    </x:row>
    <x:row r="31">
      <x:c r="A31" s="14" t="str">
        <x:v>Math ayrı rastgele benchmark</x:v>
      </x:c>
      <x:c r="B31" s="14" t="str">
        <x:v>YOK — ilk 20 aynı konu setinden</x:v>
      </x:c>
      <x:c r="C31" s="14" t="str"/>
      <x:c r="D31" s="14" t="str"/>
      <x:c r="E31" s="14" t="str"/>
      <x:c r="F31" s="14" t="str"/>
      <x:c r="G31" s="14" t="str"/>
      <x:c r="H31" s="14" t="str"/>
    </x:row>
  </x:sheetData>
  <x:mergeCells>
    <x:mergeCell ref="A1:H2"/>
  </x:mergeCells>
  <x:conditionalFormatting sqref="B12:B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B12:B13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1" hidden="0" customWidth="1"/>
    <x:col min="4" max="4" width="13" hidden="0" customWidth="1"/>
    <x:col min="5" max="5" width="20" hidden="0" customWidth="1"/>
    <x:col min="6" max="6" width="30" hidden="0" customWidth="1"/>
    <x:col min="7" max="7" width="10" hidden="0" customWidth="1"/>
    <x:col min="8" max="8" width="10" hidden="0" customWidth="1"/>
    <x:col min="9" max="9" width="14" hidden="0" customWidth="1"/>
    <x:col min="10" max="10" width="24" hidden="0" customWidth="1"/>
    <x:col min="11" max="11" width="38" hidden="0" customWidth="1"/>
    <x:col min="12" max="12" width="58" hidden="0" customWidth="1"/>
    <x:col min="13" max="13" width="48" hidden="0" customWidth="1"/>
    <x:col min="14" max="14" width="58" hidden="0" customWidth="1"/>
    <x:col min="15" max="15" width="14" hidden="0" customWidth="1"/>
    <x:col min="16" max="16" width="16" hidden="0" customWidth="1"/>
    <x:col min="17" max="17" width="11" hidden="0" customWidth="1"/>
    <x:col min="18" max="18" width="16" hidden="0" customWidth="1"/>
    <x:col min="19" max="19" width="14" hidden="0" customWidth="1"/>
    <x:col min="20" max="20" width="62" hidden="0" customWidth="1"/>
  </x:cols>
  <x:sheetData>
    <x:row r="1">
      <x:c r="A1" s="6" t="str">
        <x:v>TaskID</x:v>
      </x:c>
      <x:c r="B1" s="6" t="str">
        <x:v>Tarih</x:v>
      </x:c>
      <x:c r="C1" s="6" t="str">
        <x:v>Gün</x:v>
      </x:c>
      <x:c r="D1" s="6" t="str">
        <x:v>Gün Tipi</x:v>
      </x:c>
      <x:c r="E1" s="6" t="str">
        <x:v>Müsaitlik</x:v>
      </x:c>
      <x:c r="F1" s="6" t="str">
        <x:v>Faz</x:v>
      </x:c>
      <x:c r="G1" s="6" t="str">
        <x:v>Başlangıç</x:v>
      </x:c>
      <x:c r="H1" s="6" t="str">
        <x:v>Bitiş</x:v>
      </x:c>
      <x:c r="I1" s="6" t="str">
        <x:v>Ders</x:v>
      </x:c>
      <x:c r="J1" s="6" t="str">
        <x:v>Görev Türü</x:v>
      </x:c>
      <x:c r="K1" s="6" t="str">
        <x:v>Konu</x:v>
      </x:c>
      <x:c r="L1" s="6" t="str">
        <x:v>Görev</x:v>
      </x:c>
      <x:c r="M1" s="6" t="str">
        <x:v>Kaynak</x:v>
      </x:c>
      <x:c r="N1" s="6" t="str">
        <x:v>Kaynak URL</x:v>
      </x:c>
      <x:c r="O1" s="6" t="str">
        <x:v>Planlanan Soru</x:v>
      </x:c>
      <x:c r="P1" s="6" t="str">
        <x:v>Kronometre</x:v>
      </x:c>
      <x:c r="Q1" s="6" t="str">
        <x:v>Zorunlu</x:v>
      </x:c>
      <x:c r="R1" s="6" t="str">
        <x:v>Durum</x:v>
      </x:c>
      <x:c r="S1" s="6" t="str">
        <x:v>Telafi Tarihi</x:v>
      </x:c>
      <x:c r="T1" s="6" t="str">
        <x:v>Not</x:v>
      </x:c>
    </x:row>
    <x:row r="2">
      <x:c r="A2" s="14" t="n">
        <x:v>1</x:v>
      </x:c>
      <x:c r="B2" s="15" t="n">
        <x:v>46296</x:v>
      </x:c>
      <x:c r="C2" s="14" t="str">
        <x:v>Perşembe</x:v>
      </x:c>
      <x:c r="D2" s="14" t="str">
        <x:v>Okul Günü</x:v>
      </x:c>
      <x:c r="E2" s="14" t="str">
        <x:v>16:00 sonrası</x:v>
      </x:c>
      <x:c r="F2" s="14" t="str">
        <x:v>F1 - Temel Kurma</x:v>
      </x:c>
      <x:c r="G2" s="14" t="str">
        <x:v>16:00</x:v>
      </x:c>
      <x:c r="H2" s="14" t="str">
        <x:v>16:25</x:v>
      </x:c>
      <x:c r="I2" s="14" t="str">
        <x:v>Genel</x:v>
      </x:c>
      <x:c r="J2" s="14" t="str">
        <x:v>Dinlenme</x:v>
      </x:c>
      <x:c r="K2" s="14" t="str"/>
      <x:c r="L2" s="14" t="str">
        <x:v>Eve geliş, atıştırma ve dinlenme.</x:v>
      </x:c>
      <x:c r="M2" s="14" t="str"/>
      <x:c r="N2" s="14" t="str"/>
      <x:c r="O2" s="14" t="n">
        <x:v>0</x:v>
      </x:c>
      <x:c r="P2" s="14" t="str">
        <x:v>Hayır</x:v>
      </x:c>
      <x:c r="Q2" s="14" t="str">
        <x:v>Hayır</x:v>
      </x:c>
      <x:c r="R2" s="14" t="str">
        <x:v>Planlandı</x:v>
      </x:c>
      <x:c r="S2" s="15" t="str"/>
      <x:c r="T2" s="14" t="str"/>
    </x:row>
    <x:row r="3">
      <x:c r="A3" s="14" t="n">
        <x:v>2</x:v>
      </x:c>
      <x:c r="B3" s="15" t="n">
        <x:v>46296</x:v>
      </x:c>
      <x:c r="C3" s="14" t="str">
        <x:v>Perşembe</x:v>
      </x:c>
      <x:c r="D3" s="14" t="str">
        <x:v>Okul Günü</x:v>
      </x:c>
      <x:c r="E3" s="14" t="str">
        <x:v>16:00 sonrası</x:v>
      </x:c>
      <x:c r="F3" s="14" t="str">
        <x:v>F1 - Temel Kurma</x:v>
      </x:c>
      <x:c r="G3" s="14" t="str">
        <x:v>16:25</x:v>
      </x:c>
      <x:c r="H3" s="14" t="str">
        <x:v>17:05</x:v>
      </x:c>
      <x:c r="I3" s="14" t="str">
        <x:v>Matematik</x:v>
      </x:c>
      <x:c r="J3" s="14" t="str">
        <x:v>Konu / Tekrar</x:v>
      </x:c>
      <x:c r="K3" s="14" t="str">
        <x:v>Temel Kavramlar</x:v>
      </x:c>
      <x:c r="L3" s="14" t="str">
        <x:v>Temel Kavramlar — genel oynatma listesinden ilgili videoyu izle (1/1).</x:v>
      </x:c>
      <x:c r="M3" s="14" t="str">
        <x:v>Matematik Ana Oynatma Listesi</x:v>
      </x:c>
      <x:c r="N3" s="14" t="str">
        <x:v>https://www.youtube.com/watch?v=EuJ89QzqrAg&amp;list=PLicNtF7vp6fnfDqrRLH6H7fIbzYT4ct4F&amp;index=11</x:v>
      </x:c>
      <x:c r="O3" s="14" t="n">
        <x:v>0</x:v>
      </x:c>
      <x:c r="P3" s="14" t="str">
        <x:v>Hayır</x:v>
      </x:c>
      <x:c r="Q3" s="14" t="str">
        <x:v>Evet</x:v>
      </x:c>
      <x:c r="R3" s="14" t="str">
        <x:v>Planlandı</x:v>
      </x:c>
      <x:c r="S3" s="15" t="str"/>
      <x:c r="T3" s="14" t="str">
        <x:v>Yeni konu ancak plan sırasıyla açılır; LGS dışı ileri TYT içeriği zorunlu değildir.</x:v>
      </x:c>
    </x:row>
    <x:row r="4">
      <x:c r="A4" s="14" t="n">
        <x:v>3</x:v>
      </x:c>
      <x:c r="B4" s="15" t="n">
        <x:v>46296</x:v>
      </x:c>
      <x:c r="C4" s="14" t="str">
        <x:v>Perşembe</x:v>
      </x:c>
      <x:c r="D4" s="14" t="str">
        <x:v>Okul Günü</x:v>
      </x:c>
      <x:c r="E4" s="14" t="str">
        <x:v>16:00 sonrası</x:v>
      </x:c>
      <x:c r="F4" s="14" t="str">
        <x:v>F1 - Temel Kurma</x:v>
      </x:c>
      <x:c r="G4" s="14" t="str">
        <x:v>17:10</x:v>
      </x:c>
      <x:c r="H4" s="14" t="str">
        <x:v>17:55</x:v>
      </x:c>
      <x:c r="I4" s="14" t="str">
        <x:v>Matematik</x:v>
      </x:c>
      <x:c r="J4" s="14" t="str">
        <x:v>Kitap / MEB / Mastery</x:v>
      </x:c>
      <x:c r="K4" s="14" t="str">
        <x:v>Temel Kavramlar</x:v>
      </x:c>
      <x:c r="L4" s="14" t="str">
        <x:v>Temel Kavramlar ile ilgili soru kitabından en az 20 soru / bugünkü test payını çöz. İlgili kitap konu bölümünü bu oturumda bitirmeyi hedefle; sonraki oturum MEB doğrulaması.</x:v>
      </x:c>
      <x:c r="M4" s="14" t="str">
        <x:v>MUBA 8. Sınıf Başlangıç Matematik (ISBN 9789756526972) (eşleşen bölüm) + MEB temel destek</x:v>
      </x:c>
      <x:c r="N4" s="14" t="str">
        <x:v>https://odsgm.meb.gov.tr/www/5-6-7-ve-9-sinif-duzeylerinde-calisma-sorulari-yayimlandi/icerik/775</x:v>
      </x:c>
      <x:c r="O4" s="14" t="n">
        <x:v>20</x:v>
      </x:c>
      <x:c r="P4" s="14" t="str">
        <x:v>İlk 20 soru</x:v>
      </x:c>
      <x:c r="Q4" s="14" t="str">
        <x:v>Evet</x:v>
      </x:c>
      <x:c r="R4" s="14" t="str">
        <x:v>Planlandı</x:v>
      </x:c>
      <x:c r="S4" s="15" t="str"/>
      <x:c r="T4" s="14" t="str">
        <x:v>Ayrı/rastgele matematik benchmark yoktur. Süreli ilk 20 soru o gün çalışılan konunun içindedir.</x:v>
      </x:c>
    </x:row>
    <x:row r="5">
      <x:c r="A5" s="14" t="n">
        <x:v>4</x:v>
      </x:c>
      <x:c r="B5" s="15" t="n">
        <x:v>46296</x:v>
      </x:c>
      <x:c r="C5" s="14" t="str">
        <x:v>Perşembe</x:v>
      </x:c>
      <x:c r="D5" s="14" t="str">
        <x:v>Okul Günü</x:v>
      </x:c>
      <x:c r="E5" s="14" t="str">
        <x:v>16:00 sonrası</x:v>
      </x:c>
      <x:c r="F5" s="14" t="str">
        <x:v>F1 - Temel Kurma</x:v>
      </x:c>
      <x:c r="G5" s="14" t="str">
        <x:v>17:55</x:v>
      </x:c>
      <x:c r="H5" s="14" t="str">
        <x:v>18:25</x:v>
      </x:c>
      <x:c r="I5" s="14" t="str">
        <x:v>Genel</x:v>
      </x:c>
      <x:c r="J5" s="14" t="str">
        <x:v>Yemek / Serbest Zaman</x:v>
      </x:c>
      <x:c r="K5" s="14" t="str"/>
      <x:c r="L5" s="14" t="str">
        <x:v>Yemek, hareket ve dinlenme.</x:v>
      </x:c>
      <x:c r="M5" s="14" t="str"/>
      <x:c r="N5" s="14" t="str"/>
      <x:c r="O5" s="14" t="n">
        <x:v>0</x:v>
      </x:c>
      <x:c r="P5" s="14" t="str">
        <x:v>Hayır</x:v>
      </x:c>
      <x:c r="Q5" s="14" t="str">
        <x:v>Hayır</x:v>
      </x:c>
      <x:c r="R5" s="14" t="str">
        <x:v>Planlandı</x:v>
      </x:c>
      <x:c r="S5" s="15" t="str"/>
      <x:c r="T5" s="14" t="str"/>
    </x:row>
    <x:row r="6">
      <x:c r="A6" s="14" t="n">
        <x:v>5</x:v>
      </x:c>
      <x:c r="B6" s="15" t="n">
        <x:v>46296</x:v>
      </x:c>
      <x:c r="C6" s="14" t="str">
        <x:v>Perşembe</x:v>
      </x:c>
      <x:c r="D6" s="14" t="str">
        <x:v>Okul Günü</x:v>
      </x:c>
      <x:c r="E6" s="14" t="str">
        <x:v>16:00 sonrası</x:v>
      </x:c>
      <x:c r="F6" s="14" t="str">
        <x:v>F1 - Temel Kurma</x:v>
      </x:c>
      <x:c r="G6" s="14" t="str">
        <x:v>18:25</x:v>
      </x:c>
      <x:c r="H6" s="14" t="str">
        <x:v>18:55</x:v>
      </x:c>
      <x:c r="I6" s="14" t="str">
        <x:v>Türkçe</x:v>
      </x:c>
      <x:c r="J6" s="14" t="str">
        <x:v>Paragraf Rutini</x:v>
      </x:c>
      <x:c r="K6" s="14" t="str">
        <x:v>Paragraf</x:v>
      </x:c>
      <x:c r="L6" s="14" t="str">
        <x:v>En az 20 paragraf sorusu çöz; ilk 20 soruyu ileri sayımla ölç, D/Y/B + süre kaydet.</x:v>
      </x:c>
      <x:c r="M6" s="14" t="str">
        <x:v>Hız 8. Sınıf Türkçe Paragraf (ISBN 9786258394498)</x:v>
      </x:c>
      <x:c r="N6" s="14" t="str"/>
      <x:c r="O6" s="14" t="n">
        <x:v>20</x:v>
      </x:c>
      <x:c r="P6" s="14" t="str">
        <x:v>İlk 20 soru</x:v>
      </x:c>
      <x:c r="Q6" s="14" t="str">
        <x:v>Evet</x:v>
      </x:c>
      <x:c r="R6" s="14" t="str">
        <x:v>Planlandı</x:v>
      </x:c>
      <x:c r="S6" s="15" t="str"/>
      <x:c r="T6" s="14" t="str">
        <x:v>Geri sayım ve hedef süre yok.</x:v>
      </x:c>
    </x:row>
    <x:row r="7">
      <x:c r="A7" s="14" t="n">
        <x:v>6</x:v>
      </x:c>
      <x:c r="B7" s="15" t="n">
        <x:v>46296</x:v>
      </x:c>
      <x:c r="C7" s="14" t="str">
        <x:v>Perşembe</x:v>
      </x:c>
      <x:c r="D7" s="14" t="str">
        <x:v>Okul Günü</x:v>
      </x:c>
      <x:c r="E7" s="14" t="str">
        <x:v>16:00 sonrası</x:v>
      </x:c>
      <x:c r="F7" s="14" t="str">
        <x:v>F1 - Temel Kurma</x:v>
      </x:c>
      <x:c r="G7" s="14" t="str">
        <x:v>19:00</x:v>
      </x:c>
      <x:c r="H7" s="14" t="str">
        <x:v>19:35</x:v>
      </x:c>
      <x:c r="I7" s="14" t="str">
        <x:v>Türkçe</x:v>
      </x:c>
      <x:c r="J7" s="14" t="str">
        <x:v>Konu / Tekrar</x:v>
      </x:c>
      <x:c r="K7" s="14" t="str">
        <x:v>Sözcükte Anlam</x:v>
      </x:c>
      <x:c r="L7" s="14" t="str">
        <x:v>Sözcükte Anlam — genel oynatma listesinden ilgili videoyu izle (1/4).</x:v>
      </x:c>
      <x:c r="M7" s="14" t="str">
        <x:v>Türkçe Ana Oynatma Listesi</x:v>
      </x:c>
      <x:c r="N7" s="14" t="str">
        <x:v>https://www.youtube.com/watch?v=VYsPntNKVdw&amp;list=PLIBjFaUoJJ91bz7QQEBlxNJNZka5YQRr6</x:v>
      </x:c>
      <x:c r="O7" s="14" t="n">
        <x:v>0</x:v>
      </x:c>
      <x:c r="P7" s="14" t="str">
        <x:v>Hayır</x:v>
      </x:c>
      <x:c r="Q7" s="14" t="str">
        <x:v>Evet</x:v>
      </x:c>
      <x:c r="R7" s="14" t="str">
        <x:v>Planlandı</x:v>
      </x:c>
      <x:c r="S7" s="15" t="str"/>
      <x:c r="T7" s="14" t="str">
        <x:v>TYT etiketli kaynak temelden başlamak için sabittir; LGS dışı gereksiz ayrıntı zorunlu değildir.</x:v>
      </x:c>
    </x:row>
    <x:row r="8">
      <x:c r="A8" s="14" t="n">
        <x:v>7</x:v>
      </x:c>
      <x:c r="B8" s="15" t="n">
        <x:v>46296</x:v>
      </x:c>
      <x:c r="C8" s="14" t="str">
        <x:v>Perşembe</x:v>
      </x:c>
      <x:c r="D8" s="14" t="str">
        <x:v>Okul Günü</x:v>
      </x:c>
      <x:c r="E8" s="14" t="str">
        <x:v>16:00 sonrası</x:v>
      </x:c>
      <x:c r="F8" s="14" t="str">
        <x:v>F1 - Temel Kurma</x:v>
      </x:c>
      <x:c r="G8" s="14" t="str">
        <x:v>19:40</x:v>
      </x:c>
      <x:c r="H8" s="14" t="str">
        <x:v>20:10</x:v>
      </x:c>
      <x:c r="I8" s="14" t="str">
        <x:v>Türkçe</x:v>
      </x:c>
      <x:c r="J8" s="14" t="str">
        <x:v>Kitap / MEB / Mastery</x:v>
      </x:c>
      <x:c r="K8" s="14" t="str">
        <x:v>Sözcükte Anlam</x:v>
      </x:c>
      <x:c r="L8" s="14" t="str">
        <x:v>Sözcükte Anlam ile ilgili soru kitabından en az 10 soru / bugünkü test payını çöz.</x:v>
      </x:c>
      <x:c r="M8" s="14" t="str">
        <x:v>Ankara 8. Sınıf Dil Bilgisi Güçlendiren</x:v>
      </x:c>
      <x:c r="N8" s="14" t="str">
        <x:v>https://odsgm.meb.gov.tr/www/8sinif-calisma-sorulari/icerik/1632</x:v>
      </x:c>
      <x:c r="O8" s="14" t="n">
        <x:v>10</x:v>
      </x:c>
      <x:c r="P8" s="14" t="str">
        <x:v>Hayır</x:v>
      </x:c>
      <x:c r="Q8" s="14" t="str">
        <x:v>Evet</x:v>
      </x:c>
      <x:c r="R8" s="14" t="str">
        <x:v>Planlandı</x:v>
      </x:c>
      <x:c r="S8" s="15" t="str"/>
      <x:c r="T8" s="14" t="str"/>
    </x:row>
    <x:row r="9">
      <x:c r="A9" s="14" t="n">
        <x:v>8</x:v>
      </x:c>
      <x:c r="B9" s="15" t="n">
        <x:v>46296</x:v>
      </x:c>
      <x:c r="C9" s="14" t="str">
        <x:v>Perşembe</x:v>
      </x:c>
      <x:c r="D9" s="14" t="str">
        <x:v>Okul Günü</x:v>
      </x:c>
      <x:c r="E9" s="14" t="str">
        <x:v>16:00 sonrası</x:v>
      </x:c>
      <x:c r="F9" s="14" t="str">
        <x:v>F1 - Temel Kurma</x:v>
      </x:c>
      <x:c r="G9" s="14" t="str">
        <x:v>20:15</x:v>
      </x:c>
      <x:c r="H9" s="14" t="str">
        <x:v>20:50</x:v>
      </x:c>
      <x:c r="I9" s="14" t="str">
        <x:v>Fen</x:v>
      </x:c>
      <x:c r="J9" s="14" t="str">
        <x:v>Konu / Tekrar</x:v>
      </x:c>
      <x:c r="K9" s="14" t="str">
        <x:v>Mevsimlerin Oluşumu</x:v>
      </x:c>
      <x:c r="L9" s="14" t="str">
        <x:v>Mevsimlerin Oluşumu — Fen konu anlatım playlistinden ilgili videoyu izle.</x:v>
      </x:c>
      <x:c r="M9" s="14" t="str">
        <x:v>Fen Konu Anlatım</x:v>
      </x:c>
      <x:c r="N9" s="14" t="str">
        <x:v>https://www.youtube.com/watch?v=AHdk01aR4Ko&amp;list=PLrQm7mt99FRV_Oe9xFavWzFpCIl7_XiWj</x:v>
      </x:c>
      <x:c r="O9" s="14" t="n">
        <x:v>0</x:v>
      </x:c>
      <x:c r="P9" s="14" t="str">
        <x:v>Hayır</x:v>
      </x:c>
      <x:c r="Q9" s="14" t="str">
        <x:v>Evet</x:v>
      </x:c>
      <x:c r="R9" s="14" t="str">
        <x:v>Planlandı</x:v>
      </x:c>
      <x:c r="S9" s="15" t="str"/>
      <x:c r="T9" s="14" t="str"/>
    </x:row>
    <x:row r="10">
      <x:c r="A10" s="14" t="n">
        <x:v>9</x:v>
      </x:c>
      <x:c r="B10" s="15" t="n">
        <x:v>46296</x:v>
      </x:c>
      <x:c r="C10" s="14" t="str">
        <x:v>Perşembe</x:v>
      </x:c>
      <x:c r="D10" s="14" t="str">
        <x:v>Okul Günü</x:v>
      </x:c>
      <x:c r="E10" s="14" t="str">
        <x:v>16:00 sonrası</x:v>
      </x:c>
      <x:c r="F10" s="14" t="str">
        <x:v>F1 - Temel Kurma</x:v>
      </x:c>
      <x:c r="G10" s="14" t="str">
        <x:v>20:55</x:v>
      </x:c>
      <x:c r="H10" s="14" t="str">
        <x:v>21:20</x:v>
      </x:c>
      <x:c r="I10" s="14" t="str">
        <x:v>Fen</x:v>
      </x:c>
      <x:c r="J10" s="14" t="str">
        <x:v>Kitap / MEB / Mastery</x:v>
      </x:c>
      <x:c r="K10" s="14" t="str">
        <x:v>Mevsimlerin Oluşumu</x:v>
      </x:c>
      <x:c r="L10" s="14" t="str">
        <x:v>Mevsimlerin Oluşumu ile ilgili soru kitabından en az 15 soru / bugünkü test payını çöz.</x:v>
      </x:c>
      <x:c r="M10" s="14" t="str">
        <x:v>Hız 8. Sınıf Fen (ISBN 9786257514859); tamamlandıysa Mozaik 8. Sınıf Fen</x:v>
      </x:c>
      <x:c r="N10" s="14" t="str">
        <x:v>https://www.youtube.com/watch?v=AHdk01aR4Ko&amp;list=PLrQm7mt99FRV_Oe9xFavWzFpCIl7_XiWj</x:v>
      </x:c>
      <x:c r="O10" s="14" t="n">
        <x:v>15</x:v>
      </x:c>
      <x:c r="P10" s="14" t="str">
        <x:v>Hayır</x:v>
      </x:c>
      <x:c r="Q10" s="14" t="str">
        <x:v>Evet</x:v>
      </x:c>
      <x:c r="R10" s="14" t="str">
        <x:v>Planlandı</x:v>
      </x:c>
      <x:c r="S10" s="15" t="str"/>
      <x:c r="T10" s="14" t="str"/>
    </x:row>
    <x:row r="11">
      <x:c r="A11" s="14" t="n">
        <x:v>10</x:v>
      </x:c>
      <x:c r="B11" s="15" t="n">
        <x:v>46296</x:v>
      </x:c>
      <x:c r="C11" s="14" t="str">
        <x:v>Perşembe</x:v>
      </x:c>
      <x:c r="D11" s="14" t="str">
        <x:v>Okul Günü</x:v>
      </x:c>
      <x:c r="E11" s="14" t="str">
        <x:v>16:00 sonrası</x:v>
      </x:c>
      <x:c r="F11" s="14" t="str">
        <x:v>F1 - Temel Kurma</x:v>
      </x:c>
      <x:c r="G11" s="14" t="str">
        <x:v>21:20</x:v>
      </x:c>
      <x:c r="H11" s="14" t="str">
        <x:v>21:35</x:v>
      </x:c>
      <x:c r="I11" s="14" t="str">
        <x:v>Genel</x:v>
      </x:c>
      <x:c r="J11" s="14" t="str">
        <x:v>Yanlış / Boş Analizi</x:v>
      </x:c>
      <x:c r="K11" s="14" t="str">
        <x:v>Günlük</x:v>
      </x:c>
      <x:c r="L11" s="14" t="str">
        <x:v>Bugünkü yanlış/boşları kaydet; çözümünü öğrenmeden kapatma. Hata türünü sınıflandır.</x:v>
      </x:c>
      <x:c r="M11" s="14" t="str">
        <x:v>Yanlış Defteri</x:v>
      </x:c>
      <x:c r="N11" s="14" t="str"/>
      <x:c r="O11" s="14" t="n">
        <x:v>0</x:v>
      </x:c>
      <x:c r="P11" s="14" t="str">
        <x:v>Hayır</x:v>
      </x:c>
      <x:c r="Q11" s="14" t="str">
        <x:v>Evet</x:v>
      </x:c>
      <x:c r="R11" s="14" t="str">
        <x:v>Planlandı</x:v>
      </x:c>
      <x:c r="S11" s="15" t="str"/>
      <x:c r="T11" s="14" t="str"/>
    </x:row>
    <x:row r="12">
      <x:c r="A12" s="14" t="n">
        <x:v>11</x:v>
      </x:c>
      <x:c r="B12" s="15" t="n">
        <x:v>46296</x:v>
      </x:c>
      <x:c r="C12" s="14" t="str">
        <x:v>Perşembe</x:v>
      </x:c>
      <x:c r="D12" s="14" t="str">
        <x:v>Okul Günü</x:v>
      </x:c>
      <x:c r="E12" s="14" t="str">
        <x:v>16:00 sonrası</x:v>
      </x:c>
      <x:c r="F12" s="14" t="str">
        <x:v>F1 - Temel Kurma</x:v>
      </x:c>
      <x:c r="G12" s="14" t="str">
        <x:v>21:35</x:v>
      </x:c>
      <x:c r="H12" s="14" t="str">
        <x:v>21:50</x:v>
      </x:c>
      <x:c r="I12" s="14" t="str">
        <x:v>Genel</x:v>
      </x:c>
      <x:c r="J12" s="14" t="str">
        <x:v>Aralıklı Hata Tekrarı</x:v>
      </x:c>
      <x:c r="K12" s="14" t="str">
        <x:v>+1 / +7 / +21</x:v>
      </x:c>
      <x:c r="L12" s="14" t="str">
        <x:v>Bugün vadesi gelen yanlış soruları tekrar çöz. Vadesi yoksa bu süre serbest/okuma olabilir.</x:v>
      </x:c>
      <x:c r="M12" s="14" t="str">
        <x:v>Yanlış Defteri</x:v>
      </x:c>
      <x:c r="N12" s="14" t="str"/>
      <x:c r="O12" s="14" t="n">
        <x:v>0</x:v>
      </x:c>
      <x:c r="P12" s="14" t="str">
        <x:v>Hayır</x:v>
      </x:c>
      <x:c r="Q12" s="14" t="str">
        <x:v>Koşullu</x:v>
      </x:c>
      <x:c r="R12" s="14" t="str">
        <x:v>Planlandı</x:v>
      </x:c>
      <x:c r="S12" s="15" t="str"/>
      <x:c r="T12" s="14" t="str">
        <x:v>Yanlışlar +1, +7 ve +21 gün aralıklarıyla tekrar edilir; hâlâ yanlışsa konu mastery durumu düşürülür.</x:v>
      </x:c>
    </x:row>
    <x:row r="13">
      <x:c r="A13" s="14" t="n">
        <x:v>12</x:v>
      </x:c>
      <x:c r="B13" s="15" t="n">
        <x:v>46296</x:v>
      </x:c>
      <x:c r="C13" s="14" t="str">
        <x:v>Perşembe</x:v>
      </x:c>
      <x:c r="D13" s="14" t="str">
        <x:v>Okul Günü</x:v>
      </x:c>
      <x:c r="E13" s="14" t="str">
        <x:v>16:00 sonrası</x:v>
      </x:c>
      <x:c r="F13" s="14" t="str">
        <x:v>F1 - Temel Kurma</x:v>
      </x:c>
      <x:c r="G13" s="14" t="str">
        <x:v>21:50</x:v>
      </x:c>
      <x:c r="H13" s="14" t="str">
        <x:v>22:00</x:v>
      </x:c>
      <x:c r="I13" s="14" t="str">
        <x:v>Genel</x:v>
      </x:c>
      <x:c r="J13" s="14" t="str">
        <x:v>Uyku Hazırlığı</x:v>
      </x:c>
      <x:c r="K13" s="14" t="str"/>
      <x:c r="L13" s="14" t="str">
        <x:v>22:00'de yatakta ve uyku.</x:v>
      </x:c>
      <x:c r="M13" s="14" t="str"/>
      <x:c r="N13" s="14" t="str"/>
      <x:c r="O13" s="14" t="n">
        <x:v>0</x:v>
      </x:c>
      <x:c r="P13" s="14" t="str">
        <x:v>Hayır</x:v>
      </x:c>
      <x:c r="Q13" s="14" t="str">
        <x:v>Hayır</x:v>
      </x:c>
      <x:c r="R13" s="14" t="str">
        <x:v>Planlandı</x:v>
      </x:c>
      <x:c r="S13" s="15" t="str"/>
      <x:c r="T13" s="14" t="str"/>
    </x:row>
    <x:row r="14">
      <x:c r="A14" s="14" t="n">
        <x:v>13</x:v>
      </x:c>
      <x:c r="B14" s="15" t="n">
        <x:v>46297</x:v>
      </x:c>
      <x:c r="C14" s="14" t="str">
        <x:v>Cuma</x:v>
      </x:c>
      <x:c r="D14" s="14" t="str">
        <x:v>Okul Günü</x:v>
      </x:c>
      <x:c r="E14" s="14" t="str">
        <x:v>16:00 sonrası</x:v>
      </x:c>
      <x:c r="F14" s="14" t="str">
        <x:v>F1 - Temel Kurma</x:v>
      </x:c>
      <x:c r="G14" s="14" t="str">
        <x:v>16:00</x:v>
      </x:c>
      <x:c r="H14" s="14" t="str">
        <x:v>16:25</x:v>
      </x:c>
      <x:c r="I14" s="14" t="str">
        <x:v>Genel</x:v>
      </x:c>
      <x:c r="J14" s="14" t="str">
        <x:v>Dinlenme</x:v>
      </x:c>
      <x:c r="K14" s="14" t="str"/>
      <x:c r="L14" s="14" t="str">
        <x:v>Eve geliş, atıştırma ve dinlenme.</x:v>
      </x:c>
      <x:c r="M14" s="14" t="str"/>
      <x:c r="N14" s="14" t="str"/>
      <x:c r="O14" s="14" t="n">
        <x:v>0</x:v>
      </x:c>
      <x:c r="P14" s="14" t="str">
        <x:v>Hayır</x:v>
      </x:c>
      <x:c r="Q14" s="14" t="str">
        <x:v>Hayır</x:v>
      </x:c>
      <x:c r="R14" s="14" t="str">
        <x:v>Planlandı</x:v>
      </x:c>
      <x:c r="S14" s="15" t="str"/>
      <x:c r="T14" s="14" t="str"/>
    </x:row>
    <x:row r="15">
      <x:c r="A15" s="14" t="n">
        <x:v>14</x:v>
      </x:c>
      <x:c r="B15" s="15" t="n">
        <x:v>46297</x:v>
      </x:c>
      <x:c r="C15" s="14" t="str">
        <x:v>Cuma</x:v>
      </x:c>
      <x:c r="D15" s="14" t="str">
        <x:v>Okul Günü</x:v>
      </x:c>
      <x:c r="E15" s="14" t="str">
        <x:v>16:00 sonrası</x:v>
      </x:c>
      <x:c r="F15" s="14" t="str">
        <x:v>F1 - Temel Kurma</x:v>
      </x:c>
      <x:c r="G15" s="14" t="str">
        <x:v>16:25</x:v>
      </x:c>
      <x:c r="H15" s="14" t="str">
        <x:v>17:05</x:v>
      </x:c>
      <x:c r="I15" s="14" t="str">
        <x:v>Matematik</x:v>
      </x:c>
      <x:c r="J15" s="14" t="str">
        <x:v>Konu / Tekrar</x:v>
      </x:c>
      <x:c r="K15" s="14" t="str">
        <x:v>Temel Kavramlar</x:v>
      </x:c>
      <x:c r="L15" s="14" t="str">
        <x:v>Temel Kavramlar — MEB doğrulaması öncesi 5-10 dk aktif hatırlama; gerekiyorsa ilgili playlist videosuna kısa dönüş yap.</x:v>
      </x:c>
      <x:c r="M15" s="14" t="str">
        <x:v>Matematik Ana Oynatma Listesi</x:v>
      </x:c>
      <x:c r="N15" s="14" t="str">
        <x:v>https://www.youtube.com/watch?v=EuJ89QzqrAg&amp;list=PLicNtF7vp6fnfDqrRLH6H7fIbzYT4ct4F&amp;index=11</x:v>
      </x:c>
      <x:c r="O15" s="14" t="n">
        <x:v>0</x:v>
      </x:c>
      <x:c r="P15" s="14" t="str">
        <x:v>Hayır</x:v>
      </x:c>
      <x:c r="Q15" s="14" t="str">
        <x:v>Evet</x:v>
      </x:c>
      <x:c r="R15" s="14" t="str">
        <x:v>Planlandı</x:v>
      </x:c>
      <x:c r="S15" s="15" t="str"/>
      <x:c r="T15" s="14" t="str">
        <x:v>Yeni konu ancak plan sırasıyla açılır; LGS dışı ileri TYT içeriği zorunlu değildir.</x:v>
      </x:c>
    </x:row>
    <x:row r="16">
      <x:c r="A16" s="14" t="n">
        <x:v>15</x:v>
      </x:c>
      <x:c r="B16" s="15" t="n">
        <x:v>46297</x:v>
      </x:c>
      <x:c r="C16" s="14" t="str">
        <x:v>Cuma</x:v>
      </x:c>
      <x:c r="D16" s="14" t="str">
        <x:v>Okul Günü</x:v>
      </x:c>
      <x:c r="E16" s="14" t="str">
        <x:v>16:00 sonrası</x:v>
      </x:c>
      <x:c r="F16" s="14" t="str">
        <x:v>F1 - Temel Kurma</x:v>
      </x:c>
      <x:c r="G16" s="14" t="str">
        <x:v>17:10</x:v>
      </x:c>
      <x:c r="H16" s="14" t="str">
        <x:v>17:55</x:v>
      </x:c>
      <x:c r="I16" s="14" t="str">
        <x:v>Matematik</x:v>
      </x:c>
      <x:c r="J16" s="14" t="str">
        <x:v>Kitap / MEB / Mastery</x:v>
      </x:c>
      <x:c r="K16" s="14" t="str">
        <x:v>Temel Kavramlar</x:v>
      </x:c>
      <x:c r="L16" s="14" t="str">
        <x:v>Temel Kavramlar için ilgili MEB sorularını TAMAMLA; D/Y/B kaydet. Bu oturum konu mastery gate'idir.</x:v>
      </x:c>
      <x:c r="M16" s="14" t="str">
        <x:v>MEB Resmî Soru Seti</x:v>
      </x:c>
      <x:c r="N16" s="14" t="str">
        <x:v>https://odsgm.meb.gov.tr/www/5-6-7-ve-9-sinif-duzeylerinde-calisma-sorulari-yayimlandi/icerik/775</x:v>
      </x:c>
      <x:c r="O16" s="14" t="n">
        <x:v>0</x:v>
      </x:c>
      <x:c r="P16" s="14" t="str">
        <x:v>Hayır</x:v>
      </x:c>
      <x:c r="Q16" s="14" t="str">
        <x:v>Evet</x:v>
      </x:c>
      <x:c r="R16" s="14" t="str">
        <x:v>Planlandı</x:v>
      </x:c>
      <x:c r="S16" s="15" t="str"/>
      <x:c r="T16" s="14" t="str">
        <x:v>MEB sonucu Konu_Ustaligi sayfasına işlenir.</x:v>
      </x:c>
    </x:row>
    <x:row r="17">
      <x:c r="A17" s="14" t="n">
        <x:v>16</x:v>
      </x:c>
      <x:c r="B17" s="15" t="n">
        <x:v>46297</x:v>
      </x:c>
      <x:c r="C17" s="14" t="str">
        <x:v>Cuma</x:v>
      </x:c>
      <x:c r="D17" s="14" t="str">
        <x:v>Okul Günü</x:v>
      </x:c>
      <x:c r="E17" s="14" t="str">
        <x:v>16:00 sonrası</x:v>
      </x:c>
      <x:c r="F17" s="14" t="str">
        <x:v>F1 - Temel Kurma</x:v>
      </x:c>
      <x:c r="G17" s="14" t="str">
        <x:v>17:55</x:v>
      </x:c>
      <x:c r="H17" s="14" t="str">
        <x:v>18:25</x:v>
      </x:c>
      <x:c r="I17" s="14" t="str">
        <x:v>Genel</x:v>
      </x:c>
      <x:c r="J17" s="14" t="str">
        <x:v>Yemek / Serbest Zaman</x:v>
      </x:c>
      <x:c r="K17" s="14" t="str"/>
      <x:c r="L17" s="14" t="str">
        <x:v>Yemek, hareket ve dinlenme.</x:v>
      </x:c>
      <x:c r="M17" s="14" t="str"/>
      <x:c r="N17" s="14" t="str"/>
      <x:c r="O17" s="14" t="n">
        <x:v>0</x:v>
      </x:c>
      <x:c r="P17" s="14" t="str">
        <x:v>Hayır</x:v>
      </x:c>
      <x:c r="Q17" s="14" t="str">
        <x:v>Hayır</x:v>
      </x:c>
      <x:c r="R17" s="14" t="str">
        <x:v>Planlandı</x:v>
      </x:c>
      <x:c r="S17" s="15" t="str"/>
      <x:c r="T17" s="14" t="str"/>
    </x:row>
    <x:row r="18">
      <x:c r="A18" s="14" t="n">
        <x:v>17</x:v>
      </x:c>
      <x:c r="B18" s="15" t="n">
        <x:v>46297</x:v>
      </x:c>
      <x:c r="C18" s="14" t="str">
        <x:v>Cuma</x:v>
      </x:c>
      <x:c r="D18" s="14" t="str">
        <x:v>Okul Günü</x:v>
      </x:c>
      <x:c r="E18" s="14" t="str">
        <x:v>16:00 sonrası</x:v>
      </x:c>
      <x:c r="F18" s="14" t="str">
        <x:v>F1 - Temel Kurma</x:v>
      </x:c>
      <x:c r="G18" s="14" t="str">
        <x:v>18:25</x:v>
      </x:c>
      <x:c r="H18" s="14" t="str">
        <x:v>18:55</x:v>
      </x:c>
      <x:c r="I18" s="14" t="str">
        <x:v>Türkçe</x:v>
      </x:c>
      <x:c r="J18" s="14" t="str">
        <x:v>Paragraf Rutini</x:v>
      </x:c>
      <x:c r="K18" s="14" t="str">
        <x:v>Paragraf</x:v>
      </x:c>
      <x:c r="L18" s="14" t="str">
        <x:v>En az 20 paragraf sorusu çöz; ilk 20 soruyu ileri sayımla ölç, D/Y/B + süre kaydet.</x:v>
      </x:c>
      <x:c r="M18" s="14" t="str">
        <x:v>Hız 8. Sınıf Türkçe Paragraf (ISBN 9786258394498)</x:v>
      </x:c>
      <x:c r="N18" s="14" t="str"/>
      <x:c r="O18" s="14" t="n">
        <x:v>20</x:v>
      </x:c>
      <x:c r="P18" s="14" t="str">
        <x:v>İlk 20 soru</x:v>
      </x:c>
      <x:c r="Q18" s="14" t="str">
        <x:v>Evet</x:v>
      </x:c>
      <x:c r="R18" s="14" t="str">
        <x:v>Planlandı</x:v>
      </x:c>
      <x:c r="S18" s="15" t="str"/>
      <x:c r="T18" s="14" t="str">
        <x:v>Geri sayım ve hedef süre yok.</x:v>
      </x:c>
    </x:row>
    <x:row r="19">
      <x:c r="A19" s="14" t="n">
        <x:v>18</x:v>
      </x:c>
      <x:c r="B19" s="15" t="n">
        <x:v>46297</x:v>
      </x:c>
      <x:c r="C19" s="14" t="str">
        <x:v>Cuma</x:v>
      </x:c>
      <x:c r="D19" s="14" t="str">
        <x:v>Okul Günü</x:v>
      </x:c>
      <x:c r="E19" s="14" t="str">
        <x:v>16:00 sonrası</x:v>
      </x:c>
      <x:c r="F19" s="14" t="str">
        <x:v>F1 - Temel Kurma</x:v>
      </x:c>
      <x:c r="G19" s="14" t="str">
        <x:v>19:00</x:v>
      </x:c>
      <x:c r="H19" s="14" t="str">
        <x:v>19:35</x:v>
      </x:c>
      <x:c r="I19" s="14" t="str">
        <x:v>Türkçe</x:v>
      </x:c>
      <x:c r="J19" s="14" t="str">
        <x:v>Konu / Tekrar</x:v>
      </x:c>
      <x:c r="K19" s="14" t="str">
        <x:v>Sözcükte Anlam</x:v>
      </x:c>
      <x:c r="L19" s="14" t="str">
        <x:v>Sözcükte Anlam — genel oynatma listesinden ilgili videoyu izle (2/4).</x:v>
      </x:c>
      <x:c r="M19" s="14" t="str">
        <x:v>Türkçe Ana Oynatma Listesi</x:v>
      </x:c>
      <x:c r="N19" s="14" t="str">
        <x:v>https://www.youtube.com/watch?v=VYsPntNKVdw&amp;list=PLIBjFaUoJJ91bz7QQEBlxNJNZka5YQRr6</x:v>
      </x:c>
      <x:c r="O19" s="14" t="n">
        <x:v>0</x:v>
      </x:c>
      <x:c r="P19" s="14" t="str">
        <x:v>Hayır</x:v>
      </x:c>
      <x:c r="Q19" s="14" t="str">
        <x:v>Evet</x:v>
      </x:c>
      <x:c r="R19" s="14" t="str">
        <x:v>Planlandı</x:v>
      </x:c>
      <x:c r="S19" s="15" t="str"/>
      <x:c r="T19" s="14" t="str">
        <x:v>TYT etiketli kaynak temelden başlamak için sabittir; LGS dışı gereksiz ayrıntı zorunlu değildir.</x:v>
      </x:c>
    </x:row>
    <x:row r="20">
      <x:c r="A20" s="14" t="n">
        <x:v>19</x:v>
      </x:c>
      <x:c r="B20" s="15" t="n">
        <x:v>46297</x:v>
      </x:c>
      <x:c r="C20" s="14" t="str">
        <x:v>Cuma</x:v>
      </x:c>
      <x:c r="D20" s="14" t="str">
        <x:v>Okul Günü</x:v>
      </x:c>
      <x:c r="E20" s="14" t="str">
        <x:v>16:00 sonrası</x:v>
      </x:c>
      <x:c r="F20" s="14" t="str">
        <x:v>F1 - Temel Kurma</x:v>
      </x:c>
      <x:c r="G20" s="14" t="str">
        <x:v>19:40</x:v>
      </x:c>
      <x:c r="H20" s="14" t="str">
        <x:v>20:10</x:v>
      </x:c>
      <x:c r="I20" s="14" t="str">
        <x:v>Türkçe</x:v>
      </x:c>
      <x:c r="J20" s="14" t="str">
        <x:v>Kitap / MEB / Mastery</x:v>
      </x:c>
      <x:c r="K20" s="14" t="str">
        <x:v>Sözcükte Anlam</x:v>
      </x:c>
      <x:c r="L20" s="14" t="str">
        <x:v>Sözcükte Anlam ile ilgili soru kitabından en az 10 soru / bugünkü test payını çöz.</x:v>
      </x:c>
      <x:c r="M20" s="14" t="str">
        <x:v>Ankara 8. Sınıf Dil Bilgisi Güçlendiren</x:v>
      </x:c>
      <x:c r="N20" s="14" t="str">
        <x:v>https://odsgm.meb.gov.tr/www/8sinif-calisma-sorulari/icerik/1632</x:v>
      </x:c>
      <x:c r="O20" s="14" t="n">
        <x:v>10</x:v>
      </x:c>
      <x:c r="P20" s="14" t="str">
        <x:v>Hayır</x:v>
      </x:c>
      <x:c r="Q20" s="14" t="str">
        <x:v>Evet</x:v>
      </x:c>
      <x:c r="R20" s="14" t="str">
        <x:v>Planlandı</x:v>
      </x:c>
      <x:c r="S20" s="15" t="str"/>
      <x:c r="T20" s="14" t="str"/>
    </x:row>
    <x:row r="21">
      <x:c r="A21" s="14" t="n">
        <x:v>20</x:v>
      </x:c>
      <x:c r="B21" s="15" t="n">
        <x:v>46297</x:v>
      </x:c>
      <x:c r="C21" s="14" t="str">
        <x:v>Cuma</x:v>
      </x:c>
      <x:c r="D21" s="14" t="str">
        <x:v>Okul Günü</x:v>
      </x:c>
      <x:c r="E21" s="14" t="str">
        <x:v>16:00 sonrası</x:v>
      </x:c>
      <x:c r="F21" s="14" t="str">
        <x:v>F1 - Temel Kurma</x:v>
      </x:c>
      <x:c r="G21" s="14" t="str">
        <x:v>20:15</x:v>
      </x:c>
      <x:c r="H21" s="14" t="str">
        <x:v>20:50</x:v>
      </x:c>
      <x:c r="I21" s="14" t="str">
        <x:v>Din</x:v>
      </x:c>
      <x:c r="J21" s="14" t="str">
        <x:v>Konu / Tekrar</x:v>
      </x:c>
      <x:c r="K21" s="14" t="str">
        <x:v>Kader ve Kaza İnancı</x:v>
      </x:c>
      <x:c r="L21" s="14" t="str">
        <x:v>Kader ve Kaza İnancı — genel oynatma listesinden ilgili konu/soru çalışmasını yap.</x:v>
      </x:c>
      <x:c r="M21" s="14" t="str">
        <x:v>Din Genel Oynatma Listesi</x:v>
      </x:c>
      <x:c r="N21" s="14" t="str">
        <x:v>https://www.youtube.com/watch?v=wvdOE_75VnA&amp;list=PLbRoPq-Zu-SWXGUbVt4t4UWo-4VjsMUo-&amp;index=2</x:v>
      </x:c>
      <x:c r="O21" s="14" t="n">
        <x:v>0</x:v>
      </x:c>
      <x:c r="P21" s="14" t="str">
        <x:v>Hayır</x:v>
      </x:c>
      <x:c r="Q21" s="14" t="str">
        <x:v>Evet</x:v>
      </x:c>
      <x:c r="R21" s="14" t="str">
        <x:v>Planlandı</x:v>
      </x:c>
      <x:c r="S21" s="15" t="str"/>
      <x:c r="T21" s="14" t="str"/>
    </x:row>
    <x:row r="22">
      <x:c r="A22" s="14" t="n">
        <x:v>21</x:v>
      </x:c>
      <x:c r="B22" s="15" t="n">
        <x:v>46297</x:v>
      </x:c>
      <x:c r="C22" s="14" t="str">
        <x:v>Cuma</x:v>
      </x:c>
      <x:c r="D22" s="14" t="str">
        <x:v>Okul Günü</x:v>
      </x:c>
      <x:c r="E22" s="14" t="str">
        <x:v>16:00 sonrası</x:v>
      </x:c>
      <x:c r="F22" s="14" t="str">
        <x:v>F1 - Temel Kurma</x:v>
      </x:c>
      <x:c r="G22" s="14" t="str">
        <x:v>20:55</x:v>
      </x:c>
      <x:c r="H22" s="14" t="str">
        <x:v>21:20</x:v>
      </x:c>
      <x:c r="I22" s="14" t="str">
        <x:v>Din</x:v>
      </x:c>
      <x:c r="J22" s="14" t="str">
        <x:v>Kitap / MEB / Mastery</x:v>
      </x:c>
      <x:c r="K22" s="14" t="str">
        <x:v>Kader ve Kaza İnancı</x:v>
      </x:c>
      <x:c r="L22" s="14" t="str">
        <x:v>Kader ve Kaza İnancı ile ilgili soru kitabından en az 15 soru / bugünkü test payını çöz.</x:v>
      </x:c>
      <x:c r="M22" s="14" t="str">
        <x:v>Hız 8. Sınıf Din Kültürü ve Ahlak Bilgisi</x:v>
      </x:c>
      <x:c r="N22" s="14" t="str">
        <x:v>https://www.youtube.com/watch?v=wvdOE_75VnA&amp;list=PLbRoPq-Zu-SWXGUbVt4t4UWo-4VjsMUo-&amp;index=2</x:v>
      </x:c>
      <x:c r="O22" s="14" t="n">
        <x:v>15</x:v>
      </x:c>
      <x:c r="P22" s="14" t="str">
        <x:v>Hayır</x:v>
      </x:c>
      <x:c r="Q22" s="14" t="str">
        <x:v>Evet</x:v>
      </x:c>
      <x:c r="R22" s="14" t="str">
        <x:v>Planlandı</x:v>
      </x:c>
      <x:c r="S22" s="15" t="str"/>
      <x:c r="T22" s="14" t="str"/>
    </x:row>
    <x:row r="23">
      <x:c r="A23" s="14" t="n">
        <x:v>22</x:v>
      </x:c>
      <x:c r="B23" s="15" t="n">
        <x:v>46297</x:v>
      </x:c>
      <x:c r="C23" s="14" t="str">
        <x:v>Cuma</x:v>
      </x:c>
      <x:c r="D23" s="14" t="str">
        <x:v>Okul Günü</x:v>
      </x:c>
      <x:c r="E23" s="14" t="str">
        <x:v>16:00 sonrası</x:v>
      </x:c>
      <x:c r="F23" s="14" t="str">
        <x:v>F1 - Temel Kurma</x:v>
      </x:c>
      <x:c r="G23" s="14" t="str">
        <x:v>21:20</x:v>
      </x:c>
      <x:c r="H23" s="14" t="str">
        <x:v>21:35</x:v>
      </x:c>
      <x:c r="I23" s="14" t="str">
        <x:v>Genel</x:v>
      </x:c>
      <x:c r="J23" s="14" t="str">
        <x:v>Yanlış / Boş Analizi</x:v>
      </x:c>
      <x:c r="K23" s="14" t="str">
        <x:v>Günlük</x:v>
      </x:c>
      <x:c r="L23" s="14" t="str">
        <x:v>Bugünkü yanlış/boşları kaydet; çözümünü öğrenmeden kapatma. Hata türünü sınıflandır.</x:v>
      </x:c>
      <x:c r="M23" s="14" t="str">
        <x:v>Yanlış Defteri</x:v>
      </x:c>
      <x:c r="N23" s="14" t="str"/>
      <x:c r="O23" s="14" t="n">
        <x:v>0</x:v>
      </x:c>
      <x:c r="P23" s="14" t="str">
        <x:v>Hayır</x:v>
      </x:c>
      <x:c r="Q23" s="14" t="str">
        <x:v>Evet</x:v>
      </x:c>
      <x:c r="R23" s="14" t="str">
        <x:v>Planlandı</x:v>
      </x:c>
      <x:c r="S23" s="15" t="str"/>
      <x:c r="T23" s="14" t="str"/>
    </x:row>
    <x:row r="24">
      <x:c r="A24" s="14" t="n">
        <x:v>23</x:v>
      </x:c>
      <x:c r="B24" s="15" t="n">
        <x:v>46297</x:v>
      </x:c>
      <x:c r="C24" s="14" t="str">
        <x:v>Cuma</x:v>
      </x:c>
      <x:c r="D24" s="14" t="str">
        <x:v>Okul Günü</x:v>
      </x:c>
      <x:c r="E24" s="14" t="str">
        <x:v>16:00 sonrası</x:v>
      </x:c>
      <x:c r="F24" s="14" t="str">
        <x:v>F1 - Temel Kurma</x:v>
      </x:c>
      <x:c r="G24" s="14" t="str">
        <x:v>21:35</x:v>
      </x:c>
      <x:c r="H24" s="14" t="str">
        <x:v>21:50</x:v>
      </x:c>
      <x:c r="I24" s="14" t="str">
        <x:v>Genel</x:v>
      </x:c>
      <x:c r="J24" s="14" t="str">
        <x:v>Aralıklı Hata Tekrarı</x:v>
      </x:c>
      <x:c r="K24" s="14" t="str">
        <x:v>+1 / +7 / +21</x:v>
      </x:c>
      <x:c r="L24" s="14" t="str">
        <x:v>Bugün vadesi gelen yanlış soruları tekrar çöz. Vadesi yoksa bu süre serbest/okuma olabilir.</x:v>
      </x:c>
      <x:c r="M24" s="14" t="str">
        <x:v>Yanlış Defteri</x:v>
      </x:c>
      <x:c r="N24" s="14" t="str"/>
      <x:c r="O24" s="14" t="n">
        <x:v>0</x:v>
      </x:c>
      <x:c r="P24" s="14" t="str">
        <x:v>Hayır</x:v>
      </x:c>
      <x:c r="Q24" s="14" t="str">
        <x:v>Koşullu</x:v>
      </x:c>
      <x:c r="R24" s="14" t="str">
        <x:v>Planlandı</x:v>
      </x:c>
      <x:c r="S24" s="15" t="str"/>
      <x:c r="T24" s="14" t="str">
        <x:v>Yanlışlar +1, +7 ve +21 gün aralıklarıyla tekrar edilir; hâlâ yanlışsa konu mastery durumu düşürülür.</x:v>
      </x:c>
    </x:row>
    <x:row r="25">
      <x:c r="A25" s="14" t="n">
        <x:v>24</x:v>
      </x:c>
      <x:c r="B25" s="15" t="n">
        <x:v>46297</x:v>
      </x:c>
      <x:c r="C25" s="14" t="str">
        <x:v>Cuma</x:v>
      </x:c>
      <x:c r="D25" s="14" t="str">
        <x:v>Okul Günü</x:v>
      </x:c>
      <x:c r="E25" s="14" t="str">
        <x:v>16:00 sonrası</x:v>
      </x:c>
      <x:c r="F25" s="14" t="str">
        <x:v>F1 - Temel Kurma</x:v>
      </x:c>
      <x:c r="G25" s="14" t="str">
        <x:v>21:50</x:v>
      </x:c>
      <x:c r="H25" s="14" t="str">
        <x:v>22:00</x:v>
      </x:c>
      <x:c r="I25" s="14" t="str">
        <x:v>Genel</x:v>
      </x:c>
      <x:c r="J25" s="14" t="str">
        <x:v>Uyku Hazırlığı</x:v>
      </x:c>
      <x:c r="K25" s="14" t="str"/>
      <x:c r="L25" s="14" t="str">
        <x:v>22:00'de yatakta ve uyku.</x:v>
      </x:c>
      <x:c r="M25" s="14" t="str"/>
      <x:c r="N25" s="14" t="str"/>
      <x:c r="O25" s="14" t="n">
        <x:v>0</x:v>
      </x:c>
      <x:c r="P25" s="14" t="str">
        <x:v>Hayır</x:v>
      </x:c>
      <x:c r="Q25" s="14" t="str">
        <x:v>Hayır</x:v>
      </x:c>
      <x:c r="R25" s="14" t="str">
        <x:v>Planlandı</x:v>
      </x:c>
      <x:c r="S25" s="15" t="str"/>
      <x:c r="T25" s="14" t="str"/>
    </x:row>
    <x:row r="26">
      <x:c r="A26" s="14" t="n">
        <x:v>25</x:v>
      </x:c>
      <x:c r="B26" s="15" t="n">
        <x:v>46298</x:v>
      </x:c>
      <x:c r="C26" s="14" t="str">
        <x:v>Cumartesi</x:v>
      </x:c>
      <x:c r="D26" s="14" t="str">
        <x:v>Hafta Sonu</x:v>
      </x:c>
      <x:c r="E26" s="14" t="str">
        <x:v>Tam gün</x:v>
      </x:c>
      <x:c r="F26" s="14" t="str">
        <x:v>F1 - Temel Kurma</x:v>
      </x:c>
      <x:c r="G26" s="14" t="str">
        <x:v>09:30</x:v>
      </x:c>
      <x:c r="H26" s="14" t="str">
        <x:v>10:15</x:v>
      </x:c>
      <x:c r="I26" s="14" t="str">
        <x:v>Matematik</x:v>
      </x:c>
      <x:c r="J26" s="14" t="str">
        <x:v>Konu / Tekrar</x:v>
      </x:c>
      <x:c r="K26" s="14" t="str">
        <x:v>Doğal Sayılar</x:v>
      </x:c>
      <x:c r="L26" s="14" t="str">
        <x:v>Doğal Sayılar — genel oynatma listesinden ilgili videoyu izle (1/1).</x:v>
      </x:c>
      <x:c r="M26" s="14" t="str">
        <x:v>Matematik Ana Oynatma Listesi</x:v>
      </x:c>
      <x:c r="N26" s="14" t="str">
        <x:v>https://www.youtube.com/watch?v=EuJ89QzqrAg&amp;list=PLicNtF7vp6fnfDqrRLH6H7fIbzYT4ct4F&amp;index=11</x:v>
      </x:c>
      <x:c r="O26" s="14" t="n">
        <x:v>0</x:v>
      </x:c>
      <x:c r="P26" s="14" t="str">
        <x:v>Hayır</x:v>
      </x:c>
      <x:c r="Q26" s="14" t="str">
        <x:v>Evet</x:v>
      </x:c>
      <x:c r="R26" s="14" t="str">
        <x:v>Planlandı</x:v>
      </x:c>
      <x:c r="S26" s="15" t="str"/>
      <x:c r="T26" s="14" t="str">
        <x:v>Yeni konu ancak plan sırasıyla açılır; LGS dışı ileri TYT içeriği zorunlu değildir.</x:v>
      </x:c>
    </x:row>
    <x:row r="27">
      <x:c r="A27" s="14" t="n">
        <x:v>26</x:v>
      </x:c>
      <x:c r="B27" s="15" t="n">
        <x:v>46298</x:v>
      </x:c>
      <x:c r="C27" s="14" t="str">
        <x:v>Cumartesi</x:v>
      </x:c>
      <x:c r="D27" s="14" t="str">
        <x:v>Hafta Sonu</x:v>
      </x:c>
      <x:c r="E27" s="14" t="str">
        <x:v>Tam gün</x:v>
      </x:c>
      <x:c r="F27" s="14" t="str">
        <x:v>F1 - Temel Kurma</x:v>
      </x:c>
      <x:c r="G27" s="14" t="str">
        <x:v>10:25</x:v>
      </x:c>
      <x:c r="H27" s="14" t="str">
        <x:v>11:15</x:v>
      </x:c>
      <x:c r="I27" s="14" t="str">
        <x:v>Matematik</x:v>
      </x:c>
      <x:c r="J27" s="14" t="str">
        <x:v>Kitap / MEB / Mastery</x:v>
      </x:c>
      <x:c r="K27" s="14" t="str">
        <x:v>Doğal Sayılar</x:v>
      </x:c>
      <x:c r="L27" s="14" t="str">
        <x:v>Doğal Sayılar ile ilgili soru kitabından en az 20 soru / bugünkü test payını çöz. İlgili kitap konu bölümünü bu oturumda bitirmeyi hedefle; sonraki oturum MEB doğrulaması.</x:v>
      </x:c>
      <x:c r="M27" s="14" t="str">
        <x:v>MUBA 8. Sınıf Başlangıç Matematik (ISBN 9789756526972) (eşleşen bölüm) + MEB temel destek</x:v>
      </x:c>
      <x:c r="N27" s="14" t="str">
        <x:v>https://odsgm.meb.gov.tr/www/5-6-7-ve-9-sinif-duzeylerinde-calisma-sorulari-yayimlandi/icerik/775</x:v>
      </x:c>
      <x:c r="O27" s="14" t="n">
        <x:v>20</x:v>
      </x:c>
      <x:c r="P27" s="14" t="str">
        <x:v>İlk 20 soru</x:v>
      </x:c>
      <x:c r="Q27" s="14" t="str">
        <x:v>Evet</x:v>
      </x:c>
      <x:c r="R27" s="14" t="str">
        <x:v>Planlandı</x:v>
      </x:c>
      <x:c r="S27" s="15" t="str"/>
      <x:c r="T27" s="14" t="str">
        <x:v>Ayrı/rastgele matematik benchmark yoktur. Süreli ilk 20 soru o gün çalışılan konunun içindedir.</x:v>
      </x:c>
    </x:row>
    <x:row r="28">
      <x:c r="A28" s="14" t="n">
        <x:v>27</x:v>
      </x:c>
      <x:c r="B28" s="15" t="n">
        <x:v>46298</x:v>
      </x:c>
      <x:c r="C28" s="14" t="str">
        <x:v>Cumartesi</x:v>
      </x:c>
      <x:c r="D28" s="14" t="str">
        <x:v>Hafta Sonu</x:v>
      </x:c>
      <x:c r="E28" s="14" t="str">
        <x:v>Tam gün</x:v>
      </x:c>
      <x:c r="F28" s="14" t="str">
        <x:v>F1 - Temel Kurma</x:v>
      </x:c>
      <x:c r="G28" s="14" t="str">
        <x:v>12:00</x:v>
      </x:c>
      <x:c r="H28" s="14" t="str">
        <x:v>14:00</x:v>
      </x:c>
      <x:c r="I28" s="14" t="str">
        <x:v>Genel</x:v>
      </x:c>
      <x:c r="J28" s="14" t="str">
        <x:v>Yemek / Serbest Zaman</x:v>
      </x:c>
      <x:c r="K28" s="14" t="str"/>
      <x:c r="L28" s="14" t="str">
        <x:v>Yemek, hareket ve dinlenme.</x:v>
      </x:c>
      <x:c r="M28" s="14" t="str"/>
      <x:c r="N28" s="14" t="str"/>
      <x:c r="O28" s="14" t="n">
        <x:v>0</x:v>
      </x:c>
      <x:c r="P28" s="14" t="str">
        <x:v>Hayır</x:v>
      </x:c>
      <x:c r="Q28" s="14" t="str">
        <x:v>Hayır</x:v>
      </x:c>
      <x:c r="R28" s="14" t="str">
        <x:v>Planlandı</x:v>
      </x:c>
      <x:c r="S28" s="15" t="str"/>
      <x:c r="T28" s="14" t="str"/>
    </x:row>
    <x:row r="29">
      <x:c r="A29" s="14" t="n">
        <x:v>28</x:v>
      </x:c>
      <x:c r="B29" s="15" t="n">
        <x:v>46298</x:v>
      </x:c>
      <x:c r="C29" s="14" t="str">
        <x:v>Cumartesi</x:v>
      </x:c>
      <x:c r="D29" s="14" t="str">
        <x:v>Hafta Sonu</x:v>
      </x:c>
      <x:c r="E29" s="14" t="str">
        <x:v>Tam gün</x:v>
      </x:c>
      <x:c r="F29" s="14" t="str">
        <x:v>F1 - Temel Kurma</x:v>
      </x:c>
      <x:c r="G29" s="14" t="str">
        <x:v>11:25</x:v>
      </x:c>
      <x:c r="H29" s="14" t="str">
        <x:v>11:55</x:v>
      </x:c>
      <x:c r="I29" s="14" t="str">
        <x:v>Türkçe</x:v>
      </x:c>
      <x:c r="J29" s="14" t="str">
        <x:v>Paragraf Rutini</x:v>
      </x:c>
      <x:c r="K29" s="14" t="str">
        <x:v>Paragraf</x:v>
      </x:c>
      <x:c r="L29" s="14" t="str">
        <x:v>En az 20 paragraf sorusu çöz; ilk 20 soruyu ileri sayımla ölç, D/Y/B + süre kaydet.</x:v>
      </x:c>
      <x:c r="M29" s="14" t="str">
        <x:v>Hız 8. Sınıf Türkçe Paragraf (ISBN 9786258394498)</x:v>
      </x:c>
      <x:c r="N29" s="14" t="str"/>
      <x:c r="O29" s="14" t="n">
        <x:v>20</x:v>
      </x:c>
      <x:c r="P29" s="14" t="str">
        <x:v>İlk 20 soru</x:v>
      </x:c>
      <x:c r="Q29" s="14" t="str">
        <x:v>Evet</x:v>
      </x:c>
      <x:c r="R29" s="14" t="str">
        <x:v>Planlandı</x:v>
      </x:c>
      <x:c r="S29" s="15" t="str"/>
      <x:c r="T29" s="14" t="str">
        <x:v>Geri sayım ve hedef süre yok.</x:v>
      </x:c>
    </x:row>
    <x:row r="30">
      <x:c r="A30" s="14" t="n">
        <x:v>29</x:v>
      </x:c>
      <x:c r="B30" s="15" t="n">
        <x:v>46298</x:v>
      </x:c>
      <x:c r="C30" s="14" t="str">
        <x:v>Cumartesi</x:v>
      </x:c>
      <x:c r="D30" s="14" t="str">
        <x:v>Hafta Sonu</x:v>
      </x:c>
      <x:c r="E30" s="14" t="str">
        <x:v>Tam gün</x:v>
      </x:c>
      <x:c r="F30" s="14" t="str">
        <x:v>F1 - Temel Kurma</x:v>
      </x:c>
      <x:c r="G30" s="14" t="str">
        <x:v>14:00</x:v>
      </x:c>
      <x:c r="H30" s="14" t="str">
        <x:v>14:40</x:v>
      </x:c>
      <x:c r="I30" s="14" t="str">
        <x:v>Türkçe</x:v>
      </x:c>
      <x:c r="J30" s="14" t="str">
        <x:v>Konu / Tekrar</x:v>
      </x:c>
      <x:c r="K30" s="14" t="str">
        <x:v>Sözcükte Anlam</x:v>
      </x:c>
      <x:c r="L30" s="14" t="str">
        <x:v>Sözcükte Anlam — genel oynatma listesinden ilgili videoyu izle (3/4).</x:v>
      </x:c>
      <x:c r="M30" s="14" t="str">
        <x:v>Türkçe Ana Oynatma Listesi</x:v>
      </x:c>
      <x:c r="N30" s="14" t="str">
        <x:v>https://www.youtube.com/watch?v=VYsPntNKVdw&amp;list=PLIBjFaUoJJ91bz7QQEBlxNJNZka5YQRr6</x:v>
      </x:c>
      <x:c r="O30" s="14" t="n">
        <x:v>0</x:v>
      </x:c>
      <x:c r="P30" s="14" t="str">
        <x:v>Hayır</x:v>
      </x:c>
      <x:c r="Q30" s="14" t="str">
        <x:v>Evet</x:v>
      </x:c>
      <x:c r="R30" s="14" t="str">
        <x:v>Planlandı</x:v>
      </x:c>
      <x:c r="S30" s="15" t="str"/>
      <x:c r="T30" s="14" t="str">
        <x:v>TYT etiketli kaynak temelden başlamak için sabittir; LGS dışı gereksiz ayrıntı zorunlu değildir.</x:v>
      </x:c>
    </x:row>
    <x:row r="31">
      <x:c r="A31" s="14" t="n">
        <x:v>30</x:v>
      </x:c>
      <x:c r="B31" s="15" t="n">
        <x:v>46298</x:v>
      </x:c>
      <x:c r="C31" s="14" t="str">
        <x:v>Cumartesi</x:v>
      </x:c>
      <x:c r="D31" s="14" t="str">
        <x:v>Hafta Sonu</x:v>
      </x:c>
      <x:c r="E31" s="14" t="str">
        <x:v>Tam gün</x:v>
      </x:c>
      <x:c r="F31" s="14" t="str">
        <x:v>F1 - Temel Kurma</x:v>
      </x:c>
      <x:c r="G31" s="14" t="str">
        <x:v>14:50</x:v>
      </x:c>
      <x:c r="H31" s="14" t="str">
        <x:v>15:30</x:v>
      </x:c>
      <x:c r="I31" s="14" t="str">
        <x:v>Türkçe</x:v>
      </x:c>
      <x:c r="J31" s="14" t="str">
        <x:v>Kitap / MEB / Mastery</x:v>
      </x:c>
      <x:c r="K31" s="14" t="str">
        <x:v>Sözcükte Anlam</x:v>
      </x:c>
      <x:c r="L31" s="14" t="str">
        <x:v>Sözcükte Anlam ile ilgili soru kitabından en az 10 soru / bugünkü test payını çöz.</x:v>
      </x:c>
      <x:c r="M31" s="14" t="str">
        <x:v>Ankara 8. Sınıf Dil Bilgisi Güçlendiren</x:v>
      </x:c>
      <x:c r="N31" s="14" t="str">
        <x:v>https://odsgm.meb.gov.tr/www/8sinif-calisma-sorulari/icerik/1632</x:v>
      </x:c>
      <x:c r="O31" s="14" t="n">
        <x:v>10</x:v>
      </x:c>
      <x:c r="P31" s="14" t="str">
        <x:v>Hayır</x:v>
      </x:c>
      <x:c r="Q31" s="14" t="str">
        <x:v>Evet</x:v>
      </x:c>
      <x:c r="R31" s="14" t="str">
        <x:v>Planlandı</x:v>
      </x:c>
      <x:c r="S31" s="15" t="str"/>
      <x:c r="T31" s="14" t="str"/>
    </x:row>
    <x:row r="32">
      <x:c r="A32" s="14" t="n">
        <x:v>31</x:v>
      </x:c>
      <x:c r="B32" s="15" t="n">
        <x:v>46298</x:v>
      </x:c>
      <x:c r="C32" s="14" t="str">
        <x:v>Cumartesi</x:v>
      </x:c>
      <x:c r="D32" s="14" t="str">
        <x:v>Hafta Sonu</x:v>
      </x:c>
      <x:c r="E32" s="14" t="str">
        <x:v>Tam gün</x:v>
      </x:c>
      <x:c r="F32" s="14" t="str">
        <x:v>F1 - Temel Kurma</x:v>
      </x:c>
      <x:c r="G32" s="14" t="str">
        <x:v>15:45</x:v>
      </x:c>
      <x:c r="H32" s="14" t="str">
        <x:v>16:25</x:v>
      </x:c>
      <x:c r="I32" s="14" t="str">
        <x:v>İnkılap</x:v>
      </x:c>
      <x:c r="J32" s="14" t="str">
        <x:v>Konu / Tekrar</x:v>
      </x:c>
      <x:c r="K32" s="14" t="str">
        <x:v>Bir Kahraman Doğuyor - Avrupa ve Osmanlı’nın Durumu</x:v>
      </x:c>
      <x:c r="L32" s="14" t="str">
        <x:v>Bir Kahraman Doğuyor - Avrupa ve Osmanlı’nın Durumu — genel oynatma listesinden ilgili konu/soru çalışmasını yap.</x:v>
      </x:c>
      <x:c r="M32" s="14" t="str">
        <x:v>İnkılap Genel Oynatma Listesi</x:v>
      </x:c>
      <x:c r="N32" s="14" t="str">
        <x:v>https://www.youtube.com/watch?v=MltIX0oKpYU&amp;list=PLsAsBPsriHNbXit4Ra3iuBrk1ZHZWxsOR&amp;index=78</x:v>
      </x:c>
      <x:c r="O32" s="14" t="n">
        <x:v>0</x:v>
      </x:c>
      <x:c r="P32" s="14" t="str">
        <x:v>Hayır</x:v>
      </x:c>
      <x:c r="Q32" s="14" t="str">
        <x:v>Evet</x:v>
      </x:c>
      <x:c r="R32" s="14" t="str">
        <x:v>Planlandı</x:v>
      </x:c>
      <x:c r="S32" s="15" t="str"/>
      <x:c r="T32" s="14" t="str">
        <x:v>İnkılapta okul yazılısı videoları zorunlu değildir.</x:v>
      </x:c>
    </x:row>
    <x:row r="33">
      <x:c r="A33" s="14" t="n">
        <x:v>32</x:v>
      </x:c>
      <x:c r="B33" s="15" t="n">
        <x:v>46298</x:v>
      </x:c>
      <x:c r="C33" s="14" t="str">
        <x:v>Cumartesi</x:v>
      </x:c>
      <x:c r="D33" s="14" t="str">
        <x:v>Hafta Sonu</x:v>
      </x:c>
      <x:c r="E33" s="14" t="str">
        <x:v>Tam gün</x:v>
      </x:c>
      <x:c r="F33" s="14" t="str">
        <x:v>F1 - Temel Kurma</x:v>
      </x:c>
      <x:c r="G33" s="14" t="str">
        <x:v>16:35</x:v>
      </x:c>
      <x:c r="H33" s="14" t="str">
        <x:v>17:15</x:v>
      </x:c>
      <x:c r="I33" s="14" t="str">
        <x:v>İnkılap</x:v>
      </x:c>
      <x:c r="J33" s="14" t="str">
        <x:v>Kitap / MEB / Mastery</x:v>
      </x:c>
      <x:c r="K33" s="14" t="str">
        <x:v>Bir Kahraman Doğuyor - Avrupa ve Osmanlı’nın Durumu</x:v>
      </x:c>
      <x:c r="L33" s="14" t="str">
        <x:v>Bir Kahraman Doğuyor - Avrupa ve Osmanlı’nın Durumu ile ilgili soru kitabından en az 15 soru / bugünkü test payını çöz.</x:v>
      </x:c>
      <x:c r="M33" s="14" t="str">
        <x:v>Hız 8. Sınıf T.C. İnkılap Tarihi ve Atatürkçülük</x:v>
      </x:c>
      <x:c r="N33" s="14" t="str">
        <x:v>https://www.youtube.com/watch?v=MltIX0oKpYU&amp;list=PLsAsBPsriHNbXit4Ra3iuBrk1ZHZWxsOR&amp;index=78</x:v>
      </x:c>
      <x:c r="O33" s="14" t="n">
        <x:v>15</x:v>
      </x:c>
      <x:c r="P33" s="14" t="str">
        <x:v>Hayır</x:v>
      </x:c>
      <x:c r="Q33" s="14" t="str">
        <x:v>Evet</x:v>
      </x:c>
      <x:c r="R33" s="14" t="str">
        <x:v>Planlandı</x:v>
      </x:c>
      <x:c r="S33" s="15" t="str"/>
      <x:c r="T33" s="14" t="str"/>
    </x:row>
    <x:row r="34">
      <x:c r="A34" s="14" t="n">
        <x:v>33</x:v>
      </x:c>
      <x:c r="B34" s="15" t="n">
        <x:v>46298</x:v>
      </x:c>
      <x:c r="C34" s="14" t="str">
        <x:v>Cumartesi</x:v>
      </x:c>
      <x:c r="D34" s="14" t="str">
        <x:v>Hafta Sonu</x:v>
      </x:c>
      <x:c r="E34" s="14" t="str">
        <x:v>Tam gün</x:v>
      </x:c>
      <x:c r="F34" s="14" t="str">
        <x:v>F1 - Temel Kurma</x:v>
      </x:c>
      <x:c r="G34" s="14" t="str">
        <x:v>17:25</x:v>
      </x:c>
      <x:c r="H34" s="14" t="str">
        <x:v>17:55</x:v>
      </x:c>
      <x:c r="I34" s="14" t="str">
        <x:v>Fen</x:v>
      </x:c>
      <x:c r="J34" s="14" t="str">
        <x:v>Ek Fen Pekiştirme</x:v>
      </x:c>
      <x:c r="K34" s="14" t="str">
        <x:v>Mevsimlerin Oluşumu</x:v>
      </x:c>
      <x:c r="L34" s="14" t="str">
        <x:v>Mevsimlerin Oluşumu — Fen soru çözüm playlistinden ilgili videoyu izle.</x:v>
      </x:c>
      <x:c r="M34" s="14" t="str">
        <x:v>Fen Konu/Soru Oynatma Listesi</x:v>
      </x:c>
      <x:c r="N34" s="14" t="str">
        <x:v>https://www.youtube.com/watch?v=pQXhWnDZ3vM&amp;list=PLrQm7mt99FRXcBnorCttd31HJEvg0En26&amp;index=23</x:v>
      </x:c>
      <x:c r="O34" s="14" t="n">
        <x:v>0</x:v>
      </x:c>
      <x:c r="P34" s="14" t="str">
        <x:v>Hayır</x:v>
      </x:c>
      <x:c r="Q34" s="14" t="str">
        <x:v>Evet</x:v>
      </x:c>
      <x:c r="R34" s="14" t="str">
        <x:v>Planlandı</x:v>
      </x:c>
      <x:c r="S34" s="15" t="str"/>
      <x:c r="T34" s="14" t="str">
        <x:v>Fen haftalık temas sıklığını artırmak için ek Cumartesi oturumu.</x:v>
      </x:c>
    </x:row>
    <x:row r="35">
      <x:c r="A35" s="14" t="n">
        <x:v>34</x:v>
      </x:c>
      <x:c r="B35" s="15" t="n">
        <x:v>46298</x:v>
      </x:c>
      <x:c r="C35" s="14" t="str">
        <x:v>Cumartesi</x:v>
      </x:c>
      <x:c r="D35" s="14" t="str">
        <x:v>Hafta Sonu</x:v>
      </x:c>
      <x:c r="E35" s="14" t="str">
        <x:v>Tam gün</x:v>
      </x:c>
      <x:c r="F35" s="14" t="str">
        <x:v>F1 - Temel Kurma</x:v>
      </x:c>
      <x:c r="G35" s="14" t="str">
        <x:v>17:55</x:v>
      </x:c>
      <x:c r="H35" s="14" t="str">
        <x:v>18:25</x:v>
      </x:c>
      <x:c r="I35" s="14" t="str">
        <x:v>Fen</x:v>
      </x:c>
      <x:c r="J35" s="14" t="str">
        <x:v>Ek Fen Kitap / MEB</x:v>
      </x:c>
      <x:c r="K35" s="14" t="str">
        <x:v>Mevsimlerin Oluşumu</x:v>
      </x:c>
      <x:c r="L35" s="14" t="str">
        <x:v>Mevsimlerin Oluşumu ile ilgili soru kitabından en az 15 soru / bugünkü test payını çöz.</x:v>
      </x:c>
      <x:c r="M35" s="14" t="str">
        <x:v>Hız 8. Sınıf Fen (ISBN 9786257514859); tamamlandıysa Mozaik 8. Sınıf Fen</x:v>
      </x:c>
      <x:c r="N35" s="14" t="str">
        <x:v>https://www.youtube.com/watch?v=pQXhWnDZ3vM&amp;list=PLrQm7mt99FRXcBnorCttd31HJEvg0En26&amp;index=23</x:v>
      </x:c>
      <x:c r="O35" s="14" t="n">
        <x:v>15</x:v>
      </x:c>
      <x:c r="P35" s="14" t="str">
        <x:v>Hayır</x:v>
      </x:c>
      <x:c r="Q35" s="14" t="str">
        <x:v>Evet</x:v>
      </x:c>
      <x:c r="R35" s="14" t="str">
        <x:v>Planlandı</x:v>
      </x:c>
      <x:c r="S35" s="15" t="str"/>
      <x:c r="T35" s="14" t="str">
        <x:v>Fen için Hız → gerekiyorsa Mozaik; MEB doğrulaması konu bitiminde.</x:v>
      </x:c>
    </x:row>
    <x:row r="36">
      <x:c r="A36" s="14" t="n">
        <x:v>35</x:v>
      </x:c>
      <x:c r="B36" s="15" t="n">
        <x:v>46298</x:v>
      </x:c>
      <x:c r="C36" s="14" t="str">
        <x:v>Cumartesi</x:v>
      </x:c>
      <x:c r="D36" s="14" t="str">
        <x:v>Hafta Sonu</x:v>
      </x:c>
      <x:c r="E36" s="14" t="str">
        <x:v>Tam gün</x:v>
      </x:c>
      <x:c r="F36" s="14" t="str">
        <x:v>F1 - Temel Kurma</x:v>
      </x:c>
      <x:c r="G36" s="14" t="str">
        <x:v>18:25</x:v>
      </x:c>
      <x:c r="H36" s="14" t="str">
        <x:v>18:45</x:v>
      </x:c>
      <x:c r="I36" s="14" t="str">
        <x:v>Genel</x:v>
      </x:c>
      <x:c r="J36" s="14" t="str">
        <x:v>Yanlış / Boş Analizi</x:v>
      </x:c>
      <x:c r="K36" s="14" t="str">
        <x:v>Günlük</x:v>
      </x:c>
      <x:c r="L36" s="14" t="str">
        <x:v>Bugünkü yanlış/boşları kaydet; çözümünü öğrenmeden kapatma. Hata türünü sınıflandır.</x:v>
      </x:c>
      <x:c r="M36" s="14" t="str">
        <x:v>Yanlış Defteri</x:v>
      </x:c>
      <x:c r="N36" s="14" t="str"/>
      <x:c r="O36" s="14" t="n">
        <x:v>0</x:v>
      </x:c>
      <x:c r="P36" s="14" t="str">
        <x:v>Hayır</x:v>
      </x:c>
      <x:c r="Q36" s="14" t="str">
        <x:v>Evet</x:v>
      </x:c>
      <x:c r="R36" s="14" t="str">
        <x:v>Planlandı</x:v>
      </x:c>
      <x:c r="S36" s="15" t="str"/>
      <x:c r="T36" s="14" t="str"/>
    </x:row>
    <x:row r="37">
      <x:c r="A37" s="14" t="n">
        <x:v>36</x:v>
      </x:c>
      <x:c r="B37" s="15" t="n">
        <x:v>46298</x:v>
      </x:c>
      <x:c r="C37" s="14" t="str">
        <x:v>Cumartesi</x:v>
      </x:c>
      <x:c r="D37" s="14" t="str">
        <x:v>Hafta Sonu</x:v>
      </x:c>
      <x:c r="E37" s="14" t="str">
        <x:v>Tam gün</x:v>
      </x:c>
      <x:c r="F37" s="14" t="str">
        <x:v>F1 - Temel Kurma</x:v>
      </x:c>
      <x:c r="G37" s="14" t="str">
        <x:v>18:45</x:v>
      </x:c>
      <x:c r="H37" s="14" t="str">
        <x:v>19:05</x:v>
      </x:c>
      <x:c r="I37" s="14" t="str">
        <x:v>Genel</x:v>
      </x:c>
      <x:c r="J37" s="14" t="str">
        <x:v>Aralıklı Hata Tekrarı</x:v>
      </x:c>
      <x:c r="K37" s="14" t="str">
        <x:v>+1 / +7 / +21</x:v>
      </x:c>
      <x:c r="L37" s="14" t="str">
        <x:v>Bugün vadesi gelen yanlış soruları tekrar çöz. Vadesi yoksa bu süre serbest/okuma olabilir.</x:v>
      </x:c>
      <x:c r="M37" s="14" t="str">
        <x:v>Yanlış Defteri</x:v>
      </x:c>
      <x:c r="N37" s="14" t="str"/>
      <x:c r="O37" s="14" t="n">
        <x:v>0</x:v>
      </x:c>
      <x:c r="P37" s="14" t="str">
        <x:v>Hayır</x:v>
      </x:c>
      <x:c r="Q37" s="14" t="str">
        <x:v>Koşullu</x:v>
      </x:c>
      <x:c r="R37" s="14" t="str">
        <x:v>Planlandı</x:v>
      </x:c>
      <x:c r="S37" s="15" t="str"/>
      <x:c r="T37" s="14" t="str">
        <x:v>Yanlışlar +1, +7 ve +21 gün aralıklarıyla tekrar edilir; hâlâ yanlışsa konu mastery durumu düşürülür.</x:v>
      </x:c>
    </x:row>
    <x:row r="38">
      <x:c r="A38" s="14" t="n">
        <x:v>37</x:v>
      </x:c>
      <x:c r="B38" s="15" t="n">
        <x:v>46298</x:v>
      </x:c>
      <x:c r="C38" s="14" t="str">
        <x:v>Cumartesi</x:v>
      </x:c>
      <x:c r="D38" s="14" t="str">
        <x:v>Hafta Sonu</x:v>
      </x:c>
      <x:c r="E38" s="14" t="str">
        <x:v>Tam gün</x:v>
      </x:c>
      <x:c r="F38" s="14" t="str">
        <x:v>F1 - Temel Kurma</x:v>
      </x:c>
      <x:c r="G38" s="14" t="str">
        <x:v>20:00</x:v>
      </x:c>
      <x:c r="H38" s="14" t="str">
        <x:v>20:30</x:v>
      </x:c>
      <x:c r="I38" s="14" t="str">
        <x:v>Okuma</x:v>
      </x:c>
      <x:c r="J38" s="14" t="str">
        <x:v>İsteğe Bağlı</x:v>
      </x:c>
      <x:c r="K38" s="14" t="str">
        <x:v>Serbest Kitap</x:v>
      </x:c>
      <x:c r="L38" s="14" t="str">
        <x:v>Zorunlu çalışmalar bittiyse isteğe bağlı kitap oku.</x:v>
      </x:c>
      <x:c r="M38" s="14" t="str">
        <x:v>Serbest Kitap</x:v>
      </x:c>
      <x:c r="N38" s="14" t="str"/>
      <x:c r="O38" s="14" t="n">
        <x:v>0</x:v>
      </x:c>
      <x:c r="P38" s="14" t="str">
        <x:v>İsteğe Bağlı</x:v>
      </x:c>
      <x:c r="Q38" s="14" t="str">
        <x:v>Hayır</x:v>
      </x:c>
      <x:c r="R38" s="14" t="str">
        <x:v>Planlandı</x:v>
      </x:c>
      <x:c r="S38" s="15" t="str"/>
      <x:c r="T38" s="14" t="str">
        <x:v>Minimum süre yok.</x:v>
      </x:c>
    </x:row>
    <x:row r="39">
      <x:c r="A39" s="14" t="n">
        <x:v>38</x:v>
      </x:c>
      <x:c r="B39" s="15" t="n">
        <x:v>46298</x:v>
      </x:c>
      <x:c r="C39" s="14" t="str">
        <x:v>Cumartesi</x:v>
      </x:c>
      <x:c r="D39" s="14" t="str">
        <x:v>Hafta Sonu</x:v>
      </x:c>
      <x:c r="E39" s="14" t="str">
        <x:v>Tam gün</x:v>
      </x:c>
      <x:c r="F39" s="14" t="str">
        <x:v>F1 - Temel Kurma</x:v>
      </x:c>
      <x:c r="G39" s="14" t="str">
        <x:v>21:50</x:v>
      </x:c>
      <x:c r="H39" s="14" t="str">
        <x:v>22:00</x:v>
      </x:c>
      <x:c r="I39" s="14" t="str">
        <x:v>Genel</x:v>
      </x:c>
      <x:c r="J39" s="14" t="str">
        <x:v>Uyku Hazırlığı</x:v>
      </x:c>
      <x:c r="K39" s="14" t="str"/>
      <x:c r="L39" s="14" t="str">
        <x:v>22:00'de yatakta ve uyku.</x:v>
      </x:c>
      <x:c r="M39" s="14" t="str"/>
      <x:c r="N39" s="14" t="str"/>
      <x:c r="O39" s="14" t="n">
        <x:v>0</x:v>
      </x:c>
      <x:c r="P39" s="14" t="str">
        <x:v>Hayır</x:v>
      </x:c>
      <x:c r="Q39" s="14" t="str">
        <x:v>Hayır</x:v>
      </x:c>
      <x:c r="R39" s="14" t="str">
        <x:v>Planlandı</x:v>
      </x:c>
      <x:c r="S39" s="15" t="str"/>
      <x:c r="T39" s="14" t="str"/>
    </x:row>
    <x:row r="40">
      <x:c r="A40" s="14" t="n">
        <x:v>39</x:v>
      </x:c>
      <x:c r="B40" s="15" t="n">
        <x:v>46299</x:v>
      </x:c>
      <x:c r="C40" s="14" t="str">
        <x:v>Pazar</x:v>
      </x:c>
      <x:c r="D40" s="14" t="str">
        <x:v>Hafta Sonu</x:v>
      </x:c>
      <x:c r="E40" s="14" t="str">
        <x:v>Tam gün</x:v>
      </x:c>
      <x:c r="F40" s="14" t="str">
        <x:v>F1 - Temel Kurma</x:v>
      </x:c>
      <x:c r="G40" s="14" t="str">
        <x:v>09:30</x:v>
      </x:c>
      <x:c r="H40" s="14" t="str">
        <x:v>10:15</x:v>
      </x:c>
      <x:c r="I40" s="14" t="str">
        <x:v>Matematik</x:v>
      </x:c>
      <x:c r="J40" s="14" t="str">
        <x:v>Konu / Tekrar</x:v>
      </x:c>
      <x:c r="K40" s="14" t="str">
        <x:v>Doğal Sayılar</x:v>
      </x:c>
      <x:c r="L40" s="14" t="str">
        <x:v>Doğal Sayılar — MEB doğrulaması öncesi 5-10 dk aktif hatırlama; gerekiyorsa ilgili playlist videosuna kısa dönüş yap.</x:v>
      </x:c>
      <x:c r="M40" s="14" t="str">
        <x:v>Matematik Ana Oynatma Listesi</x:v>
      </x:c>
      <x:c r="N40" s="14" t="str">
        <x:v>https://www.youtube.com/watch?v=EuJ89QzqrAg&amp;list=PLicNtF7vp6fnfDqrRLH6H7fIbzYT4ct4F&amp;index=11</x:v>
      </x:c>
      <x:c r="O40" s="14" t="n">
        <x:v>0</x:v>
      </x:c>
      <x:c r="P40" s="14" t="str">
        <x:v>Hayır</x:v>
      </x:c>
      <x:c r="Q40" s="14" t="str">
        <x:v>Evet</x:v>
      </x:c>
      <x:c r="R40" s="14" t="str">
        <x:v>Planlandı</x:v>
      </x:c>
      <x:c r="S40" s="15" t="str"/>
      <x:c r="T40" s="14" t="str">
        <x:v>Yeni konu ancak plan sırasıyla açılır; LGS dışı ileri TYT içeriği zorunlu değildir.</x:v>
      </x:c>
    </x:row>
    <x:row r="41">
      <x:c r="A41" s="14" t="n">
        <x:v>40</x:v>
      </x:c>
      <x:c r="B41" s="15" t="n">
        <x:v>46299</x:v>
      </x:c>
      <x:c r="C41" s="14" t="str">
        <x:v>Pazar</x:v>
      </x:c>
      <x:c r="D41" s="14" t="str">
        <x:v>Hafta Sonu</x:v>
      </x:c>
      <x:c r="E41" s="14" t="str">
        <x:v>Tam gün</x:v>
      </x:c>
      <x:c r="F41" s="14" t="str">
        <x:v>F1 - Temel Kurma</x:v>
      </x:c>
      <x:c r="G41" s="14" t="str">
        <x:v>10:25</x:v>
      </x:c>
      <x:c r="H41" s="14" t="str">
        <x:v>11:15</x:v>
      </x:c>
      <x:c r="I41" s="14" t="str">
        <x:v>Matematik</x:v>
      </x:c>
      <x:c r="J41" s="14" t="str">
        <x:v>Kitap / MEB / Mastery</x:v>
      </x:c>
      <x:c r="K41" s="14" t="str">
        <x:v>Doğal Sayılar</x:v>
      </x:c>
      <x:c r="L41" s="14" t="str">
        <x:v>Doğal Sayılar için ilgili MEB sorularını TAMAMLA; D/Y/B kaydet. Bu oturum konu mastery gate'idir.</x:v>
      </x:c>
      <x:c r="M41" s="14" t="str">
        <x:v>MEB Resmî Soru Seti</x:v>
      </x:c>
      <x:c r="N41" s="14" t="str">
        <x:v>https://odsgm.meb.gov.tr/www/5-6-7-ve-9-sinif-duzeylerinde-calisma-sorulari-yayimlandi/icerik/775</x:v>
      </x:c>
      <x:c r="O41" s="14" t="n">
        <x:v>0</x:v>
      </x:c>
      <x:c r="P41" s="14" t="str">
        <x:v>Hayır</x:v>
      </x:c>
      <x:c r="Q41" s="14" t="str">
        <x:v>Evet</x:v>
      </x:c>
      <x:c r="R41" s="14" t="str">
        <x:v>Planlandı</x:v>
      </x:c>
      <x:c r="S41" s="15" t="str"/>
      <x:c r="T41" s="14" t="str">
        <x:v>MEB sonucu Konu_Ustaligi sayfasına işlenir.</x:v>
      </x:c>
    </x:row>
    <x:row r="42">
      <x:c r="A42" s="14" t="n">
        <x:v>41</x:v>
      </x:c>
      <x:c r="B42" s="15" t="n">
        <x:v>46299</x:v>
      </x:c>
      <x:c r="C42" s="14" t="str">
        <x:v>Pazar</x:v>
      </x:c>
      <x:c r="D42" s="14" t="str">
        <x:v>Hafta Sonu</x:v>
      </x:c>
      <x:c r="E42" s="14" t="str">
        <x:v>Tam gün</x:v>
      </x:c>
      <x:c r="F42" s="14" t="str">
        <x:v>F1 - Temel Kurma</x:v>
      </x:c>
      <x:c r="G42" s="14" t="str">
        <x:v>12:00</x:v>
      </x:c>
      <x:c r="H42" s="14" t="str">
        <x:v>14:00</x:v>
      </x:c>
      <x:c r="I42" s="14" t="str">
        <x:v>Genel</x:v>
      </x:c>
      <x:c r="J42" s="14" t="str">
        <x:v>Yemek / Serbest Zaman</x:v>
      </x:c>
      <x:c r="K42" s="14" t="str"/>
      <x:c r="L42" s="14" t="str">
        <x:v>Yemek, hareket ve dinlenme.</x:v>
      </x:c>
      <x:c r="M42" s="14" t="str"/>
      <x:c r="N42" s="14" t="str"/>
      <x:c r="O42" s="14" t="n">
        <x:v>0</x:v>
      </x:c>
      <x:c r="P42" s="14" t="str">
        <x:v>Hayır</x:v>
      </x:c>
      <x:c r="Q42" s="14" t="str">
        <x:v>Hayır</x:v>
      </x:c>
      <x:c r="R42" s="14" t="str">
        <x:v>Planlandı</x:v>
      </x:c>
      <x:c r="S42" s="15" t="str"/>
      <x:c r="T42" s="14" t="str"/>
    </x:row>
    <x:row r="43">
      <x:c r="A43" s="14" t="n">
        <x:v>42</x:v>
      </x:c>
      <x:c r="B43" s="15" t="n">
        <x:v>46299</x:v>
      </x:c>
      <x:c r="C43" s="14" t="str">
        <x:v>Pazar</x:v>
      </x:c>
      <x:c r="D43" s="14" t="str">
        <x:v>Hafta Sonu</x:v>
      </x:c>
      <x:c r="E43" s="14" t="str">
        <x:v>Tam gün</x:v>
      </x:c>
      <x:c r="F43" s="14" t="str">
        <x:v>F1 - Temel Kurma</x:v>
      </x:c>
      <x:c r="G43" s="14" t="str">
        <x:v>11:25</x:v>
      </x:c>
      <x:c r="H43" s="14" t="str">
        <x:v>11:55</x:v>
      </x:c>
      <x:c r="I43" s="14" t="str">
        <x:v>Türkçe</x:v>
      </x:c>
      <x:c r="J43" s="14" t="str">
        <x:v>Paragraf Rutini</x:v>
      </x:c>
      <x:c r="K43" s="14" t="str">
        <x:v>Paragraf</x:v>
      </x:c>
      <x:c r="L43" s="14" t="str">
        <x:v>En az 20 paragraf sorusu çöz; ilk 20 soruyu ileri sayımla ölç, D/Y/B + süre kaydet.</x:v>
      </x:c>
      <x:c r="M43" s="14" t="str">
        <x:v>Hız 8. Sınıf Türkçe Paragraf (ISBN 9786258394498)</x:v>
      </x:c>
      <x:c r="N43" s="14" t="str"/>
      <x:c r="O43" s="14" t="n">
        <x:v>20</x:v>
      </x:c>
      <x:c r="P43" s="14" t="str">
        <x:v>İlk 20 soru</x:v>
      </x:c>
      <x:c r="Q43" s="14" t="str">
        <x:v>Evet</x:v>
      </x:c>
      <x:c r="R43" s="14" t="str">
        <x:v>Planlandı</x:v>
      </x:c>
      <x:c r="S43" s="15" t="str"/>
      <x:c r="T43" s="14" t="str">
        <x:v>Geri sayım ve hedef süre yok.</x:v>
      </x:c>
    </x:row>
    <x:row r="44">
      <x:c r="A44" s="14" t="n">
        <x:v>43</x:v>
      </x:c>
      <x:c r="B44" s="15" t="n">
        <x:v>46299</x:v>
      </x:c>
      <x:c r="C44" s="14" t="str">
        <x:v>Pazar</x:v>
      </x:c>
      <x:c r="D44" s="14" t="str">
        <x:v>Hafta Sonu</x:v>
      </x:c>
      <x:c r="E44" s="14" t="str">
        <x:v>Tam gün</x:v>
      </x:c>
      <x:c r="F44" s="14" t="str">
        <x:v>F1 - Temel Kurma</x:v>
      </x:c>
      <x:c r="G44" s="14" t="str">
        <x:v>14:00</x:v>
      </x:c>
      <x:c r="H44" s="14" t="str">
        <x:v>14:40</x:v>
      </x:c>
      <x:c r="I44" s="14" t="str">
        <x:v>Türkçe</x:v>
      </x:c>
      <x:c r="J44" s="14" t="str">
        <x:v>Konu / Tekrar</x:v>
      </x:c>
      <x:c r="K44" s="14" t="str">
        <x:v>Sözcükte Anlam</x:v>
      </x:c>
      <x:c r="L44" s="14" t="str">
        <x:v>Sözcükte Anlam — genel oynatma listesinden ilgili videoyu izle (4/4).</x:v>
      </x:c>
      <x:c r="M44" s="14" t="str">
        <x:v>Türkçe Ana Oynatma Listesi</x:v>
      </x:c>
      <x:c r="N44" s="14" t="str">
        <x:v>https://www.youtube.com/watch?v=VYsPntNKVdw&amp;list=PLIBjFaUoJJ91bz7QQEBlxNJNZka5YQRr6</x:v>
      </x:c>
      <x:c r="O44" s="14" t="n">
        <x:v>0</x:v>
      </x:c>
      <x:c r="P44" s="14" t="str">
        <x:v>Hayır</x:v>
      </x:c>
      <x:c r="Q44" s="14" t="str">
        <x:v>Evet</x:v>
      </x:c>
      <x:c r="R44" s="14" t="str">
        <x:v>Planlandı</x:v>
      </x:c>
      <x:c r="S44" s="15" t="str"/>
      <x:c r="T44" s="14" t="str">
        <x:v>TYT etiketli kaynak temelden başlamak için sabittir; LGS dışı gereksiz ayrıntı zorunlu değildir.</x:v>
      </x:c>
    </x:row>
    <x:row r="45">
      <x:c r="A45" s="14" t="n">
        <x:v>44</x:v>
      </x:c>
      <x:c r="B45" s="15" t="n">
        <x:v>46299</x:v>
      </x:c>
      <x:c r="C45" s="14" t="str">
        <x:v>Pazar</x:v>
      </x:c>
      <x:c r="D45" s="14" t="str">
        <x:v>Hafta Sonu</x:v>
      </x:c>
      <x:c r="E45" s="14" t="str">
        <x:v>Tam gün</x:v>
      </x:c>
      <x:c r="F45" s="14" t="str">
        <x:v>F1 - Temel Kurma</x:v>
      </x:c>
      <x:c r="G45" s="14" t="str">
        <x:v>14:50</x:v>
      </x:c>
      <x:c r="H45" s="14" t="str">
        <x:v>15:30</x:v>
      </x:c>
      <x:c r="I45" s="14" t="str">
        <x:v>Türkçe</x:v>
      </x:c>
      <x:c r="J45" s="14" t="str">
        <x:v>Kitap / MEB / Mastery</x:v>
      </x:c>
      <x:c r="K45" s="14" t="str">
        <x:v>Sözcükte Anlam</x:v>
      </x:c>
      <x:c r="L45" s="14" t="str">
        <x:v>Sözcükte Anlam ile ilgili soru kitabından en az 10 soru / bugünkü test payını çöz. İlgili kitap konu bölümünü bu oturumda bitirmeyi hedefle; sonraki oturum MEB doğrulaması.</x:v>
      </x:c>
      <x:c r="M45" s="14" t="str">
        <x:v>Ankara 8. Sınıf Dil Bilgisi Güçlendiren</x:v>
      </x:c>
      <x:c r="N45" s="14" t="str">
        <x:v>https://odsgm.meb.gov.tr/www/8sinif-calisma-sorulari/icerik/1632</x:v>
      </x:c>
      <x:c r="O45" s="14" t="n">
        <x:v>10</x:v>
      </x:c>
      <x:c r="P45" s="14" t="str">
        <x:v>Hayır</x:v>
      </x:c>
      <x:c r="Q45" s="14" t="str">
        <x:v>Evet</x:v>
      </x:c>
      <x:c r="R45" s="14" t="str">
        <x:v>Planlandı</x:v>
      </x:c>
      <x:c r="S45" s="15" t="str"/>
      <x:c r="T45" s="14" t="str"/>
    </x:row>
    <x:row r="46">
      <x:c r="A46" s="14" t="n">
        <x:v>45</x:v>
      </x:c>
      <x:c r="B46" s="15" t="n">
        <x:v>46299</x:v>
      </x:c>
      <x:c r="C46" s="14" t="str">
        <x:v>Pazar</x:v>
      </x:c>
      <x:c r="D46" s="14" t="str">
        <x:v>Hafta Sonu</x:v>
      </x:c>
      <x:c r="E46" s="14" t="str">
        <x:v>Tam gün</x:v>
      </x:c>
      <x:c r="F46" s="14" t="str">
        <x:v>F1 - Temel Kurma</x:v>
      </x:c>
      <x:c r="G46" s="14" t="str">
        <x:v>15:45</x:v>
      </x:c>
      <x:c r="H46" s="14" t="str">
        <x:v>16:25</x:v>
      </x:c>
      <x:c r="I46" s="14" t="str">
        <x:v>İngilizce</x:v>
      </x:c>
      <x:c r="J46" s="14" t="str">
        <x:v>Konu / Tekrar</x:v>
      </x:c>
      <x:c r="K46" s="14" t="str">
        <x:v>Unit 1 - Friendship</x:v>
      </x:c>
      <x:c r="L46" s="14" t="str">
        <x:v>Unit 1 - Friendship — Content çalışmasını playlistten yap.</x:v>
      </x:c>
      <x:c r="M46" s="14" t="str">
        <x:v>İngilizce Genel Oynatma Listesi</x:v>
      </x:c>
      <x:c r="N46" s="14" t="str">
        <x:v>https://www.youtube.com/watch?v=FaY3dFjZbns&amp;list=PLSgpQDrUSYp94WgE9pzpHiOG5FwxnZBrr</x:v>
      </x:c>
      <x:c r="O46" s="14" t="n">
        <x:v>0</x:v>
      </x:c>
      <x:c r="P46" s="14" t="str">
        <x:v>Hayır</x:v>
      </x:c>
      <x:c r="Q46" s="14" t="str">
        <x:v>Evet</x:v>
      </x:c>
      <x:c r="R46" s="14" t="str">
        <x:v>Planlandı</x:v>
      </x:c>
      <x:c r="S46" s="15" t="str"/>
      <x:c r="T46" s="14" t="str"/>
    </x:row>
    <x:row r="47">
      <x:c r="A47" s="14" t="n">
        <x:v>46</x:v>
      </x:c>
      <x:c r="B47" s="15" t="n">
        <x:v>46299</x:v>
      </x:c>
      <x:c r="C47" s="14" t="str">
        <x:v>Pazar</x:v>
      </x:c>
      <x:c r="D47" s="14" t="str">
        <x:v>Hafta Sonu</x:v>
      </x:c>
      <x:c r="E47" s="14" t="str">
        <x:v>Tam gün</x:v>
      </x:c>
      <x:c r="F47" s="14" t="str">
        <x:v>F1 - Temel Kurma</x:v>
      </x:c>
      <x:c r="G47" s="14" t="str">
        <x:v>16:35</x:v>
      </x:c>
      <x:c r="H47" s="14" t="str">
        <x:v>17:15</x:v>
      </x:c>
      <x:c r="I47" s="14" t="str">
        <x:v>İngilizce</x:v>
      </x:c>
      <x:c r="J47" s="14" t="str">
        <x:v>Kitap / MEB / Mastery</x:v>
      </x:c>
      <x:c r="K47" s="14" t="str">
        <x:v>Unit 1 - Friendship</x:v>
      </x:c>
      <x:c r="L47" s="14" t="str">
        <x:v>Unit 1 - Friendship ile ilgili soru kitabından en az 15 soru / bugünkü test payını çöz.</x:v>
      </x:c>
      <x:c r="M47" s="14" t="str">
        <x:v>More &amp; More 8 Worksheets Notebook</x:v>
      </x:c>
      <x:c r="N47" s="14" t="str">
        <x:v>https://www.youtube.com/watch?v=FaY3dFjZbns&amp;list=PLSgpQDrUSYp94WgE9pzpHiOG5FwxnZBrr</x:v>
      </x:c>
      <x:c r="O47" s="14" t="n">
        <x:v>15</x:v>
      </x:c>
      <x:c r="P47" s="14" t="str">
        <x:v>Hayır</x:v>
      </x:c>
      <x:c r="Q47" s="14" t="str">
        <x:v>Evet</x:v>
      </x:c>
      <x:c r="R47" s="14" t="str">
        <x:v>Planlandı</x:v>
      </x:c>
      <x:c r="S47" s="15" t="str"/>
      <x:c r="T47" s="14" t="str"/>
    </x:row>
    <x:row r="48">
      <x:c r="A48" s="14" t="n">
        <x:v>47</x:v>
      </x:c>
      <x:c r="B48" s="15" t="n">
        <x:v>46299</x:v>
      </x:c>
      <x:c r="C48" s="14" t="str">
        <x:v>Pazar</x:v>
      </x:c>
      <x:c r="D48" s="14" t="str">
        <x:v>Hafta Sonu</x:v>
      </x:c>
      <x:c r="E48" s="14" t="str">
        <x:v>Tam gün</x:v>
      </x:c>
      <x:c r="F48" s="14" t="str">
        <x:v>F1 - Temel Kurma</x:v>
      </x:c>
      <x:c r="G48" s="14" t="str">
        <x:v>17:25</x:v>
      </x:c>
      <x:c r="H48" s="14" t="str">
        <x:v>18:25</x:v>
      </x:c>
      <x:c r="I48" s="14" t="str">
        <x:v>Genel</x:v>
      </x:c>
      <x:c r="J48" s="14" t="str">
        <x:v>Kaynak Tamamlama</x:v>
      </x:c>
      <x:c r="K48" s="14" t="str">
        <x:v>En Geride Kalan Kaynak</x:v>
      </x:c>
      <x:c r="L48" s="14" t="str">
        <x:v>Kaynak_Ilerleme sayfasında hedef yüzdesinin en gerisinde kalan ZORUNLU soru kaynağına 60 dk ayır. Öğrenilmemiş konudan ileri gitme.</x:v>
      </x:c>
      <x:c r="M48" s="14" t="str">
        <x:v>Kaynak İlerleme</x:v>
      </x:c>
      <x:c r="N48" s="14" t="str"/>
      <x:c r="O48" s="14" t="n">
        <x:v>0</x:v>
      </x:c>
      <x:c r="P48" s="14" t="str">
        <x:v>Hayır</x:v>
      </x:c>
      <x:c r="Q48" s="14" t="str">
        <x:v>Evet</x:v>
      </x:c>
      <x:c r="R48" s="14" t="str">
        <x:v>Planlandı</x:v>
      </x:c>
      <x:c r="S48" s="15" t="str"/>
      <x:c r="T48" s="14" t="str">
        <x:v>Amaç 13.04.2027'de zorunlu soru kitapları + ilgili MEB setlerini %100 tamamlamak.</x:v>
      </x:c>
    </x:row>
    <x:row r="49">
      <x:c r="A49" s="14" t="n">
        <x:v>48</x:v>
      </x:c>
      <x:c r="B49" s="15" t="n">
        <x:v>46299</x:v>
      </x:c>
      <x:c r="C49" s="14" t="str">
        <x:v>Pazar</x:v>
      </x:c>
      <x:c r="D49" s="14" t="str">
        <x:v>Hafta Sonu</x:v>
      </x:c>
      <x:c r="E49" s="14" t="str">
        <x:v>Tam gün</x:v>
      </x:c>
      <x:c r="F49" s="14" t="str">
        <x:v>F1 - Temel Kurma</x:v>
      </x:c>
      <x:c r="G49" s="14" t="str">
        <x:v>18:25</x:v>
      </x:c>
      <x:c r="H49" s="14" t="str">
        <x:v>18:45</x:v>
      </x:c>
      <x:c r="I49" s="14" t="str">
        <x:v>Genel</x:v>
      </x:c>
      <x:c r="J49" s="14" t="str">
        <x:v>Yanlış / Boş Analizi</x:v>
      </x:c>
      <x:c r="K49" s="14" t="str">
        <x:v>Günlük</x:v>
      </x:c>
      <x:c r="L49" s="14" t="str">
        <x:v>Bugünkü yanlış/boşları kaydet; çözümünü öğrenmeden kapatma. Hata türünü sınıflandır.</x:v>
      </x:c>
      <x:c r="M49" s="14" t="str">
        <x:v>Yanlış Defteri</x:v>
      </x:c>
      <x:c r="N49" s="14" t="str"/>
      <x:c r="O49" s="14" t="n">
        <x:v>0</x:v>
      </x:c>
      <x:c r="P49" s="14" t="str">
        <x:v>Hayır</x:v>
      </x:c>
      <x:c r="Q49" s="14" t="str">
        <x:v>Evet</x:v>
      </x:c>
      <x:c r="R49" s="14" t="str">
        <x:v>Planlandı</x:v>
      </x:c>
      <x:c r="S49" s="15" t="str"/>
      <x:c r="T49" s="14" t="str"/>
    </x:row>
    <x:row r="50">
      <x:c r="A50" s="14" t="n">
        <x:v>49</x:v>
      </x:c>
      <x:c r="B50" s="15" t="n">
        <x:v>46299</x:v>
      </x:c>
      <x:c r="C50" s="14" t="str">
        <x:v>Pazar</x:v>
      </x:c>
      <x:c r="D50" s="14" t="str">
        <x:v>Hafta Sonu</x:v>
      </x:c>
      <x:c r="E50" s="14" t="str">
        <x:v>Tam gün</x:v>
      </x:c>
      <x:c r="F50" s="14" t="str">
        <x:v>F1 - Temel Kurma</x:v>
      </x:c>
      <x:c r="G50" s="14" t="str">
        <x:v>18:45</x:v>
      </x:c>
      <x:c r="H50" s="14" t="str">
        <x:v>19:05</x:v>
      </x:c>
      <x:c r="I50" s="14" t="str">
        <x:v>Genel</x:v>
      </x:c>
      <x:c r="J50" s="14" t="str">
        <x:v>Aralıklı Hata Tekrarı</x:v>
      </x:c>
      <x:c r="K50" s="14" t="str">
        <x:v>+1 / +7 / +21</x:v>
      </x:c>
      <x:c r="L50" s="14" t="str">
        <x:v>Bugün vadesi gelen yanlış soruları tekrar çöz. Vadesi yoksa bu süre serbest/okuma olabilir.</x:v>
      </x:c>
      <x:c r="M50" s="14" t="str">
        <x:v>Yanlış Defteri</x:v>
      </x:c>
      <x:c r="N50" s="14" t="str"/>
      <x:c r="O50" s="14" t="n">
        <x:v>0</x:v>
      </x:c>
      <x:c r="P50" s="14" t="str">
        <x:v>Hayır</x:v>
      </x:c>
      <x:c r="Q50" s="14" t="str">
        <x:v>Koşullu</x:v>
      </x:c>
      <x:c r="R50" s="14" t="str">
        <x:v>Planlandı</x:v>
      </x:c>
      <x:c r="S50" s="15" t="str"/>
      <x:c r="T50" s="14" t="str">
        <x:v>Yanlışlar +1, +7 ve +21 gün aralıklarıyla tekrar edilir; hâlâ yanlışsa konu mastery durumu düşürülür.</x:v>
      </x:c>
    </x:row>
    <x:row r="51">
      <x:c r="A51" s="14" t="n">
        <x:v>50</x:v>
      </x:c>
      <x:c r="B51" s="15" t="n">
        <x:v>46299</x:v>
      </x:c>
      <x:c r="C51" s="14" t="str">
        <x:v>Pazar</x:v>
      </x:c>
      <x:c r="D51" s="14" t="str">
        <x:v>Hafta Sonu</x:v>
      </x:c>
      <x:c r="E51" s="14" t="str">
        <x:v>Tam gün</x:v>
      </x:c>
      <x:c r="F51" s="14" t="str">
        <x:v>F1 - Temel Kurma</x:v>
      </x:c>
      <x:c r="G51" s="14" t="str">
        <x:v>20:00</x:v>
      </x:c>
      <x:c r="H51" s="14" t="str">
        <x:v>20:30</x:v>
      </x:c>
      <x:c r="I51" s="14" t="str">
        <x:v>Okuma</x:v>
      </x:c>
      <x:c r="J51" s="14" t="str">
        <x:v>İsteğe Bağlı</x:v>
      </x:c>
      <x:c r="K51" s="14" t="str">
        <x:v>Serbest Kitap</x:v>
      </x:c>
      <x:c r="L51" s="14" t="str">
        <x:v>Zorunlu çalışmalar bittiyse isteğe bağlı kitap oku.</x:v>
      </x:c>
      <x:c r="M51" s="14" t="str">
        <x:v>Serbest Kitap</x:v>
      </x:c>
      <x:c r="N51" s="14" t="str"/>
      <x:c r="O51" s="14" t="n">
        <x:v>0</x:v>
      </x:c>
      <x:c r="P51" s="14" t="str">
        <x:v>İsteğe Bağlı</x:v>
      </x:c>
      <x:c r="Q51" s="14" t="str">
        <x:v>Hayır</x:v>
      </x:c>
      <x:c r="R51" s="14" t="str">
        <x:v>Planlandı</x:v>
      </x:c>
      <x:c r="S51" s="15" t="str"/>
      <x:c r="T51" s="14" t="str">
        <x:v>Minimum süre yok.</x:v>
      </x:c>
    </x:row>
    <x:row r="52">
      <x:c r="A52" s="14" t="n">
        <x:v>51</x:v>
      </x:c>
      <x:c r="B52" s="15" t="n">
        <x:v>46299</x:v>
      </x:c>
      <x:c r="C52" s="14" t="str">
        <x:v>Pazar</x:v>
      </x:c>
      <x:c r="D52" s="14" t="str">
        <x:v>Hafta Sonu</x:v>
      </x:c>
      <x:c r="E52" s="14" t="str">
        <x:v>Tam gün</x:v>
      </x:c>
      <x:c r="F52" s="14" t="str">
        <x:v>F1 - Temel Kurma</x:v>
      </x:c>
      <x:c r="G52" s="14" t="str">
        <x:v>21:50</x:v>
      </x:c>
      <x:c r="H52" s="14" t="str">
        <x:v>22:00</x:v>
      </x:c>
      <x:c r="I52" s="14" t="str">
        <x:v>Genel</x:v>
      </x:c>
      <x:c r="J52" s="14" t="str">
        <x:v>Uyku Hazırlığı</x:v>
      </x:c>
      <x:c r="K52" s="14" t="str"/>
      <x:c r="L52" s="14" t="str">
        <x:v>22:00'de yatakta ve uyku.</x:v>
      </x:c>
      <x:c r="M52" s="14" t="str"/>
      <x:c r="N52" s="14" t="str"/>
      <x:c r="O52" s="14" t="n">
        <x:v>0</x:v>
      </x:c>
      <x:c r="P52" s="14" t="str">
        <x:v>Hayır</x:v>
      </x:c>
      <x:c r="Q52" s="14" t="str">
        <x:v>Hayır</x:v>
      </x:c>
      <x:c r="R52" s="14" t="str">
        <x:v>Planlandı</x:v>
      </x:c>
      <x:c r="S52" s="15" t="str"/>
      <x:c r="T52" s="14" t="str"/>
    </x:row>
    <x:row r="53">
      <x:c r="A53" s="14" t="n">
        <x:v>52</x:v>
      </x:c>
      <x:c r="B53" s="15" t="n">
        <x:v>46300</x:v>
      </x:c>
      <x:c r="C53" s="14" t="str">
        <x:v>Pazartesi</x:v>
      </x:c>
      <x:c r="D53" s="14" t="str">
        <x:v>Okul Günü</x:v>
      </x:c>
      <x:c r="E53" s="14" t="str">
        <x:v>16:00 sonrası</x:v>
      </x:c>
      <x:c r="F53" s="14" t="str">
        <x:v>F1 - Temel Kurma</x:v>
      </x:c>
      <x:c r="G53" s="14" t="str">
        <x:v>16:00</x:v>
      </x:c>
      <x:c r="H53" s="14" t="str">
        <x:v>16:25</x:v>
      </x:c>
      <x:c r="I53" s="14" t="str">
        <x:v>Genel</x:v>
      </x:c>
      <x:c r="J53" s="14" t="str">
        <x:v>Dinlenme</x:v>
      </x:c>
      <x:c r="K53" s="14" t="str"/>
      <x:c r="L53" s="14" t="str">
        <x:v>Eve geliş, atıştırma ve dinlenme.</x:v>
      </x:c>
      <x:c r="M53" s="14" t="str"/>
      <x:c r="N53" s="14" t="str"/>
      <x:c r="O53" s="14" t="n">
        <x:v>0</x:v>
      </x:c>
      <x:c r="P53" s="14" t="str">
        <x:v>Hayır</x:v>
      </x:c>
      <x:c r="Q53" s="14" t="str">
        <x:v>Hayır</x:v>
      </x:c>
      <x:c r="R53" s="14" t="str">
        <x:v>Planlandı</x:v>
      </x:c>
      <x:c r="S53" s="15" t="str"/>
      <x:c r="T53" s="14" t="str"/>
    </x:row>
    <x:row r="54">
      <x:c r="A54" s="14" t="n">
        <x:v>53</x:v>
      </x:c>
      <x:c r="B54" s="15" t="n">
        <x:v>46300</x:v>
      </x:c>
      <x:c r="C54" s="14" t="str">
        <x:v>Pazartesi</x:v>
      </x:c>
      <x:c r="D54" s="14" t="str">
        <x:v>Okul Günü</x:v>
      </x:c>
      <x:c r="E54" s="14" t="str">
        <x:v>16:00 sonrası</x:v>
      </x:c>
      <x:c r="F54" s="14" t="str">
        <x:v>F1 - Temel Kurma</x:v>
      </x:c>
      <x:c r="G54" s="14" t="str">
        <x:v>16:25</x:v>
      </x:c>
      <x:c r="H54" s="14" t="str">
        <x:v>17:05</x:v>
      </x:c>
      <x:c r="I54" s="14" t="str">
        <x:v>Matematik</x:v>
      </x:c>
      <x:c r="J54" s="14" t="str">
        <x:v>Konu / Tekrar</x:v>
      </x:c>
      <x:c r="K54" s="14" t="str">
        <x:v>Tam Sayılar</x:v>
      </x:c>
      <x:c r="L54" s="14" t="str">
        <x:v>Tam Sayılar — genel oynatma listesinden ilgili videoyu izle (1/2).</x:v>
      </x:c>
      <x:c r="M54" s="14" t="str">
        <x:v>Matematik Ana Oynatma Listesi</x:v>
      </x:c>
      <x:c r="N54" s="14" t="str">
        <x:v>https://www.youtube.com/watch?v=EuJ89QzqrAg&amp;list=PLicNtF7vp6fnfDqrRLH6H7fIbzYT4ct4F&amp;index=11</x:v>
      </x:c>
      <x:c r="O54" s="14" t="n">
        <x:v>0</x:v>
      </x:c>
      <x:c r="P54" s="14" t="str">
        <x:v>Hayır</x:v>
      </x:c>
      <x:c r="Q54" s="14" t="str">
        <x:v>Evet</x:v>
      </x:c>
      <x:c r="R54" s="14" t="str">
        <x:v>Planlandı</x:v>
      </x:c>
      <x:c r="S54" s="15" t="str"/>
      <x:c r="T54" s="14" t="str">
        <x:v>Yeni konu ancak plan sırasıyla açılır; LGS dışı ileri TYT içeriği zorunlu değildir.</x:v>
      </x:c>
    </x:row>
    <x:row r="55">
      <x:c r="A55" s="14" t="n">
        <x:v>54</x:v>
      </x:c>
      <x:c r="B55" s="15" t="n">
        <x:v>46300</x:v>
      </x:c>
      <x:c r="C55" s="14" t="str">
        <x:v>Pazartesi</x:v>
      </x:c>
      <x:c r="D55" s="14" t="str">
        <x:v>Okul Günü</x:v>
      </x:c>
      <x:c r="E55" s="14" t="str">
        <x:v>16:00 sonrası</x:v>
      </x:c>
      <x:c r="F55" s="14" t="str">
        <x:v>F1 - Temel Kurma</x:v>
      </x:c>
      <x:c r="G55" s="14" t="str">
        <x:v>17:10</x:v>
      </x:c>
      <x:c r="H55" s="14" t="str">
        <x:v>17:55</x:v>
      </x:c>
      <x:c r="I55" s="14" t="str">
        <x:v>Matematik</x:v>
      </x:c>
      <x:c r="J55" s="14" t="str">
        <x:v>Kitap / MEB / Mastery</x:v>
      </x:c>
      <x:c r="K55" s="14" t="str">
        <x:v>Tam Sayılar</x:v>
      </x:c>
      <x:c r="L55" s="14" t="str">
        <x:v>Tam Sayılar ile ilgili soru kitabından en az 20 soru / bugünkü test payını çöz.</x:v>
      </x:c>
      <x:c r="M55" s="14" t="str">
        <x:v>MUBA 8. Sınıf Başlangıç Matematik (ISBN 9789756526972) (eşleşen bölüm) + MEB temel destek</x:v>
      </x:c>
      <x:c r="N55" s="14" t="str">
        <x:v>https://odsgm.meb.gov.tr/www/5-6-7-ve-9-sinif-duzeylerinde-calisma-sorulari-yayimlandi/icerik/775</x:v>
      </x:c>
      <x:c r="O55" s="14" t="n">
        <x:v>20</x:v>
      </x:c>
      <x:c r="P55" s="14" t="str">
        <x:v>İlk 20 soru</x:v>
      </x:c>
      <x:c r="Q55" s="14" t="str">
        <x:v>Evet</x:v>
      </x:c>
      <x:c r="R55" s="14" t="str">
        <x:v>Planlandı</x:v>
      </x:c>
      <x:c r="S55" s="15" t="str"/>
      <x:c r="T55" s="14" t="str">
        <x:v>Ayrı/rastgele matematik benchmark yoktur. Süreli ilk 20 soru o gün çalışılan konunun içindedir.</x:v>
      </x:c>
    </x:row>
    <x:row r="56">
      <x:c r="A56" s="14" t="n">
        <x:v>55</x:v>
      </x:c>
      <x:c r="B56" s="15" t="n">
        <x:v>46300</x:v>
      </x:c>
      <x:c r="C56" s="14" t="str">
        <x:v>Pazartesi</x:v>
      </x:c>
      <x:c r="D56" s="14" t="str">
        <x:v>Okul Günü</x:v>
      </x:c>
      <x:c r="E56" s="14" t="str">
        <x:v>16:00 sonrası</x:v>
      </x:c>
      <x:c r="F56" s="14" t="str">
        <x:v>F1 - Temel Kurma</x:v>
      </x:c>
      <x:c r="G56" s="14" t="str">
        <x:v>17:55</x:v>
      </x:c>
      <x:c r="H56" s="14" t="str">
        <x:v>18:25</x:v>
      </x:c>
      <x:c r="I56" s="14" t="str">
        <x:v>Genel</x:v>
      </x:c>
      <x:c r="J56" s="14" t="str">
        <x:v>Yemek / Serbest Zaman</x:v>
      </x:c>
      <x:c r="K56" s="14" t="str"/>
      <x:c r="L56" s="14" t="str">
        <x:v>Yemek, hareket ve dinlenme.</x:v>
      </x:c>
      <x:c r="M56" s="14" t="str"/>
      <x:c r="N56" s="14" t="str"/>
      <x:c r="O56" s="14" t="n">
        <x:v>0</x:v>
      </x:c>
      <x:c r="P56" s="14" t="str">
        <x:v>Hayır</x:v>
      </x:c>
      <x:c r="Q56" s="14" t="str">
        <x:v>Hayır</x:v>
      </x:c>
      <x:c r="R56" s="14" t="str">
        <x:v>Planlandı</x:v>
      </x:c>
      <x:c r="S56" s="15" t="str"/>
      <x:c r="T56" s="14" t="str"/>
    </x:row>
    <x:row r="57">
      <x:c r="A57" s="14" t="n">
        <x:v>56</x:v>
      </x:c>
      <x:c r="B57" s="15" t="n">
        <x:v>46300</x:v>
      </x:c>
      <x:c r="C57" s="14" t="str">
        <x:v>Pazartesi</x:v>
      </x:c>
      <x:c r="D57" s="14" t="str">
        <x:v>Okul Günü</x:v>
      </x:c>
      <x:c r="E57" s="14" t="str">
        <x:v>16:00 sonrası</x:v>
      </x:c>
      <x:c r="F57" s="14" t="str">
        <x:v>F1 - Temel Kurma</x:v>
      </x:c>
      <x:c r="G57" s="14" t="str">
        <x:v>18:25</x:v>
      </x:c>
      <x:c r="H57" s="14" t="str">
        <x:v>18:55</x:v>
      </x:c>
      <x:c r="I57" s="14" t="str">
        <x:v>Türkçe</x:v>
      </x:c>
      <x:c r="J57" s="14" t="str">
        <x:v>Paragraf Rutini</x:v>
      </x:c>
      <x:c r="K57" s="14" t="str">
        <x:v>Paragraf</x:v>
      </x:c>
      <x:c r="L57" s="14" t="str">
        <x:v>En az 20 paragraf sorusu çöz; ilk 20 soruyu ileri sayımla ölç, D/Y/B + süre kaydet.</x:v>
      </x:c>
      <x:c r="M57" s="14" t="str">
        <x:v>Hız 8. Sınıf Türkçe Paragraf (ISBN 9786258394498)</x:v>
      </x:c>
      <x:c r="N57" s="14" t="str"/>
      <x:c r="O57" s="14" t="n">
        <x:v>20</x:v>
      </x:c>
      <x:c r="P57" s="14" t="str">
        <x:v>İlk 20 soru</x:v>
      </x:c>
      <x:c r="Q57" s="14" t="str">
        <x:v>Evet</x:v>
      </x:c>
      <x:c r="R57" s="14" t="str">
        <x:v>Planlandı</x:v>
      </x:c>
      <x:c r="S57" s="15" t="str"/>
      <x:c r="T57" s="14" t="str">
        <x:v>Geri sayım ve hedef süre yok.</x:v>
      </x:c>
    </x:row>
    <x:row r="58">
      <x:c r="A58" s="14" t="n">
        <x:v>57</x:v>
      </x:c>
      <x:c r="B58" s="15" t="n">
        <x:v>46300</x:v>
      </x:c>
      <x:c r="C58" s="14" t="str">
        <x:v>Pazartesi</x:v>
      </x:c>
      <x:c r="D58" s="14" t="str">
        <x:v>Okul Günü</x:v>
      </x:c>
      <x:c r="E58" s="14" t="str">
        <x:v>16:00 sonrası</x:v>
      </x:c>
      <x:c r="F58" s="14" t="str">
        <x:v>F1 - Temel Kurma</x:v>
      </x:c>
      <x:c r="G58" s="14" t="str">
        <x:v>19:00</x:v>
      </x:c>
      <x:c r="H58" s="14" t="str">
        <x:v>19:35</x:v>
      </x:c>
      <x:c r="I58" s="14" t="str">
        <x:v>Türkçe</x:v>
      </x:c>
      <x:c r="J58" s="14" t="str">
        <x:v>Konu / Tekrar</x:v>
      </x:c>
      <x:c r="K58" s="14" t="str">
        <x:v>Sözcükte Anlam</x:v>
      </x:c>
      <x:c r="L58" s="14" t="str">
        <x:v>Sözcükte Anlam — MEB doğrulaması öncesi 5-10 dk aktif hatırlama; gerekiyorsa ilgili playlist videosuna kısa dönüş yap.</x:v>
      </x:c>
      <x:c r="M58" s="14" t="str">
        <x:v>Türkçe Ana Oynatma Listesi</x:v>
      </x:c>
      <x:c r="N58" s="14" t="str">
        <x:v>https://www.youtube.com/watch?v=VYsPntNKVdw&amp;list=PLIBjFaUoJJ91bz7QQEBlxNJNZka5YQRr6</x:v>
      </x:c>
      <x:c r="O58" s="14" t="n">
        <x:v>0</x:v>
      </x:c>
      <x:c r="P58" s="14" t="str">
        <x:v>Hayır</x:v>
      </x:c>
      <x:c r="Q58" s="14" t="str">
        <x:v>Evet</x:v>
      </x:c>
      <x:c r="R58" s="14" t="str">
        <x:v>Planlandı</x:v>
      </x:c>
      <x:c r="S58" s="15" t="str"/>
      <x:c r="T58" s="14" t="str">
        <x:v>TYT etiketli kaynak temelden başlamak için sabittir; LGS dışı gereksiz ayrıntı zorunlu değildir.</x:v>
      </x:c>
    </x:row>
    <x:row r="59">
      <x:c r="A59" s="14" t="n">
        <x:v>58</x:v>
      </x:c>
      <x:c r="B59" s="15" t="n">
        <x:v>46300</x:v>
      </x:c>
      <x:c r="C59" s="14" t="str">
        <x:v>Pazartesi</x:v>
      </x:c>
      <x:c r="D59" s="14" t="str">
        <x:v>Okul Günü</x:v>
      </x:c>
      <x:c r="E59" s="14" t="str">
        <x:v>16:00 sonrası</x:v>
      </x:c>
      <x:c r="F59" s="14" t="str">
        <x:v>F1 - Temel Kurma</x:v>
      </x:c>
      <x:c r="G59" s="14" t="str">
        <x:v>19:40</x:v>
      </x:c>
      <x:c r="H59" s="14" t="str">
        <x:v>20:10</x:v>
      </x:c>
      <x:c r="I59" s="14" t="str">
        <x:v>Türkçe</x:v>
      </x:c>
      <x:c r="J59" s="14" t="str">
        <x:v>Kitap / MEB / Mastery</x:v>
      </x:c>
      <x:c r="K59" s="14" t="str">
        <x:v>Sözcükte Anlam</x:v>
      </x:c>
      <x:c r="L59" s="14" t="str">
        <x:v>Sözcükte Anlam için ilgili MEB sorularını TAMAMLA; D/Y/B kaydet. Bu oturum konu mastery gate'idir.</x:v>
      </x:c>
      <x:c r="M59" s="14" t="str">
        <x:v>MEB Resmî Soru Seti</x:v>
      </x:c>
      <x:c r="N59" s="14" t="str">
        <x:v>https://odsgm.meb.gov.tr/www/8sinif-calisma-sorulari/icerik/1632</x:v>
      </x:c>
      <x:c r="O59" s="14" t="n">
        <x:v>0</x:v>
      </x:c>
      <x:c r="P59" s="14" t="str">
        <x:v>Hayır</x:v>
      </x:c>
      <x:c r="Q59" s="14" t="str">
        <x:v>Evet</x:v>
      </x:c>
      <x:c r="R59" s="14" t="str">
        <x:v>Planlandı</x:v>
      </x:c>
      <x:c r="S59" s="15" t="str"/>
      <x:c r="T59" s="14" t="str">
        <x:v>MEB sonucu Konu_Ustaligi sayfasına işlenir.</x:v>
      </x:c>
    </x:row>
    <x:row r="60">
      <x:c r="A60" s="14" t="n">
        <x:v>59</x:v>
      </x:c>
      <x:c r="B60" s="15" t="n">
        <x:v>46300</x:v>
      </x:c>
      <x:c r="C60" s="14" t="str">
        <x:v>Pazartesi</x:v>
      </x:c>
      <x:c r="D60" s="14" t="str">
        <x:v>Okul Günü</x:v>
      </x:c>
      <x:c r="E60" s="14" t="str">
        <x:v>16:00 sonrası</x:v>
      </x:c>
      <x:c r="F60" s="14" t="str">
        <x:v>F1 - Temel Kurma</x:v>
      </x:c>
      <x:c r="G60" s="14" t="str">
        <x:v>20:15</x:v>
      </x:c>
      <x:c r="H60" s="14" t="str">
        <x:v>20:50</x:v>
      </x:c>
      <x:c r="I60" s="14" t="str">
        <x:v>Fen</x:v>
      </x:c>
      <x:c r="J60" s="14" t="str">
        <x:v>Konu / Tekrar</x:v>
      </x:c>
      <x:c r="K60" s="14" t="str">
        <x:v>Mevsimlerin Oluşumu</x:v>
      </x:c>
      <x:c r="L60" s="14" t="str">
        <x:v>Mevsimlerin Oluşumu — MEB doğrulaması öncesi 5-10 dk aktif hatırlama; gerekiyorsa ilgili playlist videosuna kısa dönüş yap.</x:v>
      </x:c>
      <x:c r="M60" s="14" t="str">
        <x:v>Fen Soru Çözüm / Tekrar</x:v>
      </x:c>
      <x:c r="N60" s="14" t="str">
        <x:v>https://www.youtube.com/watch?v=pQXhWnDZ3vM&amp;list=PLrQm7mt99FRXcBnorCttd31HJEvg0En26&amp;index=23</x:v>
      </x:c>
      <x:c r="O60" s="14" t="n">
        <x:v>0</x:v>
      </x:c>
      <x:c r="P60" s="14" t="str">
        <x:v>Hayır</x:v>
      </x:c>
      <x:c r="Q60" s="14" t="str">
        <x:v>Evet</x:v>
      </x:c>
      <x:c r="R60" s="14" t="str">
        <x:v>Planlandı</x:v>
      </x:c>
      <x:c r="S60" s="15" t="str"/>
      <x:c r="T60" s="14" t="str"/>
    </x:row>
    <x:row r="61">
      <x:c r="A61" s="14" t="n">
        <x:v>60</x:v>
      </x:c>
      <x:c r="B61" s="15" t="n">
        <x:v>46300</x:v>
      </x:c>
      <x:c r="C61" s="14" t="str">
        <x:v>Pazartesi</x:v>
      </x:c>
      <x:c r="D61" s="14" t="str">
        <x:v>Okul Günü</x:v>
      </x:c>
      <x:c r="E61" s="14" t="str">
        <x:v>16:00 sonrası</x:v>
      </x:c>
      <x:c r="F61" s="14" t="str">
        <x:v>F1 - Temel Kurma</x:v>
      </x:c>
      <x:c r="G61" s="14" t="str">
        <x:v>20:55</x:v>
      </x:c>
      <x:c r="H61" s="14" t="str">
        <x:v>21:20</x:v>
      </x:c>
      <x:c r="I61" s="14" t="str">
        <x:v>Fen</x:v>
      </x:c>
      <x:c r="J61" s="14" t="str">
        <x:v>Kitap / MEB / Mastery</x:v>
      </x:c>
      <x:c r="K61" s="14" t="str">
        <x:v>Mevsimlerin Oluşumu</x:v>
      </x:c>
      <x:c r="L61" s="14" t="str">
        <x:v>Mevsimlerin Oluşumu için ilgili MEB sorularını TAMAMLA; D/Y/B kaydet. Bu oturum konu mastery gate'idir.</x:v>
      </x:c>
      <x:c r="M61" s="14" t="str">
        <x:v>MEB 8. Sınıf Fen Soruları</x:v>
      </x:c>
      <x:c r="N61" s="14" t="str">
        <x:v>https://odsgm.meb.gov.tr/www/8sinif-calisma-sorulari/icerik/1632</x:v>
      </x:c>
      <x:c r="O61" s="14" t="n">
        <x:v>0</x:v>
      </x:c>
      <x:c r="P61" s="14" t="str">
        <x:v>Hayır</x:v>
      </x:c>
      <x:c r="Q61" s="14" t="str">
        <x:v>Evet</x:v>
      </x:c>
      <x:c r="R61" s="14" t="str">
        <x:v>Planlandı</x:v>
      </x:c>
      <x:c r="S61" s="15" t="str"/>
      <x:c r="T61" s="14" t="str">
        <x:v>MEB sonucu Konu_Ustaligi sayfasına işlenir.</x:v>
      </x:c>
    </x:row>
    <x:row r="62">
      <x:c r="A62" s="14" t="n">
        <x:v>61</x:v>
      </x:c>
      <x:c r="B62" s="15" t="n">
        <x:v>46300</x:v>
      </x:c>
      <x:c r="C62" s="14" t="str">
        <x:v>Pazartesi</x:v>
      </x:c>
      <x:c r="D62" s="14" t="str">
        <x:v>Okul Günü</x:v>
      </x:c>
      <x:c r="E62" s="14" t="str">
        <x:v>16:00 sonrası</x:v>
      </x:c>
      <x:c r="F62" s="14" t="str">
        <x:v>F1 - Temel Kurma</x:v>
      </x:c>
      <x:c r="G62" s="14" t="str">
        <x:v>21:20</x:v>
      </x:c>
      <x:c r="H62" s="14" t="str">
        <x:v>21:35</x:v>
      </x:c>
      <x:c r="I62" s="14" t="str">
        <x:v>Genel</x:v>
      </x:c>
      <x:c r="J62" s="14" t="str">
        <x:v>Yanlış / Boş Analizi</x:v>
      </x:c>
      <x:c r="K62" s="14" t="str">
        <x:v>Günlük</x:v>
      </x:c>
      <x:c r="L62" s="14" t="str">
        <x:v>Bugünkü yanlış/boşları kaydet; çözümünü öğrenmeden kapatma. Hata türünü sınıflandır.</x:v>
      </x:c>
      <x:c r="M62" s="14" t="str">
        <x:v>Yanlış Defteri</x:v>
      </x:c>
      <x:c r="N62" s="14" t="str"/>
      <x:c r="O62" s="14" t="n">
        <x:v>0</x:v>
      </x:c>
      <x:c r="P62" s="14" t="str">
        <x:v>Hayır</x:v>
      </x:c>
      <x:c r="Q62" s="14" t="str">
        <x:v>Evet</x:v>
      </x:c>
      <x:c r="R62" s="14" t="str">
        <x:v>Planlandı</x:v>
      </x:c>
      <x:c r="S62" s="15" t="str"/>
      <x:c r="T62" s="14" t="str"/>
    </x:row>
    <x:row r="63">
      <x:c r="A63" s="14" t="n">
        <x:v>62</x:v>
      </x:c>
      <x:c r="B63" s="15" t="n">
        <x:v>46300</x:v>
      </x:c>
      <x:c r="C63" s="14" t="str">
        <x:v>Pazartesi</x:v>
      </x:c>
      <x:c r="D63" s="14" t="str">
        <x:v>Okul Günü</x:v>
      </x:c>
      <x:c r="E63" s="14" t="str">
        <x:v>16:00 sonrası</x:v>
      </x:c>
      <x:c r="F63" s="14" t="str">
        <x:v>F1 - Temel Kurma</x:v>
      </x:c>
      <x:c r="G63" s="14" t="str">
        <x:v>21:35</x:v>
      </x:c>
      <x:c r="H63" s="14" t="str">
        <x:v>21:50</x:v>
      </x:c>
      <x:c r="I63" s="14" t="str">
        <x:v>Genel</x:v>
      </x:c>
      <x:c r="J63" s="14" t="str">
        <x:v>Aralıklı Hata Tekrarı</x:v>
      </x:c>
      <x:c r="K63" s="14" t="str">
        <x:v>+1 / +7 / +21</x:v>
      </x:c>
      <x:c r="L63" s="14" t="str">
        <x:v>Bugün vadesi gelen yanlış soruları tekrar çöz. Vadesi yoksa bu süre serbest/okuma olabilir.</x:v>
      </x:c>
      <x:c r="M63" s="14" t="str">
        <x:v>Yanlış Defteri</x:v>
      </x:c>
      <x:c r="N63" s="14" t="str"/>
      <x:c r="O63" s="14" t="n">
        <x:v>0</x:v>
      </x:c>
      <x:c r="P63" s="14" t="str">
        <x:v>Hayır</x:v>
      </x:c>
      <x:c r="Q63" s="14" t="str">
        <x:v>Koşullu</x:v>
      </x:c>
      <x:c r="R63" s="14" t="str">
        <x:v>Planlandı</x:v>
      </x:c>
      <x:c r="S63" s="15" t="str"/>
      <x:c r="T63" s="14" t="str">
        <x:v>Yanlışlar +1, +7 ve +21 gün aralıklarıyla tekrar edilir; hâlâ yanlışsa konu mastery durumu düşürülür.</x:v>
      </x:c>
    </x:row>
    <x:row r="64">
      <x:c r="A64" s="14" t="n">
        <x:v>63</x:v>
      </x:c>
      <x:c r="B64" s="15" t="n">
        <x:v>46300</x:v>
      </x:c>
      <x:c r="C64" s="14" t="str">
        <x:v>Pazartesi</x:v>
      </x:c>
      <x:c r="D64" s="14" t="str">
        <x:v>Okul Günü</x:v>
      </x:c>
      <x:c r="E64" s="14" t="str">
        <x:v>16:00 sonrası</x:v>
      </x:c>
      <x:c r="F64" s="14" t="str">
        <x:v>F1 - Temel Kurma</x:v>
      </x:c>
      <x:c r="G64" s="14" t="str">
        <x:v>21:50</x:v>
      </x:c>
      <x:c r="H64" s="14" t="str">
        <x:v>22:00</x:v>
      </x:c>
      <x:c r="I64" s="14" t="str">
        <x:v>Genel</x:v>
      </x:c>
      <x:c r="J64" s="14" t="str">
        <x:v>Uyku Hazırlığı</x:v>
      </x:c>
      <x:c r="K64" s="14" t="str"/>
      <x:c r="L64" s="14" t="str">
        <x:v>22:00'de yatakta ve uyku.</x:v>
      </x:c>
      <x:c r="M64" s="14" t="str"/>
      <x:c r="N64" s="14" t="str"/>
      <x:c r="O64" s="14" t="n">
        <x:v>0</x:v>
      </x:c>
      <x:c r="P64" s="14" t="str">
        <x:v>Hayır</x:v>
      </x:c>
      <x:c r="Q64" s="14" t="str">
        <x:v>Hayır</x:v>
      </x:c>
      <x:c r="R64" s="14" t="str">
        <x:v>Planlandı</x:v>
      </x:c>
      <x:c r="S64" s="15" t="str"/>
      <x:c r="T64" s="14" t="str"/>
    </x:row>
    <x:row r="65">
      <x:c r="A65" s="14" t="n">
        <x:v>64</x:v>
      </x:c>
      <x:c r="B65" s="15" t="n">
        <x:v>46301</x:v>
      </x:c>
      <x:c r="C65" s="14" t="str">
        <x:v>Salı</x:v>
      </x:c>
      <x:c r="D65" s="14" t="str">
        <x:v>Okul Günü</x:v>
      </x:c>
      <x:c r="E65" s="14" t="str">
        <x:v>16:00 sonrası</x:v>
      </x:c>
      <x:c r="F65" s="14" t="str">
        <x:v>F1 - Temel Kurma</x:v>
      </x:c>
      <x:c r="G65" s="14" t="str">
        <x:v>16:00</x:v>
      </x:c>
      <x:c r="H65" s="14" t="str">
        <x:v>16:25</x:v>
      </x:c>
      <x:c r="I65" s="14" t="str">
        <x:v>Genel</x:v>
      </x:c>
      <x:c r="J65" s="14" t="str">
        <x:v>Dinlenme</x:v>
      </x:c>
      <x:c r="K65" s="14" t="str"/>
      <x:c r="L65" s="14" t="str">
        <x:v>Eve geliş, atıştırma ve dinlenme.</x:v>
      </x:c>
      <x:c r="M65" s="14" t="str"/>
      <x:c r="N65" s="14" t="str"/>
      <x:c r="O65" s="14" t="n">
        <x:v>0</x:v>
      </x:c>
      <x:c r="P65" s="14" t="str">
        <x:v>Hayır</x:v>
      </x:c>
      <x:c r="Q65" s="14" t="str">
        <x:v>Hayır</x:v>
      </x:c>
      <x:c r="R65" s="14" t="str">
        <x:v>Planlandı</x:v>
      </x:c>
      <x:c r="S65" s="15" t="str"/>
      <x:c r="T65" s="14" t="str"/>
    </x:row>
    <x:row r="66">
      <x:c r="A66" s="14" t="n">
        <x:v>65</x:v>
      </x:c>
      <x:c r="B66" s="15" t="n">
        <x:v>46301</x:v>
      </x:c>
      <x:c r="C66" s="14" t="str">
        <x:v>Salı</x:v>
      </x:c>
      <x:c r="D66" s="14" t="str">
        <x:v>Okul Günü</x:v>
      </x:c>
      <x:c r="E66" s="14" t="str">
        <x:v>16:00 sonrası</x:v>
      </x:c>
      <x:c r="F66" s="14" t="str">
        <x:v>F1 - Temel Kurma</x:v>
      </x:c>
      <x:c r="G66" s="14" t="str">
        <x:v>16:25</x:v>
      </x:c>
      <x:c r="H66" s="14" t="str">
        <x:v>17:05</x:v>
      </x:c>
      <x:c r="I66" s="14" t="str">
        <x:v>Matematik</x:v>
      </x:c>
      <x:c r="J66" s="14" t="str">
        <x:v>Konu / Tekrar</x:v>
      </x:c>
      <x:c r="K66" s="14" t="str">
        <x:v>Tam Sayılar</x:v>
      </x:c>
      <x:c r="L66" s="14" t="str">
        <x:v>Tam Sayılar — genel oynatma listesinden ilgili videoyu izle (2/2).</x:v>
      </x:c>
      <x:c r="M66" s="14" t="str">
        <x:v>Matematik Ana Oynatma Listesi</x:v>
      </x:c>
      <x:c r="N66" s="14" t="str">
        <x:v>https://www.youtube.com/watch?v=EuJ89QzqrAg&amp;list=PLicNtF7vp6fnfDqrRLH6H7fIbzYT4ct4F&amp;index=11</x:v>
      </x:c>
      <x:c r="O66" s="14" t="n">
        <x:v>0</x:v>
      </x:c>
      <x:c r="P66" s="14" t="str">
        <x:v>Hayır</x:v>
      </x:c>
      <x:c r="Q66" s="14" t="str">
        <x:v>Evet</x:v>
      </x:c>
      <x:c r="R66" s="14" t="str">
        <x:v>Planlandı</x:v>
      </x:c>
      <x:c r="S66" s="15" t="str"/>
      <x:c r="T66" s="14" t="str">
        <x:v>Yeni konu ancak plan sırasıyla açılır; LGS dışı ileri TYT içeriği zorunlu değildir.</x:v>
      </x:c>
    </x:row>
    <x:row r="67">
      <x:c r="A67" s="14" t="n">
        <x:v>66</x:v>
      </x:c>
      <x:c r="B67" s="15" t="n">
        <x:v>46301</x:v>
      </x:c>
      <x:c r="C67" s="14" t="str">
        <x:v>Salı</x:v>
      </x:c>
      <x:c r="D67" s="14" t="str">
        <x:v>Okul Günü</x:v>
      </x:c>
      <x:c r="E67" s="14" t="str">
        <x:v>16:00 sonrası</x:v>
      </x:c>
      <x:c r="F67" s="14" t="str">
        <x:v>F1 - Temel Kurma</x:v>
      </x:c>
      <x:c r="G67" s="14" t="str">
        <x:v>17:10</x:v>
      </x:c>
      <x:c r="H67" s="14" t="str">
        <x:v>17:55</x:v>
      </x:c>
      <x:c r="I67" s="14" t="str">
        <x:v>Matematik</x:v>
      </x:c>
      <x:c r="J67" s="14" t="str">
        <x:v>Kitap / MEB / Mastery</x:v>
      </x:c>
      <x:c r="K67" s="14" t="str">
        <x:v>Tam Sayılar</x:v>
      </x:c>
      <x:c r="L67" s="14" t="str">
        <x:v>Tam Sayılar ile ilgili soru kitabından en az 20 soru / bugünkü test payını çöz. İlgili kitap konu bölümünü bu oturumda bitirmeyi hedefle; sonraki oturum MEB doğrulaması.</x:v>
      </x:c>
      <x:c r="M67" s="14" t="str">
        <x:v>MUBA 8. Sınıf Başlangıç Matematik (ISBN 9789756526972) (eşleşen bölüm) + MEB temel destek</x:v>
      </x:c>
      <x:c r="N67" s="14" t="str">
        <x:v>https://odsgm.meb.gov.tr/www/5-6-7-ve-9-sinif-duzeylerinde-calisma-sorulari-yayimlandi/icerik/775</x:v>
      </x:c>
      <x:c r="O67" s="14" t="n">
        <x:v>20</x:v>
      </x:c>
      <x:c r="P67" s="14" t="str">
        <x:v>İlk 20 soru</x:v>
      </x:c>
      <x:c r="Q67" s="14" t="str">
        <x:v>Evet</x:v>
      </x:c>
      <x:c r="R67" s="14" t="str">
        <x:v>Planlandı</x:v>
      </x:c>
      <x:c r="S67" s="15" t="str"/>
      <x:c r="T67" s="14" t="str">
        <x:v>Ayrı/rastgele matematik benchmark yoktur. Süreli ilk 20 soru o gün çalışılan konunun içindedir.</x:v>
      </x:c>
    </x:row>
    <x:row r="68">
      <x:c r="A68" s="14" t="n">
        <x:v>67</x:v>
      </x:c>
      <x:c r="B68" s="15" t="n">
        <x:v>46301</x:v>
      </x:c>
      <x:c r="C68" s="14" t="str">
        <x:v>Salı</x:v>
      </x:c>
      <x:c r="D68" s="14" t="str">
        <x:v>Okul Günü</x:v>
      </x:c>
      <x:c r="E68" s="14" t="str">
        <x:v>16:00 sonrası</x:v>
      </x:c>
      <x:c r="F68" s="14" t="str">
        <x:v>F1 - Temel Kurma</x:v>
      </x:c>
      <x:c r="G68" s="14" t="str">
        <x:v>17:55</x:v>
      </x:c>
      <x:c r="H68" s="14" t="str">
        <x:v>18:25</x:v>
      </x:c>
      <x:c r="I68" s="14" t="str">
        <x:v>Genel</x:v>
      </x:c>
      <x:c r="J68" s="14" t="str">
        <x:v>Yemek / Serbest Zaman</x:v>
      </x:c>
      <x:c r="K68" s="14" t="str"/>
      <x:c r="L68" s="14" t="str">
        <x:v>Yemek, hareket ve dinlenme.</x:v>
      </x:c>
      <x:c r="M68" s="14" t="str"/>
      <x:c r="N68" s="14" t="str"/>
      <x:c r="O68" s="14" t="n">
        <x:v>0</x:v>
      </x:c>
      <x:c r="P68" s="14" t="str">
        <x:v>Hayır</x:v>
      </x:c>
      <x:c r="Q68" s="14" t="str">
        <x:v>Hayır</x:v>
      </x:c>
      <x:c r="R68" s="14" t="str">
        <x:v>Planlandı</x:v>
      </x:c>
      <x:c r="S68" s="15" t="str"/>
      <x:c r="T68" s="14" t="str"/>
    </x:row>
    <x:row r="69">
      <x:c r="A69" s="14" t="n">
        <x:v>68</x:v>
      </x:c>
      <x:c r="B69" s="15" t="n">
        <x:v>46301</x:v>
      </x:c>
      <x:c r="C69" s="14" t="str">
        <x:v>Salı</x:v>
      </x:c>
      <x:c r="D69" s="14" t="str">
        <x:v>Okul Günü</x:v>
      </x:c>
      <x:c r="E69" s="14" t="str">
        <x:v>16:00 sonrası</x:v>
      </x:c>
      <x:c r="F69" s="14" t="str">
        <x:v>F1 - Temel Kurma</x:v>
      </x:c>
      <x:c r="G69" s="14" t="str">
        <x:v>18:25</x:v>
      </x:c>
      <x:c r="H69" s="14" t="str">
        <x:v>18:55</x:v>
      </x:c>
      <x:c r="I69" s="14" t="str">
        <x:v>Türkçe</x:v>
      </x:c>
      <x:c r="J69" s="14" t="str">
        <x:v>Paragraf Rutini</x:v>
      </x:c>
      <x:c r="K69" s="14" t="str">
        <x:v>Paragraf</x:v>
      </x:c>
      <x:c r="L69" s="14" t="str">
        <x:v>En az 20 paragraf sorusu çöz; ilk 20 soruyu ileri sayımla ölç, D/Y/B + süre kaydet.</x:v>
      </x:c>
      <x:c r="M69" s="14" t="str">
        <x:v>Hız 8. Sınıf Türkçe Paragraf (ISBN 9786258394498)</x:v>
      </x:c>
      <x:c r="N69" s="14" t="str"/>
      <x:c r="O69" s="14" t="n">
        <x:v>20</x:v>
      </x:c>
      <x:c r="P69" s="14" t="str">
        <x:v>İlk 20 soru</x:v>
      </x:c>
      <x:c r="Q69" s="14" t="str">
        <x:v>Evet</x:v>
      </x:c>
      <x:c r="R69" s="14" t="str">
        <x:v>Planlandı</x:v>
      </x:c>
      <x:c r="S69" s="15" t="str"/>
      <x:c r="T69" s="14" t="str">
        <x:v>Geri sayım ve hedef süre yok.</x:v>
      </x:c>
    </x:row>
    <x:row r="70">
      <x:c r="A70" s="14" t="n">
        <x:v>69</x:v>
      </x:c>
      <x:c r="B70" s="15" t="n">
        <x:v>46301</x:v>
      </x:c>
      <x:c r="C70" s="14" t="str">
        <x:v>Salı</x:v>
      </x:c>
      <x:c r="D70" s="14" t="str">
        <x:v>Okul Günü</x:v>
      </x:c>
      <x:c r="E70" s="14" t="str">
        <x:v>16:00 sonrası</x:v>
      </x:c>
      <x:c r="F70" s="14" t="str">
        <x:v>F1 - Temel Kurma</x:v>
      </x:c>
      <x:c r="G70" s="14" t="str">
        <x:v>19:00</x:v>
      </x:c>
      <x:c r="H70" s="14" t="str">
        <x:v>19:35</x:v>
      </x:c>
      <x:c r="I70" s="14" t="str">
        <x:v>Türkçe</x:v>
      </x:c>
      <x:c r="J70" s="14" t="str">
        <x:v>Konu / Tekrar</x:v>
      </x:c>
      <x:c r="K70" s="14" t="str">
        <x:v>Cümlede Anlam</x:v>
      </x:c>
      <x:c r="L70" s="14" t="str">
        <x:v>Cümlede Anlam — genel oynatma listesinden ilgili videoyu izle (1/4).</x:v>
      </x:c>
      <x:c r="M70" s="14" t="str">
        <x:v>Türkçe Ana Oynatma Listesi</x:v>
      </x:c>
      <x:c r="N70" s="14" t="str">
        <x:v>https://www.youtube.com/watch?v=VYsPntNKVdw&amp;list=PLIBjFaUoJJ91bz7QQEBlxNJNZka5YQRr6</x:v>
      </x:c>
      <x:c r="O70" s="14" t="n">
        <x:v>0</x:v>
      </x:c>
      <x:c r="P70" s="14" t="str">
        <x:v>Hayır</x:v>
      </x:c>
      <x:c r="Q70" s="14" t="str">
        <x:v>Evet</x:v>
      </x:c>
      <x:c r="R70" s="14" t="str">
        <x:v>Planlandı</x:v>
      </x:c>
      <x:c r="S70" s="15" t="str"/>
      <x:c r="T70" s="14" t="str">
        <x:v>TYT etiketli kaynak temelden başlamak için sabittir; LGS dışı gereksiz ayrıntı zorunlu değildir.</x:v>
      </x:c>
    </x:row>
    <x:row r="71">
      <x:c r="A71" s="14" t="n">
        <x:v>70</x:v>
      </x:c>
      <x:c r="B71" s="15" t="n">
        <x:v>46301</x:v>
      </x:c>
      <x:c r="C71" s="14" t="str">
        <x:v>Salı</x:v>
      </x:c>
      <x:c r="D71" s="14" t="str">
        <x:v>Okul Günü</x:v>
      </x:c>
      <x:c r="E71" s="14" t="str">
        <x:v>16:00 sonrası</x:v>
      </x:c>
      <x:c r="F71" s="14" t="str">
        <x:v>F1 - Temel Kurma</x:v>
      </x:c>
      <x:c r="G71" s="14" t="str">
        <x:v>19:40</x:v>
      </x:c>
      <x:c r="H71" s="14" t="str">
        <x:v>20:10</x:v>
      </x:c>
      <x:c r="I71" s="14" t="str">
        <x:v>Türkçe</x:v>
      </x:c>
      <x:c r="J71" s="14" t="str">
        <x:v>Kitap / MEB / Mastery</x:v>
      </x:c>
      <x:c r="K71" s="14" t="str">
        <x:v>Cümlede Anlam</x:v>
      </x:c>
      <x:c r="L71" s="14" t="str">
        <x:v>Cümlede Anlam ile ilgili soru kitabından en az 10 soru / bugünkü test payını çöz.</x:v>
      </x:c>
      <x:c r="M71" s="14" t="str">
        <x:v>Ankara 8. Sınıf Dil Bilgisi Güçlendiren</x:v>
      </x:c>
      <x:c r="N71" s="14" t="str">
        <x:v>https://odsgm.meb.gov.tr/www/8sinif-calisma-sorulari/icerik/1632</x:v>
      </x:c>
      <x:c r="O71" s="14" t="n">
        <x:v>10</x:v>
      </x:c>
      <x:c r="P71" s="14" t="str">
        <x:v>Hayır</x:v>
      </x:c>
      <x:c r="Q71" s="14" t="str">
        <x:v>Evet</x:v>
      </x:c>
      <x:c r="R71" s="14" t="str">
        <x:v>Planlandı</x:v>
      </x:c>
      <x:c r="S71" s="15" t="str"/>
      <x:c r="T71" s="14" t="str"/>
    </x:row>
    <x:row r="72">
      <x:c r="A72" s="14" t="n">
        <x:v>71</x:v>
      </x:c>
      <x:c r="B72" s="15" t="n">
        <x:v>46301</x:v>
      </x:c>
      <x:c r="C72" s="14" t="str">
        <x:v>Salı</x:v>
      </x:c>
      <x:c r="D72" s="14" t="str">
        <x:v>Okul Günü</x:v>
      </x:c>
      <x:c r="E72" s="14" t="str">
        <x:v>16:00 sonrası</x:v>
      </x:c>
      <x:c r="F72" s="14" t="str">
        <x:v>F1 - Temel Kurma</x:v>
      </x:c>
      <x:c r="G72" s="14" t="str">
        <x:v>20:15</x:v>
      </x:c>
      <x:c r="H72" s="14" t="str">
        <x:v>20:50</x:v>
      </x:c>
      <x:c r="I72" s="14" t="str">
        <x:v>Din</x:v>
      </x:c>
      <x:c r="J72" s="14" t="str">
        <x:v>Konu / Tekrar</x:v>
      </x:c>
      <x:c r="K72" s="14" t="str">
        <x:v>Kader ve Kaza İnancı</x:v>
      </x:c>
      <x:c r="L72" s="14" t="str">
        <x:v>Kader ve Kaza İnancı — genel oynatma listesinden ilgili konu/soru çalışmasını yap.</x:v>
      </x:c>
      <x:c r="M72" s="14" t="str">
        <x:v>Din Genel Oynatma Listesi</x:v>
      </x:c>
      <x:c r="N72" s="14" t="str">
        <x:v>https://www.youtube.com/watch?v=wvdOE_75VnA&amp;list=PLbRoPq-Zu-SWXGUbVt4t4UWo-4VjsMUo-&amp;index=2</x:v>
      </x:c>
      <x:c r="O72" s="14" t="n">
        <x:v>0</x:v>
      </x:c>
      <x:c r="P72" s="14" t="str">
        <x:v>Hayır</x:v>
      </x:c>
      <x:c r="Q72" s="14" t="str">
        <x:v>Evet</x:v>
      </x:c>
      <x:c r="R72" s="14" t="str">
        <x:v>Planlandı</x:v>
      </x:c>
      <x:c r="S72" s="15" t="str"/>
      <x:c r="T72" s="14" t="str"/>
    </x:row>
    <x:row r="73">
      <x:c r="A73" s="14" t="n">
        <x:v>72</x:v>
      </x:c>
      <x:c r="B73" s="15" t="n">
        <x:v>46301</x:v>
      </x:c>
      <x:c r="C73" s="14" t="str">
        <x:v>Salı</x:v>
      </x:c>
      <x:c r="D73" s="14" t="str">
        <x:v>Okul Günü</x:v>
      </x:c>
      <x:c r="E73" s="14" t="str">
        <x:v>16:00 sonrası</x:v>
      </x:c>
      <x:c r="F73" s="14" t="str">
        <x:v>F1 - Temel Kurma</x:v>
      </x:c>
      <x:c r="G73" s="14" t="str">
        <x:v>20:55</x:v>
      </x:c>
      <x:c r="H73" s="14" t="str">
        <x:v>21:20</x:v>
      </x:c>
      <x:c r="I73" s="14" t="str">
        <x:v>Din</x:v>
      </x:c>
      <x:c r="J73" s="14" t="str">
        <x:v>Kitap / MEB / Mastery</x:v>
      </x:c>
      <x:c r="K73" s="14" t="str">
        <x:v>Kader ve Kaza İnancı</x:v>
      </x:c>
      <x:c r="L73" s="14" t="str">
        <x:v>Kader ve Kaza İnancı ile ilgili soru kitabından en az 15 soru / bugünkü test payını çöz.</x:v>
      </x:c>
      <x:c r="M73" s="14" t="str">
        <x:v>Hız 8. Sınıf Din Kültürü ve Ahlak Bilgisi</x:v>
      </x:c>
      <x:c r="N73" s="14" t="str">
        <x:v>https://www.youtube.com/watch?v=wvdOE_75VnA&amp;list=PLbRoPq-Zu-SWXGUbVt4t4UWo-4VjsMUo-&amp;index=2</x:v>
      </x:c>
      <x:c r="O73" s="14" t="n">
        <x:v>15</x:v>
      </x:c>
      <x:c r="P73" s="14" t="str">
        <x:v>Hayır</x:v>
      </x:c>
      <x:c r="Q73" s="14" t="str">
        <x:v>Evet</x:v>
      </x:c>
      <x:c r="R73" s="14" t="str">
        <x:v>Planlandı</x:v>
      </x:c>
      <x:c r="S73" s="15" t="str"/>
      <x:c r="T73" s="14" t="str"/>
    </x:row>
    <x:row r="74">
      <x:c r="A74" s="14" t="n">
        <x:v>73</x:v>
      </x:c>
      <x:c r="B74" s="15" t="n">
        <x:v>46301</x:v>
      </x:c>
      <x:c r="C74" s="14" t="str">
        <x:v>Salı</x:v>
      </x:c>
      <x:c r="D74" s="14" t="str">
        <x:v>Okul Günü</x:v>
      </x:c>
      <x:c r="E74" s="14" t="str">
        <x:v>16:00 sonrası</x:v>
      </x:c>
      <x:c r="F74" s="14" t="str">
        <x:v>F1 - Temel Kurma</x:v>
      </x:c>
      <x:c r="G74" s="14" t="str">
        <x:v>21:20</x:v>
      </x:c>
      <x:c r="H74" s="14" t="str">
        <x:v>21:35</x:v>
      </x:c>
      <x:c r="I74" s="14" t="str">
        <x:v>Genel</x:v>
      </x:c>
      <x:c r="J74" s="14" t="str">
        <x:v>Yanlış / Boş Analizi</x:v>
      </x:c>
      <x:c r="K74" s="14" t="str">
        <x:v>Günlük</x:v>
      </x:c>
      <x:c r="L74" s="14" t="str">
        <x:v>Bugünkü yanlış/boşları kaydet; çözümünü öğrenmeden kapatma. Hata türünü sınıflandır.</x:v>
      </x:c>
      <x:c r="M74" s="14" t="str">
        <x:v>Yanlış Defteri</x:v>
      </x:c>
      <x:c r="N74" s="14" t="str"/>
      <x:c r="O74" s="14" t="n">
        <x:v>0</x:v>
      </x:c>
      <x:c r="P74" s="14" t="str">
        <x:v>Hayır</x:v>
      </x:c>
      <x:c r="Q74" s="14" t="str">
        <x:v>Evet</x:v>
      </x:c>
      <x:c r="R74" s="14" t="str">
        <x:v>Planlandı</x:v>
      </x:c>
      <x:c r="S74" s="15" t="str"/>
      <x:c r="T74" s="14" t="str"/>
    </x:row>
    <x:row r="75">
      <x:c r="A75" s="14" t="n">
        <x:v>74</x:v>
      </x:c>
      <x:c r="B75" s="15" t="n">
        <x:v>46301</x:v>
      </x:c>
      <x:c r="C75" s="14" t="str">
        <x:v>Salı</x:v>
      </x:c>
      <x:c r="D75" s="14" t="str">
        <x:v>Okul Günü</x:v>
      </x:c>
      <x:c r="E75" s="14" t="str">
        <x:v>16:00 sonrası</x:v>
      </x:c>
      <x:c r="F75" s="14" t="str">
        <x:v>F1 - Temel Kurma</x:v>
      </x:c>
      <x:c r="G75" s="14" t="str">
        <x:v>21:35</x:v>
      </x:c>
      <x:c r="H75" s="14" t="str">
        <x:v>21:50</x:v>
      </x:c>
      <x:c r="I75" s="14" t="str">
        <x:v>Genel</x:v>
      </x:c>
      <x:c r="J75" s="14" t="str">
        <x:v>Aralıklı Hata Tekrarı</x:v>
      </x:c>
      <x:c r="K75" s="14" t="str">
        <x:v>+1 / +7 / +21</x:v>
      </x:c>
      <x:c r="L75" s="14" t="str">
        <x:v>Bugün vadesi gelen yanlış soruları tekrar çöz. Vadesi yoksa bu süre serbest/okuma olabilir.</x:v>
      </x:c>
      <x:c r="M75" s="14" t="str">
        <x:v>Yanlış Defteri</x:v>
      </x:c>
      <x:c r="N75" s="14" t="str"/>
      <x:c r="O75" s="14" t="n">
        <x:v>0</x:v>
      </x:c>
      <x:c r="P75" s="14" t="str">
        <x:v>Hayır</x:v>
      </x:c>
      <x:c r="Q75" s="14" t="str">
        <x:v>Koşullu</x:v>
      </x:c>
      <x:c r="R75" s="14" t="str">
        <x:v>Planlandı</x:v>
      </x:c>
      <x:c r="S75" s="15" t="str"/>
      <x:c r="T75" s="14" t="str">
        <x:v>Yanlışlar +1, +7 ve +21 gün aralıklarıyla tekrar edilir; hâlâ yanlışsa konu mastery durumu düşürülür.</x:v>
      </x:c>
    </x:row>
    <x:row r="76">
      <x:c r="A76" s="14" t="n">
        <x:v>75</x:v>
      </x:c>
      <x:c r="B76" s="15" t="n">
        <x:v>46301</x:v>
      </x:c>
      <x:c r="C76" s="14" t="str">
        <x:v>Salı</x:v>
      </x:c>
      <x:c r="D76" s="14" t="str">
        <x:v>Okul Günü</x:v>
      </x:c>
      <x:c r="E76" s="14" t="str">
        <x:v>16:00 sonrası</x:v>
      </x:c>
      <x:c r="F76" s="14" t="str">
        <x:v>F1 - Temel Kurma</x:v>
      </x:c>
      <x:c r="G76" s="14" t="str">
        <x:v>21:50</x:v>
      </x:c>
      <x:c r="H76" s="14" t="str">
        <x:v>22:00</x:v>
      </x:c>
      <x:c r="I76" s="14" t="str">
        <x:v>Genel</x:v>
      </x:c>
      <x:c r="J76" s="14" t="str">
        <x:v>Uyku Hazırlığı</x:v>
      </x:c>
      <x:c r="K76" s="14" t="str"/>
      <x:c r="L76" s="14" t="str">
        <x:v>22:00'de yatakta ve uyku.</x:v>
      </x:c>
      <x:c r="M76" s="14" t="str"/>
      <x:c r="N76" s="14" t="str"/>
      <x:c r="O76" s="14" t="n">
        <x:v>0</x:v>
      </x:c>
      <x:c r="P76" s="14" t="str">
        <x:v>Hayır</x:v>
      </x:c>
      <x:c r="Q76" s="14" t="str">
        <x:v>Hayır</x:v>
      </x:c>
      <x:c r="R76" s="14" t="str">
        <x:v>Planlandı</x:v>
      </x:c>
      <x:c r="S76" s="15" t="str"/>
      <x:c r="T76" s="14" t="str"/>
    </x:row>
    <x:row r="77">
      <x:c r="A77" s="14" t="n">
        <x:v>76</x:v>
      </x:c>
      <x:c r="B77" s="15" t="n">
        <x:v>46302</x:v>
      </x:c>
      <x:c r="C77" s="14" t="str">
        <x:v>Çarşamba</x:v>
      </x:c>
      <x:c r="D77" s="14" t="str">
        <x:v>Okul Günü</x:v>
      </x:c>
      <x:c r="E77" s="14" t="str">
        <x:v>16:00 sonrası</x:v>
      </x:c>
      <x:c r="F77" s="14" t="str">
        <x:v>F1 - Temel Kurma</x:v>
      </x:c>
      <x:c r="G77" s="14" t="str">
        <x:v>16:00</x:v>
      </x:c>
      <x:c r="H77" s="14" t="str">
        <x:v>16:25</x:v>
      </x:c>
      <x:c r="I77" s="14" t="str">
        <x:v>Genel</x:v>
      </x:c>
      <x:c r="J77" s="14" t="str">
        <x:v>Dinlenme</x:v>
      </x:c>
      <x:c r="K77" s="14" t="str"/>
      <x:c r="L77" s="14" t="str">
        <x:v>Eve geliş, atıştırma ve dinlenme.</x:v>
      </x:c>
      <x:c r="M77" s="14" t="str"/>
      <x:c r="N77" s="14" t="str"/>
      <x:c r="O77" s="14" t="n">
        <x:v>0</x:v>
      </x:c>
      <x:c r="P77" s="14" t="str">
        <x:v>Hayır</x:v>
      </x:c>
      <x:c r="Q77" s="14" t="str">
        <x:v>Hayır</x:v>
      </x:c>
      <x:c r="R77" s="14" t="str">
        <x:v>Planlandı</x:v>
      </x:c>
      <x:c r="S77" s="15" t="str"/>
      <x:c r="T77" s="14" t="str"/>
    </x:row>
    <x:row r="78">
      <x:c r="A78" s="14" t="n">
        <x:v>77</x:v>
      </x:c>
      <x:c r="B78" s="15" t="n">
        <x:v>46302</x:v>
      </x:c>
      <x:c r="C78" s="14" t="str">
        <x:v>Çarşamba</x:v>
      </x:c>
      <x:c r="D78" s="14" t="str">
        <x:v>Okul Günü</x:v>
      </x:c>
      <x:c r="E78" s="14" t="str">
        <x:v>16:00 sonrası</x:v>
      </x:c>
      <x:c r="F78" s="14" t="str">
        <x:v>F1 - Temel Kurma</x:v>
      </x:c>
      <x:c r="G78" s="14" t="str">
        <x:v>16:25</x:v>
      </x:c>
      <x:c r="H78" s="14" t="str">
        <x:v>17:05</x:v>
      </x:c>
      <x:c r="I78" s="14" t="str">
        <x:v>Matematik</x:v>
      </x:c>
      <x:c r="J78" s="14" t="str">
        <x:v>Konu / Tekrar</x:v>
      </x:c>
      <x:c r="K78" s="14" t="str">
        <x:v>Tam Sayılar</x:v>
      </x:c>
      <x:c r="L78" s="14" t="str">
        <x:v>Tam Sayılar — MEB doğrulaması öncesi 5-10 dk aktif hatırlama; gerekiyorsa ilgili playlist videosuna kısa dönüş yap.</x:v>
      </x:c>
      <x:c r="M78" s="14" t="str">
        <x:v>Matematik Ana Oynatma Listesi</x:v>
      </x:c>
      <x:c r="N78" s="14" t="str">
        <x:v>https://www.youtube.com/watch?v=EuJ89QzqrAg&amp;list=PLicNtF7vp6fnfDqrRLH6H7fIbzYT4ct4F&amp;index=11</x:v>
      </x:c>
      <x:c r="O78" s="14" t="n">
        <x:v>0</x:v>
      </x:c>
      <x:c r="P78" s="14" t="str">
        <x:v>Hayır</x:v>
      </x:c>
      <x:c r="Q78" s="14" t="str">
        <x:v>Evet</x:v>
      </x:c>
      <x:c r="R78" s="14" t="str">
        <x:v>Planlandı</x:v>
      </x:c>
      <x:c r="S78" s="15" t="str"/>
      <x:c r="T78" s="14" t="str">
        <x:v>Yeni konu ancak plan sırasıyla açılır; LGS dışı ileri TYT içeriği zorunlu değildir.</x:v>
      </x:c>
    </x:row>
    <x:row r="79">
      <x:c r="A79" s="14" t="n">
        <x:v>78</x:v>
      </x:c>
      <x:c r="B79" s="15" t="n">
        <x:v>46302</x:v>
      </x:c>
      <x:c r="C79" s="14" t="str">
        <x:v>Çarşamba</x:v>
      </x:c>
      <x:c r="D79" s="14" t="str">
        <x:v>Okul Günü</x:v>
      </x:c>
      <x:c r="E79" s="14" t="str">
        <x:v>16:00 sonrası</x:v>
      </x:c>
      <x:c r="F79" s="14" t="str">
        <x:v>F1 - Temel Kurma</x:v>
      </x:c>
      <x:c r="G79" s="14" t="str">
        <x:v>17:10</x:v>
      </x:c>
      <x:c r="H79" s="14" t="str">
        <x:v>17:55</x:v>
      </x:c>
      <x:c r="I79" s="14" t="str">
        <x:v>Matematik</x:v>
      </x:c>
      <x:c r="J79" s="14" t="str">
        <x:v>Kitap / MEB / Mastery</x:v>
      </x:c>
      <x:c r="K79" s="14" t="str">
        <x:v>Tam Sayılar</x:v>
      </x:c>
      <x:c r="L79" s="14" t="str">
        <x:v>Tam Sayılar için ilgili MEB sorularını TAMAMLA; D/Y/B kaydet. Bu oturum konu mastery gate'idir.</x:v>
      </x:c>
      <x:c r="M79" s="14" t="str">
        <x:v>MEB Resmî Soru Seti</x:v>
      </x:c>
      <x:c r="N79" s="14" t="str">
        <x:v>https://odsgm.meb.gov.tr/www/5-6-7-ve-9-sinif-duzeylerinde-calisma-sorulari-yayimlandi/icerik/775</x:v>
      </x:c>
      <x:c r="O79" s="14" t="n">
        <x:v>0</x:v>
      </x:c>
      <x:c r="P79" s="14" t="str">
        <x:v>Hayır</x:v>
      </x:c>
      <x:c r="Q79" s="14" t="str">
        <x:v>Evet</x:v>
      </x:c>
      <x:c r="R79" s="14" t="str">
        <x:v>Planlandı</x:v>
      </x:c>
      <x:c r="S79" s="15" t="str"/>
      <x:c r="T79" s="14" t="str">
        <x:v>MEB sonucu Konu_Ustaligi sayfasına işlenir.</x:v>
      </x:c>
    </x:row>
    <x:row r="80">
      <x:c r="A80" s="14" t="n">
        <x:v>79</x:v>
      </x:c>
      <x:c r="B80" s="15" t="n">
        <x:v>46302</x:v>
      </x:c>
      <x:c r="C80" s="14" t="str">
        <x:v>Çarşamba</x:v>
      </x:c>
      <x:c r="D80" s="14" t="str">
        <x:v>Okul Günü</x:v>
      </x:c>
      <x:c r="E80" s="14" t="str">
        <x:v>16:00 sonrası</x:v>
      </x:c>
      <x:c r="F80" s="14" t="str">
        <x:v>F1 - Temel Kurma</x:v>
      </x:c>
      <x:c r="G80" s="14" t="str">
        <x:v>17:55</x:v>
      </x:c>
      <x:c r="H80" s="14" t="str">
        <x:v>18:25</x:v>
      </x:c>
      <x:c r="I80" s="14" t="str">
        <x:v>Genel</x:v>
      </x:c>
      <x:c r="J80" s="14" t="str">
        <x:v>Yemek / Serbest Zaman</x:v>
      </x:c>
      <x:c r="K80" s="14" t="str"/>
      <x:c r="L80" s="14" t="str">
        <x:v>Yemek, hareket ve dinlenme.</x:v>
      </x:c>
      <x:c r="M80" s="14" t="str"/>
      <x:c r="N80" s="14" t="str"/>
      <x:c r="O80" s="14" t="n">
        <x:v>0</x:v>
      </x:c>
      <x:c r="P80" s="14" t="str">
        <x:v>Hayır</x:v>
      </x:c>
      <x:c r="Q80" s="14" t="str">
        <x:v>Hayır</x:v>
      </x:c>
      <x:c r="R80" s="14" t="str">
        <x:v>Planlandı</x:v>
      </x:c>
      <x:c r="S80" s="15" t="str"/>
      <x:c r="T80" s="14" t="str"/>
    </x:row>
    <x:row r="81">
      <x:c r="A81" s="14" t="n">
        <x:v>80</x:v>
      </x:c>
      <x:c r="B81" s="15" t="n">
        <x:v>46302</x:v>
      </x:c>
      <x:c r="C81" s="14" t="str">
        <x:v>Çarşamba</x:v>
      </x:c>
      <x:c r="D81" s="14" t="str">
        <x:v>Okul Günü</x:v>
      </x:c>
      <x:c r="E81" s="14" t="str">
        <x:v>16:00 sonrası</x:v>
      </x:c>
      <x:c r="F81" s="14" t="str">
        <x:v>F1 - Temel Kurma</x:v>
      </x:c>
      <x:c r="G81" s="14" t="str">
        <x:v>18:25</x:v>
      </x:c>
      <x:c r="H81" s="14" t="str">
        <x:v>18:55</x:v>
      </x:c>
      <x:c r="I81" s="14" t="str">
        <x:v>Türkçe</x:v>
      </x:c>
      <x:c r="J81" s="14" t="str">
        <x:v>Paragraf Rutini</x:v>
      </x:c>
      <x:c r="K81" s="14" t="str">
        <x:v>Paragraf</x:v>
      </x:c>
      <x:c r="L81" s="14" t="str">
        <x:v>En az 20 paragraf sorusu çöz; ilk 20 soruyu ileri sayımla ölç, D/Y/B + süre kaydet.</x:v>
      </x:c>
      <x:c r="M81" s="14" t="str">
        <x:v>Hız 8. Sınıf Türkçe Paragraf (ISBN 9786258394498)</x:v>
      </x:c>
      <x:c r="N81" s="14" t="str"/>
      <x:c r="O81" s="14" t="n">
        <x:v>20</x:v>
      </x:c>
      <x:c r="P81" s="14" t="str">
        <x:v>İlk 20 soru</x:v>
      </x:c>
      <x:c r="Q81" s="14" t="str">
        <x:v>Evet</x:v>
      </x:c>
      <x:c r="R81" s="14" t="str">
        <x:v>Planlandı</x:v>
      </x:c>
      <x:c r="S81" s="15" t="str"/>
      <x:c r="T81" s="14" t="str">
        <x:v>Geri sayım ve hedef süre yok.</x:v>
      </x:c>
    </x:row>
    <x:row r="82">
      <x:c r="A82" s="14" t="n">
        <x:v>81</x:v>
      </x:c>
      <x:c r="B82" s="15" t="n">
        <x:v>46302</x:v>
      </x:c>
      <x:c r="C82" s="14" t="str">
        <x:v>Çarşamba</x:v>
      </x:c>
      <x:c r="D82" s="14" t="str">
        <x:v>Okul Günü</x:v>
      </x:c>
      <x:c r="E82" s="14" t="str">
        <x:v>16:00 sonrası</x:v>
      </x:c>
      <x:c r="F82" s="14" t="str">
        <x:v>F1 - Temel Kurma</x:v>
      </x:c>
      <x:c r="G82" s="14" t="str">
        <x:v>19:00</x:v>
      </x:c>
      <x:c r="H82" s="14" t="str">
        <x:v>19:35</x:v>
      </x:c>
      <x:c r="I82" s="14" t="str">
        <x:v>Türkçe</x:v>
      </x:c>
      <x:c r="J82" s="14" t="str">
        <x:v>Konu / Tekrar</x:v>
      </x:c>
      <x:c r="K82" s="14" t="str">
        <x:v>Cümlede Anlam</x:v>
      </x:c>
      <x:c r="L82" s="14" t="str">
        <x:v>Cümlede Anlam — genel oynatma listesinden ilgili videoyu izle (2/4).</x:v>
      </x:c>
      <x:c r="M82" s="14" t="str">
        <x:v>Türkçe Ana Oynatma Listesi</x:v>
      </x:c>
      <x:c r="N82" s="14" t="str">
        <x:v>https://www.youtube.com/watch?v=VYsPntNKVdw&amp;list=PLIBjFaUoJJ91bz7QQEBlxNJNZka5YQRr6</x:v>
      </x:c>
      <x:c r="O82" s="14" t="n">
        <x:v>0</x:v>
      </x:c>
      <x:c r="P82" s="14" t="str">
        <x:v>Hayır</x:v>
      </x:c>
      <x:c r="Q82" s="14" t="str">
        <x:v>Evet</x:v>
      </x:c>
      <x:c r="R82" s="14" t="str">
        <x:v>Planlandı</x:v>
      </x:c>
      <x:c r="S82" s="15" t="str"/>
      <x:c r="T82" s="14" t="str">
        <x:v>TYT etiketli kaynak temelden başlamak için sabittir; LGS dışı gereksiz ayrıntı zorunlu değildir.</x:v>
      </x:c>
    </x:row>
    <x:row r="83">
      <x:c r="A83" s="14" t="n">
        <x:v>82</x:v>
      </x:c>
      <x:c r="B83" s="15" t="n">
        <x:v>46302</x:v>
      </x:c>
      <x:c r="C83" s="14" t="str">
        <x:v>Çarşamba</x:v>
      </x:c>
      <x:c r="D83" s="14" t="str">
        <x:v>Okul Günü</x:v>
      </x:c>
      <x:c r="E83" s="14" t="str">
        <x:v>16:00 sonrası</x:v>
      </x:c>
      <x:c r="F83" s="14" t="str">
        <x:v>F1 - Temel Kurma</x:v>
      </x:c>
      <x:c r="G83" s="14" t="str">
        <x:v>19:40</x:v>
      </x:c>
      <x:c r="H83" s="14" t="str">
        <x:v>20:10</x:v>
      </x:c>
      <x:c r="I83" s="14" t="str">
        <x:v>Türkçe</x:v>
      </x:c>
      <x:c r="J83" s="14" t="str">
        <x:v>Kitap / MEB / Mastery</x:v>
      </x:c>
      <x:c r="K83" s="14" t="str">
        <x:v>Cümlede Anlam</x:v>
      </x:c>
      <x:c r="L83" s="14" t="str">
        <x:v>Cümlede Anlam ile ilgili soru kitabından en az 10 soru / bugünkü test payını çöz.</x:v>
      </x:c>
      <x:c r="M83" s="14" t="str">
        <x:v>Ankara 8. Sınıf Dil Bilgisi Güçlendiren</x:v>
      </x:c>
      <x:c r="N83" s="14" t="str">
        <x:v>https://odsgm.meb.gov.tr/www/8sinif-calisma-sorulari/icerik/1632</x:v>
      </x:c>
      <x:c r="O83" s="14" t="n">
        <x:v>10</x:v>
      </x:c>
      <x:c r="P83" s="14" t="str">
        <x:v>Hayır</x:v>
      </x:c>
      <x:c r="Q83" s="14" t="str">
        <x:v>Evet</x:v>
      </x:c>
      <x:c r="R83" s="14" t="str">
        <x:v>Planlandı</x:v>
      </x:c>
      <x:c r="S83" s="15" t="str"/>
      <x:c r="T83" s="14" t="str"/>
    </x:row>
    <x:row r="84">
      <x:c r="A84" s="14" t="n">
        <x:v>83</x:v>
      </x:c>
      <x:c r="B84" s="15" t="n">
        <x:v>46302</x:v>
      </x:c>
      <x:c r="C84" s="14" t="str">
        <x:v>Çarşamba</x:v>
      </x:c>
      <x:c r="D84" s="14" t="str">
        <x:v>Okul Günü</x:v>
      </x:c>
      <x:c r="E84" s="14" t="str">
        <x:v>16:00 sonrası</x:v>
      </x:c>
      <x:c r="F84" s="14" t="str">
        <x:v>F1 - Temel Kurma</x:v>
      </x:c>
      <x:c r="G84" s="14" t="str">
        <x:v>20:15</x:v>
      </x:c>
      <x:c r="H84" s="14" t="str">
        <x:v>20:50</x:v>
      </x:c>
      <x:c r="I84" s="14" t="str">
        <x:v>İnkılap</x:v>
      </x:c>
      <x:c r="J84" s="14" t="str">
        <x:v>Konu / Tekrar</x:v>
      </x:c>
      <x:c r="K84" s="14" t="str">
        <x:v>Bir Kahraman Doğuyor - Avrupa ve Osmanlı’nın Durumu</x:v>
      </x:c>
      <x:c r="L84" s="14" t="str">
        <x:v>Bir Kahraman Doğuyor - Avrupa ve Osmanlı’nın Durumu — genel oynatma listesinden ilgili konu/soru çalışmasını yap.</x:v>
      </x:c>
      <x:c r="M84" s="14" t="str">
        <x:v>İnkılap Genel Oynatma Listesi</x:v>
      </x:c>
      <x:c r="N84" s="14" t="str">
        <x:v>https://www.youtube.com/watch?v=MltIX0oKpYU&amp;list=PLsAsBPsriHNbXit4Ra3iuBrk1ZHZWxsOR&amp;index=78</x:v>
      </x:c>
      <x:c r="O84" s="14" t="n">
        <x:v>0</x:v>
      </x:c>
      <x:c r="P84" s="14" t="str">
        <x:v>Hayır</x:v>
      </x:c>
      <x:c r="Q84" s="14" t="str">
        <x:v>Evet</x:v>
      </x:c>
      <x:c r="R84" s="14" t="str">
        <x:v>Planlandı</x:v>
      </x:c>
      <x:c r="S84" s="15" t="str"/>
      <x:c r="T84" s="14" t="str">
        <x:v>İnkılapta okul yazılısı videoları zorunlu değildir.</x:v>
      </x:c>
    </x:row>
    <x:row r="85">
      <x:c r="A85" s="14" t="n">
        <x:v>84</x:v>
      </x:c>
      <x:c r="B85" s="15" t="n">
        <x:v>46302</x:v>
      </x:c>
      <x:c r="C85" s="14" t="str">
        <x:v>Çarşamba</x:v>
      </x:c>
      <x:c r="D85" s="14" t="str">
        <x:v>Okul Günü</x:v>
      </x:c>
      <x:c r="E85" s="14" t="str">
        <x:v>16:00 sonrası</x:v>
      </x:c>
      <x:c r="F85" s="14" t="str">
        <x:v>F1 - Temel Kurma</x:v>
      </x:c>
      <x:c r="G85" s="14" t="str">
        <x:v>20:55</x:v>
      </x:c>
      <x:c r="H85" s="14" t="str">
        <x:v>21:20</x:v>
      </x:c>
      <x:c r="I85" s="14" t="str">
        <x:v>İnkılap</x:v>
      </x:c>
      <x:c r="J85" s="14" t="str">
        <x:v>Kitap / MEB / Mastery</x:v>
      </x:c>
      <x:c r="K85" s="14" t="str">
        <x:v>Bir Kahraman Doğuyor - Avrupa ve Osmanlı’nın Durumu</x:v>
      </x:c>
      <x:c r="L85" s="14" t="str">
        <x:v>Bir Kahraman Doğuyor - Avrupa ve Osmanlı’nın Durumu ile ilgili soru kitabından en az 15 soru / bugünkü test payını çöz.</x:v>
      </x:c>
      <x:c r="M85" s="14" t="str">
        <x:v>Hız 8. Sınıf T.C. İnkılap Tarihi ve Atatürkçülük</x:v>
      </x:c>
      <x:c r="N85" s="14" t="str">
        <x:v>https://www.youtube.com/watch?v=MltIX0oKpYU&amp;list=PLsAsBPsriHNbXit4Ra3iuBrk1ZHZWxsOR&amp;index=78</x:v>
      </x:c>
      <x:c r="O85" s="14" t="n">
        <x:v>15</x:v>
      </x:c>
      <x:c r="P85" s="14" t="str">
        <x:v>Hayır</x:v>
      </x:c>
      <x:c r="Q85" s="14" t="str">
        <x:v>Evet</x:v>
      </x:c>
      <x:c r="R85" s="14" t="str">
        <x:v>Planlandı</x:v>
      </x:c>
      <x:c r="S85" s="15" t="str"/>
      <x:c r="T85" s="14" t="str"/>
    </x:row>
    <x:row r="86">
      <x:c r="A86" s="14" t="n">
        <x:v>85</x:v>
      </x:c>
      <x:c r="B86" s="15" t="n">
        <x:v>46302</x:v>
      </x:c>
      <x:c r="C86" s="14" t="str">
        <x:v>Çarşamba</x:v>
      </x:c>
      <x:c r="D86" s="14" t="str">
        <x:v>Okul Günü</x:v>
      </x:c>
      <x:c r="E86" s="14" t="str">
        <x:v>16:00 sonrası</x:v>
      </x:c>
      <x:c r="F86" s="14" t="str">
        <x:v>F1 - Temel Kurma</x:v>
      </x:c>
      <x:c r="G86" s="14" t="str">
        <x:v>21:20</x:v>
      </x:c>
      <x:c r="H86" s="14" t="str">
        <x:v>21:35</x:v>
      </x:c>
      <x:c r="I86" s="14" t="str">
        <x:v>Genel</x:v>
      </x:c>
      <x:c r="J86" s="14" t="str">
        <x:v>Yanlış / Boş Analizi</x:v>
      </x:c>
      <x:c r="K86" s="14" t="str">
        <x:v>Günlük</x:v>
      </x:c>
      <x:c r="L86" s="14" t="str">
        <x:v>Bugünkü yanlış/boşları kaydet; çözümünü öğrenmeden kapatma. Hata türünü sınıflandır.</x:v>
      </x:c>
      <x:c r="M86" s="14" t="str">
        <x:v>Yanlış Defteri</x:v>
      </x:c>
      <x:c r="N86" s="14" t="str"/>
      <x:c r="O86" s="14" t="n">
        <x:v>0</x:v>
      </x:c>
      <x:c r="P86" s="14" t="str">
        <x:v>Hayır</x:v>
      </x:c>
      <x:c r="Q86" s="14" t="str">
        <x:v>Evet</x:v>
      </x:c>
      <x:c r="R86" s="14" t="str">
        <x:v>Planlandı</x:v>
      </x:c>
      <x:c r="S86" s="15" t="str"/>
      <x:c r="T86" s="14" t="str"/>
    </x:row>
    <x:row r="87">
      <x:c r="A87" s="14" t="n">
        <x:v>86</x:v>
      </x:c>
      <x:c r="B87" s="15" t="n">
        <x:v>46302</x:v>
      </x:c>
      <x:c r="C87" s="14" t="str">
        <x:v>Çarşamba</x:v>
      </x:c>
      <x:c r="D87" s="14" t="str">
        <x:v>Okul Günü</x:v>
      </x:c>
      <x:c r="E87" s="14" t="str">
        <x:v>16:00 sonrası</x:v>
      </x:c>
      <x:c r="F87" s="14" t="str">
        <x:v>F1 - Temel Kurma</x:v>
      </x:c>
      <x:c r="G87" s="14" t="str">
        <x:v>21:35</x:v>
      </x:c>
      <x:c r="H87" s="14" t="str">
        <x:v>21:50</x:v>
      </x:c>
      <x:c r="I87" s="14" t="str">
        <x:v>Genel</x:v>
      </x:c>
      <x:c r="J87" s="14" t="str">
        <x:v>Aralıklı Hata Tekrarı</x:v>
      </x:c>
      <x:c r="K87" s="14" t="str">
        <x:v>+1 / +7 / +21</x:v>
      </x:c>
      <x:c r="L87" s="14" t="str">
        <x:v>Bugün vadesi gelen yanlış soruları tekrar çöz. Vadesi yoksa bu süre serbest/okuma olabilir.</x:v>
      </x:c>
      <x:c r="M87" s="14" t="str">
        <x:v>Yanlış Defteri</x:v>
      </x:c>
      <x:c r="N87" s="14" t="str"/>
      <x:c r="O87" s="14" t="n">
        <x:v>0</x:v>
      </x:c>
      <x:c r="P87" s="14" t="str">
        <x:v>Hayır</x:v>
      </x:c>
      <x:c r="Q87" s="14" t="str">
        <x:v>Koşullu</x:v>
      </x:c>
      <x:c r="R87" s="14" t="str">
        <x:v>Planlandı</x:v>
      </x:c>
      <x:c r="S87" s="15" t="str"/>
      <x:c r="T87" s="14" t="str">
        <x:v>Yanlışlar +1, +7 ve +21 gün aralıklarıyla tekrar edilir; hâlâ yanlışsa konu mastery durumu düşürülür.</x:v>
      </x:c>
    </x:row>
    <x:row r="88">
      <x:c r="A88" s="14" t="n">
        <x:v>87</x:v>
      </x:c>
      <x:c r="B88" s="15" t="n">
        <x:v>46302</x:v>
      </x:c>
      <x:c r="C88" s="14" t="str">
        <x:v>Çarşamba</x:v>
      </x:c>
      <x:c r="D88" s="14" t="str">
        <x:v>Okul Günü</x:v>
      </x:c>
      <x:c r="E88" s="14" t="str">
        <x:v>16:00 sonrası</x:v>
      </x:c>
      <x:c r="F88" s="14" t="str">
        <x:v>F1 - Temel Kurma</x:v>
      </x:c>
      <x:c r="G88" s="14" t="str">
        <x:v>21:50</x:v>
      </x:c>
      <x:c r="H88" s="14" t="str">
        <x:v>22:00</x:v>
      </x:c>
      <x:c r="I88" s="14" t="str">
        <x:v>Genel</x:v>
      </x:c>
      <x:c r="J88" s="14" t="str">
        <x:v>Uyku Hazırlığı</x:v>
      </x:c>
      <x:c r="K88" s="14" t="str"/>
      <x:c r="L88" s="14" t="str">
        <x:v>22:00'de yatakta ve uyku.</x:v>
      </x:c>
      <x:c r="M88" s="14" t="str"/>
      <x:c r="N88" s="14" t="str"/>
      <x:c r="O88" s="14" t="n">
        <x:v>0</x:v>
      </x:c>
      <x:c r="P88" s="14" t="str">
        <x:v>Hayır</x:v>
      </x:c>
      <x:c r="Q88" s="14" t="str">
        <x:v>Hayır</x:v>
      </x:c>
      <x:c r="R88" s="14" t="str">
        <x:v>Planlandı</x:v>
      </x:c>
      <x:c r="S88" s="15" t="str"/>
      <x:c r="T88" s="14" t="str"/>
    </x:row>
    <x:row r="89">
      <x:c r="A89" s="14" t="n">
        <x:v>88</x:v>
      </x:c>
      <x:c r="B89" s="15" t="n">
        <x:v>46303</x:v>
      </x:c>
      <x:c r="C89" s="14" t="str">
        <x:v>Perşembe</x:v>
      </x:c>
      <x:c r="D89" s="14" t="str">
        <x:v>Okul Günü</x:v>
      </x:c>
      <x:c r="E89" s="14" t="str">
        <x:v>16:00 sonrası</x:v>
      </x:c>
      <x:c r="F89" s="14" t="str">
        <x:v>F1 - Temel Kurma</x:v>
      </x:c>
      <x:c r="G89" s="14" t="str">
        <x:v>16:00</x:v>
      </x:c>
      <x:c r="H89" s="14" t="str">
        <x:v>16:25</x:v>
      </x:c>
      <x:c r="I89" s="14" t="str">
        <x:v>Genel</x:v>
      </x:c>
      <x:c r="J89" s="14" t="str">
        <x:v>Dinlenme</x:v>
      </x:c>
      <x:c r="K89" s="14" t="str"/>
      <x:c r="L89" s="14" t="str">
        <x:v>Eve geliş, atıştırma ve dinlenme.</x:v>
      </x:c>
      <x:c r="M89" s="14" t="str"/>
      <x:c r="N89" s="14" t="str"/>
      <x:c r="O89" s="14" t="n">
        <x:v>0</x:v>
      </x:c>
      <x:c r="P89" s="14" t="str">
        <x:v>Hayır</x:v>
      </x:c>
      <x:c r="Q89" s="14" t="str">
        <x:v>Hayır</x:v>
      </x:c>
      <x:c r="R89" s="14" t="str">
        <x:v>Planlandı</x:v>
      </x:c>
      <x:c r="S89" s="15" t="str"/>
      <x:c r="T89" s="14" t="str"/>
    </x:row>
    <x:row r="90">
      <x:c r="A90" s="14" t="n">
        <x:v>89</x:v>
      </x:c>
      <x:c r="B90" s="15" t="n">
        <x:v>46303</x:v>
      </x:c>
      <x:c r="C90" s="14" t="str">
        <x:v>Perşembe</x:v>
      </x:c>
      <x:c r="D90" s="14" t="str">
        <x:v>Okul Günü</x:v>
      </x:c>
      <x:c r="E90" s="14" t="str">
        <x:v>16:00 sonrası</x:v>
      </x:c>
      <x:c r="F90" s="14" t="str">
        <x:v>F1 - Temel Kurma</x:v>
      </x:c>
      <x:c r="G90" s="14" t="str">
        <x:v>16:25</x:v>
      </x:c>
      <x:c r="H90" s="14" t="str">
        <x:v>17:05</x:v>
      </x:c>
      <x:c r="I90" s="14" t="str">
        <x:v>Matematik</x:v>
      </x:c>
      <x:c r="J90" s="14" t="str">
        <x:v>Konu / Tekrar</x:v>
      </x:c>
      <x:c r="K90" s="14" t="str">
        <x:v>Rasyonel Sayılar</x:v>
      </x:c>
      <x:c r="L90" s="14" t="str">
        <x:v>Rasyonel Sayılar — genel oynatma listesinden ilgili videoyu izle (1/4).</x:v>
      </x:c>
      <x:c r="M90" s="14" t="str">
        <x:v>Matematik Ana Oynatma Listesi</x:v>
      </x:c>
      <x:c r="N90" s="14" t="str">
        <x:v>https://www.youtube.com/watch?v=EuJ89QzqrAg&amp;list=PLicNtF7vp6fnfDqrRLH6H7fIbzYT4ct4F&amp;index=11</x:v>
      </x:c>
      <x:c r="O90" s="14" t="n">
        <x:v>0</x:v>
      </x:c>
      <x:c r="P90" s="14" t="str">
        <x:v>Hayır</x:v>
      </x:c>
      <x:c r="Q90" s="14" t="str">
        <x:v>Evet</x:v>
      </x:c>
      <x:c r="R90" s="14" t="str">
        <x:v>Planlandı</x:v>
      </x:c>
      <x:c r="S90" s="15" t="str"/>
      <x:c r="T90" s="14" t="str">
        <x:v>Yeni konu ancak plan sırasıyla açılır; LGS dışı ileri TYT içeriği zorunlu değildir.</x:v>
      </x:c>
    </x:row>
    <x:row r="91">
      <x:c r="A91" s="14" t="n">
        <x:v>90</x:v>
      </x:c>
      <x:c r="B91" s="15" t="n">
        <x:v>46303</x:v>
      </x:c>
      <x:c r="C91" s="14" t="str">
        <x:v>Perşembe</x:v>
      </x:c>
      <x:c r="D91" s="14" t="str">
        <x:v>Okul Günü</x:v>
      </x:c>
      <x:c r="E91" s="14" t="str">
        <x:v>16:00 sonrası</x:v>
      </x:c>
      <x:c r="F91" s="14" t="str">
        <x:v>F1 - Temel Kurma</x:v>
      </x:c>
      <x:c r="G91" s="14" t="str">
        <x:v>17:10</x:v>
      </x:c>
      <x:c r="H91" s="14" t="str">
        <x:v>17:55</x:v>
      </x:c>
      <x:c r="I91" s="14" t="str">
        <x:v>Matematik</x:v>
      </x:c>
      <x:c r="J91" s="14" t="str">
        <x:v>Kitap / MEB / Mastery</x:v>
      </x:c>
      <x:c r="K91" s="14" t="str">
        <x:v>Rasyonel Sayılar</x:v>
      </x:c>
      <x:c r="L91" s="14" t="str">
        <x:v>Rasyonel Sayılar ile ilgili soru kitabından en az 20 soru / bugünkü test payını çöz.</x:v>
      </x:c>
      <x:c r="M91" s="14" t="str">
        <x:v>MUBA 8. Sınıf Başlangıç Matematik (ISBN 9789756526972) (eşleşen bölüm) + MEB temel destek</x:v>
      </x:c>
      <x:c r="N91" s="14" t="str">
        <x:v>https://odsgm.meb.gov.tr/www/5-6-7-ve-9-sinif-duzeylerinde-calisma-sorulari-yayimlandi/icerik/775</x:v>
      </x:c>
      <x:c r="O91" s="14" t="n">
        <x:v>20</x:v>
      </x:c>
      <x:c r="P91" s="14" t="str">
        <x:v>İlk 20 soru</x:v>
      </x:c>
      <x:c r="Q91" s="14" t="str">
        <x:v>Evet</x:v>
      </x:c>
      <x:c r="R91" s="14" t="str">
        <x:v>Planlandı</x:v>
      </x:c>
      <x:c r="S91" s="15" t="str"/>
      <x:c r="T91" s="14" t="str">
        <x:v>Ayrı/rastgele matematik benchmark yoktur. Süreli ilk 20 soru o gün çalışılan konunun içindedir.</x:v>
      </x:c>
    </x:row>
    <x:row r="92">
      <x:c r="A92" s="14" t="n">
        <x:v>91</x:v>
      </x:c>
      <x:c r="B92" s="15" t="n">
        <x:v>46303</x:v>
      </x:c>
      <x:c r="C92" s="14" t="str">
        <x:v>Perşembe</x:v>
      </x:c>
      <x:c r="D92" s="14" t="str">
        <x:v>Okul Günü</x:v>
      </x:c>
      <x:c r="E92" s="14" t="str">
        <x:v>16:00 sonrası</x:v>
      </x:c>
      <x:c r="F92" s="14" t="str">
        <x:v>F1 - Temel Kurma</x:v>
      </x:c>
      <x:c r="G92" s="14" t="str">
        <x:v>17:55</x:v>
      </x:c>
      <x:c r="H92" s="14" t="str">
        <x:v>18:25</x:v>
      </x:c>
      <x:c r="I92" s="14" t="str">
        <x:v>Genel</x:v>
      </x:c>
      <x:c r="J92" s="14" t="str">
        <x:v>Yemek / Serbest Zaman</x:v>
      </x:c>
      <x:c r="K92" s="14" t="str"/>
      <x:c r="L92" s="14" t="str">
        <x:v>Yemek, hareket ve dinlenme.</x:v>
      </x:c>
      <x:c r="M92" s="14" t="str"/>
      <x:c r="N92" s="14" t="str"/>
      <x:c r="O92" s="14" t="n">
        <x:v>0</x:v>
      </x:c>
      <x:c r="P92" s="14" t="str">
        <x:v>Hayır</x:v>
      </x:c>
      <x:c r="Q92" s="14" t="str">
        <x:v>Hayır</x:v>
      </x:c>
      <x:c r="R92" s="14" t="str">
        <x:v>Planlandı</x:v>
      </x:c>
      <x:c r="S92" s="15" t="str"/>
      <x:c r="T92" s="14" t="str"/>
    </x:row>
    <x:row r="93">
      <x:c r="A93" s="14" t="n">
        <x:v>92</x:v>
      </x:c>
      <x:c r="B93" s="15" t="n">
        <x:v>46303</x:v>
      </x:c>
      <x:c r="C93" s="14" t="str">
        <x:v>Perşembe</x:v>
      </x:c>
      <x:c r="D93" s="14" t="str">
        <x:v>Okul Günü</x:v>
      </x:c>
      <x:c r="E93" s="14" t="str">
        <x:v>16:00 sonrası</x:v>
      </x:c>
      <x:c r="F93" s="14" t="str">
        <x:v>F1 - Temel Kurma</x:v>
      </x:c>
      <x:c r="G93" s="14" t="str">
        <x:v>18:25</x:v>
      </x:c>
      <x:c r="H93" s="14" t="str">
        <x:v>18:55</x:v>
      </x:c>
      <x:c r="I93" s="14" t="str">
        <x:v>Türkçe</x:v>
      </x:c>
      <x:c r="J93" s="14" t="str">
        <x:v>Paragraf Rutini</x:v>
      </x:c>
      <x:c r="K93" s="14" t="str">
        <x:v>Paragraf</x:v>
      </x:c>
      <x:c r="L93" s="14" t="str">
        <x:v>En az 20 paragraf sorusu çöz; ilk 20 soruyu ileri sayımla ölç, D/Y/B + süre kaydet.</x:v>
      </x:c>
      <x:c r="M93" s="14" t="str">
        <x:v>Hız 8. Sınıf Türkçe Paragraf (ISBN 9786258394498)</x:v>
      </x:c>
      <x:c r="N93" s="14" t="str"/>
      <x:c r="O93" s="14" t="n">
        <x:v>20</x:v>
      </x:c>
      <x:c r="P93" s="14" t="str">
        <x:v>İlk 20 soru</x:v>
      </x:c>
      <x:c r="Q93" s="14" t="str">
        <x:v>Evet</x:v>
      </x:c>
      <x:c r="R93" s="14" t="str">
        <x:v>Planlandı</x:v>
      </x:c>
      <x:c r="S93" s="15" t="str"/>
      <x:c r="T93" s="14" t="str">
        <x:v>Geri sayım ve hedef süre yok.</x:v>
      </x:c>
    </x:row>
    <x:row r="94">
      <x:c r="A94" s="14" t="n">
        <x:v>93</x:v>
      </x:c>
      <x:c r="B94" s="15" t="n">
        <x:v>46303</x:v>
      </x:c>
      <x:c r="C94" s="14" t="str">
        <x:v>Perşembe</x:v>
      </x:c>
      <x:c r="D94" s="14" t="str">
        <x:v>Okul Günü</x:v>
      </x:c>
      <x:c r="E94" s="14" t="str">
        <x:v>16:00 sonrası</x:v>
      </x:c>
      <x:c r="F94" s="14" t="str">
        <x:v>F1 - Temel Kurma</x:v>
      </x:c>
      <x:c r="G94" s="14" t="str">
        <x:v>19:00</x:v>
      </x:c>
      <x:c r="H94" s="14" t="str">
        <x:v>19:35</x:v>
      </x:c>
      <x:c r="I94" s="14" t="str">
        <x:v>Türkçe</x:v>
      </x:c>
      <x:c r="J94" s="14" t="str">
        <x:v>Konu / Tekrar</x:v>
      </x:c>
      <x:c r="K94" s="14" t="str">
        <x:v>Cümlede Anlam</x:v>
      </x:c>
      <x:c r="L94" s="14" t="str">
        <x:v>Cümlede Anlam — genel oynatma listesinden ilgili videoyu izle (3/4).</x:v>
      </x:c>
      <x:c r="M94" s="14" t="str">
        <x:v>Türkçe Ana Oynatma Listesi</x:v>
      </x:c>
      <x:c r="N94" s="14" t="str">
        <x:v>https://www.youtube.com/watch?v=VYsPntNKVdw&amp;list=PLIBjFaUoJJ91bz7QQEBlxNJNZka5YQRr6</x:v>
      </x:c>
      <x:c r="O94" s="14" t="n">
        <x:v>0</x:v>
      </x:c>
      <x:c r="P94" s="14" t="str">
        <x:v>Hayır</x:v>
      </x:c>
      <x:c r="Q94" s="14" t="str">
        <x:v>Evet</x:v>
      </x:c>
      <x:c r="R94" s="14" t="str">
        <x:v>Planlandı</x:v>
      </x:c>
      <x:c r="S94" s="15" t="str"/>
      <x:c r="T94" s="14" t="str">
        <x:v>TYT etiketli kaynak temelden başlamak için sabittir; LGS dışı gereksiz ayrıntı zorunlu değildir.</x:v>
      </x:c>
    </x:row>
    <x:row r="95">
      <x:c r="A95" s="14" t="n">
        <x:v>94</x:v>
      </x:c>
      <x:c r="B95" s="15" t="n">
        <x:v>46303</x:v>
      </x:c>
      <x:c r="C95" s="14" t="str">
        <x:v>Perşembe</x:v>
      </x:c>
      <x:c r="D95" s="14" t="str">
        <x:v>Okul Günü</x:v>
      </x:c>
      <x:c r="E95" s="14" t="str">
        <x:v>16:00 sonrası</x:v>
      </x:c>
      <x:c r="F95" s="14" t="str">
        <x:v>F1 - Temel Kurma</x:v>
      </x:c>
      <x:c r="G95" s="14" t="str">
        <x:v>19:40</x:v>
      </x:c>
      <x:c r="H95" s="14" t="str">
        <x:v>20:10</x:v>
      </x:c>
      <x:c r="I95" s="14" t="str">
        <x:v>Türkçe</x:v>
      </x:c>
      <x:c r="J95" s="14" t="str">
        <x:v>Kitap / MEB / Mastery</x:v>
      </x:c>
      <x:c r="K95" s="14" t="str">
        <x:v>Cümlede Anlam</x:v>
      </x:c>
      <x:c r="L95" s="14" t="str">
        <x:v>Cümlede Anlam ile ilgili soru kitabından en az 10 soru / bugünkü test payını çöz.</x:v>
      </x:c>
      <x:c r="M95" s="14" t="str">
        <x:v>Ankara 8. Sınıf Dil Bilgisi Güçlendiren</x:v>
      </x:c>
      <x:c r="N95" s="14" t="str">
        <x:v>https://odsgm.meb.gov.tr/www/8sinif-calisma-sorulari/icerik/1632</x:v>
      </x:c>
      <x:c r="O95" s="14" t="n">
        <x:v>10</x:v>
      </x:c>
      <x:c r="P95" s="14" t="str">
        <x:v>Hayır</x:v>
      </x:c>
      <x:c r="Q95" s="14" t="str">
        <x:v>Evet</x:v>
      </x:c>
      <x:c r="R95" s="14" t="str">
        <x:v>Planlandı</x:v>
      </x:c>
      <x:c r="S95" s="15" t="str"/>
      <x:c r="T95" s="14" t="str"/>
    </x:row>
    <x:row r="96">
      <x:c r="A96" s="14" t="n">
        <x:v>95</x:v>
      </x:c>
      <x:c r="B96" s="15" t="n">
        <x:v>46303</x:v>
      </x:c>
      <x:c r="C96" s="14" t="str">
        <x:v>Perşembe</x:v>
      </x:c>
      <x:c r="D96" s="14" t="str">
        <x:v>Okul Günü</x:v>
      </x:c>
      <x:c r="E96" s="14" t="str">
        <x:v>16:00 sonrası</x:v>
      </x:c>
      <x:c r="F96" s="14" t="str">
        <x:v>F1 - Temel Kurma</x:v>
      </x:c>
      <x:c r="G96" s="14" t="str">
        <x:v>20:15</x:v>
      </x:c>
      <x:c r="H96" s="14" t="str">
        <x:v>20:50</x:v>
      </x:c>
      <x:c r="I96" s="14" t="str">
        <x:v>İngilizce</x:v>
      </x:c>
      <x:c r="J96" s="14" t="str">
        <x:v>Konu / Tekrar</x:v>
      </x:c>
      <x:c r="K96" s="14" t="str">
        <x:v>Unit 1 - Friendship</x:v>
      </x:c>
      <x:c r="L96" s="14" t="str">
        <x:v>Unit 1 - Friendship — Reading çalışmasını playlistten yap.</x:v>
      </x:c>
      <x:c r="M96" s="14" t="str">
        <x:v>İngilizce Genel Oynatma Listesi</x:v>
      </x:c>
      <x:c r="N96" s="14" t="str">
        <x:v>https://www.youtube.com/watch?v=FaY3dFjZbns&amp;list=PLSgpQDrUSYp94WgE9pzpHiOG5FwxnZBrr</x:v>
      </x:c>
      <x:c r="O96" s="14" t="n">
        <x:v>0</x:v>
      </x:c>
      <x:c r="P96" s="14" t="str">
        <x:v>Hayır</x:v>
      </x:c>
      <x:c r="Q96" s="14" t="str">
        <x:v>Evet</x:v>
      </x:c>
      <x:c r="R96" s="14" t="str">
        <x:v>Planlandı</x:v>
      </x:c>
      <x:c r="S96" s="15" t="str"/>
      <x:c r="T96" s="14" t="str"/>
    </x:row>
    <x:row r="97">
      <x:c r="A97" s="14" t="n">
        <x:v>96</x:v>
      </x:c>
      <x:c r="B97" s="15" t="n">
        <x:v>46303</x:v>
      </x:c>
      <x:c r="C97" s="14" t="str">
        <x:v>Perşembe</x:v>
      </x:c>
      <x:c r="D97" s="14" t="str">
        <x:v>Okul Günü</x:v>
      </x:c>
      <x:c r="E97" s="14" t="str">
        <x:v>16:00 sonrası</x:v>
      </x:c>
      <x:c r="F97" s="14" t="str">
        <x:v>F1 - Temel Kurma</x:v>
      </x:c>
      <x:c r="G97" s="14" t="str">
        <x:v>20:55</x:v>
      </x:c>
      <x:c r="H97" s="14" t="str">
        <x:v>21:20</x:v>
      </x:c>
      <x:c r="I97" s="14" t="str">
        <x:v>İngilizce</x:v>
      </x:c>
      <x:c r="J97" s="14" t="str">
        <x:v>Kitap / MEB / Mastery</x:v>
      </x:c>
      <x:c r="K97" s="14" t="str">
        <x:v>Unit 1 - Friendship</x:v>
      </x:c>
      <x:c r="L97" s="14" t="str">
        <x:v>Unit 1 - Friendship ile ilgili soru kitabından en az 15 soru / bugünkü test payını çöz.</x:v>
      </x:c>
      <x:c r="M97" s="14" t="str">
        <x:v>More &amp; More 8 Worksheets Notebook</x:v>
      </x:c>
      <x:c r="N97" s="14" t="str">
        <x:v>https://www.youtube.com/watch?v=FaY3dFjZbns&amp;list=PLSgpQDrUSYp94WgE9pzpHiOG5FwxnZBrr</x:v>
      </x:c>
      <x:c r="O97" s="14" t="n">
        <x:v>15</x:v>
      </x:c>
      <x:c r="P97" s="14" t="str">
        <x:v>Hayır</x:v>
      </x:c>
      <x:c r="Q97" s="14" t="str">
        <x:v>Evet</x:v>
      </x:c>
      <x:c r="R97" s="14" t="str">
        <x:v>Planlandı</x:v>
      </x:c>
      <x:c r="S97" s="15" t="str"/>
      <x:c r="T97" s="14" t="str"/>
    </x:row>
    <x:row r="98">
      <x:c r="A98" s="14" t="n">
        <x:v>97</x:v>
      </x:c>
      <x:c r="B98" s="15" t="n">
        <x:v>46303</x:v>
      </x:c>
      <x:c r="C98" s="14" t="str">
        <x:v>Perşembe</x:v>
      </x:c>
      <x:c r="D98" s="14" t="str">
        <x:v>Okul Günü</x:v>
      </x:c>
      <x:c r="E98" s="14" t="str">
        <x:v>16:00 sonrası</x:v>
      </x:c>
      <x:c r="F98" s="14" t="str">
        <x:v>F1 - Temel Kurma</x:v>
      </x:c>
      <x:c r="G98" s="14" t="str">
        <x:v>21:20</x:v>
      </x:c>
      <x:c r="H98" s="14" t="str">
        <x:v>21:35</x:v>
      </x:c>
      <x:c r="I98" s="14" t="str">
        <x:v>Genel</x:v>
      </x:c>
      <x:c r="J98" s="14" t="str">
        <x:v>Yanlış / Boş Analizi</x:v>
      </x:c>
      <x:c r="K98" s="14" t="str">
        <x:v>Günlük</x:v>
      </x:c>
      <x:c r="L98" s="14" t="str">
        <x:v>Bugünkü yanlış/boşları kaydet; çözümünü öğrenmeden kapatma. Hata türünü sınıflandır.</x:v>
      </x:c>
      <x:c r="M98" s="14" t="str">
        <x:v>Yanlış Defteri</x:v>
      </x:c>
      <x:c r="N98" s="14" t="str"/>
      <x:c r="O98" s="14" t="n">
        <x:v>0</x:v>
      </x:c>
      <x:c r="P98" s="14" t="str">
        <x:v>Hayır</x:v>
      </x:c>
      <x:c r="Q98" s="14" t="str">
        <x:v>Evet</x:v>
      </x:c>
      <x:c r="R98" s="14" t="str">
        <x:v>Planlandı</x:v>
      </x:c>
      <x:c r="S98" s="15" t="str"/>
      <x:c r="T98" s="14" t="str"/>
    </x:row>
    <x:row r="99">
      <x:c r="A99" s="14" t="n">
        <x:v>98</x:v>
      </x:c>
      <x:c r="B99" s="15" t="n">
        <x:v>46303</x:v>
      </x:c>
      <x:c r="C99" s="14" t="str">
        <x:v>Perşembe</x:v>
      </x:c>
      <x:c r="D99" s="14" t="str">
        <x:v>Okul Günü</x:v>
      </x:c>
      <x:c r="E99" s="14" t="str">
        <x:v>16:00 sonrası</x:v>
      </x:c>
      <x:c r="F99" s="14" t="str">
        <x:v>F1 - Temel Kurma</x:v>
      </x:c>
      <x:c r="G99" s="14" t="str">
        <x:v>21:35</x:v>
      </x:c>
      <x:c r="H99" s="14" t="str">
        <x:v>21:50</x:v>
      </x:c>
      <x:c r="I99" s="14" t="str">
        <x:v>Genel</x:v>
      </x:c>
      <x:c r="J99" s="14" t="str">
        <x:v>Aralıklı Hata Tekrarı</x:v>
      </x:c>
      <x:c r="K99" s="14" t="str">
        <x:v>+1 / +7 / +21</x:v>
      </x:c>
      <x:c r="L99" s="14" t="str">
        <x:v>Bugün vadesi gelen yanlış soruları tekrar çöz. Vadesi yoksa bu süre serbest/okuma olabilir.</x:v>
      </x:c>
      <x:c r="M99" s="14" t="str">
        <x:v>Yanlış Defteri</x:v>
      </x:c>
      <x:c r="N99" s="14" t="str"/>
      <x:c r="O99" s="14" t="n">
        <x:v>0</x:v>
      </x:c>
      <x:c r="P99" s="14" t="str">
        <x:v>Hayır</x:v>
      </x:c>
      <x:c r="Q99" s="14" t="str">
        <x:v>Koşullu</x:v>
      </x:c>
      <x:c r="R99" s="14" t="str">
        <x:v>Planlandı</x:v>
      </x:c>
      <x:c r="S99" s="15" t="str"/>
      <x:c r="T99" s="14" t="str">
        <x:v>Yanlışlar +1, +7 ve +21 gün aralıklarıyla tekrar edilir; hâlâ yanlışsa konu mastery durumu düşürülür.</x:v>
      </x:c>
    </x:row>
    <x:row r="100">
      <x:c r="A100" s="14" t="n">
        <x:v>99</x:v>
      </x:c>
      <x:c r="B100" s="15" t="n">
        <x:v>46303</x:v>
      </x:c>
      <x:c r="C100" s="14" t="str">
        <x:v>Perşembe</x:v>
      </x:c>
      <x:c r="D100" s="14" t="str">
        <x:v>Okul Günü</x:v>
      </x:c>
      <x:c r="E100" s="14" t="str">
        <x:v>16:00 sonrası</x:v>
      </x:c>
      <x:c r="F100" s="14" t="str">
        <x:v>F1 - Temel Kurma</x:v>
      </x:c>
      <x:c r="G100" s="14" t="str">
        <x:v>21:50</x:v>
      </x:c>
      <x:c r="H100" s="14" t="str">
        <x:v>22:00</x:v>
      </x:c>
      <x:c r="I100" s="14" t="str">
        <x:v>Genel</x:v>
      </x:c>
      <x:c r="J100" s="14" t="str">
        <x:v>Uyku Hazırlığı</x:v>
      </x:c>
      <x:c r="K100" s="14" t="str"/>
      <x:c r="L100" s="14" t="str">
        <x:v>22:00'de yatakta ve uyku.</x:v>
      </x:c>
      <x:c r="M100" s="14" t="str"/>
      <x:c r="N100" s="14" t="str"/>
      <x:c r="O100" s="14" t="n">
        <x:v>0</x:v>
      </x:c>
      <x:c r="P100" s="14" t="str">
        <x:v>Hayır</x:v>
      </x:c>
      <x:c r="Q100" s="14" t="str">
        <x:v>Hayır</x:v>
      </x:c>
      <x:c r="R100" s="14" t="str">
        <x:v>Planlandı</x:v>
      </x:c>
      <x:c r="S100" s="15" t="str"/>
      <x:c r="T100" s="14" t="str"/>
    </x:row>
    <x:row r="101">
      <x:c r="A101" s="14" t="n">
        <x:v>100</x:v>
      </x:c>
      <x:c r="B101" s="15" t="n">
        <x:v>46304</x:v>
      </x:c>
      <x:c r="C101" s="14" t="str">
        <x:v>Cuma</x:v>
      </x:c>
      <x:c r="D101" s="14" t="str">
        <x:v>Okul Günü</x:v>
      </x:c>
      <x:c r="E101" s="14" t="str">
        <x:v>16:00 sonrası</x:v>
      </x:c>
      <x:c r="F101" s="14" t="str">
        <x:v>F1 - Temel Kurma</x:v>
      </x:c>
      <x:c r="G101" s="14" t="str">
        <x:v>16:00</x:v>
      </x:c>
      <x:c r="H101" s="14" t="str">
        <x:v>16:25</x:v>
      </x:c>
      <x:c r="I101" s="14" t="str">
        <x:v>Genel</x:v>
      </x:c>
      <x:c r="J101" s="14" t="str">
        <x:v>Dinlenme</x:v>
      </x:c>
      <x:c r="K101" s="14" t="str"/>
      <x:c r="L101" s="14" t="str">
        <x:v>Eve geliş, atıştırma ve dinlenme.</x:v>
      </x:c>
      <x:c r="M101" s="14" t="str"/>
      <x:c r="N101" s="14" t="str"/>
      <x:c r="O101" s="14" t="n">
        <x:v>0</x:v>
      </x:c>
      <x:c r="P101" s="14" t="str">
        <x:v>Hayır</x:v>
      </x:c>
      <x:c r="Q101" s="14" t="str">
        <x:v>Hayır</x:v>
      </x:c>
      <x:c r="R101" s="14" t="str">
        <x:v>Planlandı</x:v>
      </x:c>
      <x:c r="S101" s="15" t="str"/>
      <x:c r="T101" s="14" t="str"/>
    </x:row>
    <x:row r="102">
      <x:c r="A102" s="14" t="n">
        <x:v>101</x:v>
      </x:c>
      <x:c r="B102" s="15" t="n">
        <x:v>46304</x:v>
      </x:c>
      <x:c r="C102" s="14" t="str">
        <x:v>Cuma</x:v>
      </x:c>
      <x:c r="D102" s="14" t="str">
        <x:v>Okul Günü</x:v>
      </x:c>
      <x:c r="E102" s="14" t="str">
        <x:v>16:00 sonrası</x:v>
      </x:c>
      <x:c r="F102" s="14" t="str">
        <x:v>F1 - Temel Kurma</x:v>
      </x:c>
      <x:c r="G102" s="14" t="str">
        <x:v>16:25</x:v>
      </x:c>
      <x:c r="H102" s="14" t="str">
        <x:v>17:05</x:v>
      </x:c>
      <x:c r="I102" s="14" t="str">
        <x:v>Matematik</x:v>
      </x:c>
      <x:c r="J102" s="14" t="str">
        <x:v>Konu / Tekrar</x:v>
      </x:c>
      <x:c r="K102" s="14" t="str">
        <x:v>Rasyonel Sayılar</x:v>
      </x:c>
      <x:c r="L102" s="14" t="str">
        <x:v>Rasyonel Sayılar — genel oynatma listesinden ilgili videoyu izle (2/4).</x:v>
      </x:c>
      <x:c r="M102" s="14" t="str">
        <x:v>Matematik Ana Oynatma Listesi</x:v>
      </x:c>
      <x:c r="N102" s="14" t="str">
        <x:v>https://www.youtube.com/watch?v=EuJ89QzqrAg&amp;list=PLicNtF7vp6fnfDqrRLH6H7fIbzYT4ct4F&amp;index=11</x:v>
      </x:c>
      <x:c r="O102" s="14" t="n">
        <x:v>0</x:v>
      </x:c>
      <x:c r="P102" s="14" t="str">
        <x:v>Hayır</x:v>
      </x:c>
      <x:c r="Q102" s="14" t="str">
        <x:v>Evet</x:v>
      </x:c>
      <x:c r="R102" s="14" t="str">
        <x:v>Planlandı</x:v>
      </x:c>
      <x:c r="S102" s="15" t="str"/>
      <x:c r="T102" s="14" t="str">
        <x:v>Yeni konu ancak plan sırasıyla açılır; LGS dışı ileri TYT içeriği zorunlu değildir.</x:v>
      </x:c>
    </x:row>
    <x:row r="103">
      <x:c r="A103" s="14" t="n">
        <x:v>102</x:v>
      </x:c>
      <x:c r="B103" s="15" t="n">
        <x:v>46304</x:v>
      </x:c>
      <x:c r="C103" s="14" t="str">
        <x:v>Cuma</x:v>
      </x:c>
      <x:c r="D103" s="14" t="str">
        <x:v>Okul Günü</x:v>
      </x:c>
      <x:c r="E103" s="14" t="str">
        <x:v>16:00 sonrası</x:v>
      </x:c>
      <x:c r="F103" s="14" t="str">
        <x:v>F1 - Temel Kurma</x:v>
      </x:c>
      <x:c r="G103" s="14" t="str">
        <x:v>17:10</x:v>
      </x:c>
      <x:c r="H103" s="14" t="str">
        <x:v>17:55</x:v>
      </x:c>
      <x:c r="I103" s="14" t="str">
        <x:v>Matematik</x:v>
      </x:c>
      <x:c r="J103" s="14" t="str">
        <x:v>Kitap / MEB / Mastery</x:v>
      </x:c>
      <x:c r="K103" s="14" t="str">
        <x:v>Rasyonel Sayılar</x:v>
      </x:c>
      <x:c r="L103" s="14" t="str">
        <x:v>Rasyonel Sayılar ile ilgili soru kitabından en az 20 soru / bugünkü test payını çöz.</x:v>
      </x:c>
      <x:c r="M103" s="14" t="str">
        <x:v>MUBA 8. Sınıf Başlangıç Matematik (ISBN 9789756526972) (eşleşen bölüm) + MEB temel destek</x:v>
      </x:c>
      <x:c r="N103" s="14" t="str">
        <x:v>https://odsgm.meb.gov.tr/www/5-6-7-ve-9-sinif-duzeylerinde-calisma-sorulari-yayimlandi/icerik/775</x:v>
      </x:c>
      <x:c r="O103" s="14" t="n">
        <x:v>20</x:v>
      </x:c>
      <x:c r="P103" s="14" t="str">
        <x:v>İlk 20 soru</x:v>
      </x:c>
      <x:c r="Q103" s="14" t="str">
        <x:v>Evet</x:v>
      </x:c>
      <x:c r="R103" s="14" t="str">
        <x:v>Planlandı</x:v>
      </x:c>
      <x:c r="S103" s="15" t="str"/>
      <x:c r="T103" s="14" t="str">
        <x:v>Ayrı/rastgele matematik benchmark yoktur. Süreli ilk 20 soru o gün çalışılan konunun içindedir.</x:v>
      </x:c>
    </x:row>
    <x:row r="104">
      <x:c r="A104" s="14" t="n">
        <x:v>103</x:v>
      </x:c>
      <x:c r="B104" s="15" t="n">
        <x:v>46304</x:v>
      </x:c>
      <x:c r="C104" s="14" t="str">
        <x:v>Cuma</x:v>
      </x:c>
      <x:c r="D104" s="14" t="str">
        <x:v>Okul Günü</x:v>
      </x:c>
      <x:c r="E104" s="14" t="str">
        <x:v>16:00 sonrası</x:v>
      </x:c>
      <x:c r="F104" s="14" t="str">
        <x:v>F1 - Temel Kurma</x:v>
      </x:c>
      <x:c r="G104" s="14" t="str">
        <x:v>17:55</x:v>
      </x:c>
      <x:c r="H104" s="14" t="str">
        <x:v>18:25</x:v>
      </x:c>
      <x:c r="I104" s="14" t="str">
        <x:v>Genel</x:v>
      </x:c>
      <x:c r="J104" s="14" t="str">
        <x:v>Yemek / Serbest Zaman</x:v>
      </x:c>
      <x:c r="K104" s="14" t="str"/>
      <x:c r="L104" s="14" t="str">
        <x:v>Yemek, hareket ve dinlenme.</x:v>
      </x:c>
      <x:c r="M104" s="14" t="str"/>
      <x:c r="N104" s="14" t="str"/>
      <x:c r="O104" s="14" t="n">
        <x:v>0</x:v>
      </x:c>
      <x:c r="P104" s="14" t="str">
        <x:v>Hayır</x:v>
      </x:c>
      <x:c r="Q104" s="14" t="str">
        <x:v>Hayır</x:v>
      </x:c>
      <x:c r="R104" s="14" t="str">
        <x:v>Planlandı</x:v>
      </x:c>
      <x:c r="S104" s="15" t="str"/>
      <x:c r="T104" s="14" t="str"/>
    </x:row>
    <x:row r="105">
      <x:c r="A105" s="14" t="n">
        <x:v>104</x:v>
      </x:c>
      <x:c r="B105" s="15" t="n">
        <x:v>46304</x:v>
      </x:c>
      <x:c r="C105" s="14" t="str">
        <x:v>Cuma</x:v>
      </x:c>
      <x:c r="D105" s="14" t="str">
        <x:v>Okul Günü</x:v>
      </x:c>
      <x:c r="E105" s="14" t="str">
        <x:v>16:00 sonrası</x:v>
      </x:c>
      <x:c r="F105" s="14" t="str">
        <x:v>F1 - Temel Kurma</x:v>
      </x:c>
      <x:c r="G105" s="14" t="str">
        <x:v>18:25</x:v>
      </x:c>
      <x:c r="H105" s="14" t="str">
        <x:v>18:55</x:v>
      </x:c>
      <x:c r="I105" s="14" t="str">
        <x:v>Türkçe</x:v>
      </x:c>
      <x:c r="J105" s="14" t="str">
        <x:v>Paragraf Rutini</x:v>
      </x:c>
      <x:c r="K105" s="14" t="str">
        <x:v>Paragraf</x:v>
      </x:c>
      <x:c r="L105" s="14" t="str">
        <x:v>En az 20 paragraf sorusu çöz; ilk 20 soruyu ileri sayımla ölç, D/Y/B + süre kaydet.</x:v>
      </x:c>
      <x:c r="M105" s="14" t="str">
        <x:v>Hız 8. Sınıf Türkçe Paragraf (ISBN 9786258394498)</x:v>
      </x:c>
      <x:c r="N105" s="14" t="str"/>
      <x:c r="O105" s="14" t="n">
        <x:v>20</x:v>
      </x:c>
      <x:c r="P105" s="14" t="str">
        <x:v>İlk 20 soru</x:v>
      </x:c>
      <x:c r="Q105" s="14" t="str">
        <x:v>Evet</x:v>
      </x:c>
      <x:c r="R105" s="14" t="str">
        <x:v>Planlandı</x:v>
      </x:c>
      <x:c r="S105" s="15" t="str"/>
      <x:c r="T105" s="14" t="str">
        <x:v>Geri sayım ve hedef süre yok.</x:v>
      </x:c>
    </x:row>
    <x:row r="106">
      <x:c r="A106" s="14" t="n">
        <x:v>105</x:v>
      </x:c>
      <x:c r="B106" s="15" t="n">
        <x:v>46304</x:v>
      </x:c>
      <x:c r="C106" s="14" t="str">
        <x:v>Cuma</x:v>
      </x:c>
      <x:c r="D106" s="14" t="str">
        <x:v>Okul Günü</x:v>
      </x:c>
      <x:c r="E106" s="14" t="str">
        <x:v>16:00 sonrası</x:v>
      </x:c>
      <x:c r="F106" s="14" t="str">
        <x:v>F1 - Temel Kurma</x:v>
      </x:c>
      <x:c r="G106" s="14" t="str">
        <x:v>19:00</x:v>
      </x:c>
      <x:c r="H106" s="14" t="str">
        <x:v>19:35</x:v>
      </x:c>
      <x:c r="I106" s="14" t="str">
        <x:v>Türkçe</x:v>
      </x:c>
      <x:c r="J106" s="14" t="str">
        <x:v>Konu / Tekrar</x:v>
      </x:c>
      <x:c r="K106" s="14" t="str">
        <x:v>Cümlede Anlam</x:v>
      </x:c>
      <x:c r="L106" s="14" t="str">
        <x:v>Cümlede Anlam — genel oynatma listesinden ilgili videoyu izle (4/4).</x:v>
      </x:c>
      <x:c r="M106" s="14" t="str">
        <x:v>Türkçe Ana Oynatma Listesi</x:v>
      </x:c>
      <x:c r="N106" s="14" t="str">
        <x:v>https://www.youtube.com/watch?v=VYsPntNKVdw&amp;list=PLIBjFaUoJJ91bz7QQEBlxNJNZka5YQRr6</x:v>
      </x:c>
      <x:c r="O106" s="14" t="n">
        <x:v>0</x:v>
      </x:c>
      <x:c r="P106" s="14" t="str">
        <x:v>Hayır</x:v>
      </x:c>
      <x:c r="Q106" s="14" t="str">
        <x:v>Evet</x:v>
      </x:c>
      <x:c r="R106" s="14" t="str">
        <x:v>Planlandı</x:v>
      </x:c>
      <x:c r="S106" s="15" t="str"/>
      <x:c r="T106" s="14" t="str">
        <x:v>TYT etiketli kaynak temelden başlamak için sabittir; LGS dışı gereksiz ayrıntı zorunlu değildir.</x:v>
      </x:c>
    </x:row>
    <x:row r="107">
      <x:c r="A107" s="14" t="n">
        <x:v>106</x:v>
      </x:c>
      <x:c r="B107" s="15" t="n">
        <x:v>46304</x:v>
      </x:c>
      <x:c r="C107" s="14" t="str">
        <x:v>Cuma</x:v>
      </x:c>
      <x:c r="D107" s="14" t="str">
        <x:v>Okul Günü</x:v>
      </x:c>
      <x:c r="E107" s="14" t="str">
        <x:v>16:00 sonrası</x:v>
      </x:c>
      <x:c r="F107" s="14" t="str">
        <x:v>F1 - Temel Kurma</x:v>
      </x:c>
      <x:c r="G107" s="14" t="str">
        <x:v>19:40</x:v>
      </x:c>
      <x:c r="H107" s="14" t="str">
        <x:v>20:10</x:v>
      </x:c>
      <x:c r="I107" s="14" t="str">
        <x:v>Türkçe</x:v>
      </x:c>
      <x:c r="J107" s="14" t="str">
        <x:v>Kitap / MEB / Mastery</x:v>
      </x:c>
      <x:c r="K107" s="14" t="str">
        <x:v>Cümlede Anlam</x:v>
      </x:c>
      <x:c r="L107" s="14" t="str">
        <x:v>Cümlede Anlam ile ilgili soru kitabından en az 10 soru / bugünkü test payını çöz. İlgili kitap konu bölümünü bu oturumda bitirmeyi hedefle; sonraki oturum MEB doğrulaması.</x:v>
      </x:c>
      <x:c r="M107" s="14" t="str">
        <x:v>Ankara 8. Sınıf Dil Bilgisi Güçlendiren</x:v>
      </x:c>
      <x:c r="N107" s="14" t="str">
        <x:v>https://odsgm.meb.gov.tr/www/8sinif-calisma-sorulari/icerik/1632</x:v>
      </x:c>
      <x:c r="O107" s="14" t="n">
        <x:v>10</x:v>
      </x:c>
      <x:c r="P107" s="14" t="str">
        <x:v>Hayır</x:v>
      </x:c>
      <x:c r="Q107" s="14" t="str">
        <x:v>Evet</x:v>
      </x:c>
      <x:c r="R107" s="14" t="str">
        <x:v>Planlandı</x:v>
      </x:c>
      <x:c r="S107" s="15" t="str"/>
      <x:c r="T107" s="14" t="str"/>
    </x:row>
    <x:row r="108">
      <x:c r="A108" s="14" t="n">
        <x:v>107</x:v>
      </x:c>
      <x:c r="B108" s="15" t="n">
        <x:v>46304</x:v>
      </x:c>
      <x:c r="C108" s="14" t="str">
        <x:v>Cuma</x:v>
      </x:c>
      <x:c r="D108" s="14" t="str">
        <x:v>Okul Günü</x:v>
      </x:c>
      <x:c r="E108" s="14" t="str">
        <x:v>16:00 sonrası</x:v>
      </x:c>
      <x:c r="F108" s="14" t="str">
        <x:v>F1 - Temel Kurma</x:v>
      </x:c>
      <x:c r="G108" s="14" t="str">
        <x:v>20:15</x:v>
      </x:c>
      <x:c r="H108" s="14" t="str">
        <x:v>20:50</x:v>
      </x:c>
      <x:c r="I108" s="14" t="str">
        <x:v>Fen</x:v>
      </x:c>
      <x:c r="J108" s="14" t="str">
        <x:v>Konu / Tekrar</x:v>
      </x:c>
      <x:c r="K108" s="14" t="str">
        <x:v>İklim ve Hava Hareketleri</x:v>
      </x:c>
      <x:c r="L108" s="14" t="str">
        <x:v>İklim ve Hava Hareketleri — Fen konu anlatım playlistinden ilgili videoyu izle.</x:v>
      </x:c>
      <x:c r="M108" s="14" t="str">
        <x:v>Fen Konu Anlatım</x:v>
      </x:c>
      <x:c r="N108" s="14" t="str">
        <x:v>https://www.youtube.com/watch?v=AHdk01aR4Ko&amp;list=PLrQm7mt99FRV_Oe9xFavWzFpCIl7_XiWj</x:v>
      </x:c>
      <x:c r="O108" s="14" t="n">
        <x:v>0</x:v>
      </x:c>
      <x:c r="P108" s="14" t="str">
        <x:v>Hayır</x:v>
      </x:c>
      <x:c r="Q108" s="14" t="str">
        <x:v>Evet</x:v>
      </x:c>
      <x:c r="R108" s="14" t="str">
        <x:v>Planlandı</x:v>
      </x:c>
      <x:c r="S108" s="15" t="str"/>
      <x:c r="T108" s="14" t="str"/>
    </x:row>
    <x:row r="109">
      <x:c r="A109" s="14" t="n">
        <x:v>108</x:v>
      </x:c>
      <x:c r="B109" s="15" t="n">
        <x:v>46304</x:v>
      </x:c>
      <x:c r="C109" s="14" t="str">
        <x:v>Cuma</x:v>
      </x:c>
      <x:c r="D109" s="14" t="str">
        <x:v>Okul Günü</x:v>
      </x:c>
      <x:c r="E109" s="14" t="str">
        <x:v>16:00 sonrası</x:v>
      </x:c>
      <x:c r="F109" s="14" t="str">
        <x:v>F1 - Temel Kurma</x:v>
      </x:c>
      <x:c r="G109" s="14" t="str">
        <x:v>20:55</x:v>
      </x:c>
      <x:c r="H109" s="14" t="str">
        <x:v>21:20</x:v>
      </x:c>
      <x:c r="I109" s="14" t="str">
        <x:v>Fen</x:v>
      </x:c>
      <x:c r="J109" s="14" t="str">
        <x:v>Kitap / MEB / Mastery</x:v>
      </x:c>
      <x:c r="K109" s="14" t="str">
        <x:v>İklim ve Hava Hareketleri</x:v>
      </x:c>
      <x:c r="L109" s="14" t="str">
        <x:v>İklim ve Hava Hareketleri ile ilgili soru kitabından en az 15 soru / bugünkü test payını çöz.</x:v>
      </x:c>
      <x:c r="M109" s="14" t="str">
        <x:v>Hız 8. Sınıf Fen (ISBN 9786257514859); tamamlandıysa Mozaik 8. Sınıf Fen</x:v>
      </x:c>
      <x:c r="N109" s="14" t="str">
        <x:v>https://www.youtube.com/watch?v=AHdk01aR4Ko&amp;list=PLrQm7mt99FRV_Oe9xFavWzFpCIl7_XiWj</x:v>
      </x:c>
      <x:c r="O109" s="14" t="n">
        <x:v>15</x:v>
      </x:c>
      <x:c r="P109" s="14" t="str">
        <x:v>Hayır</x:v>
      </x:c>
      <x:c r="Q109" s="14" t="str">
        <x:v>Evet</x:v>
      </x:c>
      <x:c r="R109" s="14" t="str">
        <x:v>Planlandı</x:v>
      </x:c>
      <x:c r="S109" s="15" t="str"/>
      <x:c r="T109" s="14" t="str"/>
    </x:row>
    <x:row r="110">
      <x:c r="A110" s="14" t="n">
        <x:v>109</x:v>
      </x:c>
      <x:c r="B110" s="15" t="n">
        <x:v>46304</x:v>
      </x:c>
      <x:c r="C110" s="14" t="str">
        <x:v>Cuma</x:v>
      </x:c>
      <x:c r="D110" s="14" t="str">
        <x:v>Okul Günü</x:v>
      </x:c>
      <x:c r="E110" s="14" t="str">
        <x:v>16:00 sonrası</x:v>
      </x:c>
      <x:c r="F110" s="14" t="str">
        <x:v>F1 - Temel Kurma</x:v>
      </x:c>
      <x:c r="G110" s="14" t="str">
        <x:v>21:20</x:v>
      </x:c>
      <x:c r="H110" s="14" t="str">
        <x:v>21:35</x:v>
      </x:c>
      <x:c r="I110" s="14" t="str">
        <x:v>Genel</x:v>
      </x:c>
      <x:c r="J110" s="14" t="str">
        <x:v>Yanlış / Boş Analizi</x:v>
      </x:c>
      <x:c r="K110" s="14" t="str">
        <x:v>Günlük</x:v>
      </x:c>
      <x:c r="L110" s="14" t="str">
        <x:v>Bugünkü yanlış/boşları kaydet; çözümünü öğrenmeden kapatma. Hata türünü sınıflandır.</x:v>
      </x:c>
      <x:c r="M110" s="14" t="str">
        <x:v>Yanlış Defteri</x:v>
      </x:c>
      <x:c r="N110" s="14" t="str"/>
      <x:c r="O110" s="14" t="n">
        <x:v>0</x:v>
      </x:c>
      <x:c r="P110" s="14" t="str">
        <x:v>Hayır</x:v>
      </x:c>
      <x:c r="Q110" s="14" t="str">
        <x:v>Evet</x:v>
      </x:c>
      <x:c r="R110" s="14" t="str">
        <x:v>Planlandı</x:v>
      </x:c>
      <x:c r="S110" s="15" t="str"/>
      <x:c r="T110" s="14" t="str"/>
    </x:row>
    <x:row r="111">
      <x:c r="A111" s="14" t="n">
        <x:v>110</x:v>
      </x:c>
      <x:c r="B111" s="15" t="n">
        <x:v>46304</x:v>
      </x:c>
      <x:c r="C111" s="14" t="str">
        <x:v>Cuma</x:v>
      </x:c>
      <x:c r="D111" s="14" t="str">
        <x:v>Okul Günü</x:v>
      </x:c>
      <x:c r="E111" s="14" t="str">
        <x:v>16:00 sonrası</x:v>
      </x:c>
      <x:c r="F111" s="14" t="str">
        <x:v>F1 - Temel Kurma</x:v>
      </x:c>
      <x:c r="G111" s="14" t="str">
        <x:v>21:35</x:v>
      </x:c>
      <x:c r="H111" s="14" t="str">
        <x:v>21:50</x:v>
      </x:c>
      <x:c r="I111" s="14" t="str">
        <x:v>Genel</x:v>
      </x:c>
      <x:c r="J111" s="14" t="str">
        <x:v>Aralıklı Hata Tekrarı</x:v>
      </x:c>
      <x:c r="K111" s="14" t="str">
        <x:v>+1 / +7 / +21</x:v>
      </x:c>
      <x:c r="L111" s="14" t="str">
        <x:v>Bugün vadesi gelen yanlış soruları tekrar çöz. Vadesi yoksa bu süre serbest/okuma olabilir.</x:v>
      </x:c>
      <x:c r="M111" s="14" t="str">
        <x:v>Yanlış Defteri</x:v>
      </x:c>
      <x:c r="N111" s="14" t="str"/>
      <x:c r="O111" s="14" t="n">
        <x:v>0</x:v>
      </x:c>
      <x:c r="P111" s="14" t="str">
        <x:v>Hayır</x:v>
      </x:c>
      <x:c r="Q111" s="14" t="str">
        <x:v>Koşullu</x:v>
      </x:c>
      <x:c r="R111" s="14" t="str">
        <x:v>Planlandı</x:v>
      </x:c>
      <x:c r="S111" s="15" t="str"/>
      <x:c r="T111" s="14" t="str">
        <x:v>Yanlışlar +1, +7 ve +21 gün aralıklarıyla tekrar edilir; hâlâ yanlışsa konu mastery durumu düşürülür.</x:v>
      </x:c>
    </x:row>
    <x:row r="112">
      <x:c r="A112" s="14" t="n">
        <x:v>111</x:v>
      </x:c>
      <x:c r="B112" s="15" t="n">
        <x:v>46304</x:v>
      </x:c>
      <x:c r="C112" s="14" t="str">
        <x:v>Cuma</x:v>
      </x:c>
      <x:c r="D112" s="14" t="str">
        <x:v>Okul Günü</x:v>
      </x:c>
      <x:c r="E112" s="14" t="str">
        <x:v>16:00 sonrası</x:v>
      </x:c>
      <x:c r="F112" s="14" t="str">
        <x:v>F1 - Temel Kurma</x:v>
      </x:c>
      <x:c r="G112" s="14" t="str">
        <x:v>21:50</x:v>
      </x:c>
      <x:c r="H112" s="14" t="str">
        <x:v>22:00</x:v>
      </x:c>
      <x:c r="I112" s="14" t="str">
        <x:v>Genel</x:v>
      </x:c>
      <x:c r="J112" s="14" t="str">
        <x:v>Uyku Hazırlığı</x:v>
      </x:c>
      <x:c r="K112" s="14" t="str"/>
      <x:c r="L112" s="14" t="str">
        <x:v>22:00'de yatakta ve uyku.</x:v>
      </x:c>
      <x:c r="M112" s="14" t="str"/>
      <x:c r="N112" s="14" t="str"/>
      <x:c r="O112" s="14" t="n">
        <x:v>0</x:v>
      </x:c>
      <x:c r="P112" s="14" t="str">
        <x:v>Hayır</x:v>
      </x:c>
      <x:c r="Q112" s="14" t="str">
        <x:v>Hayır</x:v>
      </x:c>
      <x:c r="R112" s="14" t="str">
        <x:v>Planlandı</x:v>
      </x:c>
      <x:c r="S112" s="15" t="str"/>
      <x:c r="T112" s="14" t="str"/>
    </x:row>
    <x:row r="113">
      <x:c r="A113" s="14" t="n">
        <x:v>112</x:v>
      </x:c>
      <x:c r="B113" s="15" t="n">
        <x:v>46305</x:v>
      </x:c>
      <x:c r="C113" s="14" t="str">
        <x:v>Cumartesi</x:v>
      </x:c>
      <x:c r="D113" s="14" t="str">
        <x:v>Hafta Sonu</x:v>
      </x:c>
      <x:c r="E113" s="14" t="str">
        <x:v>Tam gün</x:v>
      </x:c>
      <x:c r="F113" s="14" t="str">
        <x:v>F1 - Temel Kurma</x:v>
      </x:c>
      <x:c r="G113" s="14" t="str">
        <x:v>09:30</x:v>
      </x:c>
      <x:c r="H113" s="14" t="str">
        <x:v>10:15</x:v>
      </x:c>
      <x:c r="I113" s="14" t="str">
        <x:v>Matematik</x:v>
      </x:c>
      <x:c r="J113" s="14" t="str">
        <x:v>Konu / Tekrar</x:v>
      </x:c>
      <x:c r="K113" s="14" t="str">
        <x:v>Rasyonel Sayılar</x:v>
      </x:c>
      <x:c r="L113" s="14" t="str">
        <x:v>Rasyonel Sayılar — genel oynatma listesinden ilgili videoyu izle (3/4).</x:v>
      </x:c>
      <x:c r="M113" s="14" t="str">
        <x:v>Matematik Ana Oynatma Listesi</x:v>
      </x:c>
      <x:c r="N113" s="14" t="str">
        <x:v>https://www.youtube.com/watch?v=EuJ89QzqrAg&amp;list=PLicNtF7vp6fnfDqrRLH6H7fIbzYT4ct4F&amp;index=11</x:v>
      </x:c>
      <x:c r="O113" s="14" t="n">
        <x:v>0</x:v>
      </x:c>
      <x:c r="P113" s="14" t="str">
        <x:v>Hayır</x:v>
      </x:c>
      <x:c r="Q113" s="14" t="str">
        <x:v>Evet</x:v>
      </x:c>
      <x:c r="R113" s="14" t="str">
        <x:v>Planlandı</x:v>
      </x:c>
      <x:c r="S113" s="15" t="str"/>
      <x:c r="T113" s="14" t="str">
        <x:v>Yeni konu ancak plan sırasıyla açılır; LGS dışı ileri TYT içeriği zorunlu değildir.</x:v>
      </x:c>
    </x:row>
    <x:row r="114">
      <x:c r="A114" s="14" t="n">
        <x:v>113</x:v>
      </x:c>
      <x:c r="B114" s="15" t="n">
        <x:v>46305</x:v>
      </x:c>
      <x:c r="C114" s="14" t="str">
        <x:v>Cumartesi</x:v>
      </x:c>
      <x:c r="D114" s="14" t="str">
        <x:v>Hafta Sonu</x:v>
      </x:c>
      <x:c r="E114" s="14" t="str">
        <x:v>Tam gün</x:v>
      </x:c>
      <x:c r="F114" s="14" t="str">
        <x:v>F1 - Temel Kurma</x:v>
      </x:c>
      <x:c r="G114" s="14" t="str">
        <x:v>10:25</x:v>
      </x:c>
      <x:c r="H114" s="14" t="str">
        <x:v>11:15</x:v>
      </x:c>
      <x:c r="I114" s="14" t="str">
        <x:v>Matematik</x:v>
      </x:c>
      <x:c r="J114" s="14" t="str">
        <x:v>Kitap / MEB / Mastery</x:v>
      </x:c>
      <x:c r="K114" s="14" t="str">
        <x:v>Rasyonel Sayılar</x:v>
      </x:c>
      <x:c r="L114" s="14" t="str">
        <x:v>Rasyonel Sayılar ile ilgili soru kitabından en az 20 soru / bugünkü test payını çöz.</x:v>
      </x:c>
      <x:c r="M114" s="14" t="str">
        <x:v>MUBA 8. Sınıf Başlangıç Matematik (ISBN 9789756526972) (eşleşen bölüm) + MEB temel destek</x:v>
      </x:c>
      <x:c r="N114" s="14" t="str">
        <x:v>https://odsgm.meb.gov.tr/www/5-6-7-ve-9-sinif-duzeylerinde-calisma-sorulari-yayimlandi/icerik/775</x:v>
      </x:c>
      <x:c r="O114" s="14" t="n">
        <x:v>20</x:v>
      </x:c>
      <x:c r="P114" s="14" t="str">
        <x:v>İlk 20 soru</x:v>
      </x:c>
      <x:c r="Q114" s="14" t="str">
        <x:v>Evet</x:v>
      </x:c>
      <x:c r="R114" s="14" t="str">
        <x:v>Planlandı</x:v>
      </x:c>
      <x:c r="S114" s="15" t="str"/>
      <x:c r="T114" s="14" t="str">
        <x:v>Ayrı/rastgele matematik benchmark yoktur. Süreli ilk 20 soru o gün çalışılan konunun içindedir.</x:v>
      </x:c>
    </x:row>
    <x:row r="115">
      <x:c r="A115" s="14" t="n">
        <x:v>114</x:v>
      </x:c>
      <x:c r="B115" s="15" t="n">
        <x:v>46305</x:v>
      </x:c>
      <x:c r="C115" s="14" t="str">
        <x:v>Cumartesi</x:v>
      </x:c>
      <x:c r="D115" s="14" t="str">
        <x:v>Hafta Sonu</x:v>
      </x:c>
      <x:c r="E115" s="14" t="str">
        <x:v>Tam gün</x:v>
      </x:c>
      <x:c r="F115" s="14" t="str">
        <x:v>F1 - Temel Kurma</x:v>
      </x:c>
      <x:c r="G115" s="14" t="str">
        <x:v>12:00</x:v>
      </x:c>
      <x:c r="H115" s="14" t="str">
        <x:v>14:00</x:v>
      </x:c>
      <x:c r="I115" s="14" t="str">
        <x:v>Genel</x:v>
      </x:c>
      <x:c r="J115" s="14" t="str">
        <x:v>Yemek / Serbest Zaman</x:v>
      </x:c>
      <x:c r="K115" s="14" t="str"/>
      <x:c r="L115" s="14" t="str">
        <x:v>Yemek, hareket ve dinlenme.</x:v>
      </x:c>
      <x:c r="M115" s="14" t="str"/>
      <x:c r="N115" s="14" t="str"/>
      <x:c r="O115" s="14" t="n">
        <x:v>0</x:v>
      </x:c>
      <x:c r="P115" s="14" t="str">
        <x:v>Hayır</x:v>
      </x:c>
      <x:c r="Q115" s="14" t="str">
        <x:v>Hayır</x:v>
      </x:c>
      <x:c r="R115" s="14" t="str">
        <x:v>Planlandı</x:v>
      </x:c>
      <x:c r="S115" s="15" t="str"/>
      <x:c r="T115" s="14" t="str"/>
    </x:row>
    <x:row r="116">
      <x:c r="A116" s="14" t="n">
        <x:v>115</x:v>
      </x:c>
      <x:c r="B116" s="15" t="n">
        <x:v>46305</x:v>
      </x:c>
      <x:c r="C116" s="14" t="str">
        <x:v>Cumartesi</x:v>
      </x:c>
      <x:c r="D116" s="14" t="str">
        <x:v>Hafta Sonu</x:v>
      </x:c>
      <x:c r="E116" s="14" t="str">
        <x:v>Tam gün</x:v>
      </x:c>
      <x:c r="F116" s="14" t="str">
        <x:v>F1 - Temel Kurma</x:v>
      </x:c>
      <x:c r="G116" s="14" t="str">
        <x:v>11:25</x:v>
      </x:c>
      <x:c r="H116" s="14" t="str">
        <x:v>11:55</x:v>
      </x:c>
      <x:c r="I116" s="14" t="str">
        <x:v>Türkçe</x:v>
      </x:c>
      <x:c r="J116" s="14" t="str">
        <x:v>Paragraf Rutini</x:v>
      </x:c>
      <x:c r="K116" s="14" t="str">
        <x:v>Paragraf</x:v>
      </x:c>
      <x:c r="L116" s="14" t="str">
        <x:v>En az 20 paragraf sorusu çöz; ilk 20 soruyu ileri sayımla ölç, D/Y/B + süre kaydet.</x:v>
      </x:c>
      <x:c r="M116" s="14" t="str">
        <x:v>Hız 8. Sınıf Türkçe Paragraf (ISBN 9786258394498)</x:v>
      </x:c>
      <x:c r="N116" s="14" t="str"/>
      <x:c r="O116" s="14" t="n">
        <x:v>20</x:v>
      </x:c>
      <x:c r="P116" s="14" t="str">
        <x:v>İlk 20 soru</x:v>
      </x:c>
      <x:c r="Q116" s="14" t="str">
        <x:v>Evet</x:v>
      </x:c>
      <x:c r="R116" s="14" t="str">
        <x:v>Planlandı</x:v>
      </x:c>
      <x:c r="S116" s="15" t="str"/>
      <x:c r="T116" s="14" t="str">
        <x:v>Geri sayım ve hedef süre yok.</x:v>
      </x:c>
    </x:row>
    <x:row r="117">
      <x:c r="A117" s="14" t="n">
        <x:v>116</x:v>
      </x:c>
      <x:c r="B117" s="15" t="n">
        <x:v>46305</x:v>
      </x:c>
      <x:c r="C117" s="14" t="str">
        <x:v>Cumartesi</x:v>
      </x:c>
      <x:c r="D117" s="14" t="str">
        <x:v>Hafta Sonu</x:v>
      </x:c>
      <x:c r="E117" s="14" t="str">
        <x:v>Tam gün</x:v>
      </x:c>
      <x:c r="F117" s="14" t="str">
        <x:v>F1 - Temel Kurma</x:v>
      </x:c>
      <x:c r="G117" s="14" t="str">
        <x:v>14:00</x:v>
      </x:c>
      <x:c r="H117" s="14" t="str">
        <x:v>14:40</x:v>
      </x:c>
      <x:c r="I117" s="14" t="str">
        <x:v>Türkçe</x:v>
      </x:c>
      <x:c r="J117" s="14" t="str">
        <x:v>Konu / Tekrar</x:v>
      </x:c>
      <x:c r="K117" s="14" t="str">
        <x:v>Cümlede Anlam</x:v>
      </x:c>
      <x:c r="L117" s="14" t="str">
        <x:v>Cümlede Anlam — MEB doğrulaması öncesi 5-10 dk aktif hatırlama; gerekiyorsa ilgili playlist videosuna kısa dönüş yap.</x:v>
      </x:c>
      <x:c r="M117" s="14" t="str">
        <x:v>Türkçe Ana Oynatma Listesi</x:v>
      </x:c>
      <x:c r="N117" s="14" t="str">
        <x:v>https://www.youtube.com/watch?v=VYsPntNKVdw&amp;list=PLIBjFaUoJJ91bz7QQEBlxNJNZka5YQRr6</x:v>
      </x:c>
      <x:c r="O117" s="14" t="n">
        <x:v>0</x:v>
      </x:c>
      <x:c r="P117" s="14" t="str">
        <x:v>Hayır</x:v>
      </x:c>
      <x:c r="Q117" s="14" t="str">
        <x:v>Evet</x:v>
      </x:c>
      <x:c r="R117" s="14" t="str">
        <x:v>Planlandı</x:v>
      </x:c>
      <x:c r="S117" s="15" t="str"/>
      <x:c r="T117" s="14" t="str">
        <x:v>TYT etiketli kaynak temelden başlamak için sabittir; LGS dışı gereksiz ayrıntı zorunlu değildir.</x:v>
      </x:c>
    </x:row>
    <x:row r="118">
      <x:c r="A118" s="14" t="n">
        <x:v>117</x:v>
      </x:c>
      <x:c r="B118" s="15" t="n">
        <x:v>46305</x:v>
      </x:c>
      <x:c r="C118" s="14" t="str">
        <x:v>Cumartesi</x:v>
      </x:c>
      <x:c r="D118" s="14" t="str">
        <x:v>Hafta Sonu</x:v>
      </x:c>
      <x:c r="E118" s="14" t="str">
        <x:v>Tam gün</x:v>
      </x:c>
      <x:c r="F118" s="14" t="str">
        <x:v>F1 - Temel Kurma</x:v>
      </x:c>
      <x:c r="G118" s="14" t="str">
        <x:v>14:50</x:v>
      </x:c>
      <x:c r="H118" s="14" t="str">
        <x:v>15:30</x:v>
      </x:c>
      <x:c r="I118" s="14" t="str">
        <x:v>Türkçe</x:v>
      </x:c>
      <x:c r="J118" s="14" t="str">
        <x:v>Kitap / MEB / Mastery</x:v>
      </x:c>
      <x:c r="K118" s="14" t="str">
        <x:v>Cümlede Anlam</x:v>
      </x:c>
      <x:c r="L118" s="14" t="str">
        <x:v>Cümlede Anlam için ilgili MEB sorularını TAMAMLA; D/Y/B kaydet. Bu oturum konu mastery gate'idir.</x:v>
      </x:c>
      <x:c r="M118" s="14" t="str">
        <x:v>MEB Resmî Soru Seti</x:v>
      </x:c>
      <x:c r="N118" s="14" t="str">
        <x:v>https://odsgm.meb.gov.tr/www/8sinif-calisma-sorulari/icerik/1632</x:v>
      </x:c>
      <x:c r="O118" s="14" t="n">
        <x:v>0</x:v>
      </x:c>
      <x:c r="P118" s="14" t="str">
        <x:v>Hayır</x:v>
      </x:c>
      <x:c r="Q118" s="14" t="str">
        <x:v>Evet</x:v>
      </x:c>
      <x:c r="R118" s="14" t="str">
        <x:v>Planlandı</x:v>
      </x:c>
      <x:c r="S118" s="15" t="str"/>
      <x:c r="T118" s="14" t="str">
        <x:v>MEB sonucu Konu_Ustaligi sayfasına işlenir.</x:v>
      </x:c>
    </x:row>
    <x:row r="119">
      <x:c r="A119" s="14" t="n">
        <x:v>118</x:v>
      </x:c>
      <x:c r="B119" s="15" t="n">
        <x:v>46305</x:v>
      </x:c>
      <x:c r="C119" s="14" t="str">
        <x:v>Cumartesi</x:v>
      </x:c>
      <x:c r="D119" s="14" t="str">
        <x:v>Hafta Sonu</x:v>
      </x:c>
      <x:c r="E119" s="14" t="str">
        <x:v>Tam gün</x:v>
      </x:c>
      <x:c r="F119" s="14" t="str">
        <x:v>F1 - Temel Kurma</x:v>
      </x:c>
      <x:c r="G119" s="14" t="str">
        <x:v>15:45</x:v>
      </x:c>
      <x:c r="H119" s="14" t="str">
        <x:v>16:25</x:v>
      </x:c>
      <x:c r="I119" s="14" t="str">
        <x:v>Din</x:v>
      </x:c>
      <x:c r="J119" s="14" t="str">
        <x:v>Konu / Tekrar</x:v>
      </x:c>
      <x:c r="K119" s="14" t="str">
        <x:v>Kader ve Kaza İnancı</x:v>
      </x:c>
      <x:c r="L119" s="14" t="str">
        <x:v>Kader ve Kaza İnancı — MEB doğrulaması öncesi 5-10 dk aktif hatırlama; gerekiyorsa ilgili playlist videosuna kısa dönüş yap.</x:v>
      </x:c>
      <x:c r="M119" s="14" t="str">
        <x:v>Din Genel Oynatma Listesi</x:v>
      </x:c>
      <x:c r="N119" s="14" t="str">
        <x:v>https://www.youtube.com/watch?v=wvdOE_75VnA&amp;list=PLbRoPq-Zu-SWXGUbVt4t4UWo-4VjsMUo-&amp;index=2</x:v>
      </x:c>
      <x:c r="O119" s="14" t="n">
        <x:v>0</x:v>
      </x:c>
      <x:c r="P119" s="14" t="str">
        <x:v>Hayır</x:v>
      </x:c>
      <x:c r="Q119" s="14" t="str">
        <x:v>Evet</x:v>
      </x:c>
      <x:c r="R119" s="14" t="str">
        <x:v>Planlandı</x:v>
      </x:c>
      <x:c r="S119" s="15" t="str"/>
      <x:c r="T119" s="14" t="str"/>
    </x:row>
    <x:row r="120">
      <x:c r="A120" s="14" t="n">
        <x:v>119</x:v>
      </x:c>
      <x:c r="B120" s="15" t="n">
        <x:v>46305</x:v>
      </x:c>
      <x:c r="C120" s="14" t="str">
        <x:v>Cumartesi</x:v>
      </x:c>
      <x:c r="D120" s="14" t="str">
        <x:v>Hafta Sonu</x:v>
      </x:c>
      <x:c r="E120" s="14" t="str">
        <x:v>Tam gün</x:v>
      </x:c>
      <x:c r="F120" s="14" t="str">
        <x:v>F1 - Temel Kurma</x:v>
      </x:c>
      <x:c r="G120" s="14" t="str">
        <x:v>16:35</x:v>
      </x:c>
      <x:c r="H120" s="14" t="str">
        <x:v>17:15</x:v>
      </x:c>
      <x:c r="I120" s="14" t="str">
        <x:v>Din</x:v>
      </x:c>
      <x:c r="J120" s="14" t="str">
        <x:v>Kitap / MEB / Mastery</x:v>
      </x:c>
      <x:c r="K120" s="14" t="str">
        <x:v>Kader ve Kaza İnancı</x:v>
      </x:c>
      <x:c r="L120" s="14" t="str">
        <x:v>Kader ve Kaza İnancı için ilgili MEB sorularını TAMAMLA; D/Y/B kaydet. Bu oturum konu mastery gate'idir.</x:v>
      </x:c>
      <x:c r="M120" s="14" t="str">
        <x:v>MEB 8. Sınıf Din Soruları</x:v>
      </x:c>
      <x:c r="N120" s="14" t="str">
        <x:v>https://odsgm.meb.gov.tr/www/8sinif-calisma-sorulari/icerik/1632</x:v>
      </x:c>
      <x:c r="O120" s="14" t="n">
        <x:v>0</x:v>
      </x:c>
      <x:c r="P120" s="14" t="str">
        <x:v>Hayır</x:v>
      </x:c>
      <x:c r="Q120" s="14" t="str">
        <x:v>Evet</x:v>
      </x:c>
      <x:c r="R120" s="14" t="str">
        <x:v>Planlandı</x:v>
      </x:c>
      <x:c r="S120" s="15" t="str"/>
      <x:c r="T120" s="14" t="str">
        <x:v>MEB sonucu Konu_Ustaligi sayfasına işlenir.</x:v>
      </x:c>
    </x:row>
    <x:row r="121">
      <x:c r="A121" s="14" t="n">
        <x:v>120</x:v>
      </x:c>
      <x:c r="B121" s="15" t="n">
        <x:v>46305</x:v>
      </x:c>
      <x:c r="C121" s="14" t="str">
        <x:v>Cumartesi</x:v>
      </x:c>
      <x:c r="D121" s="14" t="str">
        <x:v>Hafta Sonu</x:v>
      </x:c>
      <x:c r="E121" s="14" t="str">
        <x:v>Tam gün</x:v>
      </x:c>
      <x:c r="F121" s="14" t="str">
        <x:v>F1 - Temel Kurma</x:v>
      </x:c>
      <x:c r="G121" s="14" t="str">
        <x:v>17:25</x:v>
      </x:c>
      <x:c r="H121" s="14" t="str">
        <x:v>17:55</x:v>
      </x:c>
      <x:c r="I121" s="14" t="str">
        <x:v>Fen</x:v>
      </x:c>
      <x:c r="J121" s="14" t="str">
        <x:v>Ek Fen Pekiştirme</x:v>
      </x:c>
      <x:c r="K121" s="14" t="str">
        <x:v>İklim ve Hava Hareketleri</x:v>
      </x:c>
      <x:c r="L121" s="14" t="str">
        <x:v>İklim ve Hava Hareketleri — Fen soru çözüm playlistinden ilgili videoyu izle.</x:v>
      </x:c>
      <x:c r="M121" s="14" t="str">
        <x:v>Fen Konu/Soru Oynatma Listesi</x:v>
      </x:c>
      <x:c r="N121" s="14" t="str">
        <x:v>https://www.youtube.com/watch?v=pQXhWnDZ3vM&amp;list=PLrQm7mt99FRXcBnorCttd31HJEvg0En26&amp;index=23</x:v>
      </x:c>
      <x:c r="O121" s="14" t="n">
        <x:v>0</x:v>
      </x:c>
      <x:c r="P121" s="14" t="str">
        <x:v>Hayır</x:v>
      </x:c>
      <x:c r="Q121" s="14" t="str">
        <x:v>Evet</x:v>
      </x:c>
      <x:c r="R121" s="14" t="str">
        <x:v>Planlandı</x:v>
      </x:c>
      <x:c r="S121" s="15" t="str"/>
      <x:c r="T121" s="14" t="str">
        <x:v>Fen haftalık temas sıklığını artırmak için ek Cumartesi oturumu.</x:v>
      </x:c>
    </x:row>
    <x:row r="122">
      <x:c r="A122" s="14" t="n">
        <x:v>121</x:v>
      </x:c>
      <x:c r="B122" s="15" t="n">
        <x:v>46305</x:v>
      </x:c>
      <x:c r="C122" s="14" t="str">
        <x:v>Cumartesi</x:v>
      </x:c>
      <x:c r="D122" s="14" t="str">
        <x:v>Hafta Sonu</x:v>
      </x:c>
      <x:c r="E122" s="14" t="str">
        <x:v>Tam gün</x:v>
      </x:c>
      <x:c r="F122" s="14" t="str">
        <x:v>F1 - Temel Kurma</x:v>
      </x:c>
      <x:c r="G122" s="14" t="str">
        <x:v>17:55</x:v>
      </x:c>
      <x:c r="H122" s="14" t="str">
        <x:v>18:25</x:v>
      </x:c>
      <x:c r="I122" s="14" t="str">
        <x:v>Fen</x:v>
      </x:c>
      <x:c r="J122" s="14" t="str">
        <x:v>Ek Fen Kitap / MEB</x:v>
      </x:c>
      <x:c r="K122" s="14" t="str">
        <x:v>İklim ve Hava Hareketleri</x:v>
      </x:c>
      <x:c r="L122" s="14" t="str">
        <x:v>İklim ve Hava Hareketleri ile ilgili soru kitabından en az 15 soru / bugünkü test payını çöz.</x:v>
      </x:c>
      <x:c r="M122" s="14" t="str">
        <x:v>Hız 8. Sınıf Fen (ISBN 9786257514859); tamamlandıysa Mozaik 8. Sınıf Fen</x:v>
      </x:c>
      <x:c r="N122" s="14" t="str">
        <x:v>https://www.youtube.com/watch?v=pQXhWnDZ3vM&amp;list=PLrQm7mt99FRXcBnorCttd31HJEvg0En26&amp;index=23</x:v>
      </x:c>
      <x:c r="O122" s="14" t="n">
        <x:v>15</x:v>
      </x:c>
      <x:c r="P122" s="14" t="str">
        <x:v>Hayır</x:v>
      </x:c>
      <x:c r="Q122" s="14" t="str">
        <x:v>Evet</x:v>
      </x:c>
      <x:c r="R122" s="14" t="str">
        <x:v>Planlandı</x:v>
      </x:c>
      <x:c r="S122" s="15" t="str"/>
      <x:c r="T122" s="14" t="str">
        <x:v>Fen için Hız → gerekiyorsa Mozaik; MEB doğrulaması konu bitiminde.</x:v>
      </x:c>
    </x:row>
    <x:row r="123">
      <x:c r="A123" s="14" t="n">
        <x:v>122</x:v>
      </x:c>
      <x:c r="B123" s="15" t="n">
        <x:v>46305</x:v>
      </x:c>
      <x:c r="C123" s="14" t="str">
        <x:v>Cumartesi</x:v>
      </x:c>
      <x:c r="D123" s="14" t="str">
        <x:v>Hafta Sonu</x:v>
      </x:c>
      <x:c r="E123" s="14" t="str">
        <x:v>Tam gün</x:v>
      </x:c>
      <x:c r="F123" s="14" t="str">
        <x:v>F1 - Temel Kurma</x:v>
      </x:c>
      <x:c r="G123" s="14" t="str">
        <x:v>18:25</x:v>
      </x:c>
      <x:c r="H123" s="14" t="str">
        <x:v>18:45</x:v>
      </x:c>
      <x:c r="I123" s="14" t="str">
        <x:v>Genel</x:v>
      </x:c>
      <x:c r="J123" s="14" t="str">
        <x:v>Yanlış / Boş Analizi</x:v>
      </x:c>
      <x:c r="K123" s="14" t="str">
        <x:v>Günlük</x:v>
      </x:c>
      <x:c r="L123" s="14" t="str">
        <x:v>Bugünkü yanlış/boşları kaydet; çözümünü öğrenmeden kapatma. Hata türünü sınıflandır.</x:v>
      </x:c>
      <x:c r="M123" s="14" t="str">
        <x:v>Yanlış Defteri</x:v>
      </x:c>
      <x:c r="N123" s="14" t="str"/>
      <x:c r="O123" s="14" t="n">
        <x:v>0</x:v>
      </x:c>
      <x:c r="P123" s="14" t="str">
        <x:v>Hayır</x:v>
      </x:c>
      <x:c r="Q123" s="14" t="str">
        <x:v>Evet</x:v>
      </x:c>
      <x:c r="R123" s="14" t="str">
        <x:v>Planlandı</x:v>
      </x:c>
      <x:c r="S123" s="15" t="str"/>
      <x:c r="T123" s="14" t="str"/>
    </x:row>
    <x:row r="124">
      <x:c r="A124" s="14" t="n">
        <x:v>123</x:v>
      </x:c>
      <x:c r="B124" s="15" t="n">
        <x:v>46305</x:v>
      </x:c>
      <x:c r="C124" s="14" t="str">
        <x:v>Cumartesi</x:v>
      </x:c>
      <x:c r="D124" s="14" t="str">
        <x:v>Hafta Sonu</x:v>
      </x:c>
      <x:c r="E124" s="14" t="str">
        <x:v>Tam gün</x:v>
      </x:c>
      <x:c r="F124" s="14" t="str">
        <x:v>F1 - Temel Kurma</x:v>
      </x:c>
      <x:c r="G124" s="14" t="str">
        <x:v>18:45</x:v>
      </x:c>
      <x:c r="H124" s="14" t="str">
        <x:v>19:05</x:v>
      </x:c>
      <x:c r="I124" s="14" t="str">
        <x:v>Genel</x:v>
      </x:c>
      <x:c r="J124" s="14" t="str">
        <x:v>Aralıklı Hata Tekrarı</x:v>
      </x:c>
      <x:c r="K124" s="14" t="str">
        <x:v>+1 / +7 / +21</x:v>
      </x:c>
      <x:c r="L124" s="14" t="str">
        <x:v>Bugün vadesi gelen yanlış soruları tekrar çöz. Vadesi yoksa bu süre serbest/okuma olabilir.</x:v>
      </x:c>
      <x:c r="M124" s="14" t="str">
        <x:v>Yanlış Defteri</x:v>
      </x:c>
      <x:c r="N124" s="14" t="str"/>
      <x:c r="O124" s="14" t="n">
        <x:v>0</x:v>
      </x:c>
      <x:c r="P124" s="14" t="str">
        <x:v>Hayır</x:v>
      </x:c>
      <x:c r="Q124" s="14" t="str">
        <x:v>Koşullu</x:v>
      </x:c>
      <x:c r="R124" s="14" t="str">
        <x:v>Planlandı</x:v>
      </x:c>
      <x:c r="S124" s="15" t="str"/>
      <x:c r="T124" s="14" t="str">
        <x:v>Yanlışlar +1, +7 ve +21 gün aralıklarıyla tekrar edilir; hâlâ yanlışsa konu mastery durumu düşürülür.</x:v>
      </x:c>
    </x:row>
    <x:row r="125">
      <x:c r="A125" s="14" t="n">
        <x:v>124</x:v>
      </x:c>
      <x:c r="B125" s="15" t="n">
        <x:v>46305</x:v>
      </x:c>
      <x:c r="C125" s="14" t="str">
        <x:v>Cumartesi</x:v>
      </x:c>
      <x:c r="D125" s="14" t="str">
        <x:v>Hafta Sonu</x:v>
      </x:c>
      <x:c r="E125" s="14" t="str">
        <x:v>Tam gün</x:v>
      </x:c>
      <x:c r="F125" s="14" t="str">
        <x:v>F1 - Temel Kurma</x:v>
      </x:c>
      <x:c r="G125" s="14" t="str">
        <x:v>20:00</x:v>
      </x:c>
      <x:c r="H125" s="14" t="str">
        <x:v>20:30</x:v>
      </x:c>
      <x:c r="I125" s="14" t="str">
        <x:v>Okuma</x:v>
      </x:c>
      <x:c r="J125" s="14" t="str">
        <x:v>İsteğe Bağlı</x:v>
      </x:c>
      <x:c r="K125" s="14" t="str">
        <x:v>Serbest Kitap</x:v>
      </x:c>
      <x:c r="L125" s="14" t="str">
        <x:v>Zorunlu çalışmalar bittiyse isteğe bağlı kitap oku.</x:v>
      </x:c>
      <x:c r="M125" s="14" t="str">
        <x:v>Serbest Kitap</x:v>
      </x:c>
      <x:c r="N125" s="14" t="str"/>
      <x:c r="O125" s="14" t="n">
        <x:v>0</x:v>
      </x:c>
      <x:c r="P125" s="14" t="str">
        <x:v>İsteğe Bağlı</x:v>
      </x:c>
      <x:c r="Q125" s="14" t="str">
        <x:v>Hayır</x:v>
      </x:c>
      <x:c r="R125" s="14" t="str">
        <x:v>Planlandı</x:v>
      </x:c>
      <x:c r="S125" s="15" t="str"/>
      <x:c r="T125" s="14" t="str">
        <x:v>Minimum süre yok.</x:v>
      </x:c>
    </x:row>
    <x:row r="126">
      <x:c r="A126" s="14" t="n">
        <x:v>125</x:v>
      </x:c>
      <x:c r="B126" s="15" t="n">
        <x:v>46305</x:v>
      </x:c>
      <x:c r="C126" s="14" t="str">
        <x:v>Cumartesi</x:v>
      </x:c>
      <x:c r="D126" s="14" t="str">
        <x:v>Hafta Sonu</x:v>
      </x:c>
      <x:c r="E126" s="14" t="str">
        <x:v>Tam gün</x:v>
      </x:c>
      <x:c r="F126" s="14" t="str">
        <x:v>F1 - Temel Kurma</x:v>
      </x:c>
      <x:c r="G126" s="14" t="str">
        <x:v>21:50</x:v>
      </x:c>
      <x:c r="H126" s="14" t="str">
        <x:v>22:00</x:v>
      </x:c>
      <x:c r="I126" s="14" t="str">
        <x:v>Genel</x:v>
      </x:c>
      <x:c r="J126" s="14" t="str">
        <x:v>Uyku Hazırlığı</x:v>
      </x:c>
      <x:c r="K126" s="14" t="str"/>
      <x:c r="L126" s="14" t="str">
        <x:v>22:00'de yatakta ve uyku.</x:v>
      </x:c>
      <x:c r="M126" s="14" t="str"/>
      <x:c r="N126" s="14" t="str"/>
      <x:c r="O126" s="14" t="n">
        <x:v>0</x:v>
      </x:c>
      <x:c r="P126" s="14" t="str">
        <x:v>Hayır</x:v>
      </x:c>
      <x:c r="Q126" s="14" t="str">
        <x:v>Hayır</x:v>
      </x:c>
      <x:c r="R126" s="14" t="str">
        <x:v>Planlandı</x:v>
      </x:c>
      <x:c r="S126" s="15" t="str"/>
      <x:c r="T126" s="14" t="str"/>
    </x:row>
    <x:row r="127">
      <x:c r="A127" s="14" t="n">
        <x:v>126</x:v>
      </x:c>
      <x:c r="B127" s="15" t="n">
        <x:v>46306</x:v>
      </x:c>
      <x:c r="C127" s="14" t="str">
        <x:v>Pazar</x:v>
      </x:c>
      <x:c r="D127" s="14" t="str">
        <x:v>Hafta Sonu</x:v>
      </x:c>
      <x:c r="E127" s="14" t="str">
        <x:v>Tam gün</x:v>
      </x:c>
      <x:c r="F127" s="14" t="str">
        <x:v>F1 - Temel Kurma</x:v>
      </x:c>
      <x:c r="G127" s="14" t="str">
        <x:v>09:30</x:v>
      </x:c>
      <x:c r="H127" s="14" t="str">
        <x:v>10:15</x:v>
      </x:c>
      <x:c r="I127" s="14" t="str">
        <x:v>Matematik</x:v>
      </x:c>
      <x:c r="J127" s="14" t="str">
        <x:v>Konu / Tekrar</x:v>
      </x:c>
      <x:c r="K127" s="14" t="str">
        <x:v>Rasyonel Sayılar</x:v>
      </x:c>
      <x:c r="L127" s="14" t="str">
        <x:v>Rasyonel Sayılar — genel oynatma listesinden ilgili videoyu izle (4/4).</x:v>
      </x:c>
      <x:c r="M127" s="14" t="str">
        <x:v>Matematik Ana Oynatma Listesi</x:v>
      </x:c>
      <x:c r="N127" s="14" t="str">
        <x:v>https://www.youtube.com/watch?v=EuJ89QzqrAg&amp;list=PLicNtF7vp6fnfDqrRLH6H7fIbzYT4ct4F&amp;index=11</x:v>
      </x:c>
      <x:c r="O127" s="14" t="n">
        <x:v>0</x:v>
      </x:c>
      <x:c r="P127" s="14" t="str">
        <x:v>Hayır</x:v>
      </x:c>
      <x:c r="Q127" s="14" t="str">
        <x:v>Evet</x:v>
      </x:c>
      <x:c r="R127" s="14" t="str">
        <x:v>Planlandı</x:v>
      </x:c>
      <x:c r="S127" s="15" t="str"/>
      <x:c r="T127" s="14" t="str">
        <x:v>Yeni konu ancak plan sırasıyla açılır; LGS dışı ileri TYT içeriği zorunlu değildir.</x:v>
      </x:c>
    </x:row>
    <x:row r="128">
      <x:c r="A128" s="14" t="n">
        <x:v>127</x:v>
      </x:c>
      <x:c r="B128" s="15" t="n">
        <x:v>46306</x:v>
      </x:c>
      <x:c r="C128" s="14" t="str">
        <x:v>Pazar</x:v>
      </x:c>
      <x:c r="D128" s="14" t="str">
        <x:v>Hafta Sonu</x:v>
      </x:c>
      <x:c r="E128" s="14" t="str">
        <x:v>Tam gün</x:v>
      </x:c>
      <x:c r="F128" s="14" t="str">
        <x:v>F1 - Temel Kurma</x:v>
      </x:c>
      <x:c r="G128" s="14" t="str">
        <x:v>10:25</x:v>
      </x:c>
      <x:c r="H128" s="14" t="str">
        <x:v>11:15</x:v>
      </x:c>
      <x:c r="I128" s="14" t="str">
        <x:v>Matematik</x:v>
      </x:c>
      <x:c r="J128" s="14" t="str">
        <x:v>Kitap / MEB / Mastery</x:v>
      </x:c>
      <x:c r="K128" s="14" t="str">
        <x:v>Rasyonel Sayılar</x:v>
      </x:c>
      <x:c r="L128" s="14" t="str">
        <x:v>Rasyonel Sayılar ile ilgili soru kitabından en az 20 soru / bugünkü test payını çöz. İlgili kitap konu bölümünü bu oturumda bitirmeyi hedefle; sonraki oturum MEB doğrulaması.</x:v>
      </x:c>
      <x:c r="M128" s="14" t="str">
        <x:v>MUBA 8. Sınıf Başlangıç Matematik (ISBN 9789756526972) (eşleşen bölüm) + MEB temel destek</x:v>
      </x:c>
      <x:c r="N128" s="14" t="str">
        <x:v>https://odsgm.meb.gov.tr/www/5-6-7-ve-9-sinif-duzeylerinde-calisma-sorulari-yayimlandi/icerik/775</x:v>
      </x:c>
      <x:c r="O128" s="14" t="n">
        <x:v>20</x:v>
      </x:c>
      <x:c r="P128" s="14" t="str">
        <x:v>İlk 20 soru</x:v>
      </x:c>
      <x:c r="Q128" s="14" t="str">
        <x:v>Evet</x:v>
      </x:c>
      <x:c r="R128" s="14" t="str">
        <x:v>Planlandı</x:v>
      </x:c>
      <x:c r="S128" s="15" t="str"/>
      <x:c r="T128" s="14" t="str">
        <x:v>Ayrı/rastgele matematik benchmark yoktur. Süreli ilk 20 soru o gün çalışılan konunun içindedir.</x:v>
      </x:c>
    </x:row>
    <x:row r="129">
      <x:c r="A129" s="14" t="n">
        <x:v>128</x:v>
      </x:c>
      <x:c r="B129" s="15" t="n">
        <x:v>46306</x:v>
      </x:c>
      <x:c r="C129" s="14" t="str">
        <x:v>Pazar</x:v>
      </x:c>
      <x:c r="D129" s="14" t="str">
        <x:v>Hafta Sonu</x:v>
      </x:c>
      <x:c r="E129" s="14" t="str">
        <x:v>Tam gün</x:v>
      </x:c>
      <x:c r="F129" s="14" t="str">
        <x:v>F1 - Temel Kurma</x:v>
      </x:c>
      <x:c r="G129" s="14" t="str">
        <x:v>12:00</x:v>
      </x:c>
      <x:c r="H129" s="14" t="str">
        <x:v>14:00</x:v>
      </x:c>
      <x:c r="I129" s="14" t="str">
        <x:v>Genel</x:v>
      </x:c>
      <x:c r="J129" s="14" t="str">
        <x:v>Yemek / Serbest Zaman</x:v>
      </x:c>
      <x:c r="K129" s="14" t="str"/>
      <x:c r="L129" s="14" t="str">
        <x:v>Yemek, hareket ve dinlenme.</x:v>
      </x:c>
      <x:c r="M129" s="14" t="str"/>
      <x:c r="N129" s="14" t="str"/>
      <x:c r="O129" s="14" t="n">
        <x:v>0</x:v>
      </x:c>
      <x:c r="P129" s="14" t="str">
        <x:v>Hayır</x:v>
      </x:c>
      <x:c r="Q129" s="14" t="str">
        <x:v>Hayır</x:v>
      </x:c>
      <x:c r="R129" s="14" t="str">
        <x:v>Planlandı</x:v>
      </x:c>
      <x:c r="S129" s="15" t="str"/>
      <x:c r="T129" s="14" t="str"/>
    </x:row>
    <x:row r="130">
      <x:c r="A130" s="14" t="n">
        <x:v>129</x:v>
      </x:c>
      <x:c r="B130" s="15" t="n">
        <x:v>46306</x:v>
      </x:c>
      <x:c r="C130" s="14" t="str">
        <x:v>Pazar</x:v>
      </x:c>
      <x:c r="D130" s="14" t="str">
        <x:v>Hafta Sonu</x:v>
      </x:c>
      <x:c r="E130" s="14" t="str">
        <x:v>Tam gün</x:v>
      </x:c>
      <x:c r="F130" s="14" t="str">
        <x:v>F1 - Temel Kurma</x:v>
      </x:c>
      <x:c r="G130" s="14" t="str">
        <x:v>11:25</x:v>
      </x:c>
      <x:c r="H130" s="14" t="str">
        <x:v>11:55</x:v>
      </x:c>
      <x:c r="I130" s="14" t="str">
        <x:v>Türkçe</x:v>
      </x:c>
      <x:c r="J130" s="14" t="str">
        <x:v>Paragraf Rutini</x:v>
      </x:c>
      <x:c r="K130" s="14" t="str">
        <x:v>Paragraf</x:v>
      </x:c>
      <x:c r="L130" s="14" t="str">
        <x:v>En az 20 paragraf sorusu çöz; ilk 20 soruyu ileri sayımla ölç, D/Y/B + süre kaydet.</x:v>
      </x:c>
      <x:c r="M130" s="14" t="str">
        <x:v>Hız 8. Sınıf Türkçe Paragraf (ISBN 9786258394498)</x:v>
      </x:c>
      <x:c r="N130" s="14" t="str"/>
      <x:c r="O130" s="14" t="n">
        <x:v>20</x:v>
      </x:c>
      <x:c r="P130" s="14" t="str">
        <x:v>İlk 20 soru</x:v>
      </x:c>
      <x:c r="Q130" s="14" t="str">
        <x:v>Evet</x:v>
      </x:c>
      <x:c r="R130" s="14" t="str">
        <x:v>Planlandı</x:v>
      </x:c>
      <x:c r="S130" s="15" t="str"/>
      <x:c r="T130" s="14" t="str">
        <x:v>Geri sayım ve hedef süre yok.</x:v>
      </x:c>
    </x:row>
    <x:row r="131">
      <x:c r="A131" s="14" t="n">
        <x:v>130</x:v>
      </x:c>
      <x:c r="B131" s="15" t="n">
        <x:v>46306</x:v>
      </x:c>
      <x:c r="C131" s="14" t="str">
        <x:v>Pazar</x:v>
      </x:c>
      <x:c r="D131" s="14" t="str">
        <x:v>Hafta Sonu</x:v>
      </x:c>
      <x:c r="E131" s="14" t="str">
        <x:v>Tam gün</x:v>
      </x:c>
      <x:c r="F131" s="14" t="str">
        <x:v>F1 - Temel Kurma</x:v>
      </x:c>
      <x:c r="G131" s="14" t="str">
        <x:v>14:00</x:v>
      </x:c>
      <x:c r="H131" s="14" t="str">
        <x:v>14:40</x:v>
      </x:c>
      <x:c r="I131" s="14" t="str">
        <x:v>Türkçe</x:v>
      </x:c>
      <x:c r="J131" s="14" t="str">
        <x:v>Konu / Tekrar</x:v>
      </x:c>
      <x:c r="K131" s="14" t="str">
        <x:v>Paragrafta Anlam ve Soru Türleri</x:v>
      </x:c>
      <x:c r="L131" s="14" t="str">
        <x:v>Paragrafta Anlam ve Soru Türleri — genel oynatma listesinden ilgili videoyu izle (1/4).</x:v>
      </x:c>
      <x:c r="M131" s="14" t="str">
        <x:v>Türkçe Ana Oynatma Listesi</x:v>
      </x:c>
      <x:c r="N131" s="14" t="str">
        <x:v>https://www.youtube.com/watch?v=VYsPntNKVdw&amp;list=PLIBjFaUoJJ91bz7QQEBlxNJNZka5YQRr6</x:v>
      </x:c>
      <x:c r="O131" s="14" t="n">
        <x:v>0</x:v>
      </x:c>
      <x:c r="P131" s="14" t="str">
        <x:v>Hayır</x:v>
      </x:c>
      <x:c r="Q131" s="14" t="str">
        <x:v>Evet</x:v>
      </x:c>
      <x:c r="R131" s="14" t="str">
        <x:v>Planlandı</x:v>
      </x:c>
      <x:c r="S131" s="15" t="str"/>
      <x:c r="T131" s="14" t="str">
        <x:v>TYT etiketli kaynak temelden başlamak için sabittir; LGS dışı gereksiz ayrıntı zorunlu değildir.</x:v>
      </x:c>
    </x:row>
    <x:row r="132">
      <x:c r="A132" s="14" t="n">
        <x:v>131</x:v>
      </x:c>
      <x:c r="B132" s="15" t="n">
        <x:v>46306</x:v>
      </x:c>
      <x:c r="C132" s="14" t="str">
        <x:v>Pazar</x:v>
      </x:c>
      <x:c r="D132" s="14" t="str">
        <x:v>Hafta Sonu</x:v>
      </x:c>
      <x:c r="E132" s="14" t="str">
        <x:v>Tam gün</x:v>
      </x:c>
      <x:c r="F132" s="14" t="str">
        <x:v>F1 - Temel Kurma</x:v>
      </x:c>
      <x:c r="G132" s="14" t="str">
        <x:v>14:50</x:v>
      </x:c>
      <x:c r="H132" s="14" t="str">
        <x:v>15:30</x:v>
      </x:c>
      <x:c r="I132" s="14" t="str">
        <x:v>Türkçe</x:v>
      </x:c>
      <x:c r="J132" s="14" t="str">
        <x:v>Kitap / MEB / Mastery</x:v>
      </x:c>
      <x:c r="K132" s="14" t="str">
        <x:v>Paragrafta Anlam ve Soru Türleri</x:v>
      </x:c>
      <x:c r="L132" s="14" t="str">
        <x:v>Paragrafta Anlam ve Soru Türleri ile ilgili soru kitabından en az 10 soru / bugünkü test payını çöz.</x:v>
      </x:c>
      <x:c r="M132" s="14" t="str">
        <x:v>Ankara 8. Sınıf Dil Bilgisi Güçlendiren</x:v>
      </x:c>
      <x:c r="N132" s="14" t="str">
        <x:v>https://odsgm.meb.gov.tr/www/8sinif-calisma-sorulari/icerik/1632</x:v>
      </x:c>
      <x:c r="O132" s="14" t="n">
        <x:v>10</x:v>
      </x:c>
      <x:c r="P132" s="14" t="str">
        <x:v>Hayır</x:v>
      </x:c>
      <x:c r="Q132" s="14" t="str">
        <x:v>Evet</x:v>
      </x:c>
      <x:c r="R132" s="14" t="str">
        <x:v>Planlandı</x:v>
      </x:c>
      <x:c r="S132" s="15" t="str"/>
      <x:c r="T132" s="14" t="str"/>
    </x:row>
    <x:row r="133">
      <x:c r="A133" s="14" t="n">
        <x:v>132</x:v>
      </x:c>
      <x:c r="B133" s="15" t="n">
        <x:v>46306</x:v>
      </x:c>
      <x:c r="C133" s="14" t="str">
        <x:v>Pazar</x:v>
      </x:c>
      <x:c r="D133" s="14" t="str">
        <x:v>Hafta Sonu</x:v>
      </x:c>
      <x:c r="E133" s="14" t="str">
        <x:v>Tam gün</x:v>
      </x:c>
      <x:c r="F133" s="14" t="str">
        <x:v>F1 - Temel Kurma</x:v>
      </x:c>
      <x:c r="G133" s="14" t="str">
        <x:v>15:45</x:v>
      </x:c>
      <x:c r="H133" s="14" t="str">
        <x:v>16:25</x:v>
      </x:c>
      <x:c r="I133" s="14" t="str">
        <x:v>İnkılap</x:v>
      </x:c>
      <x:c r="J133" s="14" t="str">
        <x:v>Konu / Tekrar</x:v>
      </x:c>
      <x:c r="K133" s="14" t="str">
        <x:v>Bir Kahraman Doğuyor - Avrupa ve Osmanlı’nın Durumu</x:v>
      </x:c>
      <x:c r="L133" s="14" t="str">
        <x:v>Bir Kahraman Doğuyor - Avrupa ve Osmanlı’nın Durumu — MEB doğrulaması öncesi 5-10 dk aktif hatırlama; gerekiyorsa ilgili playlist videosuna kısa dönüş yap.</x:v>
      </x:c>
      <x:c r="M133" s="14" t="str">
        <x:v>İnkılap Genel Oynatma Listesi</x:v>
      </x:c>
      <x:c r="N133" s="14" t="str">
        <x:v>https://www.youtube.com/watch?v=MltIX0oKpYU&amp;list=PLsAsBPsriHNbXit4Ra3iuBrk1ZHZWxsOR&amp;index=78</x:v>
      </x:c>
      <x:c r="O133" s="14" t="n">
        <x:v>0</x:v>
      </x:c>
      <x:c r="P133" s="14" t="str">
        <x:v>Hayır</x:v>
      </x:c>
      <x:c r="Q133" s="14" t="str">
        <x:v>Evet</x:v>
      </x:c>
      <x:c r="R133" s="14" t="str">
        <x:v>Planlandı</x:v>
      </x:c>
      <x:c r="S133" s="15" t="str"/>
      <x:c r="T133" s="14" t="str">
        <x:v>İnkılapta okul yazılısı videoları zorunlu değildir.</x:v>
      </x:c>
    </x:row>
    <x:row r="134">
      <x:c r="A134" s="14" t="n">
        <x:v>133</x:v>
      </x:c>
      <x:c r="B134" s="15" t="n">
        <x:v>46306</x:v>
      </x:c>
      <x:c r="C134" s="14" t="str">
        <x:v>Pazar</x:v>
      </x:c>
      <x:c r="D134" s="14" t="str">
        <x:v>Hafta Sonu</x:v>
      </x:c>
      <x:c r="E134" s="14" t="str">
        <x:v>Tam gün</x:v>
      </x:c>
      <x:c r="F134" s="14" t="str">
        <x:v>F1 - Temel Kurma</x:v>
      </x:c>
      <x:c r="G134" s="14" t="str">
        <x:v>16:35</x:v>
      </x:c>
      <x:c r="H134" s="14" t="str">
        <x:v>17:15</x:v>
      </x:c>
      <x:c r="I134" s="14" t="str">
        <x:v>İnkılap</x:v>
      </x:c>
      <x:c r="J134" s="14" t="str">
        <x:v>Kitap / MEB / Mastery</x:v>
      </x:c>
      <x:c r="K134" s="14" t="str">
        <x:v>Bir Kahraman Doğuyor - Avrupa ve Osmanlı’nın Durumu</x:v>
      </x:c>
      <x:c r="L134" s="14" t="str">
        <x:v>Bir Kahraman Doğuyor - Avrupa ve Osmanlı’nın Durumu için ilgili MEB sorularını TAMAMLA; D/Y/B kaydet. Bu oturum konu mastery gate'idir.</x:v>
      </x:c>
      <x:c r="M134" s="14" t="str">
        <x:v>MEB 8. Sınıf İnkılap Soruları</x:v>
      </x:c>
      <x:c r="N134" s="14" t="str">
        <x:v>https://odsgm.meb.gov.tr/www/8sinif-calisma-sorulari/icerik/1632</x:v>
      </x:c>
      <x:c r="O134" s="14" t="n">
        <x:v>0</x:v>
      </x:c>
      <x:c r="P134" s="14" t="str">
        <x:v>Hayır</x:v>
      </x:c>
      <x:c r="Q134" s="14" t="str">
        <x:v>Evet</x:v>
      </x:c>
      <x:c r="R134" s="14" t="str">
        <x:v>Planlandı</x:v>
      </x:c>
      <x:c r="S134" s="15" t="str"/>
      <x:c r="T134" s="14" t="str">
        <x:v>MEB sonucu Konu_Ustaligi sayfasına işlenir.</x:v>
      </x:c>
    </x:row>
    <x:row r="135">
      <x:c r="A135" s="14" t="n">
        <x:v>134</x:v>
      </x:c>
      <x:c r="B135" s="15" t="n">
        <x:v>46306</x:v>
      </x:c>
      <x:c r="C135" s="14" t="str">
        <x:v>Pazar</x:v>
      </x:c>
      <x:c r="D135" s="14" t="str">
        <x:v>Hafta Sonu</x:v>
      </x:c>
      <x:c r="E135" s="14" t="str">
        <x:v>Tam gün</x:v>
      </x:c>
      <x:c r="F135" s="14" t="str">
        <x:v>F1 - Temel Kurma</x:v>
      </x:c>
      <x:c r="G135" s="14" t="str">
        <x:v>17:25</x:v>
      </x:c>
      <x:c r="H135" s="14" t="str">
        <x:v>18:25</x:v>
      </x:c>
      <x:c r="I135" s="14" t="str">
        <x:v>Genel</x:v>
      </x:c>
      <x:c r="J135" s="14" t="str">
        <x:v>Kaynak Tamamlama</x:v>
      </x:c>
      <x:c r="K135" s="14" t="str">
        <x:v>En Geride Kalan Kaynak</x:v>
      </x:c>
      <x:c r="L135" s="14" t="str">
        <x:v>Kaynak_Ilerleme sayfasında hedef yüzdesinin en gerisinde kalan ZORUNLU soru kaynağına 60 dk ayır. Öğrenilmemiş konudan ileri gitme.</x:v>
      </x:c>
      <x:c r="M135" s="14" t="str">
        <x:v>Kaynak İlerleme</x:v>
      </x:c>
      <x:c r="N135" s="14" t="str"/>
      <x:c r="O135" s="14" t="n">
        <x:v>0</x:v>
      </x:c>
      <x:c r="P135" s="14" t="str">
        <x:v>Hayır</x:v>
      </x:c>
      <x:c r="Q135" s="14" t="str">
        <x:v>Evet</x:v>
      </x:c>
      <x:c r="R135" s="14" t="str">
        <x:v>Planlandı</x:v>
      </x:c>
      <x:c r="S135" s="15" t="str"/>
      <x:c r="T135" s="14" t="str">
        <x:v>Amaç 13.04.2027'de zorunlu soru kitapları + ilgili MEB setlerini %100 tamamlamak.</x:v>
      </x:c>
    </x:row>
    <x:row r="136">
      <x:c r="A136" s="14" t="n">
        <x:v>135</x:v>
      </x:c>
      <x:c r="B136" s="15" t="n">
        <x:v>46306</x:v>
      </x:c>
      <x:c r="C136" s="14" t="str">
        <x:v>Pazar</x:v>
      </x:c>
      <x:c r="D136" s="14" t="str">
        <x:v>Hafta Sonu</x:v>
      </x:c>
      <x:c r="E136" s="14" t="str">
        <x:v>Tam gün</x:v>
      </x:c>
      <x:c r="F136" s="14" t="str">
        <x:v>F1 - Temel Kurma</x:v>
      </x:c>
      <x:c r="G136" s="14" t="str">
        <x:v>18:25</x:v>
      </x:c>
      <x:c r="H136" s="14" t="str">
        <x:v>18:45</x:v>
      </x:c>
      <x:c r="I136" s="14" t="str">
        <x:v>Genel</x:v>
      </x:c>
      <x:c r="J136" s="14" t="str">
        <x:v>Yanlış / Boş Analizi</x:v>
      </x:c>
      <x:c r="K136" s="14" t="str">
        <x:v>Günlük</x:v>
      </x:c>
      <x:c r="L136" s="14" t="str">
        <x:v>Bugünkü yanlış/boşları kaydet; çözümünü öğrenmeden kapatma. Hata türünü sınıflandır.</x:v>
      </x:c>
      <x:c r="M136" s="14" t="str">
        <x:v>Yanlış Defteri</x:v>
      </x:c>
      <x:c r="N136" s="14" t="str"/>
      <x:c r="O136" s="14" t="n">
        <x:v>0</x:v>
      </x:c>
      <x:c r="P136" s="14" t="str">
        <x:v>Hayır</x:v>
      </x:c>
      <x:c r="Q136" s="14" t="str">
        <x:v>Evet</x:v>
      </x:c>
      <x:c r="R136" s="14" t="str">
        <x:v>Planlandı</x:v>
      </x:c>
      <x:c r="S136" s="15" t="str"/>
      <x:c r="T136" s="14" t="str"/>
    </x:row>
    <x:row r="137">
      <x:c r="A137" s="14" t="n">
        <x:v>136</x:v>
      </x:c>
      <x:c r="B137" s="15" t="n">
        <x:v>46306</x:v>
      </x:c>
      <x:c r="C137" s="14" t="str">
        <x:v>Pazar</x:v>
      </x:c>
      <x:c r="D137" s="14" t="str">
        <x:v>Hafta Sonu</x:v>
      </x:c>
      <x:c r="E137" s="14" t="str">
        <x:v>Tam gün</x:v>
      </x:c>
      <x:c r="F137" s="14" t="str">
        <x:v>F1 - Temel Kurma</x:v>
      </x:c>
      <x:c r="G137" s="14" t="str">
        <x:v>18:45</x:v>
      </x:c>
      <x:c r="H137" s="14" t="str">
        <x:v>19:05</x:v>
      </x:c>
      <x:c r="I137" s="14" t="str">
        <x:v>Genel</x:v>
      </x:c>
      <x:c r="J137" s="14" t="str">
        <x:v>Aralıklı Hata Tekrarı</x:v>
      </x:c>
      <x:c r="K137" s="14" t="str">
        <x:v>+1 / +7 / +21</x:v>
      </x:c>
      <x:c r="L137" s="14" t="str">
        <x:v>Bugün vadesi gelen yanlış soruları tekrar çöz. Vadesi yoksa bu süre serbest/okuma olabilir.</x:v>
      </x:c>
      <x:c r="M137" s="14" t="str">
        <x:v>Yanlış Defteri</x:v>
      </x:c>
      <x:c r="N137" s="14" t="str"/>
      <x:c r="O137" s="14" t="n">
        <x:v>0</x:v>
      </x:c>
      <x:c r="P137" s="14" t="str">
        <x:v>Hayır</x:v>
      </x:c>
      <x:c r="Q137" s="14" t="str">
        <x:v>Koşullu</x:v>
      </x:c>
      <x:c r="R137" s="14" t="str">
        <x:v>Planlandı</x:v>
      </x:c>
      <x:c r="S137" s="15" t="str"/>
      <x:c r="T137" s="14" t="str">
        <x:v>Yanlışlar +1, +7 ve +21 gün aralıklarıyla tekrar edilir; hâlâ yanlışsa konu mastery durumu düşürülür.</x:v>
      </x:c>
    </x:row>
    <x:row r="138">
      <x:c r="A138" s="14" t="n">
        <x:v>137</x:v>
      </x:c>
      <x:c r="B138" s="15" t="n">
        <x:v>46306</x:v>
      </x:c>
      <x:c r="C138" s="14" t="str">
        <x:v>Pazar</x:v>
      </x:c>
      <x:c r="D138" s="14" t="str">
        <x:v>Hafta Sonu</x:v>
      </x:c>
      <x:c r="E138" s="14" t="str">
        <x:v>Tam gün</x:v>
      </x:c>
      <x:c r="F138" s="14" t="str">
        <x:v>F1 - Temel Kurma</x:v>
      </x:c>
      <x:c r="G138" s="14" t="str">
        <x:v>20:00</x:v>
      </x:c>
      <x:c r="H138" s="14" t="str">
        <x:v>20:30</x:v>
      </x:c>
      <x:c r="I138" s="14" t="str">
        <x:v>Okuma</x:v>
      </x:c>
      <x:c r="J138" s="14" t="str">
        <x:v>İsteğe Bağlı</x:v>
      </x:c>
      <x:c r="K138" s="14" t="str">
        <x:v>Serbest Kitap</x:v>
      </x:c>
      <x:c r="L138" s="14" t="str">
        <x:v>Zorunlu çalışmalar bittiyse isteğe bağlı kitap oku.</x:v>
      </x:c>
      <x:c r="M138" s="14" t="str">
        <x:v>Serbest Kitap</x:v>
      </x:c>
      <x:c r="N138" s="14" t="str"/>
      <x:c r="O138" s="14" t="n">
        <x:v>0</x:v>
      </x:c>
      <x:c r="P138" s="14" t="str">
        <x:v>İsteğe Bağlı</x:v>
      </x:c>
      <x:c r="Q138" s="14" t="str">
        <x:v>Hayır</x:v>
      </x:c>
      <x:c r="R138" s="14" t="str">
        <x:v>Planlandı</x:v>
      </x:c>
      <x:c r="S138" s="15" t="str"/>
      <x:c r="T138" s="14" t="str">
        <x:v>Minimum süre yok.</x:v>
      </x:c>
    </x:row>
    <x:row r="139">
      <x:c r="A139" s="14" t="n">
        <x:v>138</x:v>
      </x:c>
      <x:c r="B139" s="15" t="n">
        <x:v>46306</x:v>
      </x:c>
      <x:c r="C139" s="14" t="str">
        <x:v>Pazar</x:v>
      </x:c>
      <x:c r="D139" s="14" t="str">
        <x:v>Hafta Sonu</x:v>
      </x:c>
      <x:c r="E139" s="14" t="str">
        <x:v>Tam gün</x:v>
      </x:c>
      <x:c r="F139" s="14" t="str">
        <x:v>F1 - Temel Kurma</x:v>
      </x:c>
      <x:c r="G139" s="14" t="str">
        <x:v>21:50</x:v>
      </x:c>
      <x:c r="H139" s="14" t="str">
        <x:v>22:00</x:v>
      </x:c>
      <x:c r="I139" s="14" t="str">
        <x:v>Genel</x:v>
      </x:c>
      <x:c r="J139" s="14" t="str">
        <x:v>Uyku Hazırlığı</x:v>
      </x:c>
      <x:c r="K139" s="14" t="str"/>
      <x:c r="L139" s="14" t="str">
        <x:v>22:00'de yatakta ve uyku.</x:v>
      </x:c>
      <x:c r="M139" s="14" t="str"/>
      <x:c r="N139" s="14" t="str"/>
      <x:c r="O139" s="14" t="n">
        <x:v>0</x:v>
      </x:c>
      <x:c r="P139" s="14" t="str">
        <x:v>Hayır</x:v>
      </x:c>
      <x:c r="Q139" s="14" t="str">
        <x:v>Hayır</x:v>
      </x:c>
      <x:c r="R139" s="14" t="str">
        <x:v>Planlandı</x:v>
      </x:c>
      <x:c r="S139" s="15" t="str"/>
      <x:c r="T139" s="14" t="str"/>
    </x:row>
    <x:row r="140">
      <x:c r="A140" s="14" t="n">
        <x:v>139</x:v>
      </x:c>
      <x:c r="B140" s="15" t="n">
        <x:v>46307</x:v>
      </x:c>
      <x:c r="C140" s="14" t="str">
        <x:v>Pazartesi</x:v>
      </x:c>
      <x:c r="D140" s="14" t="str">
        <x:v>Okul Günü</x:v>
      </x:c>
      <x:c r="E140" s="14" t="str">
        <x:v>16:00 sonrası</x:v>
      </x:c>
      <x:c r="F140" s="14" t="str">
        <x:v>F1 - Temel Kurma</x:v>
      </x:c>
      <x:c r="G140" s="14" t="str">
        <x:v>16:00</x:v>
      </x:c>
      <x:c r="H140" s="14" t="str">
        <x:v>16:25</x:v>
      </x:c>
      <x:c r="I140" s="14" t="str">
        <x:v>Genel</x:v>
      </x:c>
      <x:c r="J140" s="14" t="str">
        <x:v>Dinlenme</x:v>
      </x:c>
      <x:c r="K140" s="14" t="str"/>
      <x:c r="L140" s="14" t="str">
        <x:v>Eve geliş, atıştırma ve dinlenme.</x:v>
      </x:c>
      <x:c r="M140" s="14" t="str"/>
      <x:c r="N140" s="14" t="str"/>
      <x:c r="O140" s="14" t="n">
        <x:v>0</x:v>
      </x:c>
      <x:c r="P140" s="14" t="str">
        <x:v>Hayır</x:v>
      </x:c>
      <x:c r="Q140" s="14" t="str">
        <x:v>Hayır</x:v>
      </x:c>
      <x:c r="R140" s="14" t="str">
        <x:v>Planlandı</x:v>
      </x:c>
      <x:c r="S140" s="15" t="str"/>
      <x:c r="T140" s="14" t="str"/>
    </x:row>
    <x:row r="141">
      <x:c r="A141" s="14" t="n">
        <x:v>140</x:v>
      </x:c>
      <x:c r="B141" s="15" t="n">
        <x:v>46307</x:v>
      </x:c>
      <x:c r="C141" s="14" t="str">
        <x:v>Pazartesi</x:v>
      </x:c>
      <x:c r="D141" s="14" t="str">
        <x:v>Okul Günü</x:v>
      </x:c>
      <x:c r="E141" s="14" t="str">
        <x:v>16:00 sonrası</x:v>
      </x:c>
      <x:c r="F141" s="14" t="str">
        <x:v>F1 - Temel Kurma</x:v>
      </x:c>
      <x:c r="G141" s="14" t="str">
        <x:v>16:25</x:v>
      </x:c>
      <x:c r="H141" s="14" t="str">
        <x:v>17:05</x:v>
      </x:c>
      <x:c r="I141" s="14" t="str">
        <x:v>Matematik</x:v>
      </x:c>
      <x:c r="J141" s="14" t="str">
        <x:v>Konu / Tekrar</x:v>
      </x:c>
      <x:c r="K141" s="14" t="str">
        <x:v>Rasyonel Sayılar</x:v>
      </x:c>
      <x:c r="L141" s="14" t="str">
        <x:v>Rasyonel Sayılar — MEB doğrulaması öncesi 5-10 dk aktif hatırlama; gerekiyorsa ilgili playlist videosuna kısa dönüş yap.</x:v>
      </x:c>
      <x:c r="M141" s="14" t="str">
        <x:v>Matematik Ana Oynatma Listesi</x:v>
      </x:c>
      <x:c r="N141" s="14" t="str">
        <x:v>https://www.youtube.com/watch?v=EuJ89QzqrAg&amp;list=PLicNtF7vp6fnfDqrRLH6H7fIbzYT4ct4F&amp;index=11</x:v>
      </x:c>
      <x:c r="O141" s="14" t="n">
        <x:v>0</x:v>
      </x:c>
      <x:c r="P141" s="14" t="str">
        <x:v>Hayır</x:v>
      </x:c>
      <x:c r="Q141" s="14" t="str">
        <x:v>Evet</x:v>
      </x:c>
      <x:c r="R141" s="14" t="str">
        <x:v>Planlandı</x:v>
      </x:c>
      <x:c r="S141" s="15" t="str"/>
      <x:c r="T141" s="14" t="str">
        <x:v>Yeni konu ancak plan sırasıyla açılır; LGS dışı ileri TYT içeriği zorunlu değildir.</x:v>
      </x:c>
    </x:row>
    <x:row r="142">
      <x:c r="A142" s="14" t="n">
        <x:v>141</x:v>
      </x:c>
      <x:c r="B142" s="15" t="n">
        <x:v>46307</x:v>
      </x:c>
      <x:c r="C142" s="14" t="str">
        <x:v>Pazartesi</x:v>
      </x:c>
      <x:c r="D142" s="14" t="str">
        <x:v>Okul Günü</x:v>
      </x:c>
      <x:c r="E142" s="14" t="str">
        <x:v>16:00 sonrası</x:v>
      </x:c>
      <x:c r="F142" s="14" t="str">
        <x:v>F1 - Temel Kurma</x:v>
      </x:c>
      <x:c r="G142" s="14" t="str">
        <x:v>17:10</x:v>
      </x:c>
      <x:c r="H142" s="14" t="str">
        <x:v>17:55</x:v>
      </x:c>
      <x:c r="I142" s="14" t="str">
        <x:v>Matematik</x:v>
      </x:c>
      <x:c r="J142" s="14" t="str">
        <x:v>Kitap / MEB / Mastery</x:v>
      </x:c>
      <x:c r="K142" s="14" t="str">
        <x:v>Rasyonel Sayılar</x:v>
      </x:c>
      <x:c r="L142" s="14" t="str">
        <x:v>Rasyonel Sayılar için ilgili MEB sorularını TAMAMLA; D/Y/B kaydet. Bu oturum konu mastery gate'idir.</x:v>
      </x:c>
      <x:c r="M142" s="14" t="str">
        <x:v>MEB Resmî Soru Seti</x:v>
      </x:c>
      <x:c r="N142" s="14" t="str">
        <x:v>https://odsgm.meb.gov.tr/www/5-6-7-ve-9-sinif-duzeylerinde-calisma-sorulari-yayimlandi/icerik/775</x:v>
      </x:c>
      <x:c r="O142" s="14" t="n">
        <x:v>0</x:v>
      </x:c>
      <x:c r="P142" s="14" t="str">
        <x:v>Hayır</x:v>
      </x:c>
      <x:c r="Q142" s="14" t="str">
        <x:v>Evet</x:v>
      </x:c>
      <x:c r="R142" s="14" t="str">
        <x:v>Planlandı</x:v>
      </x:c>
      <x:c r="S142" s="15" t="str"/>
      <x:c r="T142" s="14" t="str">
        <x:v>MEB sonucu Konu_Ustaligi sayfasına işlenir.</x:v>
      </x:c>
    </x:row>
    <x:row r="143">
      <x:c r="A143" s="14" t="n">
        <x:v>142</x:v>
      </x:c>
      <x:c r="B143" s="15" t="n">
        <x:v>46307</x:v>
      </x:c>
      <x:c r="C143" s="14" t="str">
        <x:v>Pazartesi</x:v>
      </x:c>
      <x:c r="D143" s="14" t="str">
        <x:v>Okul Günü</x:v>
      </x:c>
      <x:c r="E143" s="14" t="str">
        <x:v>16:00 sonrası</x:v>
      </x:c>
      <x:c r="F143" s="14" t="str">
        <x:v>F1 - Temel Kurma</x:v>
      </x:c>
      <x:c r="G143" s="14" t="str">
        <x:v>17:55</x:v>
      </x:c>
      <x:c r="H143" s="14" t="str">
        <x:v>18:25</x:v>
      </x:c>
      <x:c r="I143" s="14" t="str">
        <x:v>Genel</x:v>
      </x:c>
      <x:c r="J143" s="14" t="str">
        <x:v>Yemek / Serbest Zaman</x:v>
      </x:c>
      <x:c r="K143" s="14" t="str"/>
      <x:c r="L143" s="14" t="str">
        <x:v>Yemek, hareket ve dinlenme.</x:v>
      </x:c>
      <x:c r="M143" s="14" t="str"/>
      <x:c r="N143" s="14" t="str"/>
      <x:c r="O143" s="14" t="n">
        <x:v>0</x:v>
      </x:c>
      <x:c r="P143" s="14" t="str">
        <x:v>Hayır</x:v>
      </x:c>
      <x:c r="Q143" s="14" t="str">
        <x:v>Hayır</x:v>
      </x:c>
      <x:c r="R143" s="14" t="str">
        <x:v>Planlandı</x:v>
      </x:c>
      <x:c r="S143" s="15" t="str"/>
      <x:c r="T143" s="14" t="str"/>
    </x:row>
    <x:row r="144">
      <x:c r="A144" s="14" t="n">
        <x:v>143</x:v>
      </x:c>
      <x:c r="B144" s="15" t="n">
        <x:v>46307</x:v>
      </x:c>
      <x:c r="C144" s="14" t="str">
        <x:v>Pazartesi</x:v>
      </x:c>
      <x:c r="D144" s="14" t="str">
        <x:v>Okul Günü</x:v>
      </x:c>
      <x:c r="E144" s="14" t="str">
        <x:v>16:00 sonrası</x:v>
      </x:c>
      <x:c r="F144" s="14" t="str">
        <x:v>F1 - Temel Kurma</x:v>
      </x:c>
      <x:c r="G144" s="14" t="str">
        <x:v>18:25</x:v>
      </x:c>
      <x:c r="H144" s="14" t="str">
        <x:v>18:55</x:v>
      </x:c>
      <x:c r="I144" s="14" t="str">
        <x:v>Türkçe</x:v>
      </x:c>
      <x:c r="J144" s="14" t="str">
        <x:v>Paragraf Rutini</x:v>
      </x:c>
      <x:c r="K144" s="14" t="str">
        <x:v>Paragraf</x:v>
      </x:c>
      <x:c r="L144" s="14" t="str">
        <x:v>En az 20 paragraf sorusu çöz; ilk 20 soruyu ileri sayımla ölç, D/Y/B + süre kaydet.</x:v>
      </x:c>
      <x:c r="M144" s="14" t="str">
        <x:v>Hız 8. Sınıf Türkçe Paragraf (ISBN 9786258394498)</x:v>
      </x:c>
      <x:c r="N144" s="14" t="str"/>
      <x:c r="O144" s="14" t="n">
        <x:v>20</x:v>
      </x:c>
      <x:c r="P144" s="14" t="str">
        <x:v>İlk 20 soru</x:v>
      </x:c>
      <x:c r="Q144" s="14" t="str">
        <x:v>Evet</x:v>
      </x:c>
      <x:c r="R144" s="14" t="str">
        <x:v>Planlandı</x:v>
      </x:c>
      <x:c r="S144" s="15" t="str"/>
      <x:c r="T144" s="14" t="str">
        <x:v>Geri sayım ve hedef süre yok.</x:v>
      </x:c>
    </x:row>
    <x:row r="145">
      <x:c r="A145" s="14" t="n">
        <x:v>144</x:v>
      </x:c>
      <x:c r="B145" s="15" t="n">
        <x:v>46307</x:v>
      </x:c>
      <x:c r="C145" s="14" t="str">
        <x:v>Pazartesi</x:v>
      </x:c>
      <x:c r="D145" s="14" t="str">
        <x:v>Okul Günü</x:v>
      </x:c>
      <x:c r="E145" s="14" t="str">
        <x:v>16:00 sonrası</x:v>
      </x:c>
      <x:c r="F145" s="14" t="str">
        <x:v>F1 - Temel Kurma</x:v>
      </x:c>
      <x:c r="G145" s="14" t="str">
        <x:v>19:00</x:v>
      </x:c>
      <x:c r="H145" s="14" t="str">
        <x:v>19:35</x:v>
      </x:c>
      <x:c r="I145" s="14" t="str">
        <x:v>Türkçe</x:v>
      </x:c>
      <x:c r="J145" s="14" t="str">
        <x:v>Konu / Tekrar</x:v>
      </x:c>
      <x:c r="K145" s="14" t="str">
        <x:v>Paragrafta Anlam ve Soru Türleri</x:v>
      </x:c>
      <x:c r="L145" s="14" t="str">
        <x:v>Paragrafta Anlam ve Soru Türleri — genel oynatma listesinden ilgili videoyu izle (2/4).</x:v>
      </x:c>
      <x:c r="M145" s="14" t="str">
        <x:v>Türkçe Ana Oynatma Listesi</x:v>
      </x:c>
      <x:c r="N145" s="14" t="str">
        <x:v>https://www.youtube.com/watch?v=VYsPntNKVdw&amp;list=PLIBjFaUoJJ91bz7QQEBlxNJNZka5YQRr6</x:v>
      </x:c>
      <x:c r="O145" s="14" t="n">
        <x:v>0</x:v>
      </x:c>
      <x:c r="P145" s="14" t="str">
        <x:v>Hayır</x:v>
      </x:c>
      <x:c r="Q145" s="14" t="str">
        <x:v>Evet</x:v>
      </x:c>
      <x:c r="R145" s="14" t="str">
        <x:v>Planlandı</x:v>
      </x:c>
      <x:c r="S145" s="15" t="str"/>
      <x:c r="T145" s="14" t="str">
        <x:v>TYT etiketli kaynak temelden başlamak için sabittir; LGS dışı gereksiz ayrıntı zorunlu değildir.</x:v>
      </x:c>
    </x:row>
    <x:row r="146">
      <x:c r="A146" s="14" t="n">
        <x:v>145</x:v>
      </x:c>
      <x:c r="B146" s="15" t="n">
        <x:v>46307</x:v>
      </x:c>
      <x:c r="C146" s="14" t="str">
        <x:v>Pazartesi</x:v>
      </x:c>
      <x:c r="D146" s="14" t="str">
        <x:v>Okul Günü</x:v>
      </x:c>
      <x:c r="E146" s="14" t="str">
        <x:v>16:00 sonrası</x:v>
      </x:c>
      <x:c r="F146" s="14" t="str">
        <x:v>F1 - Temel Kurma</x:v>
      </x:c>
      <x:c r="G146" s="14" t="str">
        <x:v>19:40</x:v>
      </x:c>
      <x:c r="H146" s="14" t="str">
        <x:v>20:10</x:v>
      </x:c>
      <x:c r="I146" s="14" t="str">
        <x:v>Türkçe</x:v>
      </x:c>
      <x:c r="J146" s="14" t="str">
        <x:v>Kitap / MEB / Mastery</x:v>
      </x:c>
      <x:c r="K146" s="14" t="str">
        <x:v>Paragrafta Anlam ve Soru Türleri</x:v>
      </x:c>
      <x:c r="L146" s="14" t="str">
        <x:v>Paragrafta Anlam ve Soru Türleri ile ilgili soru kitabından en az 10 soru / bugünkü test payını çöz.</x:v>
      </x:c>
      <x:c r="M146" s="14" t="str">
        <x:v>Ankara 8. Sınıf Dil Bilgisi Güçlendiren</x:v>
      </x:c>
      <x:c r="N146" s="14" t="str">
        <x:v>https://odsgm.meb.gov.tr/www/8sinif-calisma-sorulari/icerik/1632</x:v>
      </x:c>
      <x:c r="O146" s="14" t="n">
        <x:v>10</x:v>
      </x:c>
      <x:c r="P146" s="14" t="str">
        <x:v>Hayır</x:v>
      </x:c>
      <x:c r="Q146" s="14" t="str">
        <x:v>Evet</x:v>
      </x:c>
      <x:c r="R146" s="14" t="str">
        <x:v>Planlandı</x:v>
      </x:c>
      <x:c r="S146" s="15" t="str"/>
      <x:c r="T146" s="14" t="str"/>
    </x:row>
    <x:row r="147">
      <x:c r="A147" s="14" t="n">
        <x:v>146</x:v>
      </x:c>
      <x:c r="B147" s="15" t="n">
        <x:v>46307</x:v>
      </x:c>
      <x:c r="C147" s="14" t="str">
        <x:v>Pazartesi</x:v>
      </x:c>
      <x:c r="D147" s="14" t="str">
        <x:v>Okul Günü</x:v>
      </x:c>
      <x:c r="E147" s="14" t="str">
        <x:v>16:00 sonrası</x:v>
      </x:c>
      <x:c r="F147" s="14" t="str">
        <x:v>F1 - Temel Kurma</x:v>
      </x:c>
      <x:c r="G147" s="14" t="str">
        <x:v>20:15</x:v>
      </x:c>
      <x:c r="H147" s="14" t="str">
        <x:v>20:50</x:v>
      </x:c>
      <x:c r="I147" s="14" t="str">
        <x:v>İngilizce</x:v>
      </x:c>
      <x:c r="J147" s="14" t="str">
        <x:v>Konu / Tekrar</x:v>
      </x:c>
      <x:c r="K147" s="14" t="str">
        <x:v>Unit 1 - Friendship</x:v>
      </x:c>
      <x:c r="L147" s="14" t="str">
        <x:v>Unit 1 - Friendship — Worksheet çalışmasını playlistten yap.</x:v>
      </x:c>
      <x:c r="M147" s="14" t="str">
        <x:v>İngilizce Genel Oynatma Listesi</x:v>
      </x:c>
      <x:c r="N147" s="14" t="str">
        <x:v>https://www.youtube.com/watch?v=FaY3dFjZbns&amp;list=PLSgpQDrUSYp94WgE9pzpHiOG5FwxnZBrr</x:v>
      </x:c>
      <x:c r="O147" s="14" t="n">
        <x:v>0</x:v>
      </x:c>
      <x:c r="P147" s="14" t="str">
        <x:v>Hayır</x:v>
      </x:c>
      <x:c r="Q147" s="14" t="str">
        <x:v>Evet</x:v>
      </x:c>
      <x:c r="R147" s="14" t="str">
        <x:v>Planlandı</x:v>
      </x:c>
      <x:c r="S147" s="15" t="str"/>
      <x:c r="T147" s="14" t="str"/>
    </x:row>
    <x:row r="148">
      <x:c r="A148" s="14" t="n">
        <x:v>147</x:v>
      </x:c>
      <x:c r="B148" s="15" t="n">
        <x:v>46307</x:v>
      </x:c>
      <x:c r="C148" s="14" t="str">
        <x:v>Pazartesi</x:v>
      </x:c>
      <x:c r="D148" s="14" t="str">
        <x:v>Okul Günü</x:v>
      </x:c>
      <x:c r="E148" s="14" t="str">
        <x:v>16:00 sonrası</x:v>
      </x:c>
      <x:c r="F148" s="14" t="str">
        <x:v>F1 - Temel Kurma</x:v>
      </x:c>
      <x:c r="G148" s="14" t="str">
        <x:v>20:55</x:v>
      </x:c>
      <x:c r="H148" s="14" t="str">
        <x:v>21:20</x:v>
      </x:c>
      <x:c r="I148" s="14" t="str">
        <x:v>İngilizce</x:v>
      </x:c>
      <x:c r="J148" s="14" t="str">
        <x:v>Kitap / MEB / Mastery</x:v>
      </x:c>
      <x:c r="K148" s="14" t="str">
        <x:v>Unit 1 - Friendship</x:v>
      </x:c>
      <x:c r="L148" s="14" t="str">
        <x:v>Unit 1 - Friendship ile ilgili soru kitabından en az 15 soru / bugünkü test payını çöz.</x:v>
      </x:c>
      <x:c r="M148" s="14" t="str">
        <x:v>More &amp; More 8 Worksheets Notebook</x:v>
      </x:c>
      <x:c r="N148" s="14" t="str">
        <x:v>https://www.youtube.com/watch?v=FaY3dFjZbns&amp;list=PLSgpQDrUSYp94WgE9pzpHiOG5FwxnZBrr</x:v>
      </x:c>
      <x:c r="O148" s="14" t="n">
        <x:v>15</x:v>
      </x:c>
      <x:c r="P148" s="14" t="str">
        <x:v>Hayır</x:v>
      </x:c>
      <x:c r="Q148" s="14" t="str">
        <x:v>Evet</x:v>
      </x:c>
      <x:c r="R148" s="14" t="str">
        <x:v>Planlandı</x:v>
      </x:c>
      <x:c r="S148" s="15" t="str"/>
      <x:c r="T148" s="14" t="str"/>
    </x:row>
    <x:row r="149">
      <x:c r="A149" s="14" t="n">
        <x:v>148</x:v>
      </x:c>
      <x:c r="B149" s="15" t="n">
        <x:v>46307</x:v>
      </x:c>
      <x:c r="C149" s="14" t="str">
        <x:v>Pazartesi</x:v>
      </x:c>
      <x:c r="D149" s="14" t="str">
        <x:v>Okul Günü</x:v>
      </x:c>
      <x:c r="E149" s="14" t="str">
        <x:v>16:00 sonrası</x:v>
      </x:c>
      <x:c r="F149" s="14" t="str">
        <x:v>F1 - Temel Kurma</x:v>
      </x:c>
      <x:c r="G149" s="14" t="str">
        <x:v>21:20</x:v>
      </x:c>
      <x:c r="H149" s="14" t="str">
        <x:v>21:35</x:v>
      </x:c>
      <x:c r="I149" s="14" t="str">
        <x:v>Genel</x:v>
      </x:c>
      <x:c r="J149" s="14" t="str">
        <x:v>Yanlış / Boş Analizi</x:v>
      </x:c>
      <x:c r="K149" s="14" t="str">
        <x:v>Günlük</x:v>
      </x:c>
      <x:c r="L149" s="14" t="str">
        <x:v>Bugünkü yanlış/boşları kaydet; çözümünü öğrenmeden kapatma. Hata türünü sınıflandır.</x:v>
      </x:c>
      <x:c r="M149" s="14" t="str">
        <x:v>Yanlış Defteri</x:v>
      </x:c>
      <x:c r="N149" s="14" t="str"/>
      <x:c r="O149" s="14" t="n">
        <x:v>0</x:v>
      </x:c>
      <x:c r="P149" s="14" t="str">
        <x:v>Hayır</x:v>
      </x:c>
      <x:c r="Q149" s="14" t="str">
        <x:v>Evet</x:v>
      </x:c>
      <x:c r="R149" s="14" t="str">
        <x:v>Planlandı</x:v>
      </x:c>
      <x:c r="S149" s="15" t="str"/>
      <x:c r="T149" s="14" t="str"/>
    </x:row>
    <x:row r="150">
      <x:c r="A150" s="14" t="n">
        <x:v>149</x:v>
      </x:c>
      <x:c r="B150" s="15" t="n">
        <x:v>46307</x:v>
      </x:c>
      <x:c r="C150" s="14" t="str">
        <x:v>Pazartesi</x:v>
      </x:c>
      <x:c r="D150" s="14" t="str">
        <x:v>Okul Günü</x:v>
      </x:c>
      <x:c r="E150" s="14" t="str">
        <x:v>16:00 sonrası</x:v>
      </x:c>
      <x:c r="F150" s="14" t="str">
        <x:v>F1 - Temel Kurma</x:v>
      </x:c>
      <x:c r="G150" s="14" t="str">
        <x:v>21:35</x:v>
      </x:c>
      <x:c r="H150" s="14" t="str">
        <x:v>21:50</x:v>
      </x:c>
      <x:c r="I150" s="14" t="str">
        <x:v>Genel</x:v>
      </x:c>
      <x:c r="J150" s="14" t="str">
        <x:v>Aralıklı Hata Tekrarı</x:v>
      </x:c>
      <x:c r="K150" s="14" t="str">
        <x:v>+1 / +7 / +21</x:v>
      </x:c>
      <x:c r="L150" s="14" t="str">
        <x:v>Bugün vadesi gelen yanlış soruları tekrar çöz. Vadesi yoksa bu süre serbest/okuma olabilir.</x:v>
      </x:c>
      <x:c r="M150" s="14" t="str">
        <x:v>Yanlış Defteri</x:v>
      </x:c>
      <x:c r="N150" s="14" t="str"/>
      <x:c r="O150" s="14" t="n">
        <x:v>0</x:v>
      </x:c>
      <x:c r="P150" s="14" t="str">
        <x:v>Hayır</x:v>
      </x:c>
      <x:c r="Q150" s="14" t="str">
        <x:v>Koşullu</x:v>
      </x:c>
      <x:c r="R150" s="14" t="str">
        <x:v>Planlandı</x:v>
      </x:c>
      <x:c r="S150" s="15" t="str"/>
      <x:c r="T150" s="14" t="str">
        <x:v>Yanlışlar +1, +7 ve +21 gün aralıklarıyla tekrar edilir; hâlâ yanlışsa konu mastery durumu düşürülür.</x:v>
      </x:c>
    </x:row>
    <x:row r="151">
      <x:c r="A151" s="14" t="n">
        <x:v>150</x:v>
      </x:c>
      <x:c r="B151" s="15" t="n">
        <x:v>46307</x:v>
      </x:c>
      <x:c r="C151" s="14" t="str">
        <x:v>Pazartesi</x:v>
      </x:c>
      <x:c r="D151" s="14" t="str">
        <x:v>Okul Günü</x:v>
      </x:c>
      <x:c r="E151" s="14" t="str">
        <x:v>16:00 sonrası</x:v>
      </x:c>
      <x:c r="F151" s="14" t="str">
        <x:v>F1 - Temel Kurma</x:v>
      </x:c>
      <x:c r="G151" s="14" t="str">
        <x:v>21:50</x:v>
      </x:c>
      <x:c r="H151" s="14" t="str">
        <x:v>22:00</x:v>
      </x:c>
      <x:c r="I151" s="14" t="str">
        <x:v>Genel</x:v>
      </x:c>
      <x:c r="J151" s="14" t="str">
        <x:v>Uyku Hazırlığı</x:v>
      </x:c>
      <x:c r="K151" s="14" t="str"/>
      <x:c r="L151" s="14" t="str">
        <x:v>22:00'de yatakta ve uyku.</x:v>
      </x:c>
      <x:c r="M151" s="14" t="str"/>
      <x:c r="N151" s="14" t="str"/>
      <x:c r="O151" s="14" t="n">
        <x:v>0</x:v>
      </x:c>
      <x:c r="P151" s="14" t="str">
        <x:v>Hayır</x:v>
      </x:c>
      <x:c r="Q151" s="14" t="str">
        <x:v>Hayır</x:v>
      </x:c>
      <x:c r="R151" s="14" t="str">
        <x:v>Planlandı</x:v>
      </x:c>
      <x:c r="S151" s="15" t="str"/>
      <x:c r="T151" s="14" t="str"/>
    </x:row>
    <x:row r="152">
      <x:c r="A152" s="14" t="n">
        <x:v>151</x:v>
      </x:c>
      <x:c r="B152" s="15" t="n">
        <x:v>46308</x:v>
      </x:c>
      <x:c r="C152" s="14" t="str">
        <x:v>Salı</x:v>
      </x:c>
      <x:c r="D152" s="14" t="str">
        <x:v>Okul Günü</x:v>
      </x:c>
      <x:c r="E152" s="14" t="str">
        <x:v>16:00 sonrası</x:v>
      </x:c>
      <x:c r="F152" s="14" t="str">
        <x:v>F1 - Temel Kurma</x:v>
      </x:c>
      <x:c r="G152" s="14" t="str">
        <x:v>16:00</x:v>
      </x:c>
      <x:c r="H152" s="14" t="str">
        <x:v>16:25</x:v>
      </x:c>
      <x:c r="I152" s="14" t="str">
        <x:v>Genel</x:v>
      </x:c>
      <x:c r="J152" s="14" t="str">
        <x:v>Dinlenme</x:v>
      </x:c>
      <x:c r="K152" s="14" t="str"/>
      <x:c r="L152" s="14" t="str">
        <x:v>Eve geliş, atıştırma ve dinlenme.</x:v>
      </x:c>
      <x:c r="M152" s="14" t="str"/>
      <x:c r="N152" s="14" t="str"/>
      <x:c r="O152" s="14" t="n">
        <x:v>0</x:v>
      </x:c>
      <x:c r="P152" s="14" t="str">
        <x:v>Hayır</x:v>
      </x:c>
      <x:c r="Q152" s="14" t="str">
        <x:v>Hayır</x:v>
      </x:c>
      <x:c r="R152" s="14" t="str">
        <x:v>Planlandı</x:v>
      </x:c>
      <x:c r="S152" s="15" t="str"/>
      <x:c r="T152" s="14" t="str"/>
    </x:row>
    <x:row r="153">
      <x:c r="A153" s="14" t="n">
        <x:v>152</x:v>
      </x:c>
      <x:c r="B153" s="15" t="n">
        <x:v>46308</x:v>
      </x:c>
      <x:c r="C153" s="14" t="str">
        <x:v>Salı</x:v>
      </x:c>
      <x:c r="D153" s="14" t="str">
        <x:v>Okul Günü</x:v>
      </x:c>
      <x:c r="E153" s="14" t="str">
        <x:v>16:00 sonrası</x:v>
      </x:c>
      <x:c r="F153" s="14" t="str">
        <x:v>F1 - Temel Kurma</x:v>
      </x:c>
      <x:c r="G153" s="14" t="str">
        <x:v>16:25</x:v>
      </x:c>
      <x:c r="H153" s="14" t="str">
        <x:v>17:05</x:v>
      </x:c>
      <x:c r="I153" s="14" t="str">
        <x:v>Matematik</x:v>
      </x:c>
      <x:c r="J153" s="14" t="str">
        <x:v>Konu / Tekrar</x:v>
      </x:c>
      <x:c r="K153" s="14" t="str">
        <x:v>Ardışık Sayılar</x:v>
      </x:c>
      <x:c r="L153" s="14" t="str">
        <x:v>Ardışık Sayılar — genel oynatma listesinden ilgili videoyu izle (1/2).</x:v>
      </x:c>
      <x:c r="M153" s="14" t="str">
        <x:v>Matematik Ana Oynatma Listesi</x:v>
      </x:c>
      <x:c r="N153" s="14" t="str">
        <x:v>https://www.youtube.com/watch?v=EuJ89QzqrAg&amp;list=PLicNtF7vp6fnfDqrRLH6H7fIbzYT4ct4F&amp;index=11</x:v>
      </x:c>
      <x:c r="O153" s="14" t="n">
        <x:v>0</x:v>
      </x:c>
      <x:c r="P153" s="14" t="str">
        <x:v>Hayır</x:v>
      </x:c>
      <x:c r="Q153" s="14" t="str">
        <x:v>Evet</x:v>
      </x:c>
      <x:c r="R153" s="14" t="str">
        <x:v>Planlandı</x:v>
      </x:c>
      <x:c r="S153" s="15" t="str"/>
      <x:c r="T153" s="14" t="str">
        <x:v>Yeni konu ancak plan sırasıyla açılır; LGS dışı ileri TYT içeriği zorunlu değildir.</x:v>
      </x:c>
    </x:row>
    <x:row r="154">
      <x:c r="A154" s="14" t="n">
        <x:v>153</x:v>
      </x:c>
      <x:c r="B154" s="15" t="n">
        <x:v>46308</x:v>
      </x:c>
      <x:c r="C154" s="14" t="str">
        <x:v>Salı</x:v>
      </x:c>
      <x:c r="D154" s="14" t="str">
        <x:v>Okul Günü</x:v>
      </x:c>
      <x:c r="E154" s="14" t="str">
        <x:v>16:00 sonrası</x:v>
      </x:c>
      <x:c r="F154" s="14" t="str">
        <x:v>F1 - Temel Kurma</x:v>
      </x:c>
      <x:c r="G154" s="14" t="str">
        <x:v>17:10</x:v>
      </x:c>
      <x:c r="H154" s="14" t="str">
        <x:v>17:55</x:v>
      </x:c>
      <x:c r="I154" s="14" t="str">
        <x:v>Matematik</x:v>
      </x:c>
      <x:c r="J154" s="14" t="str">
        <x:v>Kitap / MEB / Mastery</x:v>
      </x:c>
      <x:c r="K154" s="14" t="str">
        <x:v>Ardışık Sayılar</x:v>
      </x:c>
      <x:c r="L154" s="14" t="str">
        <x:v>Ardışık Sayılar ile ilgili soru kitabından en az 20 soru / bugünkü test payını çöz.</x:v>
      </x:c>
      <x:c r="M154" s="14" t="str">
        <x:v>MUBA 8. Sınıf Başlangıç Matematik (ISBN 9789756526972) (eşleşen bölüm) + MEB temel destek</x:v>
      </x:c>
      <x:c r="N154" s="14" t="str">
        <x:v>https://odsgm.meb.gov.tr/www/5-6-7-ve-9-sinif-duzeylerinde-calisma-sorulari-yayimlandi/icerik/775</x:v>
      </x:c>
      <x:c r="O154" s="14" t="n">
        <x:v>20</x:v>
      </x:c>
      <x:c r="P154" s="14" t="str">
        <x:v>İlk 20 soru</x:v>
      </x:c>
      <x:c r="Q154" s="14" t="str">
        <x:v>Evet</x:v>
      </x:c>
      <x:c r="R154" s="14" t="str">
        <x:v>Planlandı</x:v>
      </x:c>
      <x:c r="S154" s="15" t="str"/>
      <x:c r="T154" s="14" t="str">
        <x:v>Ayrı/rastgele matematik benchmark yoktur. Süreli ilk 20 soru o gün çalışılan konunun içindedir.</x:v>
      </x:c>
    </x:row>
    <x:row r="155">
      <x:c r="A155" s="14" t="n">
        <x:v>154</x:v>
      </x:c>
      <x:c r="B155" s="15" t="n">
        <x:v>46308</x:v>
      </x:c>
      <x:c r="C155" s="14" t="str">
        <x:v>Salı</x:v>
      </x:c>
      <x:c r="D155" s="14" t="str">
        <x:v>Okul Günü</x:v>
      </x:c>
      <x:c r="E155" s="14" t="str">
        <x:v>16:00 sonrası</x:v>
      </x:c>
      <x:c r="F155" s="14" t="str">
        <x:v>F1 - Temel Kurma</x:v>
      </x:c>
      <x:c r="G155" s="14" t="str">
        <x:v>17:55</x:v>
      </x:c>
      <x:c r="H155" s="14" t="str">
        <x:v>18:25</x:v>
      </x:c>
      <x:c r="I155" s="14" t="str">
        <x:v>Genel</x:v>
      </x:c>
      <x:c r="J155" s="14" t="str">
        <x:v>Yemek / Serbest Zaman</x:v>
      </x:c>
      <x:c r="K155" s="14" t="str"/>
      <x:c r="L155" s="14" t="str">
        <x:v>Yemek, hareket ve dinlenme.</x:v>
      </x:c>
      <x:c r="M155" s="14" t="str"/>
      <x:c r="N155" s="14" t="str"/>
      <x:c r="O155" s="14" t="n">
        <x:v>0</x:v>
      </x:c>
      <x:c r="P155" s="14" t="str">
        <x:v>Hayır</x:v>
      </x:c>
      <x:c r="Q155" s="14" t="str">
        <x:v>Hayır</x:v>
      </x:c>
      <x:c r="R155" s="14" t="str">
        <x:v>Planlandı</x:v>
      </x:c>
      <x:c r="S155" s="15" t="str"/>
      <x:c r="T155" s="14" t="str"/>
    </x:row>
    <x:row r="156">
      <x:c r="A156" s="14" t="n">
        <x:v>155</x:v>
      </x:c>
      <x:c r="B156" s="15" t="n">
        <x:v>46308</x:v>
      </x:c>
      <x:c r="C156" s="14" t="str">
        <x:v>Salı</x:v>
      </x:c>
      <x:c r="D156" s="14" t="str">
        <x:v>Okul Günü</x:v>
      </x:c>
      <x:c r="E156" s="14" t="str">
        <x:v>16:00 sonrası</x:v>
      </x:c>
      <x:c r="F156" s="14" t="str">
        <x:v>F1 - Temel Kurma</x:v>
      </x:c>
      <x:c r="G156" s="14" t="str">
        <x:v>18:25</x:v>
      </x:c>
      <x:c r="H156" s="14" t="str">
        <x:v>18:55</x:v>
      </x:c>
      <x:c r="I156" s="14" t="str">
        <x:v>Türkçe</x:v>
      </x:c>
      <x:c r="J156" s="14" t="str">
        <x:v>Paragraf Rutini</x:v>
      </x:c>
      <x:c r="K156" s="14" t="str">
        <x:v>Paragraf</x:v>
      </x:c>
      <x:c r="L156" s="14" t="str">
        <x:v>En az 20 paragraf sorusu çöz; ilk 20 soruyu ileri sayımla ölç, D/Y/B + süre kaydet.</x:v>
      </x:c>
      <x:c r="M156" s="14" t="str">
        <x:v>Hız 8. Sınıf Türkçe Paragraf (ISBN 9786258394498)</x:v>
      </x:c>
      <x:c r="N156" s="14" t="str"/>
      <x:c r="O156" s="14" t="n">
        <x:v>20</x:v>
      </x:c>
      <x:c r="P156" s="14" t="str">
        <x:v>İlk 20 soru</x:v>
      </x:c>
      <x:c r="Q156" s="14" t="str">
        <x:v>Evet</x:v>
      </x:c>
      <x:c r="R156" s="14" t="str">
        <x:v>Planlandı</x:v>
      </x:c>
      <x:c r="S156" s="15" t="str"/>
      <x:c r="T156" s="14" t="str">
        <x:v>Geri sayım ve hedef süre yok.</x:v>
      </x:c>
    </x:row>
    <x:row r="157">
      <x:c r="A157" s="14" t="n">
        <x:v>156</x:v>
      </x:c>
      <x:c r="B157" s="15" t="n">
        <x:v>46308</x:v>
      </x:c>
      <x:c r="C157" s="14" t="str">
        <x:v>Salı</x:v>
      </x:c>
      <x:c r="D157" s="14" t="str">
        <x:v>Okul Günü</x:v>
      </x:c>
      <x:c r="E157" s="14" t="str">
        <x:v>16:00 sonrası</x:v>
      </x:c>
      <x:c r="F157" s="14" t="str">
        <x:v>F1 - Temel Kurma</x:v>
      </x:c>
      <x:c r="G157" s="14" t="str">
        <x:v>19:00</x:v>
      </x:c>
      <x:c r="H157" s="14" t="str">
        <x:v>19:35</x:v>
      </x:c>
      <x:c r="I157" s="14" t="str">
        <x:v>Türkçe</x:v>
      </x:c>
      <x:c r="J157" s="14" t="str">
        <x:v>Konu / Tekrar</x:v>
      </x:c>
      <x:c r="K157" s="14" t="str">
        <x:v>Paragrafta Anlam ve Soru Türleri</x:v>
      </x:c>
      <x:c r="L157" s="14" t="str">
        <x:v>Paragrafta Anlam ve Soru Türleri — genel oynatma listesinden ilgili videoyu izle (3/4).</x:v>
      </x:c>
      <x:c r="M157" s="14" t="str">
        <x:v>Türkçe Ana Oynatma Listesi</x:v>
      </x:c>
      <x:c r="N157" s="14" t="str">
        <x:v>https://www.youtube.com/watch?v=VYsPntNKVdw&amp;list=PLIBjFaUoJJ91bz7QQEBlxNJNZka5YQRr6</x:v>
      </x:c>
      <x:c r="O157" s="14" t="n">
        <x:v>0</x:v>
      </x:c>
      <x:c r="P157" s="14" t="str">
        <x:v>Hayır</x:v>
      </x:c>
      <x:c r="Q157" s="14" t="str">
        <x:v>Evet</x:v>
      </x:c>
      <x:c r="R157" s="14" t="str">
        <x:v>Planlandı</x:v>
      </x:c>
      <x:c r="S157" s="15" t="str"/>
      <x:c r="T157" s="14" t="str">
        <x:v>TYT etiketli kaynak temelden başlamak için sabittir; LGS dışı gereksiz ayrıntı zorunlu değildir.</x:v>
      </x:c>
    </x:row>
    <x:row r="158">
      <x:c r="A158" s="14" t="n">
        <x:v>157</x:v>
      </x:c>
      <x:c r="B158" s="15" t="n">
        <x:v>46308</x:v>
      </x:c>
      <x:c r="C158" s="14" t="str">
        <x:v>Salı</x:v>
      </x:c>
      <x:c r="D158" s="14" t="str">
        <x:v>Okul Günü</x:v>
      </x:c>
      <x:c r="E158" s="14" t="str">
        <x:v>16:00 sonrası</x:v>
      </x:c>
      <x:c r="F158" s="14" t="str">
        <x:v>F1 - Temel Kurma</x:v>
      </x:c>
      <x:c r="G158" s="14" t="str">
        <x:v>19:40</x:v>
      </x:c>
      <x:c r="H158" s="14" t="str">
        <x:v>20:10</x:v>
      </x:c>
      <x:c r="I158" s="14" t="str">
        <x:v>Türkçe</x:v>
      </x:c>
      <x:c r="J158" s="14" t="str">
        <x:v>Kitap / MEB / Mastery</x:v>
      </x:c>
      <x:c r="K158" s="14" t="str">
        <x:v>Paragrafta Anlam ve Soru Türleri</x:v>
      </x:c>
      <x:c r="L158" s="14" t="str">
        <x:v>Paragrafta Anlam ve Soru Türleri ile ilgili soru kitabından en az 10 soru / bugünkü test payını çöz.</x:v>
      </x:c>
      <x:c r="M158" s="14" t="str">
        <x:v>Ankara 8. Sınıf Dil Bilgisi Güçlendiren</x:v>
      </x:c>
      <x:c r="N158" s="14" t="str">
        <x:v>https://odsgm.meb.gov.tr/www/8sinif-calisma-sorulari/icerik/1632</x:v>
      </x:c>
      <x:c r="O158" s="14" t="n">
        <x:v>10</x:v>
      </x:c>
      <x:c r="P158" s="14" t="str">
        <x:v>Hayır</x:v>
      </x:c>
      <x:c r="Q158" s="14" t="str">
        <x:v>Evet</x:v>
      </x:c>
      <x:c r="R158" s="14" t="str">
        <x:v>Planlandı</x:v>
      </x:c>
      <x:c r="S158" s="15" t="str"/>
      <x:c r="T158" s="14" t="str"/>
    </x:row>
    <x:row r="159">
      <x:c r="A159" s="14" t="n">
        <x:v>158</x:v>
      </x:c>
      <x:c r="B159" s="15" t="n">
        <x:v>46308</x:v>
      </x:c>
      <x:c r="C159" s="14" t="str">
        <x:v>Salı</x:v>
      </x:c>
      <x:c r="D159" s="14" t="str">
        <x:v>Okul Günü</x:v>
      </x:c>
      <x:c r="E159" s="14" t="str">
        <x:v>16:00 sonrası</x:v>
      </x:c>
      <x:c r="F159" s="14" t="str">
        <x:v>F1 - Temel Kurma</x:v>
      </x:c>
      <x:c r="G159" s="14" t="str">
        <x:v>20:15</x:v>
      </x:c>
      <x:c r="H159" s="14" t="str">
        <x:v>20:50</x:v>
      </x:c>
      <x:c r="I159" s="14" t="str">
        <x:v>Fen</x:v>
      </x:c>
      <x:c r="J159" s="14" t="str">
        <x:v>Konu / Tekrar</x:v>
      </x:c>
      <x:c r="K159" s="14" t="str">
        <x:v>İklim ve Hava Hareketleri</x:v>
      </x:c>
      <x:c r="L159" s="14" t="str">
        <x:v>İklim ve Hava Hareketleri — MEB doğrulaması öncesi 5-10 dk aktif hatırlama; gerekiyorsa ilgili playlist videosuna kısa dönüş yap.</x:v>
      </x:c>
      <x:c r="M159" s="14" t="str">
        <x:v>Fen Soru Çözüm / Tekrar</x:v>
      </x:c>
      <x:c r="N159" s="14" t="str">
        <x:v>https://www.youtube.com/watch?v=pQXhWnDZ3vM&amp;list=PLrQm7mt99FRXcBnorCttd31HJEvg0En26&amp;index=23</x:v>
      </x:c>
      <x:c r="O159" s="14" t="n">
        <x:v>0</x:v>
      </x:c>
      <x:c r="P159" s="14" t="str">
        <x:v>Hayır</x:v>
      </x:c>
      <x:c r="Q159" s="14" t="str">
        <x:v>Evet</x:v>
      </x:c>
      <x:c r="R159" s="14" t="str">
        <x:v>Planlandı</x:v>
      </x:c>
      <x:c r="S159" s="15" t="str"/>
      <x:c r="T159" s="14" t="str"/>
    </x:row>
    <x:row r="160">
      <x:c r="A160" s="14" t="n">
        <x:v>159</x:v>
      </x:c>
      <x:c r="B160" s="15" t="n">
        <x:v>46308</x:v>
      </x:c>
      <x:c r="C160" s="14" t="str">
        <x:v>Salı</x:v>
      </x:c>
      <x:c r="D160" s="14" t="str">
        <x:v>Okul Günü</x:v>
      </x:c>
      <x:c r="E160" s="14" t="str">
        <x:v>16:00 sonrası</x:v>
      </x:c>
      <x:c r="F160" s="14" t="str">
        <x:v>F1 - Temel Kurma</x:v>
      </x:c>
      <x:c r="G160" s="14" t="str">
        <x:v>20:55</x:v>
      </x:c>
      <x:c r="H160" s="14" t="str">
        <x:v>21:20</x:v>
      </x:c>
      <x:c r="I160" s="14" t="str">
        <x:v>Fen</x:v>
      </x:c>
      <x:c r="J160" s="14" t="str">
        <x:v>Kitap / MEB / Mastery</x:v>
      </x:c>
      <x:c r="K160" s="14" t="str">
        <x:v>İklim ve Hava Hareketleri</x:v>
      </x:c>
      <x:c r="L160" s="14" t="str">
        <x:v>İklim ve Hava Hareketleri için ilgili MEB sorularını TAMAMLA; D/Y/B kaydet. Bu oturum konu mastery gate'idir.</x:v>
      </x:c>
      <x:c r="M160" s="14" t="str">
        <x:v>MEB 8. Sınıf Fen Soruları</x:v>
      </x:c>
      <x:c r="N160" s="14" t="str">
        <x:v>https://odsgm.meb.gov.tr/www/8sinif-calisma-sorulari/icerik/1632</x:v>
      </x:c>
      <x:c r="O160" s="14" t="n">
        <x:v>0</x:v>
      </x:c>
      <x:c r="P160" s="14" t="str">
        <x:v>Hayır</x:v>
      </x:c>
      <x:c r="Q160" s="14" t="str">
        <x:v>Evet</x:v>
      </x:c>
      <x:c r="R160" s="14" t="str">
        <x:v>Planlandı</x:v>
      </x:c>
      <x:c r="S160" s="15" t="str"/>
      <x:c r="T160" s="14" t="str">
        <x:v>MEB sonucu Konu_Ustaligi sayfasına işlenir.</x:v>
      </x:c>
    </x:row>
    <x:row r="161">
      <x:c r="A161" s="14" t="n">
        <x:v>160</x:v>
      </x:c>
      <x:c r="B161" s="15" t="n">
        <x:v>46308</x:v>
      </x:c>
      <x:c r="C161" s="14" t="str">
        <x:v>Salı</x:v>
      </x:c>
      <x:c r="D161" s="14" t="str">
        <x:v>Okul Günü</x:v>
      </x:c>
      <x:c r="E161" s="14" t="str">
        <x:v>16:00 sonrası</x:v>
      </x:c>
      <x:c r="F161" s="14" t="str">
        <x:v>F1 - Temel Kurma</x:v>
      </x:c>
      <x:c r="G161" s="14" t="str">
        <x:v>21:20</x:v>
      </x:c>
      <x:c r="H161" s="14" t="str">
        <x:v>21:35</x:v>
      </x:c>
      <x:c r="I161" s="14" t="str">
        <x:v>Genel</x:v>
      </x:c>
      <x:c r="J161" s="14" t="str">
        <x:v>Yanlış / Boş Analizi</x:v>
      </x:c>
      <x:c r="K161" s="14" t="str">
        <x:v>Günlük</x:v>
      </x:c>
      <x:c r="L161" s="14" t="str">
        <x:v>Bugünkü yanlış/boşları kaydet; çözümünü öğrenmeden kapatma. Hata türünü sınıflandır.</x:v>
      </x:c>
      <x:c r="M161" s="14" t="str">
        <x:v>Yanlış Defteri</x:v>
      </x:c>
      <x:c r="N161" s="14" t="str"/>
      <x:c r="O161" s="14" t="n">
        <x:v>0</x:v>
      </x:c>
      <x:c r="P161" s="14" t="str">
        <x:v>Hayır</x:v>
      </x:c>
      <x:c r="Q161" s="14" t="str">
        <x:v>Evet</x:v>
      </x:c>
      <x:c r="R161" s="14" t="str">
        <x:v>Planlandı</x:v>
      </x:c>
      <x:c r="S161" s="15" t="str"/>
      <x:c r="T161" s="14" t="str"/>
    </x:row>
    <x:row r="162">
      <x:c r="A162" s="14" t="n">
        <x:v>161</x:v>
      </x:c>
      <x:c r="B162" s="15" t="n">
        <x:v>46308</x:v>
      </x:c>
      <x:c r="C162" s="14" t="str">
        <x:v>Salı</x:v>
      </x:c>
      <x:c r="D162" s="14" t="str">
        <x:v>Okul Günü</x:v>
      </x:c>
      <x:c r="E162" s="14" t="str">
        <x:v>16:00 sonrası</x:v>
      </x:c>
      <x:c r="F162" s="14" t="str">
        <x:v>F1 - Temel Kurma</x:v>
      </x:c>
      <x:c r="G162" s="14" t="str">
        <x:v>21:35</x:v>
      </x:c>
      <x:c r="H162" s="14" t="str">
        <x:v>21:50</x:v>
      </x:c>
      <x:c r="I162" s="14" t="str">
        <x:v>Genel</x:v>
      </x:c>
      <x:c r="J162" s="14" t="str">
        <x:v>Aralıklı Hata Tekrarı</x:v>
      </x:c>
      <x:c r="K162" s="14" t="str">
        <x:v>+1 / +7 / +21</x:v>
      </x:c>
      <x:c r="L162" s="14" t="str">
        <x:v>Bugün vadesi gelen yanlış soruları tekrar çöz. Vadesi yoksa bu süre serbest/okuma olabilir.</x:v>
      </x:c>
      <x:c r="M162" s="14" t="str">
        <x:v>Yanlış Defteri</x:v>
      </x:c>
      <x:c r="N162" s="14" t="str"/>
      <x:c r="O162" s="14" t="n">
        <x:v>0</x:v>
      </x:c>
      <x:c r="P162" s="14" t="str">
        <x:v>Hayır</x:v>
      </x:c>
      <x:c r="Q162" s="14" t="str">
        <x:v>Koşullu</x:v>
      </x:c>
      <x:c r="R162" s="14" t="str">
        <x:v>Planlandı</x:v>
      </x:c>
      <x:c r="S162" s="15" t="str"/>
      <x:c r="T162" s="14" t="str">
        <x:v>Yanlışlar +1, +7 ve +21 gün aralıklarıyla tekrar edilir; hâlâ yanlışsa konu mastery durumu düşürülür.</x:v>
      </x:c>
    </x:row>
    <x:row r="163">
      <x:c r="A163" s="14" t="n">
        <x:v>162</x:v>
      </x:c>
      <x:c r="B163" s="15" t="n">
        <x:v>46308</x:v>
      </x:c>
      <x:c r="C163" s="14" t="str">
        <x:v>Salı</x:v>
      </x:c>
      <x:c r="D163" s="14" t="str">
        <x:v>Okul Günü</x:v>
      </x:c>
      <x:c r="E163" s="14" t="str">
        <x:v>16:00 sonrası</x:v>
      </x:c>
      <x:c r="F163" s="14" t="str">
        <x:v>F1 - Temel Kurma</x:v>
      </x:c>
      <x:c r="G163" s="14" t="str">
        <x:v>21:50</x:v>
      </x:c>
      <x:c r="H163" s="14" t="str">
        <x:v>22:00</x:v>
      </x:c>
      <x:c r="I163" s="14" t="str">
        <x:v>Genel</x:v>
      </x:c>
      <x:c r="J163" s="14" t="str">
        <x:v>Uyku Hazırlığı</x:v>
      </x:c>
      <x:c r="K163" s="14" t="str"/>
      <x:c r="L163" s="14" t="str">
        <x:v>22:00'de yatakta ve uyku.</x:v>
      </x:c>
      <x:c r="M163" s="14" t="str"/>
      <x:c r="N163" s="14" t="str"/>
      <x:c r="O163" s="14" t="n">
        <x:v>0</x:v>
      </x:c>
      <x:c r="P163" s="14" t="str">
        <x:v>Hayır</x:v>
      </x:c>
      <x:c r="Q163" s="14" t="str">
        <x:v>Hayır</x:v>
      </x:c>
      <x:c r="R163" s="14" t="str">
        <x:v>Planlandı</x:v>
      </x:c>
      <x:c r="S163" s="15" t="str"/>
      <x:c r="T163" s="14" t="str"/>
    </x:row>
    <x:row r="164">
      <x:c r="A164" s="14" t="n">
        <x:v>163</x:v>
      </x:c>
      <x:c r="B164" s="15" t="n">
        <x:v>46309</x:v>
      </x:c>
      <x:c r="C164" s="14" t="str">
        <x:v>Çarşamba</x:v>
      </x:c>
      <x:c r="D164" s="14" t="str">
        <x:v>Okul Günü</x:v>
      </x:c>
      <x:c r="E164" s="14" t="str">
        <x:v>16:00 sonrası</x:v>
      </x:c>
      <x:c r="F164" s="14" t="str">
        <x:v>F1 - Temel Kurma</x:v>
      </x:c>
      <x:c r="G164" s="14" t="str">
        <x:v>16:00</x:v>
      </x:c>
      <x:c r="H164" s="14" t="str">
        <x:v>16:25</x:v>
      </x:c>
      <x:c r="I164" s="14" t="str">
        <x:v>Genel</x:v>
      </x:c>
      <x:c r="J164" s="14" t="str">
        <x:v>Dinlenme</x:v>
      </x:c>
      <x:c r="K164" s="14" t="str"/>
      <x:c r="L164" s="14" t="str">
        <x:v>Eve geliş, atıştırma ve dinlenme.</x:v>
      </x:c>
      <x:c r="M164" s="14" t="str"/>
      <x:c r="N164" s="14" t="str"/>
      <x:c r="O164" s="14" t="n">
        <x:v>0</x:v>
      </x:c>
      <x:c r="P164" s="14" t="str">
        <x:v>Hayır</x:v>
      </x:c>
      <x:c r="Q164" s="14" t="str">
        <x:v>Hayır</x:v>
      </x:c>
      <x:c r="R164" s="14" t="str">
        <x:v>Planlandı</x:v>
      </x:c>
      <x:c r="S164" s="15" t="str"/>
      <x:c r="T164" s="14" t="str"/>
    </x:row>
    <x:row r="165">
      <x:c r="A165" s="14" t="n">
        <x:v>164</x:v>
      </x:c>
      <x:c r="B165" s="15" t="n">
        <x:v>46309</x:v>
      </x:c>
      <x:c r="C165" s="14" t="str">
        <x:v>Çarşamba</x:v>
      </x:c>
      <x:c r="D165" s="14" t="str">
        <x:v>Okul Günü</x:v>
      </x:c>
      <x:c r="E165" s="14" t="str">
        <x:v>16:00 sonrası</x:v>
      </x:c>
      <x:c r="F165" s="14" t="str">
        <x:v>F1 - Temel Kurma</x:v>
      </x:c>
      <x:c r="G165" s="14" t="str">
        <x:v>16:25</x:v>
      </x:c>
      <x:c r="H165" s="14" t="str">
        <x:v>17:05</x:v>
      </x:c>
      <x:c r="I165" s="14" t="str">
        <x:v>Matematik</x:v>
      </x:c>
      <x:c r="J165" s="14" t="str">
        <x:v>Konu / Tekrar</x:v>
      </x:c>
      <x:c r="K165" s="14" t="str">
        <x:v>Ardışık Sayılar</x:v>
      </x:c>
      <x:c r="L165" s="14" t="str">
        <x:v>Ardışık Sayılar — genel oynatma listesinden ilgili videoyu izle (2/2).</x:v>
      </x:c>
      <x:c r="M165" s="14" t="str">
        <x:v>Matematik Ana Oynatma Listesi</x:v>
      </x:c>
      <x:c r="N165" s="14" t="str">
        <x:v>https://www.youtube.com/watch?v=EuJ89QzqrAg&amp;list=PLicNtF7vp6fnfDqrRLH6H7fIbzYT4ct4F&amp;index=11</x:v>
      </x:c>
      <x:c r="O165" s="14" t="n">
        <x:v>0</x:v>
      </x:c>
      <x:c r="P165" s="14" t="str">
        <x:v>Hayır</x:v>
      </x:c>
      <x:c r="Q165" s="14" t="str">
        <x:v>Evet</x:v>
      </x:c>
      <x:c r="R165" s="14" t="str">
        <x:v>Planlandı</x:v>
      </x:c>
      <x:c r="S165" s="15" t="str"/>
      <x:c r="T165" s="14" t="str">
        <x:v>Yeni konu ancak plan sırasıyla açılır; LGS dışı ileri TYT içeriği zorunlu değildir.</x:v>
      </x:c>
    </x:row>
    <x:row r="166">
      <x:c r="A166" s="14" t="n">
        <x:v>165</x:v>
      </x:c>
      <x:c r="B166" s="15" t="n">
        <x:v>46309</x:v>
      </x:c>
      <x:c r="C166" s="14" t="str">
        <x:v>Çarşamba</x:v>
      </x:c>
      <x:c r="D166" s="14" t="str">
        <x:v>Okul Günü</x:v>
      </x:c>
      <x:c r="E166" s="14" t="str">
        <x:v>16:00 sonrası</x:v>
      </x:c>
      <x:c r="F166" s="14" t="str">
        <x:v>F1 - Temel Kurma</x:v>
      </x:c>
      <x:c r="G166" s="14" t="str">
        <x:v>17:10</x:v>
      </x:c>
      <x:c r="H166" s="14" t="str">
        <x:v>17:55</x:v>
      </x:c>
      <x:c r="I166" s="14" t="str">
        <x:v>Matematik</x:v>
      </x:c>
      <x:c r="J166" s="14" t="str">
        <x:v>Kitap / MEB / Mastery</x:v>
      </x:c>
      <x:c r="K166" s="14" t="str">
        <x:v>Ardışık Sayılar</x:v>
      </x:c>
      <x:c r="L166" s="14" t="str">
        <x:v>Ardışık Sayılar ile ilgili soru kitabından en az 20 soru / bugünkü test payını çöz. İlgili kitap konu bölümünü bu oturumda bitirmeyi hedefle; sonraki oturum MEB doğrulaması.</x:v>
      </x:c>
      <x:c r="M166" s="14" t="str">
        <x:v>MUBA 8. Sınıf Başlangıç Matematik (ISBN 9789756526972) (eşleşen bölüm) + MEB temel destek</x:v>
      </x:c>
      <x:c r="N166" s="14" t="str">
        <x:v>https://odsgm.meb.gov.tr/www/5-6-7-ve-9-sinif-duzeylerinde-calisma-sorulari-yayimlandi/icerik/775</x:v>
      </x:c>
      <x:c r="O166" s="14" t="n">
        <x:v>20</x:v>
      </x:c>
      <x:c r="P166" s="14" t="str">
        <x:v>İlk 20 soru</x:v>
      </x:c>
      <x:c r="Q166" s="14" t="str">
        <x:v>Evet</x:v>
      </x:c>
      <x:c r="R166" s="14" t="str">
        <x:v>Planlandı</x:v>
      </x:c>
      <x:c r="S166" s="15" t="str"/>
      <x:c r="T166" s="14" t="str">
        <x:v>Ayrı/rastgele matematik benchmark yoktur. Süreli ilk 20 soru o gün çalışılan konunun içindedir.</x:v>
      </x:c>
    </x:row>
    <x:row r="167">
      <x:c r="A167" s="14" t="n">
        <x:v>166</x:v>
      </x:c>
      <x:c r="B167" s="15" t="n">
        <x:v>46309</x:v>
      </x:c>
      <x:c r="C167" s="14" t="str">
        <x:v>Çarşamba</x:v>
      </x:c>
      <x:c r="D167" s="14" t="str">
        <x:v>Okul Günü</x:v>
      </x:c>
      <x:c r="E167" s="14" t="str">
        <x:v>16:00 sonrası</x:v>
      </x:c>
      <x:c r="F167" s="14" t="str">
        <x:v>F1 - Temel Kurma</x:v>
      </x:c>
      <x:c r="G167" s="14" t="str">
        <x:v>17:55</x:v>
      </x:c>
      <x:c r="H167" s="14" t="str">
        <x:v>18:25</x:v>
      </x:c>
      <x:c r="I167" s="14" t="str">
        <x:v>Genel</x:v>
      </x:c>
      <x:c r="J167" s="14" t="str">
        <x:v>Yemek / Serbest Zaman</x:v>
      </x:c>
      <x:c r="K167" s="14" t="str"/>
      <x:c r="L167" s="14" t="str">
        <x:v>Yemek, hareket ve dinlenme.</x:v>
      </x:c>
      <x:c r="M167" s="14" t="str"/>
      <x:c r="N167" s="14" t="str"/>
      <x:c r="O167" s="14" t="n">
        <x:v>0</x:v>
      </x:c>
      <x:c r="P167" s="14" t="str">
        <x:v>Hayır</x:v>
      </x:c>
      <x:c r="Q167" s="14" t="str">
        <x:v>Hayır</x:v>
      </x:c>
      <x:c r="R167" s="14" t="str">
        <x:v>Planlandı</x:v>
      </x:c>
      <x:c r="S167" s="15" t="str"/>
      <x:c r="T167" s="14" t="str"/>
    </x:row>
    <x:row r="168">
      <x:c r="A168" s="14" t="n">
        <x:v>167</x:v>
      </x:c>
      <x:c r="B168" s="15" t="n">
        <x:v>46309</x:v>
      </x:c>
      <x:c r="C168" s="14" t="str">
        <x:v>Çarşamba</x:v>
      </x:c>
      <x:c r="D168" s="14" t="str">
        <x:v>Okul Günü</x:v>
      </x:c>
      <x:c r="E168" s="14" t="str">
        <x:v>16:00 sonrası</x:v>
      </x:c>
      <x:c r="F168" s="14" t="str">
        <x:v>F1 - Temel Kurma</x:v>
      </x:c>
      <x:c r="G168" s="14" t="str">
        <x:v>18:25</x:v>
      </x:c>
      <x:c r="H168" s="14" t="str">
        <x:v>18:55</x:v>
      </x:c>
      <x:c r="I168" s="14" t="str">
        <x:v>Türkçe</x:v>
      </x:c>
      <x:c r="J168" s="14" t="str">
        <x:v>Paragraf Rutini</x:v>
      </x:c>
      <x:c r="K168" s="14" t="str">
        <x:v>Paragraf</x:v>
      </x:c>
      <x:c r="L168" s="14" t="str">
        <x:v>En az 20 paragraf sorusu çöz; ilk 20 soruyu ileri sayımla ölç, D/Y/B + süre kaydet.</x:v>
      </x:c>
      <x:c r="M168" s="14" t="str">
        <x:v>Hız 8. Sınıf Türkçe Paragraf (ISBN 9786258394498)</x:v>
      </x:c>
      <x:c r="N168" s="14" t="str"/>
      <x:c r="O168" s="14" t="n">
        <x:v>20</x:v>
      </x:c>
      <x:c r="P168" s="14" t="str">
        <x:v>İlk 20 soru</x:v>
      </x:c>
      <x:c r="Q168" s="14" t="str">
        <x:v>Evet</x:v>
      </x:c>
      <x:c r="R168" s="14" t="str">
        <x:v>Planlandı</x:v>
      </x:c>
      <x:c r="S168" s="15" t="str"/>
      <x:c r="T168" s="14" t="str">
        <x:v>Geri sayım ve hedef süre yok.</x:v>
      </x:c>
    </x:row>
    <x:row r="169">
      <x:c r="A169" s="14" t="n">
        <x:v>168</x:v>
      </x:c>
      <x:c r="B169" s="15" t="n">
        <x:v>46309</x:v>
      </x:c>
      <x:c r="C169" s="14" t="str">
        <x:v>Çarşamba</x:v>
      </x:c>
      <x:c r="D169" s="14" t="str">
        <x:v>Okul Günü</x:v>
      </x:c>
      <x:c r="E169" s="14" t="str">
        <x:v>16:00 sonrası</x:v>
      </x:c>
      <x:c r="F169" s="14" t="str">
        <x:v>F1 - Temel Kurma</x:v>
      </x:c>
      <x:c r="G169" s="14" t="str">
        <x:v>19:00</x:v>
      </x:c>
      <x:c r="H169" s="14" t="str">
        <x:v>19:35</x:v>
      </x:c>
      <x:c r="I169" s="14" t="str">
        <x:v>Türkçe</x:v>
      </x:c>
      <x:c r="J169" s="14" t="str">
        <x:v>Konu / Tekrar</x:v>
      </x:c>
      <x:c r="K169" s="14" t="str">
        <x:v>Paragrafta Anlam ve Soru Türleri</x:v>
      </x:c>
      <x:c r="L169" s="14" t="str">
        <x:v>Paragrafta Anlam ve Soru Türleri — genel oynatma listesinden ilgili videoyu izle (4/4).</x:v>
      </x:c>
      <x:c r="M169" s="14" t="str">
        <x:v>Türkçe Ana Oynatma Listesi</x:v>
      </x:c>
      <x:c r="N169" s="14" t="str">
        <x:v>https://www.youtube.com/watch?v=VYsPntNKVdw&amp;list=PLIBjFaUoJJ91bz7QQEBlxNJNZka5YQRr6</x:v>
      </x:c>
      <x:c r="O169" s="14" t="n">
        <x:v>0</x:v>
      </x:c>
      <x:c r="P169" s="14" t="str">
        <x:v>Hayır</x:v>
      </x:c>
      <x:c r="Q169" s="14" t="str">
        <x:v>Evet</x:v>
      </x:c>
      <x:c r="R169" s="14" t="str">
        <x:v>Planlandı</x:v>
      </x:c>
      <x:c r="S169" s="15" t="str"/>
      <x:c r="T169" s="14" t="str">
        <x:v>TYT etiketli kaynak temelden başlamak için sabittir; LGS dışı gereksiz ayrıntı zorunlu değildir.</x:v>
      </x:c>
    </x:row>
    <x:row r="170">
      <x:c r="A170" s="14" t="n">
        <x:v>169</x:v>
      </x:c>
      <x:c r="B170" s="15" t="n">
        <x:v>46309</x:v>
      </x:c>
      <x:c r="C170" s="14" t="str">
        <x:v>Çarşamba</x:v>
      </x:c>
      <x:c r="D170" s="14" t="str">
        <x:v>Okul Günü</x:v>
      </x:c>
      <x:c r="E170" s="14" t="str">
        <x:v>16:00 sonrası</x:v>
      </x:c>
      <x:c r="F170" s="14" t="str">
        <x:v>F1 - Temel Kurma</x:v>
      </x:c>
      <x:c r="G170" s="14" t="str">
        <x:v>19:40</x:v>
      </x:c>
      <x:c r="H170" s="14" t="str">
        <x:v>20:10</x:v>
      </x:c>
      <x:c r="I170" s="14" t="str">
        <x:v>Türkçe</x:v>
      </x:c>
      <x:c r="J170" s="14" t="str">
        <x:v>Kitap / MEB / Mastery</x:v>
      </x:c>
      <x:c r="K170" s="14" t="str">
        <x:v>Paragrafta Anlam ve Soru Türleri</x:v>
      </x:c>
      <x:c r="L170" s="14" t="str">
        <x:v>Paragrafta Anlam ve Soru Türleri ile ilgili soru kitabından en az 10 soru / bugünkü test payını çöz. İlgili kitap konu bölümünü bu oturumda bitirmeyi hedefle; sonraki oturum MEB doğrulaması.</x:v>
      </x:c>
      <x:c r="M170" s="14" t="str">
        <x:v>Ankara 8. Sınıf Dil Bilgisi Güçlendiren</x:v>
      </x:c>
      <x:c r="N170" s="14" t="str">
        <x:v>https://odsgm.meb.gov.tr/www/8sinif-calisma-sorulari/icerik/1632</x:v>
      </x:c>
      <x:c r="O170" s="14" t="n">
        <x:v>10</x:v>
      </x:c>
      <x:c r="P170" s="14" t="str">
        <x:v>Hayır</x:v>
      </x:c>
      <x:c r="Q170" s="14" t="str">
        <x:v>Evet</x:v>
      </x:c>
      <x:c r="R170" s="14" t="str">
        <x:v>Planlandı</x:v>
      </x:c>
      <x:c r="S170" s="15" t="str"/>
      <x:c r="T170" s="14" t="str"/>
    </x:row>
    <x:row r="171">
      <x:c r="A171" s="14" t="n">
        <x:v>170</x:v>
      </x:c>
      <x:c r="B171" s="15" t="n">
        <x:v>46309</x:v>
      </x:c>
      <x:c r="C171" s="14" t="str">
        <x:v>Çarşamba</x:v>
      </x:c>
      <x:c r="D171" s="14" t="str">
        <x:v>Okul Günü</x:v>
      </x:c>
      <x:c r="E171" s="14" t="str">
        <x:v>16:00 sonrası</x:v>
      </x:c>
      <x:c r="F171" s="14" t="str">
        <x:v>F1 - Temel Kurma</x:v>
      </x:c>
      <x:c r="G171" s="14" t="str">
        <x:v>20:15</x:v>
      </x:c>
      <x:c r="H171" s="14" t="str">
        <x:v>20:50</x:v>
      </x:c>
      <x:c r="I171" s="14" t="str">
        <x:v>Din</x:v>
      </x:c>
      <x:c r="J171" s="14" t="str">
        <x:v>Konu / Tekrar</x:v>
      </x:c>
      <x:c r="K171" s="14" t="str">
        <x:v>İnsanın İradesi ve Kader / Kaderle İlgili Kavramlar</x:v>
      </x:c>
      <x:c r="L171" s="14" t="str">
        <x:v>İnsanın İradesi ve Kader / Kaderle İlgili Kavramlar — genel oynatma listesinden ilgili konu/soru çalışmasını yap.</x:v>
      </x:c>
      <x:c r="M171" s="14" t="str">
        <x:v>Din Genel Oynatma Listesi</x:v>
      </x:c>
      <x:c r="N171" s="14" t="str">
        <x:v>https://www.youtube.com/watch?v=wvdOE_75VnA&amp;list=PLbRoPq-Zu-SWXGUbVt4t4UWo-4VjsMUo-&amp;index=2</x:v>
      </x:c>
      <x:c r="O171" s="14" t="n">
        <x:v>0</x:v>
      </x:c>
      <x:c r="P171" s="14" t="str">
        <x:v>Hayır</x:v>
      </x:c>
      <x:c r="Q171" s="14" t="str">
        <x:v>Evet</x:v>
      </x:c>
      <x:c r="R171" s="14" t="str">
        <x:v>Planlandı</x:v>
      </x:c>
      <x:c r="S171" s="15" t="str"/>
      <x:c r="T171" s="14" t="str"/>
    </x:row>
    <x:row r="172">
      <x:c r="A172" s="14" t="n">
        <x:v>171</x:v>
      </x:c>
      <x:c r="B172" s="15" t="n">
        <x:v>46309</x:v>
      </x:c>
      <x:c r="C172" s="14" t="str">
        <x:v>Çarşamba</x:v>
      </x:c>
      <x:c r="D172" s="14" t="str">
        <x:v>Okul Günü</x:v>
      </x:c>
      <x:c r="E172" s="14" t="str">
        <x:v>16:00 sonrası</x:v>
      </x:c>
      <x:c r="F172" s="14" t="str">
        <x:v>F1 - Temel Kurma</x:v>
      </x:c>
      <x:c r="G172" s="14" t="str">
        <x:v>20:55</x:v>
      </x:c>
      <x:c r="H172" s="14" t="str">
        <x:v>21:20</x:v>
      </x:c>
      <x:c r="I172" s="14" t="str">
        <x:v>Din</x:v>
      </x:c>
      <x:c r="J172" s="14" t="str">
        <x:v>Kitap / MEB / Mastery</x:v>
      </x:c>
      <x:c r="K172" s="14" t="str">
        <x:v>İnsanın İradesi ve Kader / Kaderle İlgili Kavramlar</x:v>
      </x:c>
      <x:c r="L172" s="14" t="str">
        <x:v>İnsanın İradesi ve Kader / Kaderle İlgili Kavramlar ile ilgili soru kitabından en az 15 soru / bugünkü test payını çöz.</x:v>
      </x:c>
      <x:c r="M172" s="14" t="str">
        <x:v>Hız 8. Sınıf Din Kültürü ve Ahlak Bilgisi</x:v>
      </x:c>
      <x:c r="N172" s="14" t="str">
        <x:v>https://www.youtube.com/watch?v=wvdOE_75VnA&amp;list=PLbRoPq-Zu-SWXGUbVt4t4UWo-4VjsMUo-&amp;index=2</x:v>
      </x:c>
      <x:c r="O172" s="14" t="n">
        <x:v>15</x:v>
      </x:c>
      <x:c r="P172" s="14" t="str">
        <x:v>Hayır</x:v>
      </x:c>
      <x:c r="Q172" s="14" t="str">
        <x:v>Evet</x:v>
      </x:c>
      <x:c r="R172" s="14" t="str">
        <x:v>Planlandı</x:v>
      </x:c>
      <x:c r="S172" s="15" t="str"/>
      <x:c r="T172" s="14" t="str"/>
    </x:row>
    <x:row r="173">
      <x:c r="A173" s="14" t="n">
        <x:v>172</x:v>
      </x:c>
      <x:c r="B173" s="15" t="n">
        <x:v>46309</x:v>
      </x:c>
      <x:c r="C173" s="14" t="str">
        <x:v>Çarşamba</x:v>
      </x:c>
      <x:c r="D173" s="14" t="str">
        <x:v>Okul Günü</x:v>
      </x:c>
      <x:c r="E173" s="14" t="str">
        <x:v>16:00 sonrası</x:v>
      </x:c>
      <x:c r="F173" s="14" t="str">
        <x:v>F1 - Temel Kurma</x:v>
      </x:c>
      <x:c r="G173" s="14" t="str">
        <x:v>21:20</x:v>
      </x:c>
      <x:c r="H173" s="14" t="str">
        <x:v>21:35</x:v>
      </x:c>
      <x:c r="I173" s="14" t="str">
        <x:v>Genel</x:v>
      </x:c>
      <x:c r="J173" s="14" t="str">
        <x:v>Yanlış / Boş Analizi</x:v>
      </x:c>
      <x:c r="K173" s="14" t="str">
        <x:v>Günlük</x:v>
      </x:c>
      <x:c r="L173" s="14" t="str">
        <x:v>Bugünkü yanlış/boşları kaydet; çözümünü öğrenmeden kapatma. Hata türünü sınıflandır.</x:v>
      </x:c>
      <x:c r="M173" s="14" t="str">
        <x:v>Yanlış Defteri</x:v>
      </x:c>
      <x:c r="N173" s="14" t="str"/>
      <x:c r="O173" s="14" t="n">
        <x:v>0</x:v>
      </x:c>
      <x:c r="P173" s="14" t="str">
        <x:v>Hayır</x:v>
      </x:c>
      <x:c r="Q173" s="14" t="str">
        <x:v>Evet</x:v>
      </x:c>
      <x:c r="R173" s="14" t="str">
        <x:v>Planlandı</x:v>
      </x:c>
      <x:c r="S173" s="15" t="str"/>
      <x:c r="T173" s="14" t="str"/>
    </x:row>
    <x:row r="174">
      <x:c r="A174" s="14" t="n">
        <x:v>173</x:v>
      </x:c>
      <x:c r="B174" s="15" t="n">
        <x:v>46309</x:v>
      </x:c>
      <x:c r="C174" s="14" t="str">
        <x:v>Çarşamba</x:v>
      </x:c>
      <x:c r="D174" s="14" t="str">
        <x:v>Okul Günü</x:v>
      </x:c>
      <x:c r="E174" s="14" t="str">
        <x:v>16:00 sonrası</x:v>
      </x:c>
      <x:c r="F174" s="14" t="str">
        <x:v>F1 - Temel Kurma</x:v>
      </x:c>
      <x:c r="G174" s="14" t="str">
        <x:v>21:35</x:v>
      </x:c>
      <x:c r="H174" s="14" t="str">
        <x:v>21:50</x:v>
      </x:c>
      <x:c r="I174" s="14" t="str">
        <x:v>Genel</x:v>
      </x:c>
      <x:c r="J174" s="14" t="str">
        <x:v>Aralıklı Hata Tekrarı</x:v>
      </x:c>
      <x:c r="K174" s="14" t="str">
        <x:v>+1 / +7 / +21</x:v>
      </x:c>
      <x:c r="L174" s="14" t="str">
        <x:v>Bugün vadesi gelen yanlış soruları tekrar çöz. Vadesi yoksa bu süre serbest/okuma olabilir.</x:v>
      </x:c>
      <x:c r="M174" s="14" t="str">
        <x:v>Yanlış Defteri</x:v>
      </x:c>
      <x:c r="N174" s="14" t="str"/>
      <x:c r="O174" s="14" t="n">
        <x:v>0</x:v>
      </x:c>
      <x:c r="P174" s="14" t="str">
        <x:v>Hayır</x:v>
      </x:c>
      <x:c r="Q174" s="14" t="str">
        <x:v>Koşullu</x:v>
      </x:c>
      <x:c r="R174" s="14" t="str">
        <x:v>Planlandı</x:v>
      </x:c>
      <x:c r="S174" s="15" t="str"/>
      <x:c r="T174" s="14" t="str">
        <x:v>Yanlışlar +1, +7 ve +21 gün aralıklarıyla tekrar edilir; hâlâ yanlışsa konu mastery durumu düşürülür.</x:v>
      </x:c>
    </x:row>
    <x:row r="175">
      <x:c r="A175" s="14" t="n">
        <x:v>174</x:v>
      </x:c>
      <x:c r="B175" s="15" t="n">
        <x:v>46309</x:v>
      </x:c>
      <x:c r="C175" s="14" t="str">
        <x:v>Çarşamba</x:v>
      </x:c>
      <x:c r="D175" s="14" t="str">
        <x:v>Okul Günü</x:v>
      </x:c>
      <x:c r="E175" s="14" t="str">
        <x:v>16:00 sonrası</x:v>
      </x:c>
      <x:c r="F175" s="14" t="str">
        <x:v>F1 - Temel Kurma</x:v>
      </x:c>
      <x:c r="G175" s="14" t="str">
        <x:v>21:50</x:v>
      </x:c>
      <x:c r="H175" s="14" t="str">
        <x:v>22:00</x:v>
      </x:c>
      <x:c r="I175" s="14" t="str">
        <x:v>Genel</x:v>
      </x:c>
      <x:c r="J175" s="14" t="str">
        <x:v>Uyku Hazırlığı</x:v>
      </x:c>
      <x:c r="K175" s="14" t="str"/>
      <x:c r="L175" s="14" t="str">
        <x:v>22:00'de yatakta ve uyku.</x:v>
      </x:c>
      <x:c r="M175" s="14" t="str"/>
      <x:c r="N175" s="14" t="str"/>
      <x:c r="O175" s="14" t="n">
        <x:v>0</x:v>
      </x:c>
      <x:c r="P175" s="14" t="str">
        <x:v>Hayır</x:v>
      </x:c>
      <x:c r="Q175" s="14" t="str">
        <x:v>Hayır</x:v>
      </x:c>
      <x:c r="R175" s="14" t="str">
        <x:v>Planlandı</x:v>
      </x:c>
      <x:c r="S175" s="15" t="str"/>
      <x:c r="T175" s="14" t="str"/>
    </x:row>
    <x:row r="176">
      <x:c r="A176" s="14" t="n">
        <x:v>175</x:v>
      </x:c>
      <x:c r="B176" s="15" t="n">
        <x:v>46310</x:v>
      </x:c>
      <x:c r="C176" s="14" t="str">
        <x:v>Perşembe</x:v>
      </x:c>
      <x:c r="D176" s="14" t="str">
        <x:v>Okul Günü</x:v>
      </x:c>
      <x:c r="E176" s="14" t="str">
        <x:v>16:00 sonrası</x:v>
      </x:c>
      <x:c r="F176" s="14" t="str">
        <x:v>F1 - Temel Kurma</x:v>
      </x:c>
      <x:c r="G176" s="14" t="str">
        <x:v>16:00</x:v>
      </x:c>
      <x:c r="H176" s="14" t="str">
        <x:v>16:25</x:v>
      </x:c>
      <x:c r="I176" s="14" t="str">
        <x:v>Genel</x:v>
      </x:c>
      <x:c r="J176" s="14" t="str">
        <x:v>Dinlenme</x:v>
      </x:c>
      <x:c r="K176" s="14" t="str"/>
      <x:c r="L176" s="14" t="str">
        <x:v>Eve geliş, atıştırma ve dinlenme.</x:v>
      </x:c>
      <x:c r="M176" s="14" t="str"/>
      <x:c r="N176" s="14" t="str"/>
      <x:c r="O176" s="14" t="n">
        <x:v>0</x:v>
      </x:c>
      <x:c r="P176" s="14" t="str">
        <x:v>Hayır</x:v>
      </x:c>
      <x:c r="Q176" s="14" t="str">
        <x:v>Hayır</x:v>
      </x:c>
      <x:c r="R176" s="14" t="str">
        <x:v>Planlandı</x:v>
      </x:c>
      <x:c r="S176" s="15" t="str"/>
      <x:c r="T176" s="14" t="str"/>
    </x:row>
    <x:row r="177">
      <x:c r="A177" s="14" t="n">
        <x:v>176</x:v>
      </x:c>
      <x:c r="B177" s="15" t="n">
        <x:v>46310</x:v>
      </x:c>
      <x:c r="C177" s="14" t="str">
        <x:v>Perşembe</x:v>
      </x:c>
      <x:c r="D177" s="14" t="str">
        <x:v>Okul Günü</x:v>
      </x:c>
      <x:c r="E177" s="14" t="str">
        <x:v>16:00 sonrası</x:v>
      </x:c>
      <x:c r="F177" s="14" t="str">
        <x:v>F1 - Temel Kurma</x:v>
      </x:c>
      <x:c r="G177" s="14" t="str">
        <x:v>16:25</x:v>
      </x:c>
      <x:c r="H177" s="14" t="str">
        <x:v>17:05</x:v>
      </x:c>
      <x:c r="I177" s="14" t="str">
        <x:v>Matematik</x:v>
      </x:c>
      <x:c r="J177" s="14" t="str">
        <x:v>Konu / Tekrar</x:v>
      </x:c>
      <x:c r="K177" s="14" t="str">
        <x:v>Ardışık Sayılar</x:v>
      </x:c>
      <x:c r="L177" s="14" t="str">
        <x:v>Ardışık Sayılar — MEB doğrulaması öncesi 5-10 dk aktif hatırlama; gerekiyorsa ilgili playlist videosuna kısa dönüş yap.</x:v>
      </x:c>
      <x:c r="M177" s="14" t="str">
        <x:v>Matematik Ana Oynatma Listesi</x:v>
      </x:c>
      <x:c r="N177" s="14" t="str">
        <x:v>https://www.youtube.com/watch?v=EuJ89QzqrAg&amp;list=PLicNtF7vp6fnfDqrRLH6H7fIbzYT4ct4F&amp;index=11</x:v>
      </x:c>
      <x:c r="O177" s="14" t="n">
        <x:v>0</x:v>
      </x:c>
      <x:c r="P177" s="14" t="str">
        <x:v>Hayır</x:v>
      </x:c>
      <x:c r="Q177" s="14" t="str">
        <x:v>Evet</x:v>
      </x:c>
      <x:c r="R177" s="14" t="str">
        <x:v>Planlandı</x:v>
      </x:c>
      <x:c r="S177" s="15" t="str"/>
      <x:c r="T177" s="14" t="str">
        <x:v>Yeni konu ancak plan sırasıyla açılır; LGS dışı ileri TYT içeriği zorunlu değildir.</x:v>
      </x:c>
    </x:row>
    <x:row r="178">
      <x:c r="A178" s="14" t="n">
        <x:v>177</x:v>
      </x:c>
      <x:c r="B178" s="15" t="n">
        <x:v>46310</x:v>
      </x:c>
      <x:c r="C178" s="14" t="str">
        <x:v>Perşembe</x:v>
      </x:c>
      <x:c r="D178" s="14" t="str">
        <x:v>Okul Günü</x:v>
      </x:c>
      <x:c r="E178" s="14" t="str">
        <x:v>16:00 sonrası</x:v>
      </x:c>
      <x:c r="F178" s="14" t="str">
        <x:v>F1 - Temel Kurma</x:v>
      </x:c>
      <x:c r="G178" s="14" t="str">
        <x:v>17:10</x:v>
      </x:c>
      <x:c r="H178" s="14" t="str">
        <x:v>17:55</x:v>
      </x:c>
      <x:c r="I178" s="14" t="str">
        <x:v>Matematik</x:v>
      </x:c>
      <x:c r="J178" s="14" t="str">
        <x:v>Kitap / MEB / Mastery</x:v>
      </x:c>
      <x:c r="K178" s="14" t="str">
        <x:v>Ardışık Sayılar</x:v>
      </x:c>
      <x:c r="L178" s="14" t="str">
        <x:v>Ardışık Sayılar için ilgili MEB sorularını TAMAMLA; D/Y/B kaydet. Bu oturum konu mastery gate'idir.</x:v>
      </x:c>
      <x:c r="M178" s="14" t="str">
        <x:v>MEB Resmî Soru Seti</x:v>
      </x:c>
      <x:c r="N178" s="14" t="str">
        <x:v>https://odsgm.meb.gov.tr/www/5-6-7-ve-9-sinif-duzeylerinde-calisma-sorulari-yayimlandi/icerik/775</x:v>
      </x:c>
      <x:c r="O178" s="14" t="n">
        <x:v>0</x:v>
      </x:c>
      <x:c r="P178" s="14" t="str">
        <x:v>Hayır</x:v>
      </x:c>
      <x:c r="Q178" s="14" t="str">
        <x:v>Evet</x:v>
      </x:c>
      <x:c r="R178" s="14" t="str">
        <x:v>Planlandı</x:v>
      </x:c>
      <x:c r="S178" s="15" t="str"/>
      <x:c r="T178" s="14" t="str">
        <x:v>MEB sonucu Konu_Ustaligi sayfasına işlenir.</x:v>
      </x:c>
    </x:row>
    <x:row r="179">
      <x:c r="A179" s="14" t="n">
        <x:v>178</x:v>
      </x:c>
      <x:c r="B179" s="15" t="n">
        <x:v>46310</x:v>
      </x:c>
      <x:c r="C179" s="14" t="str">
        <x:v>Perşembe</x:v>
      </x:c>
      <x:c r="D179" s="14" t="str">
        <x:v>Okul Günü</x:v>
      </x:c>
      <x:c r="E179" s="14" t="str">
        <x:v>16:00 sonrası</x:v>
      </x:c>
      <x:c r="F179" s="14" t="str">
        <x:v>F1 - Temel Kurma</x:v>
      </x:c>
      <x:c r="G179" s="14" t="str">
        <x:v>17:55</x:v>
      </x:c>
      <x:c r="H179" s="14" t="str">
        <x:v>18:25</x:v>
      </x:c>
      <x:c r="I179" s="14" t="str">
        <x:v>Genel</x:v>
      </x:c>
      <x:c r="J179" s="14" t="str">
        <x:v>Yemek / Serbest Zaman</x:v>
      </x:c>
      <x:c r="K179" s="14" t="str"/>
      <x:c r="L179" s="14" t="str">
        <x:v>Yemek, hareket ve dinlenme.</x:v>
      </x:c>
      <x:c r="M179" s="14" t="str"/>
      <x:c r="N179" s="14" t="str"/>
      <x:c r="O179" s="14" t="n">
        <x:v>0</x:v>
      </x:c>
      <x:c r="P179" s="14" t="str">
        <x:v>Hayır</x:v>
      </x:c>
      <x:c r="Q179" s="14" t="str">
        <x:v>Hayır</x:v>
      </x:c>
      <x:c r="R179" s="14" t="str">
        <x:v>Planlandı</x:v>
      </x:c>
      <x:c r="S179" s="15" t="str"/>
      <x:c r="T179" s="14" t="str"/>
    </x:row>
    <x:row r="180">
      <x:c r="A180" s="14" t="n">
        <x:v>179</x:v>
      </x:c>
      <x:c r="B180" s="15" t="n">
        <x:v>46310</x:v>
      </x:c>
      <x:c r="C180" s="14" t="str">
        <x:v>Perşembe</x:v>
      </x:c>
      <x:c r="D180" s="14" t="str">
        <x:v>Okul Günü</x:v>
      </x:c>
      <x:c r="E180" s="14" t="str">
        <x:v>16:00 sonrası</x:v>
      </x:c>
      <x:c r="F180" s="14" t="str">
        <x:v>F1 - Temel Kurma</x:v>
      </x:c>
      <x:c r="G180" s="14" t="str">
        <x:v>18:25</x:v>
      </x:c>
      <x:c r="H180" s="14" t="str">
        <x:v>18:55</x:v>
      </x:c>
      <x:c r="I180" s="14" t="str">
        <x:v>Türkçe</x:v>
      </x:c>
      <x:c r="J180" s="14" t="str">
        <x:v>Paragraf Rutini</x:v>
      </x:c>
      <x:c r="K180" s="14" t="str">
        <x:v>Paragraf</x:v>
      </x:c>
      <x:c r="L180" s="14" t="str">
        <x:v>En az 20 paragraf sorusu çöz; ilk 20 soruyu ileri sayımla ölç, D/Y/B + süre kaydet.</x:v>
      </x:c>
      <x:c r="M180" s="14" t="str">
        <x:v>Hız 8. Sınıf Türkçe Paragraf (ISBN 9786258394498)</x:v>
      </x:c>
      <x:c r="N180" s="14" t="str"/>
      <x:c r="O180" s="14" t="n">
        <x:v>20</x:v>
      </x:c>
      <x:c r="P180" s="14" t="str">
        <x:v>İlk 20 soru</x:v>
      </x:c>
      <x:c r="Q180" s="14" t="str">
        <x:v>Evet</x:v>
      </x:c>
      <x:c r="R180" s="14" t="str">
        <x:v>Planlandı</x:v>
      </x:c>
      <x:c r="S180" s="15" t="str"/>
      <x:c r="T180" s="14" t="str">
        <x:v>Geri sayım ve hedef süre yok.</x:v>
      </x:c>
    </x:row>
    <x:row r="181">
      <x:c r="A181" s="14" t="n">
        <x:v>180</x:v>
      </x:c>
      <x:c r="B181" s="15" t="n">
        <x:v>46310</x:v>
      </x:c>
      <x:c r="C181" s="14" t="str">
        <x:v>Perşembe</x:v>
      </x:c>
      <x:c r="D181" s="14" t="str">
        <x:v>Okul Günü</x:v>
      </x:c>
      <x:c r="E181" s="14" t="str">
        <x:v>16:00 sonrası</x:v>
      </x:c>
      <x:c r="F181" s="14" t="str">
        <x:v>F1 - Temel Kurma</x:v>
      </x:c>
      <x:c r="G181" s="14" t="str">
        <x:v>19:00</x:v>
      </x:c>
      <x:c r="H181" s="14" t="str">
        <x:v>19:35</x:v>
      </x:c>
      <x:c r="I181" s="14" t="str">
        <x:v>Türkçe</x:v>
      </x:c>
      <x:c r="J181" s="14" t="str">
        <x:v>Konu / Tekrar</x:v>
      </x:c>
      <x:c r="K181" s="14" t="str">
        <x:v>Paragrafta Anlam ve Soru Türleri</x:v>
      </x:c>
      <x:c r="L181" s="14" t="str">
        <x:v>Paragrafta Anlam ve Soru Türleri — MEB doğrulaması öncesi 5-10 dk aktif hatırlama; gerekiyorsa ilgili playlist videosuna kısa dönüş yap.</x:v>
      </x:c>
      <x:c r="M181" s="14" t="str">
        <x:v>Türkçe Ana Oynatma Listesi</x:v>
      </x:c>
      <x:c r="N181" s="14" t="str">
        <x:v>https://www.youtube.com/watch?v=VYsPntNKVdw&amp;list=PLIBjFaUoJJ91bz7QQEBlxNJNZka5YQRr6</x:v>
      </x:c>
      <x:c r="O181" s="14" t="n">
        <x:v>0</x:v>
      </x:c>
      <x:c r="P181" s="14" t="str">
        <x:v>Hayır</x:v>
      </x:c>
      <x:c r="Q181" s="14" t="str">
        <x:v>Evet</x:v>
      </x:c>
      <x:c r="R181" s="14" t="str">
        <x:v>Planlandı</x:v>
      </x:c>
      <x:c r="S181" s="15" t="str"/>
      <x:c r="T181" s="14" t="str">
        <x:v>TYT etiketli kaynak temelden başlamak için sabittir; LGS dışı gereksiz ayrıntı zorunlu değildir.</x:v>
      </x:c>
    </x:row>
    <x:row r="182">
      <x:c r="A182" s="14" t="n">
        <x:v>181</x:v>
      </x:c>
      <x:c r="B182" s="15" t="n">
        <x:v>46310</x:v>
      </x:c>
      <x:c r="C182" s="14" t="str">
        <x:v>Perşembe</x:v>
      </x:c>
      <x:c r="D182" s="14" t="str">
        <x:v>Okul Günü</x:v>
      </x:c>
      <x:c r="E182" s="14" t="str">
        <x:v>16:00 sonrası</x:v>
      </x:c>
      <x:c r="F182" s="14" t="str">
        <x:v>F1 - Temel Kurma</x:v>
      </x:c>
      <x:c r="G182" s="14" t="str">
        <x:v>19:40</x:v>
      </x:c>
      <x:c r="H182" s="14" t="str">
        <x:v>20:10</x:v>
      </x:c>
      <x:c r="I182" s="14" t="str">
        <x:v>Türkçe</x:v>
      </x:c>
      <x:c r="J182" s="14" t="str">
        <x:v>Kitap / MEB / Mastery</x:v>
      </x:c>
      <x:c r="K182" s="14" t="str">
        <x:v>Paragrafta Anlam ve Soru Türleri</x:v>
      </x:c>
      <x:c r="L182" s="14" t="str">
        <x:v>Paragrafta Anlam ve Soru Türleri için ilgili MEB sorularını TAMAMLA; D/Y/B kaydet. Bu oturum konu mastery gate'idir.</x:v>
      </x:c>
      <x:c r="M182" s="14" t="str">
        <x:v>MEB Resmî Soru Seti</x:v>
      </x:c>
      <x:c r="N182" s="14" t="str">
        <x:v>https://odsgm.meb.gov.tr/www/8sinif-calisma-sorulari/icerik/1632</x:v>
      </x:c>
      <x:c r="O182" s="14" t="n">
        <x:v>0</x:v>
      </x:c>
      <x:c r="P182" s="14" t="str">
        <x:v>Hayır</x:v>
      </x:c>
      <x:c r="Q182" s="14" t="str">
        <x:v>Evet</x:v>
      </x:c>
      <x:c r="R182" s="14" t="str">
        <x:v>Planlandı</x:v>
      </x:c>
      <x:c r="S182" s="15" t="str"/>
      <x:c r="T182" s="14" t="str">
        <x:v>MEB sonucu Konu_Ustaligi sayfasına işlenir.</x:v>
      </x:c>
    </x:row>
    <x:row r="183">
      <x:c r="A183" s="14" t="n">
        <x:v>182</x:v>
      </x:c>
      <x:c r="B183" s="15" t="n">
        <x:v>46310</x:v>
      </x:c>
      <x:c r="C183" s="14" t="str">
        <x:v>Perşembe</x:v>
      </x:c>
      <x:c r="D183" s="14" t="str">
        <x:v>Okul Günü</x:v>
      </x:c>
      <x:c r="E183" s="14" t="str">
        <x:v>16:00 sonrası</x:v>
      </x:c>
      <x:c r="F183" s="14" t="str">
        <x:v>F1 - Temel Kurma</x:v>
      </x:c>
      <x:c r="G183" s="14" t="str">
        <x:v>20:15</x:v>
      </x:c>
      <x:c r="H183" s="14" t="str">
        <x:v>20:50</x:v>
      </x:c>
      <x:c r="I183" s="14" t="str">
        <x:v>İnkılap</x:v>
      </x:c>
      <x:c r="J183" s="14" t="str">
        <x:v>Konu / Tekrar</x:v>
      </x:c>
      <x:c r="K183" s="14" t="str">
        <x:v>Mustafa Kemal’in Çocukluk, Eğitim ve Fikir Hayatı</x:v>
      </x:c>
      <x:c r="L183" s="14" t="str">
        <x:v>Mustafa Kemal’in Çocukluk, Eğitim ve Fikir Hayatı — genel oynatma listesinden ilgili konu/soru çalışmasını yap.</x:v>
      </x:c>
      <x:c r="M183" s="14" t="str">
        <x:v>İnkılap Genel Oynatma Listesi</x:v>
      </x:c>
      <x:c r="N183" s="14" t="str">
        <x:v>https://www.youtube.com/watch?v=MltIX0oKpYU&amp;list=PLsAsBPsriHNbXit4Ra3iuBrk1ZHZWxsOR&amp;index=78</x:v>
      </x:c>
      <x:c r="O183" s="14" t="n">
        <x:v>0</x:v>
      </x:c>
      <x:c r="P183" s="14" t="str">
        <x:v>Hayır</x:v>
      </x:c>
      <x:c r="Q183" s="14" t="str">
        <x:v>Evet</x:v>
      </x:c>
      <x:c r="R183" s="14" t="str">
        <x:v>Planlandı</x:v>
      </x:c>
      <x:c r="S183" s="15" t="str"/>
      <x:c r="T183" s="14" t="str">
        <x:v>İnkılapta okul yazılısı videoları zorunlu değildir.</x:v>
      </x:c>
    </x:row>
    <x:row r="184">
      <x:c r="A184" s="14" t="n">
        <x:v>183</x:v>
      </x:c>
      <x:c r="B184" s="15" t="n">
        <x:v>46310</x:v>
      </x:c>
      <x:c r="C184" s="14" t="str">
        <x:v>Perşembe</x:v>
      </x:c>
      <x:c r="D184" s="14" t="str">
        <x:v>Okul Günü</x:v>
      </x:c>
      <x:c r="E184" s="14" t="str">
        <x:v>16:00 sonrası</x:v>
      </x:c>
      <x:c r="F184" s="14" t="str">
        <x:v>F1 - Temel Kurma</x:v>
      </x:c>
      <x:c r="G184" s="14" t="str">
        <x:v>20:55</x:v>
      </x:c>
      <x:c r="H184" s="14" t="str">
        <x:v>21:20</x:v>
      </x:c>
      <x:c r="I184" s="14" t="str">
        <x:v>İnkılap</x:v>
      </x:c>
      <x:c r="J184" s="14" t="str">
        <x:v>Kitap / MEB / Mastery</x:v>
      </x:c>
      <x:c r="K184" s="14" t="str">
        <x:v>Mustafa Kemal’in Çocukluk, Eğitim ve Fikir Hayatı</x:v>
      </x:c>
      <x:c r="L184" s="14" t="str">
        <x:v>Mustafa Kemal’in Çocukluk, Eğitim ve Fikir Hayatı ile ilgili soru kitabından en az 15 soru / bugünkü test payını çöz.</x:v>
      </x:c>
      <x:c r="M184" s="14" t="str">
        <x:v>Hız 8. Sınıf T.C. İnkılap Tarihi ve Atatürkçülük</x:v>
      </x:c>
      <x:c r="N184" s="14" t="str">
        <x:v>https://www.youtube.com/watch?v=MltIX0oKpYU&amp;list=PLsAsBPsriHNbXit4Ra3iuBrk1ZHZWxsOR&amp;index=78</x:v>
      </x:c>
      <x:c r="O184" s="14" t="n">
        <x:v>15</x:v>
      </x:c>
      <x:c r="P184" s="14" t="str">
        <x:v>Hayır</x:v>
      </x:c>
      <x:c r="Q184" s="14" t="str">
        <x:v>Evet</x:v>
      </x:c>
      <x:c r="R184" s="14" t="str">
        <x:v>Planlandı</x:v>
      </x:c>
      <x:c r="S184" s="15" t="str"/>
      <x:c r="T184" s="14" t="str"/>
    </x:row>
    <x:row r="185">
      <x:c r="A185" s="14" t="n">
        <x:v>184</x:v>
      </x:c>
      <x:c r="B185" s="15" t="n">
        <x:v>46310</x:v>
      </x:c>
      <x:c r="C185" s="14" t="str">
        <x:v>Perşembe</x:v>
      </x:c>
      <x:c r="D185" s="14" t="str">
        <x:v>Okul Günü</x:v>
      </x:c>
      <x:c r="E185" s="14" t="str">
        <x:v>16:00 sonrası</x:v>
      </x:c>
      <x:c r="F185" s="14" t="str">
        <x:v>F1 - Temel Kurma</x:v>
      </x:c>
      <x:c r="G185" s="14" t="str">
        <x:v>21:20</x:v>
      </x:c>
      <x:c r="H185" s="14" t="str">
        <x:v>21:35</x:v>
      </x:c>
      <x:c r="I185" s="14" t="str">
        <x:v>Genel</x:v>
      </x:c>
      <x:c r="J185" s="14" t="str">
        <x:v>Yanlış / Boş Analizi</x:v>
      </x:c>
      <x:c r="K185" s="14" t="str">
        <x:v>Günlük</x:v>
      </x:c>
      <x:c r="L185" s="14" t="str">
        <x:v>Bugünkü yanlış/boşları kaydet; çözümünü öğrenmeden kapatma. Hata türünü sınıflandır.</x:v>
      </x:c>
      <x:c r="M185" s="14" t="str">
        <x:v>Yanlış Defteri</x:v>
      </x:c>
      <x:c r="N185" s="14" t="str"/>
      <x:c r="O185" s="14" t="n">
        <x:v>0</x:v>
      </x:c>
      <x:c r="P185" s="14" t="str">
        <x:v>Hayır</x:v>
      </x:c>
      <x:c r="Q185" s="14" t="str">
        <x:v>Evet</x:v>
      </x:c>
      <x:c r="R185" s="14" t="str">
        <x:v>Planlandı</x:v>
      </x:c>
      <x:c r="S185" s="15" t="str"/>
      <x:c r="T185" s="14" t="str"/>
    </x:row>
    <x:row r="186">
      <x:c r="A186" s="14" t="n">
        <x:v>185</x:v>
      </x:c>
      <x:c r="B186" s="15" t="n">
        <x:v>46310</x:v>
      </x:c>
      <x:c r="C186" s="14" t="str">
        <x:v>Perşembe</x:v>
      </x:c>
      <x:c r="D186" s="14" t="str">
        <x:v>Okul Günü</x:v>
      </x:c>
      <x:c r="E186" s="14" t="str">
        <x:v>16:00 sonrası</x:v>
      </x:c>
      <x:c r="F186" s="14" t="str">
        <x:v>F1 - Temel Kurma</x:v>
      </x:c>
      <x:c r="G186" s="14" t="str">
        <x:v>21:35</x:v>
      </x:c>
      <x:c r="H186" s="14" t="str">
        <x:v>21:50</x:v>
      </x:c>
      <x:c r="I186" s="14" t="str">
        <x:v>Genel</x:v>
      </x:c>
      <x:c r="J186" s="14" t="str">
        <x:v>Aralıklı Hata Tekrarı</x:v>
      </x:c>
      <x:c r="K186" s="14" t="str">
        <x:v>+1 / +7 / +21</x:v>
      </x:c>
      <x:c r="L186" s="14" t="str">
        <x:v>Bugün vadesi gelen yanlış soruları tekrar çöz. Vadesi yoksa bu süre serbest/okuma olabilir.</x:v>
      </x:c>
      <x:c r="M186" s="14" t="str">
        <x:v>Yanlış Defteri</x:v>
      </x:c>
      <x:c r="N186" s="14" t="str"/>
      <x:c r="O186" s="14" t="n">
        <x:v>0</x:v>
      </x:c>
      <x:c r="P186" s="14" t="str">
        <x:v>Hayır</x:v>
      </x:c>
      <x:c r="Q186" s="14" t="str">
        <x:v>Koşullu</x:v>
      </x:c>
      <x:c r="R186" s="14" t="str">
        <x:v>Planlandı</x:v>
      </x:c>
      <x:c r="S186" s="15" t="str"/>
      <x:c r="T186" s="14" t="str">
        <x:v>Yanlışlar +1, +7 ve +21 gün aralıklarıyla tekrar edilir; hâlâ yanlışsa konu mastery durumu düşürülür.</x:v>
      </x:c>
    </x:row>
    <x:row r="187">
      <x:c r="A187" s="14" t="n">
        <x:v>186</x:v>
      </x:c>
      <x:c r="B187" s="15" t="n">
        <x:v>46310</x:v>
      </x:c>
      <x:c r="C187" s="14" t="str">
        <x:v>Perşembe</x:v>
      </x:c>
      <x:c r="D187" s="14" t="str">
        <x:v>Okul Günü</x:v>
      </x:c>
      <x:c r="E187" s="14" t="str">
        <x:v>16:00 sonrası</x:v>
      </x:c>
      <x:c r="F187" s="14" t="str">
        <x:v>F1 - Temel Kurma</x:v>
      </x:c>
      <x:c r="G187" s="14" t="str">
        <x:v>21:50</x:v>
      </x:c>
      <x:c r="H187" s="14" t="str">
        <x:v>22:00</x:v>
      </x:c>
      <x:c r="I187" s="14" t="str">
        <x:v>Genel</x:v>
      </x:c>
      <x:c r="J187" s="14" t="str">
        <x:v>Uyku Hazırlığı</x:v>
      </x:c>
      <x:c r="K187" s="14" t="str"/>
      <x:c r="L187" s="14" t="str">
        <x:v>22:00'de yatakta ve uyku.</x:v>
      </x:c>
      <x:c r="M187" s="14" t="str"/>
      <x:c r="N187" s="14" t="str"/>
      <x:c r="O187" s="14" t="n">
        <x:v>0</x:v>
      </x:c>
      <x:c r="P187" s="14" t="str">
        <x:v>Hayır</x:v>
      </x:c>
      <x:c r="Q187" s="14" t="str">
        <x:v>Hayır</x:v>
      </x:c>
      <x:c r="R187" s="14" t="str">
        <x:v>Planlandı</x:v>
      </x:c>
      <x:c r="S187" s="15" t="str"/>
      <x:c r="T187" s="14" t="str"/>
    </x:row>
    <x:row r="188">
      <x:c r="A188" s="14" t="n">
        <x:v>187</x:v>
      </x:c>
      <x:c r="B188" s="15" t="n">
        <x:v>46311</x:v>
      </x:c>
      <x:c r="C188" s="14" t="str">
        <x:v>Cuma</x:v>
      </x:c>
      <x:c r="D188" s="14" t="str">
        <x:v>Okul Günü</x:v>
      </x:c>
      <x:c r="E188" s="14" t="str">
        <x:v>16:00 sonrası</x:v>
      </x:c>
      <x:c r="F188" s="14" t="str">
        <x:v>F1 - Temel Kurma</x:v>
      </x:c>
      <x:c r="G188" s="14" t="str">
        <x:v>16:00</x:v>
      </x:c>
      <x:c r="H188" s="14" t="str">
        <x:v>16:25</x:v>
      </x:c>
      <x:c r="I188" s="14" t="str">
        <x:v>Genel</x:v>
      </x:c>
      <x:c r="J188" s="14" t="str">
        <x:v>Dinlenme</x:v>
      </x:c>
      <x:c r="K188" s="14" t="str"/>
      <x:c r="L188" s="14" t="str">
        <x:v>Eve geliş, atıştırma ve dinlenme.</x:v>
      </x:c>
      <x:c r="M188" s="14" t="str"/>
      <x:c r="N188" s="14" t="str"/>
      <x:c r="O188" s="14" t="n">
        <x:v>0</x:v>
      </x:c>
      <x:c r="P188" s="14" t="str">
        <x:v>Hayır</x:v>
      </x:c>
      <x:c r="Q188" s="14" t="str">
        <x:v>Hayır</x:v>
      </x:c>
      <x:c r="R188" s="14" t="str">
        <x:v>Planlandı</x:v>
      </x:c>
      <x:c r="S188" s="15" t="str"/>
      <x:c r="T188" s="14" t="str"/>
    </x:row>
    <x:row r="189">
      <x:c r="A189" s="14" t="n">
        <x:v>188</x:v>
      </x:c>
      <x:c r="B189" s="15" t="n">
        <x:v>46311</x:v>
      </x:c>
      <x:c r="C189" s="14" t="str">
        <x:v>Cuma</x:v>
      </x:c>
      <x:c r="D189" s="14" t="str">
        <x:v>Okul Günü</x:v>
      </x:c>
      <x:c r="E189" s="14" t="str">
        <x:v>16:00 sonrası</x:v>
      </x:c>
      <x:c r="F189" s="14" t="str">
        <x:v>F1 - Temel Kurma</x:v>
      </x:c>
      <x:c r="G189" s="14" t="str">
        <x:v>16:25</x:v>
      </x:c>
      <x:c r="H189" s="14" t="str">
        <x:v>17:05</x:v>
      </x:c>
      <x:c r="I189" s="14" t="str">
        <x:v>Matematik</x:v>
      </x:c>
      <x:c r="J189" s="14" t="str">
        <x:v>Konu / Tekrar</x:v>
      </x:c>
      <x:c r="K189" s="14" t="str">
        <x:v>Asal Sayılar ve Aralarında Asallık</x:v>
      </x:c>
      <x:c r="L189" s="14" t="str">
        <x:v>Asal Sayılar ve Aralarında Asallık — genel oynatma listesinden ilgili videoyu izle (1/2).</x:v>
      </x:c>
      <x:c r="M189" s="14" t="str">
        <x:v>Matematik Ana Oynatma Listesi</x:v>
      </x:c>
      <x:c r="N189" s="14" t="str">
        <x:v>https://www.youtube.com/watch?v=EuJ89QzqrAg&amp;list=PLicNtF7vp6fnfDqrRLH6H7fIbzYT4ct4F&amp;index=11</x:v>
      </x:c>
      <x:c r="O189" s="14" t="n">
        <x:v>0</x:v>
      </x:c>
      <x:c r="P189" s="14" t="str">
        <x:v>Hayır</x:v>
      </x:c>
      <x:c r="Q189" s="14" t="str">
        <x:v>Evet</x:v>
      </x:c>
      <x:c r="R189" s="14" t="str">
        <x:v>Planlandı</x:v>
      </x:c>
      <x:c r="S189" s="15" t="str"/>
      <x:c r="T189" s="14" t="str">
        <x:v>Yeni konu ancak plan sırasıyla açılır; LGS dışı ileri TYT içeriği zorunlu değildir.</x:v>
      </x:c>
    </x:row>
    <x:row r="190">
      <x:c r="A190" s="14" t="n">
        <x:v>189</x:v>
      </x:c>
      <x:c r="B190" s="15" t="n">
        <x:v>46311</x:v>
      </x:c>
      <x:c r="C190" s="14" t="str">
        <x:v>Cuma</x:v>
      </x:c>
      <x:c r="D190" s="14" t="str">
        <x:v>Okul Günü</x:v>
      </x:c>
      <x:c r="E190" s="14" t="str">
        <x:v>16:00 sonrası</x:v>
      </x:c>
      <x:c r="F190" s="14" t="str">
        <x:v>F1 - Temel Kurma</x:v>
      </x:c>
      <x:c r="G190" s="14" t="str">
        <x:v>17:10</x:v>
      </x:c>
      <x:c r="H190" s="14" t="str">
        <x:v>17:55</x:v>
      </x:c>
      <x:c r="I190" s="14" t="str">
        <x:v>Matematik</x:v>
      </x:c>
      <x:c r="J190" s="14" t="str">
        <x:v>Kitap / MEB / Mastery</x:v>
      </x:c>
      <x:c r="K190" s="14" t="str">
        <x:v>Asal Sayılar ve Aralarında Asallık</x:v>
      </x:c>
      <x:c r="L190" s="14" t="str">
        <x:v>Asal Sayılar ve Aralarında Asallık ile ilgili soru kitabından en az 20 soru / bugünkü test payını çöz.</x:v>
      </x:c>
      <x:c r="M190" s="14" t="str">
        <x:v>MUBA 8. Sınıf Başlangıç Matematik (ISBN 9789756526972) (eşleşen bölüm) + MEB temel destek</x:v>
      </x:c>
      <x:c r="N190" s="14" t="str">
        <x:v>https://odsgm.meb.gov.tr/www/5-6-7-ve-9-sinif-duzeylerinde-calisma-sorulari-yayimlandi/icerik/775</x:v>
      </x:c>
      <x:c r="O190" s="14" t="n">
        <x:v>20</x:v>
      </x:c>
      <x:c r="P190" s="14" t="str">
        <x:v>İlk 20 soru</x:v>
      </x:c>
      <x:c r="Q190" s="14" t="str">
        <x:v>Evet</x:v>
      </x:c>
      <x:c r="R190" s="14" t="str">
        <x:v>Planlandı</x:v>
      </x:c>
      <x:c r="S190" s="15" t="str"/>
      <x:c r="T190" s="14" t="str">
        <x:v>Ayrı/rastgele matematik benchmark yoktur. Süreli ilk 20 soru o gün çalışılan konunun içindedir.</x:v>
      </x:c>
    </x:row>
    <x:row r="191">
      <x:c r="A191" s="14" t="n">
        <x:v>190</x:v>
      </x:c>
      <x:c r="B191" s="15" t="n">
        <x:v>46311</x:v>
      </x:c>
      <x:c r="C191" s="14" t="str">
        <x:v>Cuma</x:v>
      </x:c>
      <x:c r="D191" s="14" t="str">
        <x:v>Okul Günü</x:v>
      </x:c>
      <x:c r="E191" s="14" t="str">
        <x:v>16:00 sonrası</x:v>
      </x:c>
      <x:c r="F191" s="14" t="str">
        <x:v>F1 - Temel Kurma</x:v>
      </x:c>
      <x:c r="G191" s="14" t="str">
        <x:v>17:55</x:v>
      </x:c>
      <x:c r="H191" s="14" t="str">
        <x:v>18:25</x:v>
      </x:c>
      <x:c r="I191" s="14" t="str">
        <x:v>Genel</x:v>
      </x:c>
      <x:c r="J191" s="14" t="str">
        <x:v>Yemek / Serbest Zaman</x:v>
      </x:c>
      <x:c r="K191" s="14" t="str"/>
      <x:c r="L191" s="14" t="str">
        <x:v>Yemek, hareket ve dinlenme.</x:v>
      </x:c>
      <x:c r="M191" s="14" t="str"/>
      <x:c r="N191" s="14" t="str"/>
      <x:c r="O191" s="14" t="n">
        <x:v>0</x:v>
      </x:c>
      <x:c r="P191" s="14" t="str">
        <x:v>Hayır</x:v>
      </x:c>
      <x:c r="Q191" s="14" t="str">
        <x:v>Hayır</x:v>
      </x:c>
      <x:c r="R191" s="14" t="str">
        <x:v>Planlandı</x:v>
      </x:c>
      <x:c r="S191" s="15" t="str"/>
      <x:c r="T191" s="14" t="str"/>
    </x:row>
    <x:row r="192">
      <x:c r="A192" s="14" t="n">
        <x:v>191</x:v>
      </x:c>
      <x:c r="B192" s="15" t="n">
        <x:v>46311</x:v>
      </x:c>
      <x:c r="C192" s="14" t="str">
        <x:v>Cuma</x:v>
      </x:c>
      <x:c r="D192" s="14" t="str">
        <x:v>Okul Günü</x:v>
      </x:c>
      <x:c r="E192" s="14" t="str">
        <x:v>16:00 sonrası</x:v>
      </x:c>
      <x:c r="F192" s="14" t="str">
        <x:v>F1 - Temel Kurma</x:v>
      </x:c>
      <x:c r="G192" s="14" t="str">
        <x:v>18:25</x:v>
      </x:c>
      <x:c r="H192" s="14" t="str">
        <x:v>18:55</x:v>
      </x:c>
      <x:c r="I192" s="14" t="str">
        <x:v>Türkçe</x:v>
      </x:c>
      <x:c r="J192" s="14" t="str">
        <x:v>Paragraf Rutini</x:v>
      </x:c>
      <x:c r="K192" s="14" t="str">
        <x:v>Paragraf</x:v>
      </x:c>
      <x:c r="L192" s="14" t="str">
        <x:v>En az 20 paragraf sorusu çöz; ilk 20 soruyu ileri sayımla ölç, D/Y/B + süre kaydet.</x:v>
      </x:c>
      <x:c r="M192" s="14" t="str">
        <x:v>Hız 8. Sınıf Türkçe Paragraf (ISBN 9786258394498)</x:v>
      </x:c>
      <x:c r="N192" s="14" t="str"/>
      <x:c r="O192" s="14" t="n">
        <x:v>20</x:v>
      </x:c>
      <x:c r="P192" s="14" t="str">
        <x:v>İlk 20 soru</x:v>
      </x:c>
      <x:c r="Q192" s="14" t="str">
        <x:v>Evet</x:v>
      </x:c>
      <x:c r="R192" s="14" t="str">
        <x:v>Planlandı</x:v>
      </x:c>
      <x:c r="S192" s="15" t="str"/>
      <x:c r="T192" s="14" t="str">
        <x:v>Geri sayım ve hedef süre yok.</x:v>
      </x:c>
    </x:row>
    <x:row r="193">
      <x:c r="A193" s="14" t="n">
        <x:v>192</x:v>
      </x:c>
      <x:c r="B193" s="15" t="n">
        <x:v>46311</x:v>
      </x:c>
      <x:c r="C193" s="14" t="str">
        <x:v>Cuma</x:v>
      </x:c>
      <x:c r="D193" s="14" t="str">
        <x:v>Okul Günü</x:v>
      </x:c>
      <x:c r="E193" s="14" t="str">
        <x:v>16:00 sonrası</x:v>
      </x:c>
      <x:c r="F193" s="14" t="str">
        <x:v>F1 - Temel Kurma</x:v>
      </x:c>
      <x:c r="G193" s="14" t="str">
        <x:v>19:00</x:v>
      </x:c>
      <x:c r="H193" s="14" t="str">
        <x:v>19:35</x:v>
      </x:c>
      <x:c r="I193" s="14" t="str">
        <x:v>Türkçe</x:v>
      </x:c>
      <x:c r="J193" s="14" t="str">
        <x:v>Konu / Tekrar</x:v>
      </x:c>
      <x:c r="K193" s="14" t="str">
        <x:v>Anlatım Biçimleri ve Düşünceyi Geliştirme Yolları</x:v>
      </x:c>
      <x:c r="L193" s="14" t="str">
        <x:v>Anlatım Biçimleri ve Düşünceyi Geliştirme Yolları — genel oynatma listesinden ilgili videoyu izle (1/3).</x:v>
      </x:c>
      <x:c r="M193" s="14" t="str">
        <x:v>Türkçe Ana Oynatma Listesi</x:v>
      </x:c>
      <x:c r="N193" s="14" t="str">
        <x:v>https://www.youtube.com/watch?v=VYsPntNKVdw&amp;list=PLIBjFaUoJJ91bz7QQEBlxNJNZka5YQRr6</x:v>
      </x:c>
      <x:c r="O193" s="14" t="n">
        <x:v>0</x:v>
      </x:c>
      <x:c r="P193" s="14" t="str">
        <x:v>Hayır</x:v>
      </x:c>
      <x:c r="Q193" s="14" t="str">
        <x:v>Evet</x:v>
      </x:c>
      <x:c r="R193" s="14" t="str">
        <x:v>Planlandı</x:v>
      </x:c>
      <x:c r="S193" s="15" t="str"/>
      <x:c r="T193" s="14" t="str">
        <x:v>TYT etiketli kaynak temelden başlamak için sabittir; LGS dışı gereksiz ayrıntı zorunlu değildir.</x:v>
      </x:c>
    </x:row>
    <x:row r="194">
      <x:c r="A194" s="14" t="n">
        <x:v>193</x:v>
      </x:c>
      <x:c r="B194" s="15" t="n">
        <x:v>46311</x:v>
      </x:c>
      <x:c r="C194" s="14" t="str">
        <x:v>Cuma</x:v>
      </x:c>
      <x:c r="D194" s="14" t="str">
        <x:v>Okul Günü</x:v>
      </x:c>
      <x:c r="E194" s="14" t="str">
        <x:v>16:00 sonrası</x:v>
      </x:c>
      <x:c r="F194" s="14" t="str">
        <x:v>F1 - Temel Kurma</x:v>
      </x:c>
      <x:c r="G194" s="14" t="str">
        <x:v>19:40</x:v>
      </x:c>
      <x:c r="H194" s="14" t="str">
        <x:v>20:10</x:v>
      </x:c>
      <x:c r="I194" s="14" t="str">
        <x:v>Türkçe</x:v>
      </x:c>
      <x:c r="J194" s="14" t="str">
        <x:v>Kitap / MEB / Mastery</x:v>
      </x:c>
      <x:c r="K194" s="14" t="str">
        <x:v>Anlatım Biçimleri ve Düşünceyi Geliştirme Yolları</x:v>
      </x:c>
      <x:c r="L194" s="14" t="str">
        <x:v>Anlatım Biçimleri ve Düşünceyi Geliştirme Yolları ile ilgili soru kitabından en az 10 soru / bugünkü test payını çöz.</x:v>
      </x:c>
      <x:c r="M194" s="14" t="str">
        <x:v>Ankara 8. Sınıf Dil Bilgisi Güçlendiren</x:v>
      </x:c>
      <x:c r="N194" s="14" t="str">
        <x:v>https://odsgm.meb.gov.tr/www/8sinif-calisma-sorulari/icerik/1632</x:v>
      </x:c>
      <x:c r="O194" s="14" t="n">
        <x:v>10</x:v>
      </x:c>
      <x:c r="P194" s="14" t="str">
        <x:v>Hayır</x:v>
      </x:c>
      <x:c r="Q194" s="14" t="str">
        <x:v>Evet</x:v>
      </x:c>
      <x:c r="R194" s="14" t="str">
        <x:v>Planlandı</x:v>
      </x:c>
      <x:c r="S194" s="15" t="str"/>
      <x:c r="T194" s="14" t="str"/>
    </x:row>
    <x:row r="195">
      <x:c r="A195" s="14" t="n">
        <x:v>194</x:v>
      </x:c>
      <x:c r="B195" s="15" t="n">
        <x:v>46311</x:v>
      </x:c>
      <x:c r="C195" s="14" t="str">
        <x:v>Cuma</x:v>
      </x:c>
      <x:c r="D195" s="14" t="str">
        <x:v>Okul Günü</x:v>
      </x:c>
      <x:c r="E195" s="14" t="str">
        <x:v>16:00 sonrası</x:v>
      </x:c>
      <x:c r="F195" s="14" t="str">
        <x:v>F1 - Temel Kurma</x:v>
      </x:c>
      <x:c r="G195" s="14" t="str">
        <x:v>20:15</x:v>
      </x:c>
      <x:c r="H195" s="14" t="str">
        <x:v>20:50</x:v>
      </x:c>
      <x:c r="I195" s="14" t="str">
        <x:v>İngilizce</x:v>
      </x:c>
      <x:c r="J195" s="14" t="str">
        <x:v>Konu / Tekrar</x:v>
      </x:c>
      <x:c r="K195" s="14" t="str">
        <x:v>Unit 1 - Friendship</x:v>
      </x:c>
      <x:c r="L195" s="14" t="str">
        <x:v>Unit 1 - Friendship — MEB doğrulaması öncesi 5-10 dk aktif hatırlama; gerekiyorsa ilgili playlist videosuna kısa dönüş yap.</x:v>
      </x:c>
      <x:c r="M195" s="14" t="str">
        <x:v>İngilizce Genel Oynatma Listesi</x:v>
      </x:c>
      <x:c r="N195" s="14" t="str">
        <x:v>https://www.youtube.com/watch?v=FaY3dFjZbns&amp;list=PLSgpQDrUSYp94WgE9pzpHiOG5FwxnZBrr</x:v>
      </x:c>
      <x:c r="O195" s="14" t="n">
        <x:v>0</x:v>
      </x:c>
      <x:c r="P195" s="14" t="str">
        <x:v>Hayır</x:v>
      </x:c>
      <x:c r="Q195" s="14" t="str">
        <x:v>Evet</x:v>
      </x:c>
      <x:c r="R195" s="14" t="str">
        <x:v>Planlandı</x:v>
      </x:c>
      <x:c r="S195" s="15" t="str"/>
      <x:c r="T195" s="14" t="str"/>
    </x:row>
    <x:row r="196">
      <x:c r="A196" s="14" t="n">
        <x:v>195</x:v>
      </x:c>
      <x:c r="B196" s="15" t="n">
        <x:v>46311</x:v>
      </x:c>
      <x:c r="C196" s="14" t="str">
        <x:v>Cuma</x:v>
      </x:c>
      <x:c r="D196" s="14" t="str">
        <x:v>Okul Günü</x:v>
      </x:c>
      <x:c r="E196" s="14" t="str">
        <x:v>16:00 sonrası</x:v>
      </x:c>
      <x:c r="F196" s="14" t="str">
        <x:v>F1 - Temel Kurma</x:v>
      </x:c>
      <x:c r="G196" s="14" t="str">
        <x:v>20:55</x:v>
      </x:c>
      <x:c r="H196" s="14" t="str">
        <x:v>21:20</x:v>
      </x:c>
      <x:c r="I196" s="14" t="str">
        <x:v>İngilizce</x:v>
      </x:c>
      <x:c r="J196" s="14" t="str">
        <x:v>Kitap / MEB / Mastery</x:v>
      </x:c>
      <x:c r="K196" s="14" t="str">
        <x:v>Unit 1 - Friendship</x:v>
      </x:c>
      <x:c r="L196" s="14" t="str">
        <x:v>Unit 1 - Friendship için ilgili MEB sorularını TAMAMLA; D/Y/B kaydet. Bu oturum konu mastery gate'idir.</x:v>
      </x:c>
      <x:c r="M196" s="14" t="str">
        <x:v>MEB 8. Sınıf İngilizce Soruları</x:v>
      </x:c>
      <x:c r="N196" s="14" t="str">
        <x:v>https://odsgm.meb.gov.tr/www/8sinif-calisma-sorulari/icerik/1632</x:v>
      </x:c>
      <x:c r="O196" s="14" t="n">
        <x:v>0</x:v>
      </x:c>
      <x:c r="P196" s="14" t="str">
        <x:v>Hayır</x:v>
      </x:c>
      <x:c r="Q196" s="14" t="str">
        <x:v>Evet</x:v>
      </x:c>
      <x:c r="R196" s="14" t="str">
        <x:v>Planlandı</x:v>
      </x:c>
      <x:c r="S196" s="15" t="str"/>
      <x:c r="T196" s="14" t="str">
        <x:v>MEB sonucu Konu_Ustaligi sayfasına işlenir.</x:v>
      </x:c>
    </x:row>
    <x:row r="197">
      <x:c r="A197" s="14" t="n">
        <x:v>196</x:v>
      </x:c>
      <x:c r="B197" s="15" t="n">
        <x:v>46311</x:v>
      </x:c>
      <x:c r="C197" s="14" t="str">
        <x:v>Cuma</x:v>
      </x:c>
      <x:c r="D197" s="14" t="str">
        <x:v>Okul Günü</x:v>
      </x:c>
      <x:c r="E197" s="14" t="str">
        <x:v>16:00 sonrası</x:v>
      </x:c>
      <x:c r="F197" s="14" t="str">
        <x:v>F1 - Temel Kurma</x:v>
      </x:c>
      <x:c r="G197" s="14" t="str">
        <x:v>21:20</x:v>
      </x:c>
      <x:c r="H197" s="14" t="str">
        <x:v>21:35</x:v>
      </x:c>
      <x:c r="I197" s="14" t="str">
        <x:v>Genel</x:v>
      </x:c>
      <x:c r="J197" s="14" t="str">
        <x:v>Yanlış / Boş Analizi</x:v>
      </x:c>
      <x:c r="K197" s="14" t="str">
        <x:v>Günlük</x:v>
      </x:c>
      <x:c r="L197" s="14" t="str">
        <x:v>Bugünkü yanlış/boşları kaydet; çözümünü öğrenmeden kapatma. Hata türünü sınıflandır.</x:v>
      </x:c>
      <x:c r="M197" s="14" t="str">
        <x:v>Yanlış Defteri</x:v>
      </x:c>
      <x:c r="N197" s="14" t="str"/>
      <x:c r="O197" s="14" t="n">
        <x:v>0</x:v>
      </x:c>
      <x:c r="P197" s="14" t="str">
        <x:v>Hayır</x:v>
      </x:c>
      <x:c r="Q197" s="14" t="str">
        <x:v>Evet</x:v>
      </x:c>
      <x:c r="R197" s="14" t="str">
        <x:v>Planlandı</x:v>
      </x:c>
      <x:c r="S197" s="15" t="str"/>
      <x:c r="T197" s="14" t="str"/>
    </x:row>
    <x:row r="198">
      <x:c r="A198" s="14" t="n">
        <x:v>197</x:v>
      </x:c>
      <x:c r="B198" s="15" t="n">
        <x:v>46311</x:v>
      </x:c>
      <x:c r="C198" s="14" t="str">
        <x:v>Cuma</x:v>
      </x:c>
      <x:c r="D198" s="14" t="str">
        <x:v>Okul Günü</x:v>
      </x:c>
      <x:c r="E198" s="14" t="str">
        <x:v>16:00 sonrası</x:v>
      </x:c>
      <x:c r="F198" s="14" t="str">
        <x:v>F1 - Temel Kurma</x:v>
      </x:c>
      <x:c r="G198" s="14" t="str">
        <x:v>21:35</x:v>
      </x:c>
      <x:c r="H198" s="14" t="str">
        <x:v>21:50</x:v>
      </x:c>
      <x:c r="I198" s="14" t="str">
        <x:v>Genel</x:v>
      </x:c>
      <x:c r="J198" s="14" t="str">
        <x:v>Aralıklı Hata Tekrarı</x:v>
      </x:c>
      <x:c r="K198" s="14" t="str">
        <x:v>+1 / +7 / +21</x:v>
      </x:c>
      <x:c r="L198" s="14" t="str">
        <x:v>Bugün vadesi gelen yanlış soruları tekrar çöz. Vadesi yoksa bu süre serbest/okuma olabilir.</x:v>
      </x:c>
      <x:c r="M198" s="14" t="str">
        <x:v>Yanlış Defteri</x:v>
      </x:c>
      <x:c r="N198" s="14" t="str"/>
      <x:c r="O198" s="14" t="n">
        <x:v>0</x:v>
      </x:c>
      <x:c r="P198" s="14" t="str">
        <x:v>Hayır</x:v>
      </x:c>
      <x:c r="Q198" s="14" t="str">
        <x:v>Koşullu</x:v>
      </x:c>
      <x:c r="R198" s="14" t="str">
        <x:v>Planlandı</x:v>
      </x:c>
      <x:c r="S198" s="15" t="str"/>
      <x:c r="T198" s="14" t="str">
        <x:v>Yanlışlar +1, +7 ve +21 gün aralıklarıyla tekrar edilir; hâlâ yanlışsa konu mastery durumu düşürülür.</x:v>
      </x:c>
    </x:row>
    <x:row r="199">
      <x:c r="A199" s="14" t="n">
        <x:v>198</x:v>
      </x:c>
      <x:c r="B199" s="15" t="n">
        <x:v>46311</x:v>
      </x:c>
      <x:c r="C199" s="14" t="str">
        <x:v>Cuma</x:v>
      </x:c>
      <x:c r="D199" s="14" t="str">
        <x:v>Okul Günü</x:v>
      </x:c>
      <x:c r="E199" s="14" t="str">
        <x:v>16:00 sonrası</x:v>
      </x:c>
      <x:c r="F199" s="14" t="str">
        <x:v>F1 - Temel Kurma</x:v>
      </x:c>
      <x:c r="G199" s="14" t="str">
        <x:v>21:50</x:v>
      </x:c>
      <x:c r="H199" s="14" t="str">
        <x:v>22:00</x:v>
      </x:c>
      <x:c r="I199" s="14" t="str">
        <x:v>Genel</x:v>
      </x:c>
      <x:c r="J199" s="14" t="str">
        <x:v>Uyku Hazırlığı</x:v>
      </x:c>
      <x:c r="K199" s="14" t="str"/>
      <x:c r="L199" s="14" t="str">
        <x:v>22:00'de yatakta ve uyku.</x:v>
      </x:c>
      <x:c r="M199" s="14" t="str"/>
      <x:c r="N199" s="14" t="str"/>
      <x:c r="O199" s="14" t="n">
        <x:v>0</x:v>
      </x:c>
      <x:c r="P199" s="14" t="str">
        <x:v>Hayır</x:v>
      </x:c>
      <x:c r="Q199" s="14" t="str">
        <x:v>Hayır</x:v>
      </x:c>
      <x:c r="R199" s="14" t="str">
        <x:v>Planlandı</x:v>
      </x:c>
      <x:c r="S199" s="15" t="str"/>
      <x:c r="T199" s="14" t="str"/>
    </x:row>
    <x:row r="200">
      <x:c r="A200" s="14" t="n">
        <x:v>199</x:v>
      </x:c>
      <x:c r="B200" s="15" t="n">
        <x:v>46312</x:v>
      </x:c>
      <x:c r="C200" s="14" t="str">
        <x:v>Cumartesi</x:v>
      </x:c>
      <x:c r="D200" s="14" t="str">
        <x:v>Hafta Sonu</x:v>
      </x:c>
      <x:c r="E200" s="14" t="str">
        <x:v>Tam gün</x:v>
      </x:c>
      <x:c r="F200" s="14" t="str">
        <x:v>F1 - Temel Kurma</x:v>
      </x:c>
      <x:c r="G200" s="14" t="str">
        <x:v>09:30</x:v>
      </x:c>
      <x:c r="H200" s="14" t="str">
        <x:v>10:15</x:v>
      </x:c>
      <x:c r="I200" s="14" t="str">
        <x:v>Matematik</x:v>
      </x:c>
      <x:c r="J200" s="14" t="str">
        <x:v>Konu / Tekrar</x:v>
      </x:c>
      <x:c r="K200" s="14" t="str">
        <x:v>Asal Sayılar ve Aralarında Asallık</x:v>
      </x:c>
      <x:c r="L200" s="14" t="str">
        <x:v>Asal Sayılar ve Aralarında Asallık — genel oynatma listesinden ilgili videoyu izle (2/2).</x:v>
      </x:c>
      <x:c r="M200" s="14" t="str">
        <x:v>Matematik Ana Oynatma Listesi</x:v>
      </x:c>
      <x:c r="N200" s="14" t="str">
        <x:v>https://www.youtube.com/watch?v=EuJ89QzqrAg&amp;list=PLicNtF7vp6fnfDqrRLH6H7fIbzYT4ct4F&amp;index=11</x:v>
      </x:c>
      <x:c r="O200" s="14" t="n">
        <x:v>0</x:v>
      </x:c>
      <x:c r="P200" s="14" t="str">
        <x:v>Hayır</x:v>
      </x:c>
      <x:c r="Q200" s="14" t="str">
        <x:v>Evet</x:v>
      </x:c>
      <x:c r="R200" s="14" t="str">
        <x:v>Planlandı</x:v>
      </x:c>
      <x:c r="S200" s="15" t="str"/>
      <x:c r="T200" s="14" t="str">
        <x:v>Yeni konu ancak plan sırasıyla açılır; LGS dışı ileri TYT içeriği zorunlu değildir.</x:v>
      </x:c>
    </x:row>
    <x:row r="201">
      <x:c r="A201" s="14" t="n">
        <x:v>200</x:v>
      </x:c>
      <x:c r="B201" s="15" t="n">
        <x:v>46312</x:v>
      </x:c>
      <x:c r="C201" s="14" t="str">
        <x:v>Cumartesi</x:v>
      </x:c>
      <x:c r="D201" s="14" t="str">
        <x:v>Hafta Sonu</x:v>
      </x:c>
      <x:c r="E201" s="14" t="str">
        <x:v>Tam gün</x:v>
      </x:c>
      <x:c r="F201" s="14" t="str">
        <x:v>F1 - Temel Kurma</x:v>
      </x:c>
      <x:c r="G201" s="14" t="str">
        <x:v>10:25</x:v>
      </x:c>
      <x:c r="H201" s="14" t="str">
        <x:v>11:15</x:v>
      </x:c>
      <x:c r="I201" s="14" t="str">
        <x:v>Matematik</x:v>
      </x:c>
      <x:c r="J201" s="14" t="str">
        <x:v>Kitap / MEB / Mastery</x:v>
      </x:c>
      <x:c r="K201" s="14" t="str">
        <x:v>Asal Sayılar ve Aralarında Asallık</x:v>
      </x:c>
      <x:c r="L201" s="14" t="str">
        <x:v>Asal Sayılar ve Aralarında Asallık ile ilgili soru kitabından en az 20 soru / bugünkü test payını çöz. İlgili kitap konu bölümünü bu oturumda bitirmeyi hedefle; sonraki oturum MEB doğrulaması.</x:v>
      </x:c>
      <x:c r="M201" s="14" t="str">
        <x:v>MUBA 8. Sınıf Başlangıç Matematik (ISBN 9789756526972) (eşleşen bölüm) + MEB temel destek</x:v>
      </x:c>
      <x:c r="N201" s="14" t="str">
        <x:v>https://odsgm.meb.gov.tr/www/5-6-7-ve-9-sinif-duzeylerinde-calisma-sorulari-yayimlandi/icerik/775</x:v>
      </x:c>
      <x:c r="O201" s="14" t="n">
        <x:v>20</x:v>
      </x:c>
      <x:c r="P201" s="14" t="str">
        <x:v>İlk 20 soru</x:v>
      </x:c>
      <x:c r="Q201" s="14" t="str">
        <x:v>Evet</x:v>
      </x:c>
      <x:c r="R201" s="14" t="str">
        <x:v>Planlandı</x:v>
      </x:c>
      <x:c r="S201" s="15" t="str"/>
      <x:c r="T201" s="14" t="str">
        <x:v>Ayrı/rastgele matematik benchmark yoktur. Süreli ilk 20 soru o gün çalışılan konunun içindedir.</x:v>
      </x:c>
    </x:row>
    <x:row r="202">
      <x:c r="A202" s="14" t="n">
        <x:v>201</x:v>
      </x:c>
      <x:c r="B202" s="15" t="n">
        <x:v>46312</x:v>
      </x:c>
      <x:c r="C202" s="14" t="str">
        <x:v>Cumartesi</x:v>
      </x:c>
      <x:c r="D202" s="14" t="str">
        <x:v>Hafta Sonu</x:v>
      </x:c>
      <x:c r="E202" s="14" t="str">
        <x:v>Tam gün</x:v>
      </x:c>
      <x:c r="F202" s="14" t="str">
        <x:v>F1 - Temel Kurma</x:v>
      </x:c>
      <x:c r="G202" s="14" t="str">
        <x:v>12:00</x:v>
      </x:c>
      <x:c r="H202" s="14" t="str">
        <x:v>14:00</x:v>
      </x:c>
      <x:c r="I202" s="14" t="str">
        <x:v>Genel</x:v>
      </x:c>
      <x:c r="J202" s="14" t="str">
        <x:v>Yemek / Serbest Zaman</x:v>
      </x:c>
      <x:c r="K202" s="14" t="str"/>
      <x:c r="L202" s="14" t="str">
        <x:v>Yemek, hareket ve dinlenme.</x:v>
      </x:c>
      <x:c r="M202" s="14" t="str"/>
      <x:c r="N202" s="14" t="str"/>
      <x:c r="O202" s="14" t="n">
        <x:v>0</x:v>
      </x:c>
      <x:c r="P202" s="14" t="str">
        <x:v>Hayır</x:v>
      </x:c>
      <x:c r="Q202" s="14" t="str">
        <x:v>Hayır</x:v>
      </x:c>
      <x:c r="R202" s="14" t="str">
        <x:v>Planlandı</x:v>
      </x:c>
      <x:c r="S202" s="15" t="str"/>
      <x:c r="T202" s="14" t="str"/>
    </x:row>
    <x:row r="203">
      <x:c r="A203" s="14" t="n">
        <x:v>202</x:v>
      </x:c>
      <x:c r="B203" s="15" t="n">
        <x:v>46312</x:v>
      </x:c>
      <x:c r="C203" s="14" t="str">
        <x:v>Cumartesi</x:v>
      </x:c>
      <x:c r="D203" s="14" t="str">
        <x:v>Hafta Sonu</x:v>
      </x:c>
      <x:c r="E203" s="14" t="str">
        <x:v>Tam gün</x:v>
      </x:c>
      <x:c r="F203" s="14" t="str">
        <x:v>F1 - Temel Kurma</x:v>
      </x:c>
      <x:c r="G203" s="14" t="str">
        <x:v>11:25</x:v>
      </x:c>
      <x:c r="H203" s="14" t="str">
        <x:v>11:55</x:v>
      </x:c>
      <x:c r="I203" s="14" t="str">
        <x:v>Türkçe</x:v>
      </x:c>
      <x:c r="J203" s="14" t="str">
        <x:v>Paragraf Rutini</x:v>
      </x:c>
      <x:c r="K203" s="14" t="str">
        <x:v>Paragraf</x:v>
      </x:c>
      <x:c r="L203" s="14" t="str">
        <x:v>En az 20 paragraf sorusu çöz; ilk 20 soruyu ileri sayımla ölç, D/Y/B + süre kaydet.</x:v>
      </x:c>
      <x:c r="M203" s="14" t="str">
        <x:v>Hız 8. Sınıf Türkçe Paragraf (ISBN 9786258394498)</x:v>
      </x:c>
      <x:c r="N203" s="14" t="str"/>
      <x:c r="O203" s="14" t="n">
        <x:v>20</x:v>
      </x:c>
      <x:c r="P203" s="14" t="str">
        <x:v>İlk 20 soru</x:v>
      </x:c>
      <x:c r="Q203" s="14" t="str">
        <x:v>Evet</x:v>
      </x:c>
      <x:c r="R203" s="14" t="str">
        <x:v>Planlandı</x:v>
      </x:c>
      <x:c r="S203" s="15" t="str"/>
      <x:c r="T203" s="14" t="str">
        <x:v>Geri sayım ve hedef süre yok.</x:v>
      </x:c>
    </x:row>
    <x:row r="204">
      <x:c r="A204" s="14" t="n">
        <x:v>203</x:v>
      </x:c>
      <x:c r="B204" s="15" t="n">
        <x:v>46312</x:v>
      </x:c>
      <x:c r="C204" s="14" t="str">
        <x:v>Cumartesi</x:v>
      </x:c>
      <x:c r="D204" s="14" t="str">
        <x:v>Hafta Sonu</x:v>
      </x:c>
      <x:c r="E204" s="14" t="str">
        <x:v>Tam gün</x:v>
      </x:c>
      <x:c r="F204" s="14" t="str">
        <x:v>F1 - Temel Kurma</x:v>
      </x:c>
      <x:c r="G204" s="14" t="str">
        <x:v>14:00</x:v>
      </x:c>
      <x:c r="H204" s="14" t="str">
        <x:v>14:40</x:v>
      </x:c>
      <x:c r="I204" s="14" t="str">
        <x:v>Türkçe</x:v>
      </x:c>
      <x:c r="J204" s="14" t="str">
        <x:v>Konu / Tekrar</x:v>
      </x:c>
      <x:c r="K204" s="14" t="str">
        <x:v>Anlatım Biçimleri ve Düşünceyi Geliştirme Yolları</x:v>
      </x:c>
      <x:c r="L204" s="14" t="str">
        <x:v>Anlatım Biçimleri ve Düşünceyi Geliştirme Yolları — genel oynatma listesinden ilgili videoyu izle (2/3).</x:v>
      </x:c>
      <x:c r="M204" s="14" t="str">
        <x:v>Türkçe Ana Oynatma Listesi</x:v>
      </x:c>
      <x:c r="N204" s="14" t="str">
        <x:v>https://www.youtube.com/watch?v=VYsPntNKVdw&amp;list=PLIBjFaUoJJ91bz7QQEBlxNJNZka5YQRr6</x:v>
      </x:c>
      <x:c r="O204" s="14" t="n">
        <x:v>0</x:v>
      </x:c>
      <x:c r="P204" s="14" t="str">
        <x:v>Hayır</x:v>
      </x:c>
      <x:c r="Q204" s="14" t="str">
        <x:v>Evet</x:v>
      </x:c>
      <x:c r="R204" s="14" t="str">
        <x:v>Planlandı</x:v>
      </x:c>
      <x:c r="S204" s="15" t="str"/>
      <x:c r="T204" s="14" t="str">
        <x:v>TYT etiketli kaynak temelden başlamak için sabittir; LGS dışı gereksiz ayrıntı zorunlu değildir.</x:v>
      </x:c>
    </x:row>
    <x:row r="205">
      <x:c r="A205" s="14" t="n">
        <x:v>204</x:v>
      </x:c>
      <x:c r="B205" s="15" t="n">
        <x:v>46312</x:v>
      </x:c>
      <x:c r="C205" s="14" t="str">
        <x:v>Cumartesi</x:v>
      </x:c>
      <x:c r="D205" s="14" t="str">
        <x:v>Hafta Sonu</x:v>
      </x:c>
      <x:c r="E205" s="14" t="str">
        <x:v>Tam gün</x:v>
      </x:c>
      <x:c r="F205" s="14" t="str">
        <x:v>F1 - Temel Kurma</x:v>
      </x:c>
      <x:c r="G205" s="14" t="str">
        <x:v>14:50</x:v>
      </x:c>
      <x:c r="H205" s="14" t="str">
        <x:v>15:30</x:v>
      </x:c>
      <x:c r="I205" s="14" t="str">
        <x:v>Türkçe</x:v>
      </x:c>
      <x:c r="J205" s="14" t="str">
        <x:v>Kitap / MEB / Mastery</x:v>
      </x:c>
      <x:c r="K205" s="14" t="str">
        <x:v>Anlatım Biçimleri ve Düşünceyi Geliştirme Yolları</x:v>
      </x:c>
      <x:c r="L205" s="14" t="str">
        <x:v>Anlatım Biçimleri ve Düşünceyi Geliştirme Yolları ile ilgili soru kitabından en az 10 soru / bugünkü test payını çöz.</x:v>
      </x:c>
      <x:c r="M205" s="14" t="str">
        <x:v>Ankara 8. Sınıf Dil Bilgisi Güçlendiren</x:v>
      </x:c>
      <x:c r="N205" s="14" t="str">
        <x:v>https://odsgm.meb.gov.tr/www/8sinif-calisma-sorulari/icerik/1632</x:v>
      </x:c>
      <x:c r="O205" s="14" t="n">
        <x:v>10</x:v>
      </x:c>
      <x:c r="P205" s="14" t="str">
        <x:v>Hayır</x:v>
      </x:c>
      <x:c r="Q205" s="14" t="str">
        <x:v>Evet</x:v>
      </x:c>
      <x:c r="R205" s="14" t="str">
        <x:v>Planlandı</x:v>
      </x:c>
      <x:c r="S205" s="15" t="str"/>
      <x:c r="T205" s="14" t="str"/>
    </x:row>
    <x:row r="206">
      <x:c r="A206" s="14" t="n">
        <x:v>205</x:v>
      </x:c>
      <x:c r="B206" s="15" t="n">
        <x:v>46312</x:v>
      </x:c>
      <x:c r="C206" s="14" t="str">
        <x:v>Cumartesi</x:v>
      </x:c>
      <x:c r="D206" s="14" t="str">
        <x:v>Hafta Sonu</x:v>
      </x:c>
      <x:c r="E206" s="14" t="str">
        <x:v>Tam gün</x:v>
      </x:c>
      <x:c r="F206" s="14" t="str">
        <x:v>F1 - Temel Kurma</x:v>
      </x:c>
      <x:c r="G206" s="14" t="str">
        <x:v>15:45</x:v>
      </x:c>
      <x:c r="H206" s="14" t="str">
        <x:v>16:25</x:v>
      </x:c>
      <x:c r="I206" s="14" t="str">
        <x:v>Fen</x:v>
      </x:c>
      <x:c r="J206" s="14" t="str">
        <x:v>Konu / Tekrar</x:v>
      </x:c>
      <x:c r="K206" s="14" t="str">
        <x:v>DNA ve Genetik Kod</x:v>
      </x:c>
      <x:c r="L206" s="14" t="str">
        <x:v>DNA ve Genetik Kod — Fen konu anlatım playlistinden ilgili videoyu izle.</x:v>
      </x:c>
      <x:c r="M206" s="14" t="str">
        <x:v>Fen Konu Anlatım</x:v>
      </x:c>
      <x:c r="N206" s="14" t="str">
        <x:v>https://www.youtube.com/watch?v=AHdk01aR4Ko&amp;list=PLrQm7mt99FRV_Oe9xFavWzFpCIl7_XiWj</x:v>
      </x:c>
      <x:c r="O206" s="14" t="n">
        <x:v>0</x:v>
      </x:c>
      <x:c r="P206" s="14" t="str">
        <x:v>Hayır</x:v>
      </x:c>
      <x:c r="Q206" s="14" t="str">
        <x:v>Evet</x:v>
      </x:c>
      <x:c r="R206" s="14" t="str">
        <x:v>Planlandı</x:v>
      </x:c>
      <x:c r="S206" s="15" t="str"/>
      <x:c r="T206" s="14" t="str"/>
    </x:row>
    <x:row r="207">
      <x:c r="A207" s="14" t="n">
        <x:v>206</x:v>
      </x:c>
      <x:c r="B207" s="15" t="n">
        <x:v>46312</x:v>
      </x:c>
      <x:c r="C207" s="14" t="str">
        <x:v>Cumartesi</x:v>
      </x:c>
      <x:c r="D207" s="14" t="str">
        <x:v>Hafta Sonu</x:v>
      </x:c>
      <x:c r="E207" s="14" t="str">
        <x:v>Tam gün</x:v>
      </x:c>
      <x:c r="F207" s="14" t="str">
        <x:v>F1 - Temel Kurma</x:v>
      </x:c>
      <x:c r="G207" s="14" t="str">
        <x:v>16:35</x:v>
      </x:c>
      <x:c r="H207" s="14" t="str">
        <x:v>17:15</x:v>
      </x:c>
      <x:c r="I207" s="14" t="str">
        <x:v>Fen</x:v>
      </x:c>
      <x:c r="J207" s="14" t="str">
        <x:v>Kitap / MEB / Mastery</x:v>
      </x:c>
      <x:c r="K207" s="14" t="str">
        <x:v>DNA ve Genetik Kod</x:v>
      </x:c>
      <x:c r="L207" s="14" t="str">
        <x:v>DNA ve Genetik Kod ile ilgili soru kitabından en az 15 soru / bugünkü test payını çöz.</x:v>
      </x:c>
      <x:c r="M207" s="14" t="str">
        <x:v>Hız 8. Sınıf Fen (ISBN 9786257514859); tamamlandıysa Mozaik 8. Sınıf Fen</x:v>
      </x:c>
      <x:c r="N207" s="14" t="str">
        <x:v>https://www.youtube.com/watch?v=AHdk01aR4Ko&amp;list=PLrQm7mt99FRV_Oe9xFavWzFpCIl7_XiWj</x:v>
      </x:c>
      <x:c r="O207" s="14" t="n">
        <x:v>15</x:v>
      </x:c>
      <x:c r="P207" s="14" t="str">
        <x:v>Hayır</x:v>
      </x:c>
      <x:c r="Q207" s="14" t="str">
        <x:v>Evet</x:v>
      </x:c>
      <x:c r="R207" s="14" t="str">
        <x:v>Planlandı</x:v>
      </x:c>
      <x:c r="S207" s="15" t="str"/>
      <x:c r="T207" s="14" t="str"/>
    </x:row>
    <x:row r="208">
      <x:c r="A208" s="14" t="n">
        <x:v>207</x:v>
      </x:c>
      <x:c r="B208" s="15" t="n">
        <x:v>46312</x:v>
      </x:c>
      <x:c r="C208" s="14" t="str">
        <x:v>Cumartesi</x:v>
      </x:c>
      <x:c r="D208" s="14" t="str">
        <x:v>Hafta Sonu</x:v>
      </x:c>
      <x:c r="E208" s="14" t="str">
        <x:v>Tam gün</x:v>
      </x:c>
      <x:c r="F208" s="14" t="str">
        <x:v>F1 - Temel Kurma</x:v>
      </x:c>
      <x:c r="G208" s="14" t="str">
        <x:v>17:25</x:v>
      </x:c>
      <x:c r="H208" s="14" t="str">
        <x:v>17:55</x:v>
      </x:c>
      <x:c r="I208" s="14" t="str">
        <x:v>Fen</x:v>
      </x:c>
      <x:c r="J208" s="14" t="str">
        <x:v>Ek Fen Pekiştirme</x:v>
      </x:c>
      <x:c r="K208" s="14" t="str">
        <x:v>DNA ve Genetik Kod</x:v>
      </x:c>
      <x:c r="L208" s="14" t="str">
        <x:v>DNA ve Genetik Kod — Fen soru çözüm playlistinden ilgili videoyu izle.</x:v>
      </x:c>
      <x:c r="M208" s="14" t="str">
        <x:v>Fen Konu/Soru Oynatma Listesi</x:v>
      </x:c>
      <x:c r="N208" s="14" t="str">
        <x:v>https://www.youtube.com/watch?v=pQXhWnDZ3vM&amp;list=PLrQm7mt99FRXcBnorCttd31HJEvg0En26&amp;index=23</x:v>
      </x:c>
      <x:c r="O208" s="14" t="n">
        <x:v>0</x:v>
      </x:c>
      <x:c r="P208" s="14" t="str">
        <x:v>Hayır</x:v>
      </x:c>
      <x:c r="Q208" s="14" t="str">
        <x:v>Evet</x:v>
      </x:c>
      <x:c r="R208" s="14" t="str">
        <x:v>Planlandı</x:v>
      </x:c>
      <x:c r="S208" s="15" t="str"/>
      <x:c r="T208" s="14" t="str">
        <x:v>Fen haftalık temas sıklığını artırmak için ek Cumartesi oturumu.</x:v>
      </x:c>
    </x:row>
    <x:row r="209">
      <x:c r="A209" s="14" t="n">
        <x:v>208</x:v>
      </x:c>
      <x:c r="B209" s="15" t="n">
        <x:v>46312</x:v>
      </x:c>
      <x:c r="C209" s="14" t="str">
        <x:v>Cumartesi</x:v>
      </x:c>
      <x:c r="D209" s="14" t="str">
        <x:v>Hafta Sonu</x:v>
      </x:c>
      <x:c r="E209" s="14" t="str">
        <x:v>Tam gün</x:v>
      </x:c>
      <x:c r="F209" s="14" t="str">
        <x:v>F1 - Temel Kurma</x:v>
      </x:c>
      <x:c r="G209" s="14" t="str">
        <x:v>17:55</x:v>
      </x:c>
      <x:c r="H209" s="14" t="str">
        <x:v>18:25</x:v>
      </x:c>
      <x:c r="I209" s="14" t="str">
        <x:v>Fen</x:v>
      </x:c>
      <x:c r="J209" s="14" t="str">
        <x:v>Ek Fen Kitap / MEB</x:v>
      </x:c>
      <x:c r="K209" s="14" t="str">
        <x:v>DNA ve Genetik Kod</x:v>
      </x:c>
      <x:c r="L209" s="14" t="str">
        <x:v>DNA ve Genetik Kod ile ilgili soru kitabından en az 15 soru / bugünkü test payını çöz.</x:v>
      </x:c>
      <x:c r="M209" s="14" t="str">
        <x:v>Hız 8. Sınıf Fen (ISBN 9786257514859); tamamlandıysa Mozaik 8. Sınıf Fen</x:v>
      </x:c>
      <x:c r="N209" s="14" t="str">
        <x:v>https://www.youtube.com/watch?v=pQXhWnDZ3vM&amp;list=PLrQm7mt99FRXcBnorCttd31HJEvg0En26&amp;index=23</x:v>
      </x:c>
      <x:c r="O209" s="14" t="n">
        <x:v>15</x:v>
      </x:c>
      <x:c r="P209" s="14" t="str">
        <x:v>Hayır</x:v>
      </x:c>
      <x:c r="Q209" s="14" t="str">
        <x:v>Evet</x:v>
      </x:c>
      <x:c r="R209" s="14" t="str">
        <x:v>Planlandı</x:v>
      </x:c>
      <x:c r="S209" s="15" t="str"/>
      <x:c r="T209" s="14" t="str">
        <x:v>Fen için Hız → gerekiyorsa Mozaik; MEB doğrulaması konu bitiminde.</x:v>
      </x:c>
    </x:row>
    <x:row r="210">
      <x:c r="A210" s="14" t="n">
        <x:v>209</x:v>
      </x:c>
      <x:c r="B210" s="15" t="n">
        <x:v>46312</x:v>
      </x:c>
      <x:c r="C210" s="14" t="str">
        <x:v>Cumartesi</x:v>
      </x:c>
      <x:c r="D210" s="14" t="str">
        <x:v>Hafta Sonu</x:v>
      </x:c>
      <x:c r="E210" s="14" t="str">
        <x:v>Tam gün</x:v>
      </x:c>
      <x:c r="F210" s="14" t="str">
        <x:v>F1 - Temel Kurma</x:v>
      </x:c>
      <x:c r="G210" s="14" t="str">
        <x:v>18:25</x:v>
      </x:c>
      <x:c r="H210" s="14" t="str">
        <x:v>18:45</x:v>
      </x:c>
      <x:c r="I210" s="14" t="str">
        <x:v>Genel</x:v>
      </x:c>
      <x:c r="J210" s="14" t="str">
        <x:v>Yanlış / Boş Analizi</x:v>
      </x:c>
      <x:c r="K210" s="14" t="str">
        <x:v>Günlük</x:v>
      </x:c>
      <x:c r="L210" s="14" t="str">
        <x:v>Bugünkü yanlış/boşları kaydet; çözümünü öğrenmeden kapatma. Hata türünü sınıflandır.</x:v>
      </x:c>
      <x:c r="M210" s="14" t="str">
        <x:v>Yanlış Defteri</x:v>
      </x:c>
      <x:c r="N210" s="14" t="str"/>
      <x:c r="O210" s="14" t="n">
        <x:v>0</x:v>
      </x:c>
      <x:c r="P210" s="14" t="str">
        <x:v>Hayır</x:v>
      </x:c>
      <x:c r="Q210" s="14" t="str">
        <x:v>Evet</x:v>
      </x:c>
      <x:c r="R210" s="14" t="str">
        <x:v>Planlandı</x:v>
      </x:c>
      <x:c r="S210" s="15" t="str"/>
      <x:c r="T210" s="14" t="str"/>
    </x:row>
    <x:row r="211">
      <x:c r="A211" s="14" t="n">
        <x:v>210</x:v>
      </x:c>
      <x:c r="B211" s="15" t="n">
        <x:v>46312</x:v>
      </x:c>
      <x:c r="C211" s="14" t="str">
        <x:v>Cumartesi</x:v>
      </x:c>
      <x:c r="D211" s="14" t="str">
        <x:v>Hafta Sonu</x:v>
      </x:c>
      <x:c r="E211" s="14" t="str">
        <x:v>Tam gün</x:v>
      </x:c>
      <x:c r="F211" s="14" t="str">
        <x:v>F1 - Temel Kurma</x:v>
      </x:c>
      <x:c r="G211" s="14" t="str">
        <x:v>18:45</x:v>
      </x:c>
      <x:c r="H211" s="14" t="str">
        <x:v>19:05</x:v>
      </x:c>
      <x:c r="I211" s="14" t="str">
        <x:v>Genel</x:v>
      </x:c>
      <x:c r="J211" s="14" t="str">
        <x:v>Aralıklı Hata Tekrarı</x:v>
      </x:c>
      <x:c r="K211" s="14" t="str">
        <x:v>+1 / +7 / +21</x:v>
      </x:c>
      <x:c r="L211" s="14" t="str">
        <x:v>Bugün vadesi gelen yanlış soruları tekrar çöz. Vadesi yoksa bu süre serbest/okuma olabilir.</x:v>
      </x:c>
      <x:c r="M211" s="14" t="str">
        <x:v>Yanlış Defteri</x:v>
      </x:c>
      <x:c r="N211" s="14" t="str"/>
      <x:c r="O211" s="14" t="n">
        <x:v>0</x:v>
      </x:c>
      <x:c r="P211" s="14" t="str">
        <x:v>Hayır</x:v>
      </x:c>
      <x:c r="Q211" s="14" t="str">
        <x:v>Koşullu</x:v>
      </x:c>
      <x:c r="R211" s="14" t="str">
        <x:v>Planlandı</x:v>
      </x:c>
      <x:c r="S211" s="15" t="str"/>
      <x:c r="T211" s="14" t="str">
        <x:v>Yanlışlar +1, +7 ve +21 gün aralıklarıyla tekrar edilir; hâlâ yanlışsa konu mastery durumu düşürülür.</x:v>
      </x:c>
    </x:row>
    <x:row r="212">
      <x:c r="A212" s="14" t="n">
        <x:v>211</x:v>
      </x:c>
      <x:c r="B212" s="15" t="n">
        <x:v>46312</x:v>
      </x:c>
      <x:c r="C212" s="14" t="str">
        <x:v>Cumartesi</x:v>
      </x:c>
      <x:c r="D212" s="14" t="str">
        <x:v>Hafta Sonu</x:v>
      </x:c>
      <x:c r="E212" s="14" t="str">
        <x:v>Tam gün</x:v>
      </x:c>
      <x:c r="F212" s="14" t="str">
        <x:v>F1 - Temel Kurma</x:v>
      </x:c>
      <x:c r="G212" s="14" t="str">
        <x:v>20:00</x:v>
      </x:c>
      <x:c r="H212" s="14" t="str">
        <x:v>20:30</x:v>
      </x:c>
      <x:c r="I212" s="14" t="str">
        <x:v>Okuma</x:v>
      </x:c>
      <x:c r="J212" s="14" t="str">
        <x:v>İsteğe Bağlı</x:v>
      </x:c>
      <x:c r="K212" s="14" t="str">
        <x:v>Serbest Kitap</x:v>
      </x:c>
      <x:c r="L212" s="14" t="str">
        <x:v>Zorunlu çalışmalar bittiyse isteğe bağlı kitap oku.</x:v>
      </x:c>
      <x:c r="M212" s="14" t="str">
        <x:v>Serbest Kitap</x:v>
      </x:c>
      <x:c r="N212" s="14" t="str"/>
      <x:c r="O212" s="14" t="n">
        <x:v>0</x:v>
      </x:c>
      <x:c r="P212" s="14" t="str">
        <x:v>İsteğe Bağlı</x:v>
      </x:c>
      <x:c r="Q212" s="14" t="str">
        <x:v>Hayır</x:v>
      </x:c>
      <x:c r="R212" s="14" t="str">
        <x:v>Planlandı</x:v>
      </x:c>
      <x:c r="S212" s="15" t="str"/>
      <x:c r="T212" s="14" t="str">
        <x:v>Minimum süre yok.</x:v>
      </x:c>
    </x:row>
    <x:row r="213">
      <x:c r="A213" s="14" t="n">
        <x:v>212</x:v>
      </x:c>
      <x:c r="B213" s="15" t="n">
        <x:v>46312</x:v>
      </x:c>
      <x:c r="C213" s="14" t="str">
        <x:v>Cumartesi</x:v>
      </x:c>
      <x:c r="D213" s="14" t="str">
        <x:v>Hafta Sonu</x:v>
      </x:c>
      <x:c r="E213" s="14" t="str">
        <x:v>Tam gün</x:v>
      </x:c>
      <x:c r="F213" s="14" t="str">
        <x:v>F1 - Temel Kurma</x:v>
      </x:c>
      <x:c r="G213" s="14" t="str">
        <x:v>21:50</x:v>
      </x:c>
      <x:c r="H213" s="14" t="str">
        <x:v>22:00</x:v>
      </x:c>
      <x:c r="I213" s="14" t="str">
        <x:v>Genel</x:v>
      </x:c>
      <x:c r="J213" s="14" t="str">
        <x:v>Uyku Hazırlığı</x:v>
      </x:c>
      <x:c r="K213" s="14" t="str"/>
      <x:c r="L213" s="14" t="str">
        <x:v>22:00'de yatakta ve uyku.</x:v>
      </x:c>
      <x:c r="M213" s="14" t="str"/>
      <x:c r="N213" s="14" t="str"/>
      <x:c r="O213" s="14" t="n">
        <x:v>0</x:v>
      </x:c>
      <x:c r="P213" s="14" t="str">
        <x:v>Hayır</x:v>
      </x:c>
      <x:c r="Q213" s="14" t="str">
        <x:v>Hayır</x:v>
      </x:c>
      <x:c r="R213" s="14" t="str">
        <x:v>Planlandı</x:v>
      </x:c>
      <x:c r="S213" s="15" t="str"/>
      <x:c r="T213" s="14" t="str"/>
    </x:row>
    <x:row r="214">
      <x:c r="A214" s="14" t="n">
        <x:v>213</x:v>
      </x:c>
      <x:c r="B214" s="15" t="n">
        <x:v>46313</x:v>
      </x:c>
      <x:c r="C214" s="14" t="str">
        <x:v>Pazar</x:v>
      </x:c>
      <x:c r="D214" s="14" t="str">
        <x:v>Hafta Sonu</x:v>
      </x:c>
      <x:c r="E214" s="14" t="str">
        <x:v>Tam gün</x:v>
      </x:c>
      <x:c r="F214" s="14" t="str">
        <x:v>F1 - Temel Kurma</x:v>
      </x:c>
      <x:c r="G214" s="14" t="str">
        <x:v>09:30</x:v>
      </x:c>
      <x:c r="H214" s="14" t="str">
        <x:v>10:15</x:v>
      </x:c>
      <x:c r="I214" s="14" t="str">
        <x:v>Matematik</x:v>
      </x:c>
      <x:c r="J214" s="14" t="str">
        <x:v>Konu / Tekrar</x:v>
      </x:c>
      <x:c r="K214" s="14" t="str">
        <x:v>Asal Sayılar ve Aralarında Asallık</x:v>
      </x:c>
      <x:c r="L214" s="14" t="str">
        <x:v>Asal Sayılar ve Aralarında Asallık — MEB doğrulaması öncesi 5-10 dk aktif hatırlama; gerekiyorsa ilgili playlist videosuna kısa dönüş yap.</x:v>
      </x:c>
      <x:c r="M214" s="14" t="str">
        <x:v>Matematik Ana Oynatma Listesi</x:v>
      </x:c>
      <x:c r="N214" s="14" t="str">
        <x:v>https://www.youtube.com/watch?v=EuJ89QzqrAg&amp;list=PLicNtF7vp6fnfDqrRLH6H7fIbzYT4ct4F&amp;index=11</x:v>
      </x:c>
      <x:c r="O214" s="14" t="n">
        <x:v>0</x:v>
      </x:c>
      <x:c r="P214" s="14" t="str">
        <x:v>Hayır</x:v>
      </x:c>
      <x:c r="Q214" s="14" t="str">
        <x:v>Evet</x:v>
      </x:c>
      <x:c r="R214" s="14" t="str">
        <x:v>Planlandı</x:v>
      </x:c>
      <x:c r="S214" s="15" t="str"/>
      <x:c r="T214" s="14" t="str">
        <x:v>Yeni konu ancak plan sırasıyla açılır; LGS dışı ileri TYT içeriği zorunlu değildir.</x:v>
      </x:c>
    </x:row>
    <x:row r="215">
      <x:c r="A215" s="14" t="n">
        <x:v>214</x:v>
      </x:c>
      <x:c r="B215" s="15" t="n">
        <x:v>46313</x:v>
      </x:c>
      <x:c r="C215" s="14" t="str">
        <x:v>Pazar</x:v>
      </x:c>
      <x:c r="D215" s="14" t="str">
        <x:v>Hafta Sonu</x:v>
      </x:c>
      <x:c r="E215" s="14" t="str">
        <x:v>Tam gün</x:v>
      </x:c>
      <x:c r="F215" s="14" t="str">
        <x:v>F1 - Temel Kurma</x:v>
      </x:c>
      <x:c r="G215" s="14" t="str">
        <x:v>10:25</x:v>
      </x:c>
      <x:c r="H215" s="14" t="str">
        <x:v>11:15</x:v>
      </x:c>
      <x:c r="I215" s="14" t="str">
        <x:v>Matematik</x:v>
      </x:c>
      <x:c r="J215" s="14" t="str">
        <x:v>Kitap / MEB / Mastery</x:v>
      </x:c>
      <x:c r="K215" s="14" t="str">
        <x:v>Asal Sayılar ve Aralarında Asallık</x:v>
      </x:c>
      <x:c r="L215" s="14" t="str">
        <x:v>Asal Sayılar ve Aralarında Asallık için ilgili MEB sorularını TAMAMLA; D/Y/B kaydet. Bu oturum konu mastery gate'idir.</x:v>
      </x:c>
      <x:c r="M215" s="14" t="str">
        <x:v>MEB Resmî Soru Seti</x:v>
      </x:c>
      <x:c r="N215" s="14" t="str">
        <x:v>https://odsgm.meb.gov.tr/www/5-6-7-ve-9-sinif-duzeylerinde-calisma-sorulari-yayimlandi/icerik/775</x:v>
      </x:c>
      <x:c r="O215" s="14" t="n">
        <x:v>0</x:v>
      </x:c>
      <x:c r="P215" s="14" t="str">
        <x:v>Hayır</x:v>
      </x:c>
      <x:c r="Q215" s="14" t="str">
        <x:v>Evet</x:v>
      </x:c>
      <x:c r="R215" s="14" t="str">
        <x:v>Planlandı</x:v>
      </x:c>
      <x:c r="S215" s="15" t="str"/>
      <x:c r="T215" s="14" t="str">
        <x:v>MEB sonucu Konu_Ustaligi sayfasına işlenir.</x:v>
      </x:c>
    </x:row>
    <x:row r="216">
      <x:c r="A216" s="14" t="n">
        <x:v>215</x:v>
      </x:c>
      <x:c r="B216" s="15" t="n">
        <x:v>46313</x:v>
      </x:c>
      <x:c r="C216" s="14" t="str">
        <x:v>Pazar</x:v>
      </x:c>
      <x:c r="D216" s="14" t="str">
        <x:v>Hafta Sonu</x:v>
      </x:c>
      <x:c r="E216" s="14" t="str">
        <x:v>Tam gün</x:v>
      </x:c>
      <x:c r="F216" s="14" t="str">
        <x:v>F1 - Temel Kurma</x:v>
      </x:c>
      <x:c r="G216" s="14" t="str">
        <x:v>12:00</x:v>
      </x:c>
      <x:c r="H216" s="14" t="str">
        <x:v>14:00</x:v>
      </x:c>
      <x:c r="I216" s="14" t="str">
        <x:v>Genel</x:v>
      </x:c>
      <x:c r="J216" s="14" t="str">
        <x:v>Yemek / Serbest Zaman</x:v>
      </x:c>
      <x:c r="K216" s="14" t="str"/>
      <x:c r="L216" s="14" t="str">
        <x:v>Yemek, hareket ve dinlenme.</x:v>
      </x:c>
      <x:c r="M216" s="14" t="str"/>
      <x:c r="N216" s="14" t="str"/>
      <x:c r="O216" s="14" t="n">
        <x:v>0</x:v>
      </x:c>
      <x:c r="P216" s="14" t="str">
        <x:v>Hayır</x:v>
      </x:c>
      <x:c r="Q216" s="14" t="str">
        <x:v>Hayır</x:v>
      </x:c>
      <x:c r="R216" s="14" t="str">
        <x:v>Planlandı</x:v>
      </x:c>
      <x:c r="S216" s="15" t="str"/>
      <x:c r="T216" s="14" t="str"/>
    </x:row>
    <x:row r="217">
      <x:c r="A217" s="14" t="n">
        <x:v>216</x:v>
      </x:c>
      <x:c r="B217" s="15" t="n">
        <x:v>46313</x:v>
      </x:c>
      <x:c r="C217" s="14" t="str">
        <x:v>Pazar</x:v>
      </x:c>
      <x:c r="D217" s="14" t="str">
        <x:v>Hafta Sonu</x:v>
      </x:c>
      <x:c r="E217" s="14" t="str">
        <x:v>Tam gün</x:v>
      </x:c>
      <x:c r="F217" s="14" t="str">
        <x:v>F1 - Temel Kurma</x:v>
      </x:c>
      <x:c r="G217" s="14" t="str">
        <x:v>11:25</x:v>
      </x:c>
      <x:c r="H217" s="14" t="str">
        <x:v>11:55</x:v>
      </x:c>
      <x:c r="I217" s="14" t="str">
        <x:v>Türkçe</x:v>
      </x:c>
      <x:c r="J217" s="14" t="str">
        <x:v>Paragraf Rutini</x:v>
      </x:c>
      <x:c r="K217" s="14" t="str">
        <x:v>Paragraf</x:v>
      </x:c>
      <x:c r="L217" s="14" t="str">
        <x:v>En az 20 paragraf sorusu çöz; ilk 20 soruyu ileri sayımla ölç, D/Y/B + süre kaydet.</x:v>
      </x:c>
      <x:c r="M217" s="14" t="str">
        <x:v>Hız 8. Sınıf Türkçe Paragraf (ISBN 9786258394498)</x:v>
      </x:c>
      <x:c r="N217" s="14" t="str"/>
      <x:c r="O217" s="14" t="n">
        <x:v>20</x:v>
      </x:c>
      <x:c r="P217" s="14" t="str">
        <x:v>İlk 20 soru</x:v>
      </x:c>
      <x:c r="Q217" s="14" t="str">
        <x:v>Evet</x:v>
      </x:c>
      <x:c r="R217" s="14" t="str">
        <x:v>Planlandı</x:v>
      </x:c>
      <x:c r="S217" s="15" t="str"/>
      <x:c r="T217" s="14" t="str">
        <x:v>Geri sayım ve hedef süre yok.</x:v>
      </x:c>
    </x:row>
    <x:row r="218">
      <x:c r="A218" s="14" t="n">
        <x:v>217</x:v>
      </x:c>
      <x:c r="B218" s="15" t="n">
        <x:v>46313</x:v>
      </x:c>
      <x:c r="C218" s="14" t="str">
        <x:v>Pazar</x:v>
      </x:c>
      <x:c r="D218" s="14" t="str">
        <x:v>Hafta Sonu</x:v>
      </x:c>
      <x:c r="E218" s="14" t="str">
        <x:v>Tam gün</x:v>
      </x:c>
      <x:c r="F218" s="14" t="str">
        <x:v>F1 - Temel Kurma</x:v>
      </x:c>
      <x:c r="G218" s="14" t="str">
        <x:v>14:00</x:v>
      </x:c>
      <x:c r="H218" s="14" t="str">
        <x:v>14:40</x:v>
      </x:c>
      <x:c r="I218" s="14" t="str">
        <x:v>Türkçe</x:v>
      </x:c>
      <x:c r="J218" s="14" t="str">
        <x:v>Konu / Tekrar</x:v>
      </x:c>
      <x:c r="K218" s="14" t="str">
        <x:v>Anlatım Biçimleri ve Düşünceyi Geliştirme Yolları</x:v>
      </x:c>
      <x:c r="L218" s="14" t="str">
        <x:v>Anlatım Biçimleri ve Düşünceyi Geliştirme Yolları — genel oynatma listesinden ilgili videoyu izle (3/3).</x:v>
      </x:c>
      <x:c r="M218" s="14" t="str">
        <x:v>Türkçe Ana Oynatma Listesi</x:v>
      </x:c>
      <x:c r="N218" s="14" t="str">
        <x:v>https://www.youtube.com/watch?v=VYsPntNKVdw&amp;list=PLIBjFaUoJJ91bz7QQEBlxNJNZka5YQRr6</x:v>
      </x:c>
      <x:c r="O218" s="14" t="n">
        <x:v>0</x:v>
      </x:c>
      <x:c r="P218" s="14" t="str">
        <x:v>Hayır</x:v>
      </x:c>
      <x:c r="Q218" s="14" t="str">
        <x:v>Evet</x:v>
      </x:c>
      <x:c r="R218" s="14" t="str">
        <x:v>Planlandı</x:v>
      </x:c>
      <x:c r="S218" s="15" t="str"/>
      <x:c r="T218" s="14" t="str">
        <x:v>TYT etiketli kaynak temelden başlamak için sabittir; LGS dışı gereksiz ayrıntı zorunlu değildir.</x:v>
      </x:c>
    </x:row>
    <x:row r="219">
      <x:c r="A219" s="14" t="n">
        <x:v>218</x:v>
      </x:c>
      <x:c r="B219" s="15" t="n">
        <x:v>46313</x:v>
      </x:c>
      <x:c r="C219" s="14" t="str">
        <x:v>Pazar</x:v>
      </x:c>
      <x:c r="D219" s="14" t="str">
        <x:v>Hafta Sonu</x:v>
      </x:c>
      <x:c r="E219" s="14" t="str">
        <x:v>Tam gün</x:v>
      </x:c>
      <x:c r="F219" s="14" t="str">
        <x:v>F1 - Temel Kurma</x:v>
      </x:c>
      <x:c r="G219" s="14" t="str">
        <x:v>14:50</x:v>
      </x:c>
      <x:c r="H219" s="14" t="str">
        <x:v>15:30</x:v>
      </x:c>
      <x:c r="I219" s="14" t="str">
        <x:v>Türkçe</x:v>
      </x:c>
      <x:c r="J219" s="14" t="str">
        <x:v>Kitap / MEB / Mastery</x:v>
      </x:c>
      <x:c r="K219" s="14" t="str">
        <x:v>Anlatım Biçimleri ve Düşünceyi Geliştirme Yolları</x:v>
      </x:c>
      <x:c r="L219" s="14" t="str">
        <x:v>Anlatım Biçimleri ve Düşünceyi Geliştirme Yolları ile ilgili soru kitabından en az 10 soru / bugünkü test payını çöz. İlgili kitap konu bölümünü bu oturumda bitirmeyi hedefle; sonraki oturum MEB doğrulaması.</x:v>
      </x:c>
      <x:c r="M219" s="14" t="str">
        <x:v>Ankara 8. Sınıf Dil Bilgisi Güçlendiren</x:v>
      </x:c>
      <x:c r="N219" s="14" t="str">
        <x:v>https://odsgm.meb.gov.tr/www/8sinif-calisma-sorulari/icerik/1632</x:v>
      </x:c>
      <x:c r="O219" s="14" t="n">
        <x:v>10</x:v>
      </x:c>
      <x:c r="P219" s="14" t="str">
        <x:v>Hayır</x:v>
      </x:c>
      <x:c r="Q219" s="14" t="str">
        <x:v>Evet</x:v>
      </x:c>
      <x:c r="R219" s="14" t="str">
        <x:v>Planlandı</x:v>
      </x:c>
      <x:c r="S219" s="15" t="str"/>
      <x:c r="T219" s="14" t="str"/>
    </x:row>
    <x:row r="220">
      <x:c r="A220" s="14" t="n">
        <x:v>219</x:v>
      </x:c>
      <x:c r="B220" s="15" t="n">
        <x:v>46313</x:v>
      </x:c>
      <x:c r="C220" s="14" t="str">
        <x:v>Pazar</x:v>
      </x:c>
      <x:c r="D220" s="14" t="str">
        <x:v>Hafta Sonu</x:v>
      </x:c>
      <x:c r="E220" s="14" t="str">
        <x:v>Tam gün</x:v>
      </x:c>
      <x:c r="F220" s="14" t="str">
        <x:v>F1 - Temel Kurma</x:v>
      </x:c>
      <x:c r="G220" s="14" t="str">
        <x:v>15:45</x:v>
      </x:c>
      <x:c r="H220" s="14" t="str">
        <x:v>16:25</x:v>
      </x:c>
      <x:c r="I220" s="14" t="str">
        <x:v>Din</x:v>
      </x:c>
      <x:c r="J220" s="14" t="str">
        <x:v>Konu / Tekrar</x:v>
      </x:c>
      <x:c r="K220" s="14" t="str">
        <x:v>İnsanın İradesi ve Kader / Kaderle İlgili Kavramlar</x:v>
      </x:c>
      <x:c r="L220" s="14" t="str">
        <x:v>İnsanın İradesi ve Kader / Kaderle İlgili Kavramlar — genel oynatma listesinden ilgili konu/soru çalışmasını yap.</x:v>
      </x:c>
      <x:c r="M220" s="14" t="str">
        <x:v>Din Genel Oynatma Listesi</x:v>
      </x:c>
      <x:c r="N220" s="14" t="str">
        <x:v>https://www.youtube.com/watch?v=wvdOE_75VnA&amp;list=PLbRoPq-Zu-SWXGUbVt4t4UWo-4VjsMUo-&amp;index=2</x:v>
      </x:c>
      <x:c r="O220" s="14" t="n">
        <x:v>0</x:v>
      </x:c>
      <x:c r="P220" s="14" t="str">
        <x:v>Hayır</x:v>
      </x:c>
      <x:c r="Q220" s="14" t="str">
        <x:v>Evet</x:v>
      </x:c>
      <x:c r="R220" s="14" t="str">
        <x:v>Planlandı</x:v>
      </x:c>
      <x:c r="S220" s="15" t="str"/>
      <x:c r="T220" s="14" t="str"/>
    </x:row>
    <x:row r="221">
      <x:c r="A221" s="14" t="n">
        <x:v>220</x:v>
      </x:c>
      <x:c r="B221" s="15" t="n">
        <x:v>46313</x:v>
      </x:c>
      <x:c r="C221" s="14" t="str">
        <x:v>Pazar</x:v>
      </x:c>
      <x:c r="D221" s="14" t="str">
        <x:v>Hafta Sonu</x:v>
      </x:c>
      <x:c r="E221" s="14" t="str">
        <x:v>Tam gün</x:v>
      </x:c>
      <x:c r="F221" s="14" t="str">
        <x:v>F1 - Temel Kurma</x:v>
      </x:c>
      <x:c r="G221" s="14" t="str">
        <x:v>16:35</x:v>
      </x:c>
      <x:c r="H221" s="14" t="str">
        <x:v>17:15</x:v>
      </x:c>
      <x:c r="I221" s="14" t="str">
        <x:v>Din</x:v>
      </x:c>
      <x:c r="J221" s="14" t="str">
        <x:v>Kitap / MEB / Mastery</x:v>
      </x:c>
      <x:c r="K221" s="14" t="str">
        <x:v>İnsanın İradesi ve Kader / Kaderle İlgili Kavramlar</x:v>
      </x:c>
      <x:c r="L221" s="14" t="str">
        <x:v>İnsanın İradesi ve Kader / Kaderle İlgili Kavramlar ile ilgili soru kitabından en az 15 soru / bugünkü test payını çöz.</x:v>
      </x:c>
      <x:c r="M221" s="14" t="str">
        <x:v>Hız 8. Sınıf Din Kültürü ve Ahlak Bilgisi</x:v>
      </x:c>
      <x:c r="N221" s="14" t="str">
        <x:v>https://www.youtube.com/watch?v=wvdOE_75VnA&amp;list=PLbRoPq-Zu-SWXGUbVt4t4UWo-4VjsMUo-&amp;index=2</x:v>
      </x:c>
      <x:c r="O221" s="14" t="n">
        <x:v>15</x:v>
      </x:c>
      <x:c r="P221" s="14" t="str">
        <x:v>Hayır</x:v>
      </x:c>
      <x:c r="Q221" s="14" t="str">
        <x:v>Evet</x:v>
      </x:c>
      <x:c r="R221" s="14" t="str">
        <x:v>Planlandı</x:v>
      </x:c>
      <x:c r="S221" s="15" t="str"/>
      <x:c r="T221" s="14" t="str"/>
    </x:row>
    <x:row r="222">
      <x:c r="A222" s="14" t="n">
        <x:v>221</x:v>
      </x:c>
      <x:c r="B222" s="15" t="n">
        <x:v>46313</x:v>
      </x:c>
      <x:c r="C222" s="14" t="str">
        <x:v>Pazar</x:v>
      </x:c>
      <x:c r="D222" s="14" t="str">
        <x:v>Hafta Sonu</x:v>
      </x:c>
      <x:c r="E222" s="14" t="str">
        <x:v>Tam gün</x:v>
      </x:c>
      <x:c r="F222" s="14" t="str">
        <x:v>F1 - Temel Kurma</x:v>
      </x:c>
      <x:c r="G222" s="14" t="str">
        <x:v>17:25</x:v>
      </x:c>
      <x:c r="H222" s="14" t="str">
        <x:v>18:25</x:v>
      </x:c>
      <x:c r="I222" s="14" t="str">
        <x:v>Genel</x:v>
      </x:c>
      <x:c r="J222" s="14" t="str">
        <x:v>Kaynak Tamamlama</x:v>
      </x:c>
      <x:c r="K222" s="14" t="str">
        <x:v>En Geride Kalan Kaynak</x:v>
      </x:c>
      <x:c r="L222" s="14" t="str">
        <x:v>Kaynak_Ilerleme sayfasında hedef yüzdesinin en gerisinde kalan ZORUNLU soru kaynağına 60 dk ayır. Öğrenilmemiş konudan ileri gitme.</x:v>
      </x:c>
      <x:c r="M222" s="14" t="str">
        <x:v>Kaynak İlerleme</x:v>
      </x:c>
      <x:c r="N222" s="14" t="str"/>
      <x:c r="O222" s="14" t="n">
        <x:v>0</x:v>
      </x:c>
      <x:c r="P222" s="14" t="str">
        <x:v>Hayır</x:v>
      </x:c>
      <x:c r="Q222" s="14" t="str">
        <x:v>Evet</x:v>
      </x:c>
      <x:c r="R222" s="14" t="str">
        <x:v>Planlandı</x:v>
      </x:c>
      <x:c r="S222" s="15" t="str"/>
      <x:c r="T222" s="14" t="str">
        <x:v>Amaç 13.04.2027'de zorunlu soru kitapları + ilgili MEB setlerini %100 tamamlamak.</x:v>
      </x:c>
    </x:row>
    <x:row r="223">
      <x:c r="A223" s="14" t="n">
        <x:v>222</x:v>
      </x:c>
      <x:c r="B223" s="15" t="n">
        <x:v>46313</x:v>
      </x:c>
      <x:c r="C223" s="14" t="str">
        <x:v>Pazar</x:v>
      </x:c>
      <x:c r="D223" s="14" t="str">
        <x:v>Hafta Sonu</x:v>
      </x:c>
      <x:c r="E223" s="14" t="str">
        <x:v>Tam gün</x:v>
      </x:c>
      <x:c r="F223" s="14" t="str">
        <x:v>F1 - Temel Kurma</x:v>
      </x:c>
      <x:c r="G223" s="14" t="str">
        <x:v>18:25</x:v>
      </x:c>
      <x:c r="H223" s="14" t="str">
        <x:v>18:45</x:v>
      </x:c>
      <x:c r="I223" s="14" t="str">
        <x:v>Genel</x:v>
      </x:c>
      <x:c r="J223" s="14" t="str">
        <x:v>Yanlış / Boş Analizi</x:v>
      </x:c>
      <x:c r="K223" s="14" t="str">
        <x:v>Günlük</x:v>
      </x:c>
      <x:c r="L223" s="14" t="str">
        <x:v>Bugünkü yanlış/boşları kaydet; çözümünü öğrenmeden kapatma. Hata türünü sınıflandır.</x:v>
      </x:c>
      <x:c r="M223" s="14" t="str">
        <x:v>Yanlış Defteri</x:v>
      </x:c>
      <x:c r="N223" s="14" t="str"/>
      <x:c r="O223" s="14" t="n">
        <x:v>0</x:v>
      </x:c>
      <x:c r="P223" s="14" t="str">
        <x:v>Hayır</x:v>
      </x:c>
      <x:c r="Q223" s="14" t="str">
        <x:v>Evet</x:v>
      </x:c>
      <x:c r="R223" s="14" t="str">
        <x:v>Planlandı</x:v>
      </x:c>
      <x:c r="S223" s="15" t="str"/>
      <x:c r="T223" s="14" t="str"/>
    </x:row>
    <x:row r="224">
      <x:c r="A224" s="14" t="n">
        <x:v>223</x:v>
      </x:c>
      <x:c r="B224" s="15" t="n">
        <x:v>46313</x:v>
      </x:c>
      <x:c r="C224" s="14" t="str">
        <x:v>Pazar</x:v>
      </x:c>
      <x:c r="D224" s="14" t="str">
        <x:v>Hafta Sonu</x:v>
      </x:c>
      <x:c r="E224" s="14" t="str">
        <x:v>Tam gün</x:v>
      </x:c>
      <x:c r="F224" s="14" t="str">
        <x:v>F1 - Temel Kurma</x:v>
      </x:c>
      <x:c r="G224" s="14" t="str">
        <x:v>18:45</x:v>
      </x:c>
      <x:c r="H224" s="14" t="str">
        <x:v>19:05</x:v>
      </x:c>
      <x:c r="I224" s="14" t="str">
        <x:v>Genel</x:v>
      </x:c>
      <x:c r="J224" s="14" t="str">
        <x:v>Aralıklı Hata Tekrarı</x:v>
      </x:c>
      <x:c r="K224" s="14" t="str">
        <x:v>+1 / +7 / +21</x:v>
      </x:c>
      <x:c r="L224" s="14" t="str">
        <x:v>Bugün vadesi gelen yanlış soruları tekrar çöz. Vadesi yoksa bu süre serbest/okuma olabilir.</x:v>
      </x:c>
      <x:c r="M224" s="14" t="str">
        <x:v>Yanlış Defteri</x:v>
      </x:c>
      <x:c r="N224" s="14" t="str"/>
      <x:c r="O224" s="14" t="n">
        <x:v>0</x:v>
      </x:c>
      <x:c r="P224" s="14" t="str">
        <x:v>Hayır</x:v>
      </x:c>
      <x:c r="Q224" s="14" t="str">
        <x:v>Koşullu</x:v>
      </x:c>
      <x:c r="R224" s="14" t="str">
        <x:v>Planlandı</x:v>
      </x:c>
      <x:c r="S224" s="15" t="str"/>
      <x:c r="T224" s="14" t="str">
        <x:v>Yanlışlar +1, +7 ve +21 gün aralıklarıyla tekrar edilir; hâlâ yanlışsa konu mastery durumu düşürülür.</x:v>
      </x:c>
    </x:row>
    <x:row r="225">
      <x:c r="A225" s="14" t="n">
        <x:v>224</x:v>
      </x:c>
      <x:c r="B225" s="15" t="n">
        <x:v>46313</x:v>
      </x:c>
      <x:c r="C225" s="14" t="str">
        <x:v>Pazar</x:v>
      </x:c>
      <x:c r="D225" s="14" t="str">
        <x:v>Hafta Sonu</x:v>
      </x:c>
      <x:c r="E225" s="14" t="str">
        <x:v>Tam gün</x:v>
      </x:c>
      <x:c r="F225" s="14" t="str">
        <x:v>F1 - Temel Kurma</x:v>
      </x:c>
      <x:c r="G225" s="14" t="str">
        <x:v>20:00</x:v>
      </x:c>
      <x:c r="H225" s="14" t="str">
        <x:v>20:30</x:v>
      </x:c>
      <x:c r="I225" s="14" t="str">
        <x:v>Okuma</x:v>
      </x:c>
      <x:c r="J225" s="14" t="str">
        <x:v>İsteğe Bağlı</x:v>
      </x:c>
      <x:c r="K225" s="14" t="str">
        <x:v>Serbest Kitap</x:v>
      </x:c>
      <x:c r="L225" s="14" t="str">
        <x:v>Zorunlu çalışmalar bittiyse isteğe bağlı kitap oku.</x:v>
      </x:c>
      <x:c r="M225" s="14" t="str">
        <x:v>Serbest Kitap</x:v>
      </x:c>
      <x:c r="N225" s="14" t="str"/>
      <x:c r="O225" s="14" t="n">
        <x:v>0</x:v>
      </x:c>
      <x:c r="P225" s="14" t="str">
        <x:v>İsteğe Bağlı</x:v>
      </x:c>
      <x:c r="Q225" s="14" t="str">
        <x:v>Hayır</x:v>
      </x:c>
      <x:c r="R225" s="14" t="str">
        <x:v>Planlandı</x:v>
      </x:c>
      <x:c r="S225" s="15" t="str"/>
      <x:c r="T225" s="14" t="str">
        <x:v>Minimum süre yok.</x:v>
      </x:c>
    </x:row>
    <x:row r="226">
      <x:c r="A226" s="14" t="n">
        <x:v>225</x:v>
      </x:c>
      <x:c r="B226" s="15" t="n">
        <x:v>46313</x:v>
      </x:c>
      <x:c r="C226" s="14" t="str">
        <x:v>Pazar</x:v>
      </x:c>
      <x:c r="D226" s="14" t="str">
        <x:v>Hafta Sonu</x:v>
      </x:c>
      <x:c r="E226" s="14" t="str">
        <x:v>Tam gün</x:v>
      </x:c>
      <x:c r="F226" s="14" t="str">
        <x:v>F1 - Temel Kurma</x:v>
      </x:c>
      <x:c r="G226" s="14" t="str">
        <x:v>21:50</x:v>
      </x:c>
      <x:c r="H226" s="14" t="str">
        <x:v>22:00</x:v>
      </x:c>
      <x:c r="I226" s="14" t="str">
        <x:v>Genel</x:v>
      </x:c>
      <x:c r="J226" s="14" t="str">
        <x:v>Uyku Hazırlığı</x:v>
      </x:c>
      <x:c r="K226" s="14" t="str"/>
      <x:c r="L226" s="14" t="str">
        <x:v>22:00'de yatakta ve uyku.</x:v>
      </x:c>
      <x:c r="M226" s="14" t="str"/>
      <x:c r="N226" s="14" t="str"/>
      <x:c r="O226" s="14" t="n">
        <x:v>0</x:v>
      </x:c>
      <x:c r="P226" s="14" t="str">
        <x:v>Hayır</x:v>
      </x:c>
      <x:c r="Q226" s="14" t="str">
        <x:v>Hayır</x:v>
      </x:c>
      <x:c r="R226" s="14" t="str">
        <x:v>Planlandı</x:v>
      </x:c>
      <x:c r="S226" s="15" t="str"/>
      <x:c r="T226" s="14" t="str"/>
    </x:row>
    <x:row r="227">
      <x:c r="A227" s="14" t="n">
        <x:v>226</x:v>
      </x:c>
      <x:c r="B227" s="15" t="n">
        <x:v>46314</x:v>
      </x:c>
      <x:c r="C227" s="14" t="str">
        <x:v>Pazartesi</x:v>
      </x:c>
      <x:c r="D227" s="14" t="str">
        <x:v>Okul Günü</x:v>
      </x:c>
      <x:c r="E227" s="14" t="str">
        <x:v>16:00 sonrası</x:v>
      </x:c>
      <x:c r="F227" s="14" t="str">
        <x:v>F1 - Temel Kurma</x:v>
      </x:c>
      <x:c r="G227" s="14" t="str">
        <x:v>16:00</x:v>
      </x:c>
      <x:c r="H227" s="14" t="str">
        <x:v>16:25</x:v>
      </x:c>
      <x:c r="I227" s="14" t="str">
        <x:v>Genel</x:v>
      </x:c>
      <x:c r="J227" s="14" t="str">
        <x:v>Dinlenme</x:v>
      </x:c>
      <x:c r="K227" s="14" t="str"/>
      <x:c r="L227" s="14" t="str">
        <x:v>Eve geliş, atıştırma ve dinlenme.</x:v>
      </x:c>
      <x:c r="M227" s="14" t="str"/>
      <x:c r="N227" s="14" t="str"/>
      <x:c r="O227" s="14" t="n">
        <x:v>0</x:v>
      </x:c>
      <x:c r="P227" s="14" t="str">
        <x:v>Hayır</x:v>
      </x:c>
      <x:c r="Q227" s="14" t="str">
        <x:v>Hayır</x:v>
      </x:c>
      <x:c r="R227" s="14" t="str">
        <x:v>Planlandı</x:v>
      </x:c>
      <x:c r="S227" s="15" t="str"/>
      <x:c r="T227" s="14" t="str"/>
    </x:row>
    <x:row r="228">
      <x:c r="A228" s="14" t="n">
        <x:v>227</x:v>
      </x:c>
      <x:c r="B228" s="15" t="n">
        <x:v>46314</x:v>
      </x:c>
      <x:c r="C228" s="14" t="str">
        <x:v>Pazartesi</x:v>
      </x:c>
      <x:c r="D228" s="14" t="str">
        <x:v>Okul Günü</x:v>
      </x:c>
      <x:c r="E228" s="14" t="str">
        <x:v>16:00 sonrası</x:v>
      </x:c>
      <x:c r="F228" s="14" t="str">
        <x:v>F1 - Temel Kurma</x:v>
      </x:c>
      <x:c r="G228" s="14" t="str">
        <x:v>16:25</x:v>
      </x:c>
      <x:c r="H228" s="14" t="str">
        <x:v>17:05</x:v>
      </x:c>
      <x:c r="I228" s="14" t="str">
        <x:v>Matematik</x:v>
      </x:c>
      <x:c r="J228" s="14" t="str">
        <x:v>Konu / Tekrar</x:v>
      </x:c>
      <x:c r="K228" s="14" t="str">
        <x:v>Sayı Basamakları</x:v>
      </x:c>
      <x:c r="L228" s="14" t="str">
        <x:v>Sayı Basamakları — genel oynatma listesinden ilgili videoyu izle (1/2).</x:v>
      </x:c>
      <x:c r="M228" s="14" t="str">
        <x:v>Matematik Ana Oynatma Listesi</x:v>
      </x:c>
      <x:c r="N228" s="14" t="str">
        <x:v>https://www.youtube.com/watch?v=EuJ89QzqrAg&amp;list=PLicNtF7vp6fnfDqrRLH6H7fIbzYT4ct4F&amp;index=11</x:v>
      </x:c>
      <x:c r="O228" s="14" t="n">
        <x:v>0</x:v>
      </x:c>
      <x:c r="P228" s="14" t="str">
        <x:v>Hayır</x:v>
      </x:c>
      <x:c r="Q228" s="14" t="str">
        <x:v>Evet</x:v>
      </x:c>
      <x:c r="R228" s="14" t="str">
        <x:v>Planlandı</x:v>
      </x:c>
      <x:c r="S228" s="15" t="str"/>
      <x:c r="T228" s="14" t="str">
        <x:v>Yeni konu ancak plan sırasıyla açılır; LGS dışı ileri TYT içeriği zorunlu değildir.</x:v>
      </x:c>
    </x:row>
    <x:row r="229">
      <x:c r="A229" s="14" t="n">
        <x:v>228</x:v>
      </x:c>
      <x:c r="B229" s="15" t="n">
        <x:v>46314</x:v>
      </x:c>
      <x:c r="C229" s="14" t="str">
        <x:v>Pazartesi</x:v>
      </x:c>
      <x:c r="D229" s="14" t="str">
        <x:v>Okul Günü</x:v>
      </x:c>
      <x:c r="E229" s="14" t="str">
        <x:v>16:00 sonrası</x:v>
      </x:c>
      <x:c r="F229" s="14" t="str">
        <x:v>F1 - Temel Kurma</x:v>
      </x:c>
      <x:c r="G229" s="14" t="str">
        <x:v>17:10</x:v>
      </x:c>
      <x:c r="H229" s="14" t="str">
        <x:v>17:55</x:v>
      </x:c>
      <x:c r="I229" s="14" t="str">
        <x:v>Matematik</x:v>
      </x:c>
      <x:c r="J229" s="14" t="str">
        <x:v>Kitap / MEB / Mastery</x:v>
      </x:c>
      <x:c r="K229" s="14" t="str">
        <x:v>Sayı Basamakları</x:v>
      </x:c>
      <x:c r="L229" s="14" t="str">
        <x:v>Sayı Basamakları ile ilgili soru kitabından en az 20 soru / bugünkü test payını çöz.</x:v>
      </x:c>
      <x:c r="M229" s="14" t="str">
        <x:v>MUBA 8. Sınıf Başlangıç Matematik (ISBN 9789756526972) (eşleşen bölüm) + MEB temel destek</x:v>
      </x:c>
      <x:c r="N229" s="14" t="str">
        <x:v>https://odsgm.meb.gov.tr/www/5-6-7-ve-9-sinif-duzeylerinde-calisma-sorulari-yayimlandi/icerik/775</x:v>
      </x:c>
      <x:c r="O229" s="14" t="n">
        <x:v>20</x:v>
      </x:c>
      <x:c r="P229" s="14" t="str">
        <x:v>İlk 20 soru</x:v>
      </x:c>
      <x:c r="Q229" s="14" t="str">
        <x:v>Evet</x:v>
      </x:c>
      <x:c r="R229" s="14" t="str">
        <x:v>Planlandı</x:v>
      </x:c>
      <x:c r="S229" s="15" t="str"/>
      <x:c r="T229" s="14" t="str">
        <x:v>Ayrı/rastgele matematik benchmark yoktur. Süreli ilk 20 soru o gün çalışılan konunun içindedir.</x:v>
      </x:c>
    </x:row>
    <x:row r="230">
      <x:c r="A230" s="14" t="n">
        <x:v>229</x:v>
      </x:c>
      <x:c r="B230" s="15" t="n">
        <x:v>46314</x:v>
      </x:c>
      <x:c r="C230" s="14" t="str">
        <x:v>Pazartesi</x:v>
      </x:c>
      <x:c r="D230" s="14" t="str">
        <x:v>Okul Günü</x:v>
      </x:c>
      <x:c r="E230" s="14" t="str">
        <x:v>16:00 sonrası</x:v>
      </x:c>
      <x:c r="F230" s="14" t="str">
        <x:v>F1 - Temel Kurma</x:v>
      </x:c>
      <x:c r="G230" s="14" t="str">
        <x:v>17:55</x:v>
      </x:c>
      <x:c r="H230" s="14" t="str">
        <x:v>18:25</x:v>
      </x:c>
      <x:c r="I230" s="14" t="str">
        <x:v>Genel</x:v>
      </x:c>
      <x:c r="J230" s="14" t="str">
        <x:v>Yemek / Serbest Zaman</x:v>
      </x:c>
      <x:c r="K230" s="14" t="str"/>
      <x:c r="L230" s="14" t="str">
        <x:v>Yemek, hareket ve dinlenme.</x:v>
      </x:c>
      <x:c r="M230" s="14" t="str"/>
      <x:c r="N230" s="14" t="str"/>
      <x:c r="O230" s="14" t="n">
        <x:v>0</x:v>
      </x:c>
      <x:c r="P230" s="14" t="str">
        <x:v>Hayır</x:v>
      </x:c>
      <x:c r="Q230" s="14" t="str">
        <x:v>Hayır</x:v>
      </x:c>
      <x:c r="R230" s="14" t="str">
        <x:v>Planlandı</x:v>
      </x:c>
      <x:c r="S230" s="15" t="str"/>
      <x:c r="T230" s="14" t="str"/>
    </x:row>
    <x:row r="231">
      <x:c r="A231" s="14" t="n">
        <x:v>230</x:v>
      </x:c>
      <x:c r="B231" s="15" t="n">
        <x:v>46314</x:v>
      </x:c>
      <x:c r="C231" s="14" t="str">
        <x:v>Pazartesi</x:v>
      </x:c>
      <x:c r="D231" s="14" t="str">
        <x:v>Okul Günü</x:v>
      </x:c>
      <x:c r="E231" s="14" t="str">
        <x:v>16:00 sonrası</x:v>
      </x:c>
      <x:c r="F231" s="14" t="str">
        <x:v>F1 - Temel Kurma</x:v>
      </x:c>
      <x:c r="G231" s="14" t="str">
        <x:v>18:25</x:v>
      </x:c>
      <x:c r="H231" s="14" t="str">
        <x:v>18:55</x:v>
      </x:c>
      <x:c r="I231" s="14" t="str">
        <x:v>Türkçe</x:v>
      </x:c>
      <x:c r="J231" s="14" t="str">
        <x:v>Paragraf Rutini</x:v>
      </x:c>
      <x:c r="K231" s="14" t="str">
        <x:v>Paragraf</x:v>
      </x:c>
      <x:c r="L231" s="14" t="str">
        <x:v>En az 20 paragraf sorusu çöz; ilk 20 soruyu ileri sayımla ölç, D/Y/B + süre kaydet.</x:v>
      </x:c>
      <x:c r="M231" s="14" t="str">
        <x:v>Hız 8. Sınıf Türkçe Paragraf (ISBN 9786258394498)</x:v>
      </x:c>
      <x:c r="N231" s="14" t="str"/>
      <x:c r="O231" s="14" t="n">
        <x:v>20</x:v>
      </x:c>
      <x:c r="P231" s="14" t="str">
        <x:v>İlk 20 soru</x:v>
      </x:c>
      <x:c r="Q231" s="14" t="str">
        <x:v>Evet</x:v>
      </x:c>
      <x:c r="R231" s="14" t="str">
        <x:v>Planlandı</x:v>
      </x:c>
      <x:c r="S231" s="15" t="str"/>
      <x:c r="T231" s="14" t="str">
        <x:v>Geri sayım ve hedef süre yok.</x:v>
      </x:c>
    </x:row>
    <x:row r="232">
      <x:c r="A232" s="14" t="n">
        <x:v>231</x:v>
      </x:c>
      <x:c r="B232" s="15" t="n">
        <x:v>46314</x:v>
      </x:c>
      <x:c r="C232" s="14" t="str">
        <x:v>Pazartesi</x:v>
      </x:c>
      <x:c r="D232" s="14" t="str">
        <x:v>Okul Günü</x:v>
      </x:c>
      <x:c r="E232" s="14" t="str">
        <x:v>16:00 sonrası</x:v>
      </x:c>
      <x:c r="F232" s="14" t="str">
        <x:v>F1 - Temel Kurma</x:v>
      </x:c>
      <x:c r="G232" s="14" t="str">
        <x:v>19:00</x:v>
      </x:c>
      <x:c r="H232" s="14" t="str">
        <x:v>19:35</x:v>
      </x:c>
      <x:c r="I232" s="14" t="str">
        <x:v>Türkçe</x:v>
      </x:c>
      <x:c r="J232" s="14" t="str">
        <x:v>Konu / Tekrar</x:v>
      </x:c>
      <x:c r="K232" s="14" t="str">
        <x:v>Anlatım Biçimleri ve Düşünceyi Geliştirme Yolları</x:v>
      </x:c>
      <x:c r="L232" s="14" t="str">
        <x:v>Anlatım Biçimleri ve Düşünceyi Geliştirme Yolları — MEB doğrulaması öncesi 5-10 dk aktif hatırlama; gerekiyorsa ilgili playlist videosuna kısa dönüş yap.</x:v>
      </x:c>
      <x:c r="M232" s="14" t="str">
        <x:v>Türkçe Ana Oynatma Listesi</x:v>
      </x:c>
      <x:c r="N232" s="14" t="str">
        <x:v>https://www.youtube.com/watch?v=VYsPntNKVdw&amp;list=PLIBjFaUoJJ91bz7QQEBlxNJNZka5YQRr6</x:v>
      </x:c>
      <x:c r="O232" s="14" t="n">
        <x:v>0</x:v>
      </x:c>
      <x:c r="P232" s="14" t="str">
        <x:v>Hayır</x:v>
      </x:c>
      <x:c r="Q232" s="14" t="str">
        <x:v>Evet</x:v>
      </x:c>
      <x:c r="R232" s="14" t="str">
        <x:v>Planlandı</x:v>
      </x:c>
      <x:c r="S232" s="15" t="str"/>
      <x:c r="T232" s="14" t="str">
        <x:v>TYT etiketli kaynak temelden başlamak için sabittir; LGS dışı gereksiz ayrıntı zorunlu değildir.</x:v>
      </x:c>
    </x:row>
    <x:row r="233">
      <x:c r="A233" s="14" t="n">
        <x:v>232</x:v>
      </x:c>
      <x:c r="B233" s="15" t="n">
        <x:v>46314</x:v>
      </x:c>
      <x:c r="C233" s="14" t="str">
        <x:v>Pazartesi</x:v>
      </x:c>
      <x:c r="D233" s="14" t="str">
        <x:v>Okul Günü</x:v>
      </x:c>
      <x:c r="E233" s="14" t="str">
        <x:v>16:00 sonrası</x:v>
      </x:c>
      <x:c r="F233" s="14" t="str">
        <x:v>F1 - Temel Kurma</x:v>
      </x:c>
      <x:c r="G233" s="14" t="str">
        <x:v>19:40</x:v>
      </x:c>
      <x:c r="H233" s="14" t="str">
        <x:v>20:10</x:v>
      </x:c>
      <x:c r="I233" s="14" t="str">
        <x:v>Türkçe</x:v>
      </x:c>
      <x:c r="J233" s="14" t="str">
        <x:v>Kitap / MEB / Mastery</x:v>
      </x:c>
      <x:c r="K233" s="14" t="str">
        <x:v>Anlatım Biçimleri ve Düşünceyi Geliştirme Yolları</x:v>
      </x:c>
      <x:c r="L233" s="14" t="str">
        <x:v>Anlatım Biçimleri ve Düşünceyi Geliştirme Yolları için ilgili MEB sorularını TAMAMLA; D/Y/B kaydet. Bu oturum konu mastery gate'idir.</x:v>
      </x:c>
      <x:c r="M233" s="14" t="str">
        <x:v>MEB Resmî Soru Seti</x:v>
      </x:c>
      <x:c r="N233" s="14" t="str">
        <x:v>https://odsgm.meb.gov.tr/www/8sinif-calisma-sorulari/icerik/1632</x:v>
      </x:c>
      <x:c r="O233" s="14" t="n">
        <x:v>0</x:v>
      </x:c>
      <x:c r="P233" s="14" t="str">
        <x:v>Hayır</x:v>
      </x:c>
      <x:c r="Q233" s="14" t="str">
        <x:v>Evet</x:v>
      </x:c>
      <x:c r="R233" s="14" t="str">
        <x:v>Planlandı</x:v>
      </x:c>
      <x:c r="S233" s="15" t="str"/>
      <x:c r="T233" s="14" t="str">
        <x:v>MEB sonucu Konu_Ustaligi sayfasına işlenir.</x:v>
      </x:c>
    </x:row>
    <x:row r="234">
      <x:c r="A234" s="14" t="n">
        <x:v>233</x:v>
      </x:c>
      <x:c r="B234" s="15" t="n">
        <x:v>46314</x:v>
      </x:c>
      <x:c r="C234" s="14" t="str">
        <x:v>Pazartesi</x:v>
      </x:c>
      <x:c r="D234" s="14" t="str">
        <x:v>Okul Günü</x:v>
      </x:c>
      <x:c r="E234" s="14" t="str">
        <x:v>16:00 sonrası</x:v>
      </x:c>
      <x:c r="F234" s="14" t="str">
        <x:v>F1 - Temel Kurma</x:v>
      </x:c>
      <x:c r="G234" s="14" t="str">
        <x:v>20:15</x:v>
      </x:c>
      <x:c r="H234" s="14" t="str">
        <x:v>20:50</x:v>
      </x:c>
      <x:c r="I234" s="14" t="str">
        <x:v>İnkılap</x:v>
      </x:c>
      <x:c r="J234" s="14" t="str">
        <x:v>Konu / Tekrar</x:v>
      </x:c>
      <x:c r="K234" s="14" t="str">
        <x:v>Mustafa Kemal’in Çocukluk, Eğitim ve Fikir Hayatı</x:v>
      </x:c>
      <x:c r="L234" s="14" t="str">
        <x:v>Mustafa Kemal’in Çocukluk, Eğitim ve Fikir Hayatı — genel oynatma listesinden ilgili konu/soru çalışmasını yap.</x:v>
      </x:c>
      <x:c r="M234" s="14" t="str">
        <x:v>İnkılap Genel Oynatma Listesi</x:v>
      </x:c>
      <x:c r="N234" s="14" t="str">
        <x:v>https://www.youtube.com/watch?v=MltIX0oKpYU&amp;list=PLsAsBPsriHNbXit4Ra3iuBrk1ZHZWxsOR&amp;index=78</x:v>
      </x:c>
      <x:c r="O234" s="14" t="n">
        <x:v>0</x:v>
      </x:c>
      <x:c r="P234" s="14" t="str">
        <x:v>Hayır</x:v>
      </x:c>
      <x:c r="Q234" s="14" t="str">
        <x:v>Evet</x:v>
      </x:c>
      <x:c r="R234" s="14" t="str">
        <x:v>Planlandı</x:v>
      </x:c>
      <x:c r="S234" s="15" t="str"/>
      <x:c r="T234" s="14" t="str">
        <x:v>İnkılapta okul yazılısı videoları zorunlu değildir.</x:v>
      </x:c>
    </x:row>
    <x:row r="235">
      <x:c r="A235" s="14" t="n">
        <x:v>234</x:v>
      </x:c>
      <x:c r="B235" s="15" t="n">
        <x:v>46314</x:v>
      </x:c>
      <x:c r="C235" s="14" t="str">
        <x:v>Pazartesi</x:v>
      </x:c>
      <x:c r="D235" s="14" t="str">
        <x:v>Okul Günü</x:v>
      </x:c>
      <x:c r="E235" s="14" t="str">
        <x:v>16:00 sonrası</x:v>
      </x:c>
      <x:c r="F235" s="14" t="str">
        <x:v>F1 - Temel Kurma</x:v>
      </x:c>
      <x:c r="G235" s="14" t="str">
        <x:v>20:55</x:v>
      </x:c>
      <x:c r="H235" s="14" t="str">
        <x:v>21:20</x:v>
      </x:c>
      <x:c r="I235" s="14" t="str">
        <x:v>İnkılap</x:v>
      </x:c>
      <x:c r="J235" s="14" t="str">
        <x:v>Kitap / MEB / Mastery</x:v>
      </x:c>
      <x:c r="K235" s="14" t="str">
        <x:v>Mustafa Kemal’in Çocukluk, Eğitim ve Fikir Hayatı</x:v>
      </x:c>
      <x:c r="L235" s="14" t="str">
        <x:v>Mustafa Kemal’in Çocukluk, Eğitim ve Fikir Hayatı ile ilgili soru kitabından en az 15 soru / bugünkü test payını çöz.</x:v>
      </x:c>
      <x:c r="M235" s="14" t="str">
        <x:v>Hız 8. Sınıf T.C. İnkılap Tarihi ve Atatürkçülük</x:v>
      </x:c>
      <x:c r="N235" s="14" t="str">
        <x:v>https://www.youtube.com/watch?v=MltIX0oKpYU&amp;list=PLsAsBPsriHNbXit4Ra3iuBrk1ZHZWxsOR&amp;index=78</x:v>
      </x:c>
      <x:c r="O235" s="14" t="n">
        <x:v>15</x:v>
      </x:c>
      <x:c r="P235" s="14" t="str">
        <x:v>Hayır</x:v>
      </x:c>
      <x:c r="Q235" s="14" t="str">
        <x:v>Evet</x:v>
      </x:c>
      <x:c r="R235" s="14" t="str">
        <x:v>Planlandı</x:v>
      </x:c>
      <x:c r="S235" s="15" t="str"/>
      <x:c r="T235" s="14" t="str"/>
    </x:row>
    <x:row r="236">
      <x:c r="A236" s="14" t="n">
        <x:v>235</x:v>
      </x:c>
      <x:c r="B236" s="15" t="n">
        <x:v>46314</x:v>
      </x:c>
      <x:c r="C236" s="14" t="str">
        <x:v>Pazartesi</x:v>
      </x:c>
      <x:c r="D236" s="14" t="str">
        <x:v>Okul Günü</x:v>
      </x:c>
      <x:c r="E236" s="14" t="str">
        <x:v>16:00 sonrası</x:v>
      </x:c>
      <x:c r="F236" s="14" t="str">
        <x:v>F1 - Temel Kurma</x:v>
      </x:c>
      <x:c r="G236" s="14" t="str">
        <x:v>21:20</x:v>
      </x:c>
      <x:c r="H236" s="14" t="str">
        <x:v>21:35</x:v>
      </x:c>
      <x:c r="I236" s="14" t="str">
        <x:v>Genel</x:v>
      </x:c>
      <x:c r="J236" s="14" t="str">
        <x:v>Yanlış / Boş Analizi</x:v>
      </x:c>
      <x:c r="K236" s="14" t="str">
        <x:v>Günlük</x:v>
      </x:c>
      <x:c r="L236" s="14" t="str">
        <x:v>Bugünkü yanlış/boşları kaydet; çözümünü öğrenmeden kapatma. Hata türünü sınıflandır.</x:v>
      </x:c>
      <x:c r="M236" s="14" t="str">
        <x:v>Yanlış Defteri</x:v>
      </x:c>
      <x:c r="N236" s="14" t="str"/>
      <x:c r="O236" s="14" t="n">
        <x:v>0</x:v>
      </x:c>
      <x:c r="P236" s="14" t="str">
        <x:v>Hayır</x:v>
      </x:c>
      <x:c r="Q236" s="14" t="str">
        <x:v>Evet</x:v>
      </x:c>
      <x:c r="R236" s="14" t="str">
        <x:v>Planlandı</x:v>
      </x:c>
      <x:c r="S236" s="15" t="str"/>
      <x:c r="T236" s="14" t="str"/>
    </x:row>
    <x:row r="237">
      <x:c r="A237" s="14" t="n">
        <x:v>236</x:v>
      </x:c>
      <x:c r="B237" s="15" t="n">
        <x:v>46314</x:v>
      </x:c>
      <x:c r="C237" s="14" t="str">
        <x:v>Pazartesi</x:v>
      </x:c>
      <x:c r="D237" s="14" t="str">
        <x:v>Okul Günü</x:v>
      </x:c>
      <x:c r="E237" s="14" t="str">
        <x:v>16:00 sonrası</x:v>
      </x:c>
      <x:c r="F237" s="14" t="str">
        <x:v>F1 - Temel Kurma</x:v>
      </x:c>
      <x:c r="G237" s="14" t="str">
        <x:v>21:35</x:v>
      </x:c>
      <x:c r="H237" s="14" t="str">
        <x:v>21:50</x:v>
      </x:c>
      <x:c r="I237" s="14" t="str">
        <x:v>Genel</x:v>
      </x:c>
      <x:c r="J237" s="14" t="str">
        <x:v>Aralıklı Hata Tekrarı</x:v>
      </x:c>
      <x:c r="K237" s="14" t="str">
        <x:v>+1 / +7 / +21</x:v>
      </x:c>
      <x:c r="L237" s="14" t="str">
        <x:v>Bugün vadesi gelen yanlış soruları tekrar çöz. Vadesi yoksa bu süre serbest/okuma olabilir.</x:v>
      </x:c>
      <x:c r="M237" s="14" t="str">
        <x:v>Yanlış Defteri</x:v>
      </x:c>
      <x:c r="N237" s="14" t="str"/>
      <x:c r="O237" s="14" t="n">
        <x:v>0</x:v>
      </x:c>
      <x:c r="P237" s="14" t="str">
        <x:v>Hayır</x:v>
      </x:c>
      <x:c r="Q237" s="14" t="str">
        <x:v>Koşullu</x:v>
      </x:c>
      <x:c r="R237" s="14" t="str">
        <x:v>Planlandı</x:v>
      </x:c>
      <x:c r="S237" s="15" t="str"/>
      <x:c r="T237" s="14" t="str">
        <x:v>Yanlışlar +1, +7 ve +21 gün aralıklarıyla tekrar edilir; hâlâ yanlışsa konu mastery durumu düşürülür.</x:v>
      </x:c>
    </x:row>
    <x:row r="238">
      <x:c r="A238" s="14" t="n">
        <x:v>237</x:v>
      </x:c>
      <x:c r="B238" s="15" t="n">
        <x:v>46314</x:v>
      </x:c>
      <x:c r="C238" s="14" t="str">
        <x:v>Pazartesi</x:v>
      </x:c>
      <x:c r="D238" s="14" t="str">
        <x:v>Okul Günü</x:v>
      </x:c>
      <x:c r="E238" s="14" t="str">
        <x:v>16:00 sonrası</x:v>
      </x:c>
      <x:c r="F238" s="14" t="str">
        <x:v>F1 - Temel Kurma</x:v>
      </x:c>
      <x:c r="G238" s="14" t="str">
        <x:v>21:50</x:v>
      </x:c>
      <x:c r="H238" s="14" t="str">
        <x:v>22:00</x:v>
      </x:c>
      <x:c r="I238" s="14" t="str">
        <x:v>Genel</x:v>
      </x:c>
      <x:c r="J238" s="14" t="str">
        <x:v>Uyku Hazırlığı</x:v>
      </x:c>
      <x:c r="K238" s="14" t="str"/>
      <x:c r="L238" s="14" t="str">
        <x:v>22:00'de yatakta ve uyku.</x:v>
      </x:c>
      <x:c r="M238" s="14" t="str"/>
      <x:c r="N238" s="14" t="str"/>
      <x:c r="O238" s="14" t="n">
        <x:v>0</x:v>
      </x:c>
      <x:c r="P238" s="14" t="str">
        <x:v>Hayır</x:v>
      </x:c>
      <x:c r="Q238" s="14" t="str">
        <x:v>Hayır</x:v>
      </x:c>
      <x:c r="R238" s="14" t="str">
        <x:v>Planlandı</x:v>
      </x:c>
      <x:c r="S238" s="15" t="str"/>
      <x:c r="T238" s="14" t="str"/>
    </x:row>
    <x:row r="239">
      <x:c r="A239" s="14" t="n">
        <x:v>238</x:v>
      </x:c>
      <x:c r="B239" s="15" t="n">
        <x:v>46315</x:v>
      </x:c>
      <x:c r="C239" s="14" t="str">
        <x:v>Salı</x:v>
      </x:c>
      <x:c r="D239" s="14" t="str">
        <x:v>Okul Günü</x:v>
      </x:c>
      <x:c r="E239" s="14" t="str">
        <x:v>16:00 sonrası</x:v>
      </x:c>
      <x:c r="F239" s="14" t="str">
        <x:v>F1 - Temel Kurma</x:v>
      </x:c>
      <x:c r="G239" s="14" t="str">
        <x:v>16:00</x:v>
      </x:c>
      <x:c r="H239" s="14" t="str">
        <x:v>16:25</x:v>
      </x:c>
      <x:c r="I239" s="14" t="str">
        <x:v>Genel</x:v>
      </x:c>
      <x:c r="J239" s="14" t="str">
        <x:v>Dinlenme</x:v>
      </x:c>
      <x:c r="K239" s="14" t="str"/>
      <x:c r="L239" s="14" t="str">
        <x:v>Eve geliş, atıştırma ve dinlenme.</x:v>
      </x:c>
      <x:c r="M239" s="14" t="str"/>
      <x:c r="N239" s="14" t="str"/>
      <x:c r="O239" s="14" t="n">
        <x:v>0</x:v>
      </x:c>
      <x:c r="P239" s="14" t="str">
        <x:v>Hayır</x:v>
      </x:c>
      <x:c r="Q239" s="14" t="str">
        <x:v>Hayır</x:v>
      </x:c>
      <x:c r="R239" s="14" t="str">
        <x:v>Planlandı</x:v>
      </x:c>
      <x:c r="S239" s="15" t="str"/>
      <x:c r="T239" s="14" t="str"/>
    </x:row>
    <x:row r="240">
      <x:c r="A240" s="14" t="n">
        <x:v>239</x:v>
      </x:c>
      <x:c r="B240" s="15" t="n">
        <x:v>46315</x:v>
      </x:c>
      <x:c r="C240" s="14" t="str">
        <x:v>Salı</x:v>
      </x:c>
      <x:c r="D240" s="14" t="str">
        <x:v>Okul Günü</x:v>
      </x:c>
      <x:c r="E240" s="14" t="str">
        <x:v>16:00 sonrası</x:v>
      </x:c>
      <x:c r="F240" s="14" t="str">
        <x:v>F1 - Temel Kurma</x:v>
      </x:c>
      <x:c r="G240" s="14" t="str">
        <x:v>16:25</x:v>
      </x:c>
      <x:c r="H240" s="14" t="str">
        <x:v>17:05</x:v>
      </x:c>
      <x:c r="I240" s="14" t="str">
        <x:v>Matematik</x:v>
      </x:c>
      <x:c r="J240" s="14" t="str">
        <x:v>Konu / Tekrar</x:v>
      </x:c>
      <x:c r="K240" s="14" t="str">
        <x:v>Sayı Basamakları</x:v>
      </x:c>
      <x:c r="L240" s="14" t="str">
        <x:v>Sayı Basamakları — genel oynatma listesinden ilgili videoyu izle (2/2).</x:v>
      </x:c>
      <x:c r="M240" s="14" t="str">
        <x:v>Matematik Ana Oynatma Listesi</x:v>
      </x:c>
      <x:c r="N240" s="14" t="str">
        <x:v>https://www.youtube.com/watch?v=EuJ89QzqrAg&amp;list=PLicNtF7vp6fnfDqrRLH6H7fIbzYT4ct4F&amp;index=11</x:v>
      </x:c>
      <x:c r="O240" s="14" t="n">
        <x:v>0</x:v>
      </x:c>
      <x:c r="P240" s="14" t="str">
        <x:v>Hayır</x:v>
      </x:c>
      <x:c r="Q240" s="14" t="str">
        <x:v>Evet</x:v>
      </x:c>
      <x:c r="R240" s="14" t="str">
        <x:v>Planlandı</x:v>
      </x:c>
      <x:c r="S240" s="15" t="str"/>
      <x:c r="T240" s="14" t="str">
        <x:v>Yeni konu ancak plan sırasıyla açılır; LGS dışı ileri TYT içeriği zorunlu değildir.</x:v>
      </x:c>
    </x:row>
    <x:row r="241">
      <x:c r="A241" s="14" t="n">
        <x:v>240</x:v>
      </x:c>
      <x:c r="B241" s="15" t="n">
        <x:v>46315</x:v>
      </x:c>
      <x:c r="C241" s="14" t="str">
        <x:v>Salı</x:v>
      </x:c>
      <x:c r="D241" s="14" t="str">
        <x:v>Okul Günü</x:v>
      </x:c>
      <x:c r="E241" s="14" t="str">
        <x:v>16:00 sonrası</x:v>
      </x:c>
      <x:c r="F241" s="14" t="str">
        <x:v>F1 - Temel Kurma</x:v>
      </x:c>
      <x:c r="G241" s="14" t="str">
        <x:v>17:10</x:v>
      </x:c>
      <x:c r="H241" s="14" t="str">
        <x:v>17:55</x:v>
      </x:c>
      <x:c r="I241" s="14" t="str">
        <x:v>Matematik</x:v>
      </x:c>
      <x:c r="J241" s="14" t="str">
        <x:v>Kitap / MEB / Mastery</x:v>
      </x:c>
      <x:c r="K241" s="14" t="str">
        <x:v>Sayı Basamakları</x:v>
      </x:c>
      <x:c r="L241" s="14" t="str">
        <x:v>Sayı Basamakları ile ilgili soru kitabından en az 20 soru / bugünkü test payını çöz. İlgili kitap konu bölümünü bu oturumda bitirmeyi hedefle; sonraki oturum MEB doğrulaması.</x:v>
      </x:c>
      <x:c r="M241" s="14" t="str">
        <x:v>MUBA 8. Sınıf Başlangıç Matematik (ISBN 9789756526972) (eşleşen bölüm) + MEB temel destek</x:v>
      </x:c>
      <x:c r="N241" s="14" t="str">
        <x:v>https://odsgm.meb.gov.tr/www/5-6-7-ve-9-sinif-duzeylerinde-calisma-sorulari-yayimlandi/icerik/775</x:v>
      </x:c>
      <x:c r="O241" s="14" t="n">
        <x:v>20</x:v>
      </x:c>
      <x:c r="P241" s="14" t="str">
        <x:v>İlk 20 soru</x:v>
      </x:c>
      <x:c r="Q241" s="14" t="str">
        <x:v>Evet</x:v>
      </x:c>
      <x:c r="R241" s="14" t="str">
        <x:v>Planlandı</x:v>
      </x:c>
      <x:c r="S241" s="15" t="str"/>
      <x:c r="T241" s="14" t="str">
        <x:v>Ayrı/rastgele matematik benchmark yoktur. Süreli ilk 20 soru o gün çalışılan konunun içindedir.</x:v>
      </x:c>
    </x:row>
    <x:row r="242">
      <x:c r="A242" s="14" t="n">
        <x:v>241</x:v>
      </x:c>
      <x:c r="B242" s="15" t="n">
        <x:v>46315</x:v>
      </x:c>
      <x:c r="C242" s="14" t="str">
        <x:v>Salı</x:v>
      </x:c>
      <x:c r="D242" s="14" t="str">
        <x:v>Okul Günü</x:v>
      </x:c>
      <x:c r="E242" s="14" t="str">
        <x:v>16:00 sonrası</x:v>
      </x:c>
      <x:c r="F242" s="14" t="str">
        <x:v>F1 - Temel Kurma</x:v>
      </x:c>
      <x:c r="G242" s="14" t="str">
        <x:v>17:55</x:v>
      </x:c>
      <x:c r="H242" s="14" t="str">
        <x:v>18:25</x:v>
      </x:c>
      <x:c r="I242" s="14" t="str">
        <x:v>Genel</x:v>
      </x:c>
      <x:c r="J242" s="14" t="str">
        <x:v>Yemek / Serbest Zaman</x:v>
      </x:c>
      <x:c r="K242" s="14" t="str"/>
      <x:c r="L242" s="14" t="str">
        <x:v>Yemek, hareket ve dinlenme.</x:v>
      </x:c>
      <x:c r="M242" s="14" t="str"/>
      <x:c r="N242" s="14" t="str"/>
      <x:c r="O242" s="14" t="n">
        <x:v>0</x:v>
      </x:c>
      <x:c r="P242" s="14" t="str">
        <x:v>Hayır</x:v>
      </x:c>
      <x:c r="Q242" s="14" t="str">
        <x:v>Hayır</x:v>
      </x:c>
      <x:c r="R242" s="14" t="str">
        <x:v>Planlandı</x:v>
      </x:c>
      <x:c r="S242" s="15" t="str"/>
      <x:c r="T242" s="14" t="str"/>
    </x:row>
    <x:row r="243">
      <x:c r="A243" s="14" t="n">
        <x:v>242</x:v>
      </x:c>
      <x:c r="B243" s="15" t="n">
        <x:v>46315</x:v>
      </x:c>
      <x:c r="C243" s="14" t="str">
        <x:v>Salı</x:v>
      </x:c>
      <x:c r="D243" s="14" t="str">
        <x:v>Okul Günü</x:v>
      </x:c>
      <x:c r="E243" s="14" t="str">
        <x:v>16:00 sonrası</x:v>
      </x:c>
      <x:c r="F243" s="14" t="str">
        <x:v>F1 - Temel Kurma</x:v>
      </x:c>
      <x:c r="G243" s="14" t="str">
        <x:v>18:25</x:v>
      </x:c>
      <x:c r="H243" s="14" t="str">
        <x:v>18:55</x:v>
      </x:c>
      <x:c r="I243" s="14" t="str">
        <x:v>Türkçe</x:v>
      </x:c>
      <x:c r="J243" s="14" t="str">
        <x:v>Paragraf Rutini</x:v>
      </x:c>
      <x:c r="K243" s="14" t="str">
        <x:v>Paragraf</x:v>
      </x:c>
      <x:c r="L243" s="14" t="str">
        <x:v>En az 20 paragraf sorusu çöz; ilk 20 soruyu ileri sayımla ölç, D/Y/B + süre kaydet.</x:v>
      </x:c>
      <x:c r="M243" s="14" t="str">
        <x:v>Hız 8. Sınıf Türkçe Paragraf (ISBN 9786258394498)</x:v>
      </x:c>
      <x:c r="N243" s="14" t="str"/>
      <x:c r="O243" s="14" t="n">
        <x:v>20</x:v>
      </x:c>
      <x:c r="P243" s="14" t="str">
        <x:v>İlk 20 soru</x:v>
      </x:c>
      <x:c r="Q243" s="14" t="str">
        <x:v>Evet</x:v>
      </x:c>
      <x:c r="R243" s="14" t="str">
        <x:v>Planlandı</x:v>
      </x:c>
      <x:c r="S243" s="15" t="str"/>
      <x:c r="T243" s="14" t="str">
        <x:v>Geri sayım ve hedef süre yok.</x:v>
      </x:c>
    </x:row>
    <x:row r="244">
      <x:c r="A244" s="14" t="n">
        <x:v>243</x:v>
      </x:c>
      <x:c r="B244" s="15" t="n">
        <x:v>46315</x:v>
      </x:c>
      <x:c r="C244" s="14" t="str">
        <x:v>Salı</x:v>
      </x:c>
      <x:c r="D244" s="14" t="str">
        <x:v>Okul Günü</x:v>
      </x:c>
      <x:c r="E244" s="14" t="str">
        <x:v>16:00 sonrası</x:v>
      </x:c>
      <x:c r="F244" s="14" t="str">
        <x:v>F1 - Temel Kurma</x:v>
      </x:c>
      <x:c r="G244" s="14" t="str">
        <x:v>19:00</x:v>
      </x:c>
      <x:c r="H244" s="14" t="str">
        <x:v>19:35</x:v>
      </x:c>
      <x:c r="I244" s="14" t="str">
        <x:v>Türkçe</x:v>
      </x:c>
      <x:c r="J244" s="14" t="str">
        <x:v>Konu / Tekrar</x:v>
      </x:c>
      <x:c r="K244" s="14" t="str">
        <x:v>Sözcükte Yapı</x:v>
      </x:c>
      <x:c r="L244" s="14" t="str">
        <x:v>Sözcükte Yapı — genel oynatma listesinden ilgili videoyu izle (1/2).</x:v>
      </x:c>
      <x:c r="M244" s="14" t="str">
        <x:v>Türkçe Ana Oynatma Listesi</x:v>
      </x:c>
      <x:c r="N244" s="14" t="str">
        <x:v>https://www.youtube.com/watch?v=VYsPntNKVdw&amp;list=PLIBjFaUoJJ91bz7QQEBlxNJNZka5YQRr6</x:v>
      </x:c>
      <x:c r="O244" s="14" t="n">
        <x:v>0</x:v>
      </x:c>
      <x:c r="P244" s="14" t="str">
        <x:v>Hayır</x:v>
      </x:c>
      <x:c r="Q244" s="14" t="str">
        <x:v>Evet</x:v>
      </x:c>
      <x:c r="R244" s="14" t="str">
        <x:v>Planlandı</x:v>
      </x:c>
      <x:c r="S244" s="15" t="str"/>
      <x:c r="T244" s="14" t="str">
        <x:v>TYT etiketli kaynak temelden başlamak için sabittir; LGS dışı gereksiz ayrıntı zorunlu değildir.</x:v>
      </x:c>
    </x:row>
    <x:row r="245">
      <x:c r="A245" s="14" t="n">
        <x:v>244</x:v>
      </x:c>
      <x:c r="B245" s="15" t="n">
        <x:v>46315</x:v>
      </x:c>
      <x:c r="C245" s="14" t="str">
        <x:v>Salı</x:v>
      </x:c>
      <x:c r="D245" s="14" t="str">
        <x:v>Okul Günü</x:v>
      </x:c>
      <x:c r="E245" s="14" t="str">
        <x:v>16:00 sonrası</x:v>
      </x:c>
      <x:c r="F245" s="14" t="str">
        <x:v>F1 - Temel Kurma</x:v>
      </x:c>
      <x:c r="G245" s="14" t="str">
        <x:v>19:40</x:v>
      </x:c>
      <x:c r="H245" s="14" t="str">
        <x:v>20:10</x:v>
      </x:c>
      <x:c r="I245" s="14" t="str">
        <x:v>Türkçe</x:v>
      </x:c>
      <x:c r="J245" s="14" t="str">
        <x:v>Kitap / MEB / Mastery</x:v>
      </x:c>
      <x:c r="K245" s="14" t="str">
        <x:v>Sözcükte Yapı</x:v>
      </x:c>
      <x:c r="L245" s="14" t="str">
        <x:v>Sözcükte Yapı ile ilgili soru kitabından en az 10 soru / bugünkü test payını çöz.</x:v>
      </x:c>
      <x:c r="M245" s="14" t="str">
        <x:v>Ankara 8. Sınıf Dil Bilgisi Güçlendiren (eşleşen bölüm) + MEB temel destek</x:v>
      </x:c>
      <x:c r="N245" s="14" t="str">
        <x:v>https://odsgm.meb.gov.tr/www/5-6-7-ve-9-sinif-duzeylerinde-calisma-sorulari-yayimlandi/icerik/775</x:v>
      </x:c>
      <x:c r="O245" s="14" t="n">
        <x:v>10</x:v>
      </x:c>
      <x:c r="P245" s="14" t="str">
        <x:v>Hayır</x:v>
      </x:c>
      <x:c r="Q245" s="14" t="str">
        <x:v>Evet</x:v>
      </x:c>
      <x:c r="R245" s="14" t="str">
        <x:v>Planlandı</x:v>
      </x:c>
      <x:c r="S245" s="15" t="str"/>
      <x:c r="T245" s="14" t="str"/>
    </x:row>
    <x:row r="246">
      <x:c r="A246" s="14" t="n">
        <x:v>245</x:v>
      </x:c>
      <x:c r="B246" s="15" t="n">
        <x:v>46315</x:v>
      </x:c>
      <x:c r="C246" s="14" t="str">
        <x:v>Salı</x:v>
      </x:c>
      <x:c r="D246" s="14" t="str">
        <x:v>Okul Günü</x:v>
      </x:c>
      <x:c r="E246" s="14" t="str">
        <x:v>16:00 sonrası</x:v>
      </x:c>
      <x:c r="F246" s="14" t="str">
        <x:v>F1 - Temel Kurma</x:v>
      </x:c>
      <x:c r="G246" s="14" t="str">
        <x:v>20:15</x:v>
      </x:c>
      <x:c r="H246" s="14" t="str">
        <x:v>20:50</x:v>
      </x:c>
      <x:c r="I246" s="14" t="str">
        <x:v>İngilizce</x:v>
      </x:c>
      <x:c r="J246" s="14" t="str">
        <x:v>Konu / Tekrar</x:v>
      </x:c>
      <x:c r="K246" s="14" t="str">
        <x:v>Unit 2 - Teen Life</x:v>
      </x:c>
      <x:c r="L246" s="14" t="str">
        <x:v>Unit 2 - Teen Life — Content çalışmasını playlistten yap.</x:v>
      </x:c>
      <x:c r="M246" s="14" t="str">
        <x:v>İngilizce Genel Oynatma Listesi</x:v>
      </x:c>
      <x:c r="N246" s="14" t="str">
        <x:v>https://www.youtube.com/watch?v=FaY3dFjZbns&amp;list=PLSgpQDrUSYp94WgE9pzpHiOG5FwxnZBrr</x:v>
      </x:c>
      <x:c r="O246" s="14" t="n">
        <x:v>0</x:v>
      </x:c>
      <x:c r="P246" s="14" t="str">
        <x:v>Hayır</x:v>
      </x:c>
      <x:c r="Q246" s="14" t="str">
        <x:v>Evet</x:v>
      </x:c>
      <x:c r="R246" s="14" t="str">
        <x:v>Planlandı</x:v>
      </x:c>
      <x:c r="S246" s="15" t="str"/>
      <x:c r="T246" s="14" t="str"/>
    </x:row>
    <x:row r="247">
      <x:c r="A247" s="14" t="n">
        <x:v>246</x:v>
      </x:c>
      <x:c r="B247" s="15" t="n">
        <x:v>46315</x:v>
      </x:c>
      <x:c r="C247" s="14" t="str">
        <x:v>Salı</x:v>
      </x:c>
      <x:c r="D247" s="14" t="str">
        <x:v>Okul Günü</x:v>
      </x:c>
      <x:c r="E247" s="14" t="str">
        <x:v>16:00 sonrası</x:v>
      </x:c>
      <x:c r="F247" s="14" t="str">
        <x:v>F1 - Temel Kurma</x:v>
      </x:c>
      <x:c r="G247" s="14" t="str">
        <x:v>20:55</x:v>
      </x:c>
      <x:c r="H247" s="14" t="str">
        <x:v>21:20</x:v>
      </x:c>
      <x:c r="I247" s="14" t="str">
        <x:v>İngilizce</x:v>
      </x:c>
      <x:c r="J247" s="14" t="str">
        <x:v>Kitap / MEB / Mastery</x:v>
      </x:c>
      <x:c r="K247" s="14" t="str">
        <x:v>Unit 2 - Teen Life</x:v>
      </x:c>
      <x:c r="L247" s="14" t="str">
        <x:v>Unit 2 - Teen Life ile ilgili soru kitabından en az 15 soru / bugünkü test payını çöz.</x:v>
      </x:c>
      <x:c r="M247" s="14" t="str">
        <x:v>More &amp; More 8 Worksheets Notebook</x:v>
      </x:c>
      <x:c r="N247" s="14" t="str">
        <x:v>https://www.youtube.com/watch?v=FaY3dFjZbns&amp;list=PLSgpQDrUSYp94WgE9pzpHiOG5FwxnZBrr</x:v>
      </x:c>
      <x:c r="O247" s="14" t="n">
        <x:v>15</x:v>
      </x:c>
      <x:c r="P247" s="14" t="str">
        <x:v>Hayır</x:v>
      </x:c>
      <x:c r="Q247" s="14" t="str">
        <x:v>Evet</x:v>
      </x:c>
      <x:c r="R247" s="14" t="str">
        <x:v>Planlandı</x:v>
      </x:c>
      <x:c r="S247" s="15" t="str"/>
      <x:c r="T247" s="14" t="str"/>
    </x:row>
    <x:row r="248">
      <x:c r="A248" s="14" t="n">
        <x:v>247</x:v>
      </x:c>
      <x:c r="B248" s="15" t="n">
        <x:v>46315</x:v>
      </x:c>
      <x:c r="C248" s="14" t="str">
        <x:v>Salı</x:v>
      </x:c>
      <x:c r="D248" s="14" t="str">
        <x:v>Okul Günü</x:v>
      </x:c>
      <x:c r="E248" s="14" t="str">
        <x:v>16:00 sonrası</x:v>
      </x:c>
      <x:c r="F248" s="14" t="str">
        <x:v>F1 - Temel Kurma</x:v>
      </x:c>
      <x:c r="G248" s="14" t="str">
        <x:v>21:20</x:v>
      </x:c>
      <x:c r="H248" s="14" t="str">
        <x:v>21:35</x:v>
      </x:c>
      <x:c r="I248" s="14" t="str">
        <x:v>Genel</x:v>
      </x:c>
      <x:c r="J248" s="14" t="str">
        <x:v>Yanlış / Boş Analizi</x:v>
      </x:c>
      <x:c r="K248" s="14" t="str">
        <x:v>Günlük</x:v>
      </x:c>
      <x:c r="L248" s="14" t="str">
        <x:v>Bugünkü yanlış/boşları kaydet; çözümünü öğrenmeden kapatma. Hata türünü sınıflandır.</x:v>
      </x:c>
      <x:c r="M248" s="14" t="str">
        <x:v>Yanlış Defteri</x:v>
      </x:c>
      <x:c r="N248" s="14" t="str"/>
      <x:c r="O248" s="14" t="n">
        <x:v>0</x:v>
      </x:c>
      <x:c r="P248" s="14" t="str">
        <x:v>Hayır</x:v>
      </x:c>
      <x:c r="Q248" s="14" t="str">
        <x:v>Evet</x:v>
      </x:c>
      <x:c r="R248" s="14" t="str">
        <x:v>Planlandı</x:v>
      </x:c>
      <x:c r="S248" s="15" t="str"/>
      <x:c r="T248" s="14" t="str"/>
    </x:row>
    <x:row r="249">
      <x:c r="A249" s="14" t="n">
        <x:v>248</x:v>
      </x:c>
      <x:c r="B249" s="15" t="n">
        <x:v>46315</x:v>
      </x:c>
      <x:c r="C249" s="14" t="str">
        <x:v>Salı</x:v>
      </x:c>
      <x:c r="D249" s="14" t="str">
        <x:v>Okul Günü</x:v>
      </x:c>
      <x:c r="E249" s="14" t="str">
        <x:v>16:00 sonrası</x:v>
      </x:c>
      <x:c r="F249" s="14" t="str">
        <x:v>F1 - Temel Kurma</x:v>
      </x:c>
      <x:c r="G249" s="14" t="str">
        <x:v>21:35</x:v>
      </x:c>
      <x:c r="H249" s="14" t="str">
        <x:v>21:50</x:v>
      </x:c>
      <x:c r="I249" s="14" t="str">
        <x:v>Genel</x:v>
      </x:c>
      <x:c r="J249" s="14" t="str">
        <x:v>Aralıklı Hata Tekrarı</x:v>
      </x:c>
      <x:c r="K249" s="14" t="str">
        <x:v>+1 / +7 / +21</x:v>
      </x:c>
      <x:c r="L249" s="14" t="str">
        <x:v>Bugün vadesi gelen yanlış soruları tekrar çöz. Vadesi yoksa bu süre serbest/okuma olabilir.</x:v>
      </x:c>
      <x:c r="M249" s="14" t="str">
        <x:v>Yanlış Defteri</x:v>
      </x:c>
      <x:c r="N249" s="14" t="str"/>
      <x:c r="O249" s="14" t="n">
        <x:v>0</x:v>
      </x:c>
      <x:c r="P249" s="14" t="str">
        <x:v>Hayır</x:v>
      </x:c>
      <x:c r="Q249" s="14" t="str">
        <x:v>Koşullu</x:v>
      </x:c>
      <x:c r="R249" s="14" t="str">
        <x:v>Planlandı</x:v>
      </x:c>
      <x:c r="S249" s="15" t="str"/>
      <x:c r="T249" s="14" t="str">
        <x:v>Yanlışlar +1, +7 ve +21 gün aralıklarıyla tekrar edilir; hâlâ yanlışsa konu mastery durumu düşürülür.</x:v>
      </x:c>
    </x:row>
    <x:row r="250">
      <x:c r="A250" s="14" t="n">
        <x:v>249</x:v>
      </x:c>
      <x:c r="B250" s="15" t="n">
        <x:v>46315</x:v>
      </x:c>
      <x:c r="C250" s="14" t="str">
        <x:v>Salı</x:v>
      </x:c>
      <x:c r="D250" s="14" t="str">
        <x:v>Okul Günü</x:v>
      </x:c>
      <x:c r="E250" s="14" t="str">
        <x:v>16:00 sonrası</x:v>
      </x:c>
      <x:c r="F250" s="14" t="str">
        <x:v>F1 - Temel Kurma</x:v>
      </x:c>
      <x:c r="G250" s="14" t="str">
        <x:v>21:50</x:v>
      </x:c>
      <x:c r="H250" s="14" t="str">
        <x:v>22:00</x:v>
      </x:c>
      <x:c r="I250" s="14" t="str">
        <x:v>Genel</x:v>
      </x:c>
      <x:c r="J250" s="14" t="str">
        <x:v>Uyku Hazırlığı</x:v>
      </x:c>
      <x:c r="K250" s="14" t="str"/>
      <x:c r="L250" s="14" t="str">
        <x:v>22:00'de yatakta ve uyku.</x:v>
      </x:c>
      <x:c r="M250" s="14" t="str"/>
      <x:c r="N250" s="14" t="str"/>
      <x:c r="O250" s="14" t="n">
        <x:v>0</x:v>
      </x:c>
      <x:c r="P250" s="14" t="str">
        <x:v>Hayır</x:v>
      </x:c>
      <x:c r="Q250" s="14" t="str">
        <x:v>Hayır</x:v>
      </x:c>
      <x:c r="R250" s="14" t="str">
        <x:v>Planlandı</x:v>
      </x:c>
      <x:c r="S250" s="15" t="str"/>
      <x:c r="T250" s="14" t="str"/>
    </x:row>
    <x:row r="251">
      <x:c r="A251" s="14" t="n">
        <x:v>250</x:v>
      </x:c>
      <x:c r="B251" s="15" t="n">
        <x:v>46316</x:v>
      </x:c>
      <x:c r="C251" s="14" t="str">
        <x:v>Çarşamba</x:v>
      </x:c>
      <x:c r="D251" s="14" t="str">
        <x:v>Okul Günü</x:v>
      </x:c>
      <x:c r="E251" s="14" t="str">
        <x:v>16:00 sonrası</x:v>
      </x:c>
      <x:c r="F251" s="14" t="str">
        <x:v>F1 - Temel Kurma</x:v>
      </x:c>
      <x:c r="G251" s="14" t="str">
        <x:v>16:00</x:v>
      </x:c>
      <x:c r="H251" s="14" t="str">
        <x:v>16:25</x:v>
      </x:c>
      <x:c r="I251" s="14" t="str">
        <x:v>Genel</x:v>
      </x:c>
      <x:c r="J251" s="14" t="str">
        <x:v>Dinlenme</x:v>
      </x:c>
      <x:c r="K251" s="14" t="str"/>
      <x:c r="L251" s="14" t="str">
        <x:v>Eve geliş, atıştırma ve dinlenme.</x:v>
      </x:c>
      <x:c r="M251" s="14" t="str"/>
      <x:c r="N251" s="14" t="str"/>
      <x:c r="O251" s="14" t="n">
        <x:v>0</x:v>
      </x:c>
      <x:c r="P251" s="14" t="str">
        <x:v>Hayır</x:v>
      </x:c>
      <x:c r="Q251" s="14" t="str">
        <x:v>Hayır</x:v>
      </x:c>
      <x:c r="R251" s="14" t="str">
        <x:v>Planlandı</x:v>
      </x:c>
      <x:c r="S251" s="15" t="str"/>
      <x:c r="T251" s="14" t="str"/>
    </x:row>
    <x:row r="252">
      <x:c r="A252" s="14" t="n">
        <x:v>251</x:v>
      </x:c>
      <x:c r="B252" s="15" t="n">
        <x:v>46316</x:v>
      </x:c>
      <x:c r="C252" s="14" t="str">
        <x:v>Çarşamba</x:v>
      </x:c>
      <x:c r="D252" s="14" t="str">
        <x:v>Okul Günü</x:v>
      </x:c>
      <x:c r="E252" s="14" t="str">
        <x:v>16:00 sonrası</x:v>
      </x:c>
      <x:c r="F252" s="14" t="str">
        <x:v>F1 - Temel Kurma</x:v>
      </x:c>
      <x:c r="G252" s="14" t="str">
        <x:v>16:25</x:v>
      </x:c>
      <x:c r="H252" s="14" t="str">
        <x:v>17:05</x:v>
      </x:c>
      <x:c r="I252" s="14" t="str">
        <x:v>Matematik</x:v>
      </x:c>
      <x:c r="J252" s="14" t="str">
        <x:v>Konu / Tekrar</x:v>
      </x:c>
      <x:c r="K252" s="14" t="str">
        <x:v>Sayı Basamakları</x:v>
      </x:c>
      <x:c r="L252" s="14" t="str">
        <x:v>Sayı Basamakları — MEB doğrulaması öncesi 5-10 dk aktif hatırlama; gerekiyorsa ilgili playlist videosuna kısa dönüş yap.</x:v>
      </x:c>
      <x:c r="M252" s="14" t="str">
        <x:v>Matematik Ana Oynatma Listesi</x:v>
      </x:c>
      <x:c r="N252" s="14" t="str">
        <x:v>https://www.youtube.com/watch?v=EuJ89QzqrAg&amp;list=PLicNtF7vp6fnfDqrRLH6H7fIbzYT4ct4F&amp;index=11</x:v>
      </x:c>
      <x:c r="O252" s="14" t="n">
        <x:v>0</x:v>
      </x:c>
      <x:c r="P252" s="14" t="str">
        <x:v>Hayır</x:v>
      </x:c>
      <x:c r="Q252" s="14" t="str">
        <x:v>Evet</x:v>
      </x:c>
      <x:c r="R252" s="14" t="str">
        <x:v>Planlandı</x:v>
      </x:c>
      <x:c r="S252" s="15" t="str"/>
      <x:c r="T252" s="14" t="str">
        <x:v>Yeni konu ancak plan sırasıyla açılır; LGS dışı ileri TYT içeriği zorunlu değildir.</x:v>
      </x:c>
    </x:row>
    <x:row r="253">
      <x:c r="A253" s="14" t="n">
        <x:v>252</x:v>
      </x:c>
      <x:c r="B253" s="15" t="n">
        <x:v>46316</x:v>
      </x:c>
      <x:c r="C253" s="14" t="str">
        <x:v>Çarşamba</x:v>
      </x:c>
      <x:c r="D253" s="14" t="str">
        <x:v>Okul Günü</x:v>
      </x:c>
      <x:c r="E253" s="14" t="str">
        <x:v>16:00 sonrası</x:v>
      </x:c>
      <x:c r="F253" s="14" t="str">
        <x:v>F1 - Temel Kurma</x:v>
      </x:c>
      <x:c r="G253" s="14" t="str">
        <x:v>17:10</x:v>
      </x:c>
      <x:c r="H253" s="14" t="str">
        <x:v>17:55</x:v>
      </x:c>
      <x:c r="I253" s="14" t="str">
        <x:v>Matematik</x:v>
      </x:c>
      <x:c r="J253" s="14" t="str">
        <x:v>Kitap / MEB / Mastery</x:v>
      </x:c>
      <x:c r="K253" s="14" t="str">
        <x:v>Sayı Basamakları</x:v>
      </x:c>
      <x:c r="L253" s="14" t="str">
        <x:v>Sayı Basamakları için ilgili MEB sorularını TAMAMLA; D/Y/B kaydet. Bu oturum konu mastery gate'idir.</x:v>
      </x:c>
      <x:c r="M253" s="14" t="str">
        <x:v>MEB Resmî Soru Seti</x:v>
      </x:c>
      <x:c r="N253" s="14" t="str">
        <x:v>https://odsgm.meb.gov.tr/www/5-6-7-ve-9-sinif-duzeylerinde-calisma-sorulari-yayimlandi/icerik/775</x:v>
      </x:c>
      <x:c r="O253" s="14" t="n">
        <x:v>0</x:v>
      </x:c>
      <x:c r="P253" s="14" t="str">
        <x:v>Hayır</x:v>
      </x:c>
      <x:c r="Q253" s="14" t="str">
        <x:v>Evet</x:v>
      </x:c>
      <x:c r="R253" s="14" t="str">
        <x:v>Planlandı</x:v>
      </x:c>
      <x:c r="S253" s="15" t="str"/>
      <x:c r="T253" s="14" t="str">
        <x:v>MEB sonucu Konu_Ustaligi sayfasına işlenir.</x:v>
      </x:c>
    </x:row>
    <x:row r="254">
      <x:c r="A254" s="14" t="n">
        <x:v>253</x:v>
      </x:c>
      <x:c r="B254" s="15" t="n">
        <x:v>46316</x:v>
      </x:c>
      <x:c r="C254" s="14" t="str">
        <x:v>Çarşamba</x:v>
      </x:c>
      <x:c r="D254" s="14" t="str">
        <x:v>Okul Günü</x:v>
      </x:c>
      <x:c r="E254" s="14" t="str">
        <x:v>16:00 sonrası</x:v>
      </x:c>
      <x:c r="F254" s="14" t="str">
        <x:v>F1 - Temel Kurma</x:v>
      </x:c>
      <x:c r="G254" s="14" t="str">
        <x:v>17:55</x:v>
      </x:c>
      <x:c r="H254" s="14" t="str">
        <x:v>18:25</x:v>
      </x:c>
      <x:c r="I254" s="14" t="str">
        <x:v>Genel</x:v>
      </x:c>
      <x:c r="J254" s="14" t="str">
        <x:v>Yemek / Serbest Zaman</x:v>
      </x:c>
      <x:c r="K254" s="14" t="str"/>
      <x:c r="L254" s="14" t="str">
        <x:v>Yemek, hareket ve dinlenme.</x:v>
      </x:c>
      <x:c r="M254" s="14" t="str"/>
      <x:c r="N254" s="14" t="str"/>
      <x:c r="O254" s="14" t="n">
        <x:v>0</x:v>
      </x:c>
      <x:c r="P254" s="14" t="str">
        <x:v>Hayır</x:v>
      </x:c>
      <x:c r="Q254" s="14" t="str">
        <x:v>Hayır</x:v>
      </x:c>
      <x:c r="R254" s="14" t="str">
        <x:v>Planlandı</x:v>
      </x:c>
      <x:c r="S254" s="15" t="str"/>
      <x:c r="T254" s="14" t="str"/>
    </x:row>
    <x:row r="255">
      <x:c r="A255" s="14" t="n">
        <x:v>254</x:v>
      </x:c>
      <x:c r="B255" s="15" t="n">
        <x:v>46316</x:v>
      </x:c>
      <x:c r="C255" s="14" t="str">
        <x:v>Çarşamba</x:v>
      </x:c>
      <x:c r="D255" s="14" t="str">
        <x:v>Okul Günü</x:v>
      </x:c>
      <x:c r="E255" s="14" t="str">
        <x:v>16:00 sonrası</x:v>
      </x:c>
      <x:c r="F255" s="14" t="str">
        <x:v>F1 - Temel Kurma</x:v>
      </x:c>
      <x:c r="G255" s="14" t="str">
        <x:v>18:25</x:v>
      </x:c>
      <x:c r="H255" s="14" t="str">
        <x:v>18:55</x:v>
      </x:c>
      <x:c r="I255" s="14" t="str">
        <x:v>Türkçe</x:v>
      </x:c>
      <x:c r="J255" s="14" t="str">
        <x:v>Paragraf Rutini</x:v>
      </x:c>
      <x:c r="K255" s="14" t="str">
        <x:v>Paragraf</x:v>
      </x:c>
      <x:c r="L255" s="14" t="str">
        <x:v>En az 20 paragraf sorusu çöz; ilk 20 soruyu ileri sayımla ölç, D/Y/B + süre kaydet.</x:v>
      </x:c>
      <x:c r="M255" s="14" t="str">
        <x:v>Hız 8. Sınıf Türkçe Paragraf (ISBN 9786258394498)</x:v>
      </x:c>
      <x:c r="N255" s="14" t="str"/>
      <x:c r="O255" s="14" t="n">
        <x:v>20</x:v>
      </x:c>
      <x:c r="P255" s="14" t="str">
        <x:v>İlk 20 soru</x:v>
      </x:c>
      <x:c r="Q255" s="14" t="str">
        <x:v>Evet</x:v>
      </x:c>
      <x:c r="R255" s="14" t="str">
        <x:v>Planlandı</x:v>
      </x:c>
      <x:c r="S255" s="15" t="str"/>
      <x:c r="T255" s="14" t="str">
        <x:v>Geri sayım ve hedef süre yok.</x:v>
      </x:c>
    </x:row>
    <x:row r="256">
      <x:c r="A256" s="14" t="n">
        <x:v>255</x:v>
      </x:c>
      <x:c r="B256" s="15" t="n">
        <x:v>46316</x:v>
      </x:c>
      <x:c r="C256" s="14" t="str">
        <x:v>Çarşamba</x:v>
      </x:c>
      <x:c r="D256" s="14" t="str">
        <x:v>Okul Günü</x:v>
      </x:c>
      <x:c r="E256" s="14" t="str">
        <x:v>16:00 sonrası</x:v>
      </x:c>
      <x:c r="F256" s="14" t="str">
        <x:v>F1 - Temel Kurma</x:v>
      </x:c>
      <x:c r="G256" s="14" t="str">
        <x:v>19:00</x:v>
      </x:c>
      <x:c r="H256" s="14" t="str">
        <x:v>19:35</x:v>
      </x:c>
      <x:c r="I256" s="14" t="str">
        <x:v>Türkçe</x:v>
      </x:c>
      <x:c r="J256" s="14" t="str">
        <x:v>Konu / Tekrar</x:v>
      </x:c>
      <x:c r="K256" s="14" t="str">
        <x:v>Sözcükte Yapı</x:v>
      </x:c>
      <x:c r="L256" s="14" t="str">
        <x:v>Sözcükte Yapı — genel oynatma listesinden ilgili videoyu izle (2/2).</x:v>
      </x:c>
      <x:c r="M256" s="14" t="str">
        <x:v>Türkçe Ana Oynatma Listesi</x:v>
      </x:c>
      <x:c r="N256" s="14" t="str">
        <x:v>https://www.youtube.com/watch?v=VYsPntNKVdw&amp;list=PLIBjFaUoJJ91bz7QQEBlxNJNZka5YQRr6</x:v>
      </x:c>
      <x:c r="O256" s="14" t="n">
        <x:v>0</x:v>
      </x:c>
      <x:c r="P256" s="14" t="str">
        <x:v>Hayır</x:v>
      </x:c>
      <x:c r="Q256" s="14" t="str">
        <x:v>Evet</x:v>
      </x:c>
      <x:c r="R256" s="14" t="str">
        <x:v>Planlandı</x:v>
      </x:c>
      <x:c r="S256" s="15" t="str"/>
      <x:c r="T256" s="14" t="str">
        <x:v>TYT etiketli kaynak temelden başlamak için sabittir; LGS dışı gereksiz ayrıntı zorunlu değildir.</x:v>
      </x:c>
    </x:row>
    <x:row r="257">
      <x:c r="A257" s="14" t="n">
        <x:v>256</x:v>
      </x:c>
      <x:c r="B257" s="15" t="n">
        <x:v>46316</x:v>
      </x:c>
      <x:c r="C257" s="14" t="str">
        <x:v>Çarşamba</x:v>
      </x:c>
      <x:c r="D257" s="14" t="str">
        <x:v>Okul Günü</x:v>
      </x:c>
      <x:c r="E257" s="14" t="str">
        <x:v>16:00 sonrası</x:v>
      </x:c>
      <x:c r="F257" s="14" t="str">
        <x:v>F1 - Temel Kurma</x:v>
      </x:c>
      <x:c r="G257" s="14" t="str">
        <x:v>19:40</x:v>
      </x:c>
      <x:c r="H257" s="14" t="str">
        <x:v>20:10</x:v>
      </x:c>
      <x:c r="I257" s="14" t="str">
        <x:v>Türkçe</x:v>
      </x:c>
      <x:c r="J257" s="14" t="str">
        <x:v>Kitap / MEB / Mastery</x:v>
      </x:c>
      <x:c r="K257" s="14" t="str">
        <x:v>Sözcükte Yapı</x:v>
      </x:c>
      <x:c r="L257" s="14" t="str">
        <x:v>Sözcükte Yapı ile ilgili soru kitabından en az 10 soru / bugünkü test payını çöz. İlgili kitap konu bölümünü bu oturumda bitirmeyi hedefle; sonraki oturum MEB doğrulaması.</x:v>
      </x:c>
      <x:c r="M257" s="14" t="str">
        <x:v>Ankara 8. Sınıf Dil Bilgisi Güçlendiren (eşleşen bölüm) + MEB temel destek</x:v>
      </x:c>
      <x:c r="N257" s="14" t="str">
        <x:v>https://odsgm.meb.gov.tr/www/5-6-7-ve-9-sinif-duzeylerinde-calisma-sorulari-yayimlandi/icerik/775</x:v>
      </x:c>
      <x:c r="O257" s="14" t="n">
        <x:v>10</x:v>
      </x:c>
      <x:c r="P257" s="14" t="str">
        <x:v>Hayır</x:v>
      </x:c>
      <x:c r="Q257" s="14" t="str">
        <x:v>Evet</x:v>
      </x:c>
      <x:c r="R257" s="14" t="str">
        <x:v>Planlandı</x:v>
      </x:c>
      <x:c r="S257" s="15" t="str"/>
      <x:c r="T257" s="14" t="str"/>
    </x:row>
    <x:row r="258">
      <x:c r="A258" s="14" t="n">
        <x:v>257</x:v>
      </x:c>
      <x:c r="B258" s="15" t="n">
        <x:v>46316</x:v>
      </x:c>
      <x:c r="C258" s="14" t="str">
        <x:v>Çarşamba</x:v>
      </x:c>
      <x:c r="D258" s="14" t="str">
        <x:v>Okul Günü</x:v>
      </x:c>
      <x:c r="E258" s="14" t="str">
        <x:v>16:00 sonrası</x:v>
      </x:c>
      <x:c r="F258" s="14" t="str">
        <x:v>F1 - Temel Kurma</x:v>
      </x:c>
      <x:c r="G258" s="14" t="str">
        <x:v>20:15</x:v>
      </x:c>
      <x:c r="H258" s="14" t="str">
        <x:v>20:50</x:v>
      </x:c>
      <x:c r="I258" s="14" t="str">
        <x:v>Fen</x:v>
      </x:c>
      <x:c r="J258" s="14" t="str">
        <x:v>Konu / Tekrar</x:v>
      </x:c>
      <x:c r="K258" s="14" t="str">
        <x:v>DNA ve Genetik Kod</x:v>
      </x:c>
      <x:c r="L258" s="14" t="str">
        <x:v>DNA ve Genetik Kod — MEB doğrulaması öncesi 5-10 dk aktif hatırlama; gerekiyorsa ilgili playlist videosuna kısa dönüş yap.</x:v>
      </x:c>
      <x:c r="M258" s="14" t="str">
        <x:v>Fen Soru Çözüm / Tekrar</x:v>
      </x:c>
      <x:c r="N258" s="14" t="str">
        <x:v>https://www.youtube.com/watch?v=pQXhWnDZ3vM&amp;list=PLrQm7mt99FRXcBnorCttd31HJEvg0En26&amp;index=23</x:v>
      </x:c>
      <x:c r="O258" s="14" t="n">
        <x:v>0</x:v>
      </x:c>
      <x:c r="P258" s="14" t="str">
        <x:v>Hayır</x:v>
      </x:c>
      <x:c r="Q258" s="14" t="str">
        <x:v>Evet</x:v>
      </x:c>
      <x:c r="R258" s="14" t="str">
        <x:v>Planlandı</x:v>
      </x:c>
      <x:c r="S258" s="15" t="str"/>
      <x:c r="T258" s="14" t="str"/>
    </x:row>
    <x:row r="259">
      <x:c r="A259" s="14" t="n">
        <x:v>258</x:v>
      </x:c>
      <x:c r="B259" s="15" t="n">
        <x:v>46316</x:v>
      </x:c>
      <x:c r="C259" s="14" t="str">
        <x:v>Çarşamba</x:v>
      </x:c>
      <x:c r="D259" s="14" t="str">
        <x:v>Okul Günü</x:v>
      </x:c>
      <x:c r="E259" s="14" t="str">
        <x:v>16:00 sonrası</x:v>
      </x:c>
      <x:c r="F259" s="14" t="str">
        <x:v>F1 - Temel Kurma</x:v>
      </x:c>
      <x:c r="G259" s="14" t="str">
        <x:v>20:55</x:v>
      </x:c>
      <x:c r="H259" s="14" t="str">
        <x:v>21:20</x:v>
      </x:c>
      <x:c r="I259" s="14" t="str">
        <x:v>Fen</x:v>
      </x:c>
      <x:c r="J259" s="14" t="str">
        <x:v>Kitap / MEB / Mastery</x:v>
      </x:c>
      <x:c r="K259" s="14" t="str">
        <x:v>DNA ve Genetik Kod</x:v>
      </x:c>
      <x:c r="L259" s="14" t="str">
        <x:v>DNA ve Genetik Kod için ilgili MEB sorularını TAMAMLA; D/Y/B kaydet. Bu oturum konu mastery gate'idir.</x:v>
      </x:c>
      <x:c r="M259" s="14" t="str">
        <x:v>MEB 8. Sınıf Fen Soruları</x:v>
      </x:c>
      <x:c r="N259" s="14" t="str">
        <x:v>https://odsgm.meb.gov.tr/www/8sinif-calisma-sorulari/icerik/1632</x:v>
      </x:c>
      <x:c r="O259" s="14" t="n">
        <x:v>0</x:v>
      </x:c>
      <x:c r="P259" s="14" t="str">
        <x:v>Hayır</x:v>
      </x:c>
      <x:c r="Q259" s="14" t="str">
        <x:v>Evet</x:v>
      </x:c>
      <x:c r="R259" s="14" t="str">
        <x:v>Planlandı</x:v>
      </x:c>
      <x:c r="S259" s="15" t="str"/>
      <x:c r="T259" s="14" t="str">
        <x:v>MEB sonucu Konu_Ustaligi sayfasına işlenir.</x:v>
      </x:c>
    </x:row>
    <x:row r="260">
      <x:c r="A260" s="14" t="n">
        <x:v>259</x:v>
      </x:c>
      <x:c r="B260" s="15" t="n">
        <x:v>46316</x:v>
      </x:c>
      <x:c r="C260" s="14" t="str">
        <x:v>Çarşamba</x:v>
      </x:c>
      <x:c r="D260" s="14" t="str">
        <x:v>Okul Günü</x:v>
      </x:c>
      <x:c r="E260" s="14" t="str">
        <x:v>16:00 sonrası</x:v>
      </x:c>
      <x:c r="F260" s="14" t="str">
        <x:v>F1 - Temel Kurma</x:v>
      </x:c>
      <x:c r="G260" s="14" t="str">
        <x:v>21:20</x:v>
      </x:c>
      <x:c r="H260" s="14" t="str">
        <x:v>21:35</x:v>
      </x:c>
      <x:c r="I260" s="14" t="str">
        <x:v>Genel</x:v>
      </x:c>
      <x:c r="J260" s="14" t="str">
        <x:v>Yanlış / Boş Analizi</x:v>
      </x:c>
      <x:c r="K260" s="14" t="str">
        <x:v>Günlük</x:v>
      </x:c>
      <x:c r="L260" s="14" t="str">
        <x:v>Bugünkü yanlış/boşları kaydet; çözümünü öğrenmeden kapatma. Hata türünü sınıflandır.</x:v>
      </x:c>
      <x:c r="M260" s="14" t="str">
        <x:v>Yanlış Defteri</x:v>
      </x:c>
      <x:c r="N260" s="14" t="str"/>
      <x:c r="O260" s="14" t="n">
        <x:v>0</x:v>
      </x:c>
      <x:c r="P260" s="14" t="str">
        <x:v>Hayır</x:v>
      </x:c>
      <x:c r="Q260" s="14" t="str">
        <x:v>Evet</x:v>
      </x:c>
      <x:c r="R260" s="14" t="str">
        <x:v>Planlandı</x:v>
      </x:c>
      <x:c r="S260" s="15" t="str"/>
      <x:c r="T260" s="14" t="str"/>
    </x:row>
    <x:row r="261">
      <x:c r="A261" s="14" t="n">
        <x:v>260</x:v>
      </x:c>
      <x:c r="B261" s="15" t="n">
        <x:v>46316</x:v>
      </x:c>
      <x:c r="C261" s="14" t="str">
        <x:v>Çarşamba</x:v>
      </x:c>
      <x:c r="D261" s="14" t="str">
        <x:v>Okul Günü</x:v>
      </x:c>
      <x:c r="E261" s="14" t="str">
        <x:v>16:00 sonrası</x:v>
      </x:c>
      <x:c r="F261" s="14" t="str">
        <x:v>F1 - Temel Kurma</x:v>
      </x:c>
      <x:c r="G261" s="14" t="str">
        <x:v>21:35</x:v>
      </x:c>
      <x:c r="H261" s="14" t="str">
        <x:v>21:50</x:v>
      </x:c>
      <x:c r="I261" s="14" t="str">
        <x:v>Genel</x:v>
      </x:c>
      <x:c r="J261" s="14" t="str">
        <x:v>Aralıklı Hata Tekrarı</x:v>
      </x:c>
      <x:c r="K261" s="14" t="str">
        <x:v>+1 / +7 / +21</x:v>
      </x:c>
      <x:c r="L261" s="14" t="str">
        <x:v>Bugün vadesi gelen yanlış soruları tekrar çöz. Vadesi yoksa bu süre serbest/okuma olabilir.</x:v>
      </x:c>
      <x:c r="M261" s="14" t="str">
        <x:v>Yanlış Defteri</x:v>
      </x:c>
      <x:c r="N261" s="14" t="str"/>
      <x:c r="O261" s="14" t="n">
        <x:v>0</x:v>
      </x:c>
      <x:c r="P261" s="14" t="str">
        <x:v>Hayır</x:v>
      </x:c>
      <x:c r="Q261" s="14" t="str">
        <x:v>Koşullu</x:v>
      </x:c>
      <x:c r="R261" s="14" t="str">
        <x:v>Planlandı</x:v>
      </x:c>
      <x:c r="S261" s="15" t="str"/>
      <x:c r="T261" s="14" t="str">
        <x:v>Yanlışlar +1, +7 ve +21 gün aralıklarıyla tekrar edilir; hâlâ yanlışsa konu mastery durumu düşürülür.</x:v>
      </x:c>
    </x:row>
    <x:row r="262">
      <x:c r="A262" s="14" t="n">
        <x:v>261</x:v>
      </x:c>
      <x:c r="B262" s="15" t="n">
        <x:v>46316</x:v>
      </x:c>
      <x:c r="C262" s="14" t="str">
        <x:v>Çarşamba</x:v>
      </x:c>
      <x:c r="D262" s="14" t="str">
        <x:v>Okul Günü</x:v>
      </x:c>
      <x:c r="E262" s="14" t="str">
        <x:v>16:00 sonrası</x:v>
      </x:c>
      <x:c r="F262" s="14" t="str">
        <x:v>F1 - Temel Kurma</x:v>
      </x:c>
      <x:c r="G262" s="14" t="str">
        <x:v>21:50</x:v>
      </x:c>
      <x:c r="H262" s="14" t="str">
        <x:v>22:00</x:v>
      </x:c>
      <x:c r="I262" s="14" t="str">
        <x:v>Genel</x:v>
      </x:c>
      <x:c r="J262" s="14" t="str">
        <x:v>Uyku Hazırlığı</x:v>
      </x:c>
      <x:c r="K262" s="14" t="str"/>
      <x:c r="L262" s="14" t="str">
        <x:v>22:00'de yatakta ve uyku.</x:v>
      </x:c>
      <x:c r="M262" s="14" t="str"/>
      <x:c r="N262" s="14" t="str"/>
      <x:c r="O262" s="14" t="n">
        <x:v>0</x:v>
      </x:c>
      <x:c r="P262" s="14" t="str">
        <x:v>Hayır</x:v>
      </x:c>
      <x:c r="Q262" s="14" t="str">
        <x:v>Hayır</x:v>
      </x:c>
      <x:c r="R262" s="14" t="str">
        <x:v>Planlandı</x:v>
      </x:c>
      <x:c r="S262" s="15" t="str"/>
      <x:c r="T262" s="14" t="str"/>
    </x:row>
    <x:row r="263">
      <x:c r="A263" s="14" t="n">
        <x:v>262</x:v>
      </x:c>
      <x:c r="B263" s="15" t="n">
        <x:v>46317</x:v>
      </x:c>
      <x:c r="C263" s="14" t="str">
        <x:v>Perşembe</x:v>
      </x:c>
      <x:c r="D263" s="14" t="str">
        <x:v>Okul Günü</x:v>
      </x:c>
      <x:c r="E263" s="14" t="str">
        <x:v>16:00 sonrası</x:v>
      </x:c>
      <x:c r="F263" s="14" t="str">
        <x:v>F1 - Temel Kurma</x:v>
      </x:c>
      <x:c r="G263" s="14" t="str">
        <x:v>16:00</x:v>
      </x:c>
      <x:c r="H263" s="14" t="str">
        <x:v>16:25</x:v>
      </x:c>
      <x:c r="I263" s="14" t="str">
        <x:v>Genel</x:v>
      </x:c>
      <x:c r="J263" s="14" t="str">
        <x:v>Dinlenme</x:v>
      </x:c>
      <x:c r="K263" s="14" t="str"/>
      <x:c r="L263" s="14" t="str">
        <x:v>Eve geliş, atıştırma ve dinlenme.</x:v>
      </x:c>
      <x:c r="M263" s="14" t="str"/>
      <x:c r="N263" s="14" t="str"/>
      <x:c r="O263" s="14" t="n">
        <x:v>0</x:v>
      </x:c>
      <x:c r="P263" s="14" t="str">
        <x:v>Hayır</x:v>
      </x:c>
      <x:c r="Q263" s="14" t="str">
        <x:v>Hayır</x:v>
      </x:c>
      <x:c r="R263" s="14" t="str">
        <x:v>Planlandı</x:v>
      </x:c>
      <x:c r="S263" s="15" t="str"/>
      <x:c r="T263" s="14" t="str"/>
    </x:row>
    <x:row r="264">
      <x:c r="A264" s="14" t="n">
        <x:v>263</x:v>
      </x:c>
      <x:c r="B264" s="15" t="n">
        <x:v>46317</x:v>
      </x:c>
      <x:c r="C264" s="14" t="str">
        <x:v>Perşembe</x:v>
      </x:c>
      <x:c r="D264" s="14" t="str">
        <x:v>Okul Günü</x:v>
      </x:c>
      <x:c r="E264" s="14" t="str">
        <x:v>16:00 sonrası</x:v>
      </x:c>
      <x:c r="F264" s="14" t="str">
        <x:v>F1 - Temel Kurma</x:v>
      </x:c>
      <x:c r="G264" s="14" t="str">
        <x:v>16:25</x:v>
      </x:c>
      <x:c r="H264" s="14" t="str">
        <x:v>17:05</x:v>
      </x:c>
      <x:c r="I264" s="14" t="str">
        <x:v>Matematik</x:v>
      </x:c>
      <x:c r="J264" s="14" t="str">
        <x:v>Konu / Tekrar</x:v>
      </x:c>
      <x:c r="K264" s="14" t="str">
        <x:v>Bölme ve Bölünebilme</x:v>
      </x:c>
      <x:c r="L264" s="14" t="str">
        <x:v>Bölme ve Bölünebilme — genel oynatma listesinden ilgili videoyu izle (1/5).</x:v>
      </x:c>
      <x:c r="M264" s="14" t="str">
        <x:v>Matematik Ana Oynatma Listesi</x:v>
      </x:c>
      <x:c r="N264" s="14" t="str">
        <x:v>https://www.youtube.com/watch?v=EuJ89QzqrAg&amp;list=PLicNtF7vp6fnfDqrRLH6H7fIbzYT4ct4F&amp;index=11</x:v>
      </x:c>
      <x:c r="O264" s="14" t="n">
        <x:v>0</x:v>
      </x:c>
      <x:c r="P264" s="14" t="str">
        <x:v>Hayır</x:v>
      </x:c>
      <x:c r="Q264" s="14" t="str">
        <x:v>Evet</x:v>
      </x:c>
      <x:c r="R264" s="14" t="str">
        <x:v>Planlandı</x:v>
      </x:c>
      <x:c r="S264" s="15" t="str"/>
      <x:c r="T264" s="14" t="str">
        <x:v>Yeni konu ancak plan sırasıyla açılır; LGS dışı ileri TYT içeriği zorunlu değildir.</x:v>
      </x:c>
    </x:row>
    <x:row r="265">
      <x:c r="A265" s="14" t="n">
        <x:v>264</x:v>
      </x:c>
      <x:c r="B265" s="15" t="n">
        <x:v>46317</x:v>
      </x:c>
      <x:c r="C265" s="14" t="str">
        <x:v>Perşembe</x:v>
      </x:c>
      <x:c r="D265" s="14" t="str">
        <x:v>Okul Günü</x:v>
      </x:c>
      <x:c r="E265" s="14" t="str">
        <x:v>16:00 sonrası</x:v>
      </x:c>
      <x:c r="F265" s="14" t="str">
        <x:v>F1 - Temel Kurma</x:v>
      </x:c>
      <x:c r="G265" s="14" t="str">
        <x:v>17:10</x:v>
      </x:c>
      <x:c r="H265" s="14" t="str">
        <x:v>17:55</x:v>
      </x:c>
      <x:c r="I265" s="14" t="str">
        <x:v>Matematik</x:v>
      </x:c>
      <x:c r="J265" s="14" t="str">
        <x:v>Kitap / MEB / Mastery</x:v>
      </x:c>
      <x:c r="K265" s="14" t="str">
        <x:v>Bölme ve Bölünebilme</x:v>
      </x:c>
      <x:c r="L265" s="14" t="str">
        <x:v>Bölme ve Bölünebilme ile ilgili soru kitabından en az 20 soru / bugünkü test payını çöz.</x:v>
      </x:c>
      <x:c r="M265" s="14" t="str">
        <x:v>MUBA 8. Sınıf Başlangıç Matematik (ISBN 9789756526972) (eşleşen bölüm) + MEB temel destek</x:v>
      </x:c>
      <x:c r="N265" s="14" t="str">
        <x:v>https://odsgm.meb.gov.tr/www/5-6-7-ve-9-sinif-duzeylerinde-calisma-sorulari-yayimlandi/icerik/775</x:v>
      </x:c>
      <x:c r="O265" s="14" t="n">
        <x:v>20</x:v>
      </x:c>
      <x:c r="P265" s="14" t="str">
        <x:v>İlk 20 soru</x:v>
      </x:c>
      <x:c r="Q265" s="14" t="str">
        <x:v>Evet</x:v>
      </x:c>
      <x:c r="R265" s="14" t="str">
        <x:v>Planlandı</x:v>
      </x:c>
      <x:c r="S265" s="15" t="str"/>
      <x:c r="T265" s="14" t="str">
        <x:v>Ayrı/rastgele matematik benchmark yoktur. Süreli ilk 20 soru o gün çalışılan konunun içindedir.</x:v>
      </x:c>
    </x:row>
    <x:row r="266">
      <x:c r="A266" s="14" t="n">
        <x:v>265</x:v>
      </x:c>
      <x:c r="B266" s="15" t="n">
        <x:v>46317</x:v>
      </x:c>
      <x:c r="C266" s="14" t="str">
        <x:v>Perşembe</x:v>
      </x:c>
      <x:c r="D266" s="14" t="str">
        <x:v>Okul Günü</x:v>
      </x:c>
      <x:c r="E266" s="14" t="str">
        <x:v>16:00 sonrası</x:v>
      </x:c>
      <x:c r="F266" s="14" t="str">
        <x:v>F1 - Temel Kurma</x:v>
      </x:c>
      <x:c r="G266" s="14" t="str">
        <x:v>17:55</x:v>
      </x:c>
      <x:c r="H266" s="14" t="str">
        <x:v>18:25</x:v>
      </x:c>
      <x:c r="I266" s="14" t="str">
        <x:v>Genel</x:v>
      </x:c>
      <x:c r="J266" s="14" t="str">
        <x:v>Yemek / Serbest Zaman</x:v>
      </x:c>
      <x:c r="K266" s="14" t="str"/>
      <x:c r="L266" s="14" t="str">
        <x:v>Yemek, hareket ve dinlenme.</x:v>
      </x:c>
      <x:c r="M266" s="14" t="str"/>
      <x:c r="N266" s="14" t="str"/>
      <x:c r="O266" s="14" t="n">
        <x:v>0</x:v>
      </x:c>
      <x:c r="P266" s="14" t="str">
        <x:v>Hayır</x:v>
      </x:c>
      <x:c r="Q266" s="14" t="str">
        <x:v>Hayır</x:v>
      </x:c>
      <x:c r="R266" s="14" t="str">
        <x:v>Planlandı</x:v>
      </x:c>
      <x:c r="S266" s="15" t="str"/>
      <x:c r="T266" s="14" t="str"/>
    </x:row>
    <x:row r="267">
      <x:c r="A267" s="14" t="n">
        <x:v>266</x:v>
      </x:c>
      <x:c r="B267" s="15" t="n">
        <x:v>46317</x:v>
      </x:c>
      <x:c r="C267" s="14" t="str">
        <x:v>Perşembe</x:v>
      </x:c>
      <x:c r="D267" s="14" t="str">
        <x:v>Okul Günü</x:v>
      </x:c>
      <x:c r="E267" s="14" t="str">
        <x:v>16:00 sonrası</x:v>
      </x:c>
      <x:c r="F267" s="14" t="str">
        <x:v>F1 - Temel Kurma</x:v>
      </x:c>
      <x:c r="G267" s="14" t="str">
        <x:v>18:25</x:v>
      </x:c>
      <x:c r="H267" s="14" t="str">
        <x:v>18:55</x:v>
      </x:c>
      <x:c r="I267" s="14" t="str">
        <x:v>Türkçe</x:v>
      </x:c>
      <x:c r="J267" s="14" t="str">
        <x:v>Paragraf Rutini</x:v>
      </x:c>
      <x:c r="K267" s="14" t="str">
        <x:v>Paragraf</x:v>
      </x:c>
      <x:c r="L267" s="14" t="str">
        <x:v>En az 20 paragraf sorusu çöz; ilk 20 soruyu ileri sayımla ölç, D/Y/B + süre kaydet.</x:v>
      </x:c>
      <x:c r="M267" s="14" t="str">
        <x:v>Hız 8. Sınıf Türkçe Paragraf (ISBN 9786258394498)</x:v>
      </x:c>
      <x:c r="N267" s="14" t="str"/>
      <x:c r="O267" s="14" t="n">
        <x:v>20</x:v>
      </x:c>
      <x:c r="P267" s="14" t="str">
        <x:v>İlk 20 soru</x:v>
      </x:c>
      <x:c r="Q267" s="14" t="str">
        <x:v>Evet</x:v>
      </x:c>
      <x:c r="R267" s="14" t="str">
        <x:v>Planlandı</x:v>
      </x:c>
      <x:c r="S267" s="15" t="str"/>
      <x:c r="T267" s="14" t="str">
        <x:v>Geri sayım ve hedef süre yok.</x:v>
      </x:c>
    </x:row>
    <x:row r="268">
      <x:c r="A268" s="14" t="n">
        <x:v>267</x:v>
      </x:c>
      <x:c r="B268" s="15" t="n">
        <x:v>46317</x:v>
      </x:c>
      <x:c r="C268" s="14" t="str">
        <x:v>Perşembe</x:v>
      </x:c>
      <x:c r="D268" s="14" t="str">
        <x:v>Okul Günü</x:v>
      </x:c>
      <x:c r="E268" s="14" t="str">
        <x:v>16:00 sonrası</x:v>
      </x:c>
      <x:c r="F268" s="14" t="str">
        <x:v>F1 - Temel Kurma</x:v>
      </x:c>
      <x:c r="G268" s="14" t="str">
        <x:v>19:00</x:v>
      </x:c>
      <x:c r="H268" s="14" t="str">
        <x:v>19:35</x:v>
      </x:c>
      <x:c r="I268" s="14" t="str">
        <x:v>Türkçe</x:v>
      </x:c>
      <x:c r="J268" s="14" t="str">
        <x:v>Konu / Tekrar</x:v>
      </x:c>
      <x:c r="K268" s="14" t="str">
        <x:v>Sözcükte Yapı</x:v>
      </x:c>
      <x:c r="L268" s="14" t="str">
        <x:v>Sözcükte Yapı — MEB doğrulaması öncesi 5-10 dk aktif hatırlama; gerekiyorsa ilgili playlist videosuna kısa dönüş yap.</x:v>
      </x:c>
      <x:c r="M268" s="14" t="str">
        <x:v>Türkçe Ana Oynatma Listesi</x:v>
      </x:c>
      <x:c r="N268" s="14" t="str">
        <x:v>https://www.youtube.com/watch?v=VYsPntNKVdw&amp;list=PLIBjFaUoJJ91bz7QQEBlxNJNZka5YQRr6</x:v>
      </x:c>
      <x:c r="O268" s="14" t="n">
        <x:v>0</x:v>
      </x:c>
      <x:c r="P268" s="14" t="str">
        <x:v>Hayır</x:v>
      </x:c>
      <x:c r="Q268" s="14" t="str">
        <x:v>Evet</x:v>
      </x:c>
      <x:c r="R268" s="14" t="str">
        <x:v>Planlandı</x:v>
      </x:c>
      <x:c r="S268" s="15" t="str"/>
      <x:c r="T268" s="14" t="str">
        <x:v>TYT etiketli kaynak temelden başlamak için sabittir; LGS dışı gereksiz ayrıntı zorunlu değildir.</x:v>
      </x:c>
    </x:row>
    <x:row r="269">
      <x:c r="A269" s="14" t="n">
        <x:v>268</x:v>
      </x:c>
      <x:c r="B269" s="15" t="n">
        <x:v>46317</x:v>
      </x:c>
      <x:c r="C269" s="14" t="str">
        <x:v>Perşembe</x:v>
      </x:c>
      <x:c r="D269" s="14" t="str">
        <x:v>Okul Günü</x:v>
      </x:c>
      <x:c r="E269" s="14" t="str">
        <x:v>16:00 sonrası</x:v>
      </x:c>
      <x:c r="F269" s="14" t="str">
        <x:v>F1 - Temel Kurma</x:v>
      </x:c>
      <x:c r="G269" s="14" t="str">
        <x:v>19:40</x:v>
      </x:c>
      <x:c r="H269" s="14" t="str">
        <x:v>20:10</x:v>
      </x:c>
      <x:c r="I269" s="14" t="str">
        <x:v>Türkçe</x:v>
      </x:c>
      <x:c r="J269" s="14" t="str">
        <x:v>Kitap / MEB / Mastery</x:v>
      </x:c>
      <x:c r="K269" s="14" t="str">
        <x:v>Sözcükte Yapı</x:v>
      </x:c>
      <x:c r="L269" s="14" t="str">
        <x:v>Sözcükte Yapı için ilgili MEB sorularını TAMAMLA; D/Y/B kaydet. Bu oturum konu mastery gate'idir.</x:v>
      </x:c>
      <x:c r="M269" s="14" t="str">
        <x:v>MEB Resmî Soru Seti</x:v>
      </x:c>
      <x:c r="N269" s="14" t="str">
        <x:v>https://odsgm.meb.gov.tr/www/5-6-7-ve-9-sinif-duzeylerinde-calisma-sorulari-yayimlandi/icerik/775</x:v>
      </x:c>
      <x:c r="O269" s="14" t="n">
        <x:v>0</x:v>
      </x:c>
      <x:c r="P269" s="14" t="str">
        <x:v>Hayır</x:v>
      </x:c>
      <x:c r="Q269" s="14" t="str">
        <x:v>Evet</x:v>
      </x:c>
      <x:c r="R269" s="14" t="str">
        <x:v>Planlandı</x:v>
      </x:c>
      <x:c r="S269" s="15" t="str"/>
      <x:c r="T269" s="14" t="str">
        <x:v>MEB sonucu Konu_Ustaligi sayfasına işlenir.</x:v>
      </x:c>
    </x:row>
    <x:row r="270">
      <x:c r="A270" s="14" t="n">
        <x:v>269</x:v>
      </x:c>
      <x:c r="B270" s="15" t="n">
        <x:v>46317</x:v>
      </x:c>
      <x:c r="C270" s="14" t="str">
        <x:v>Perşembe</x:v>
      </x:c>
      <x:c r="D270" s="14" t="str">
        <x:v>Okul Günü</x:v>
      </x:c>
      <x:c r="E270" s="14" t="str">
        <x:v>16:00 sonrası</x:v>
      </x:c>
      <x:c r="F270" s="14" t="str">
        <x:v>F1 - Temel Kurma</x:v>
      </x:c>
      <x:c r="G270" s="14" t="str">
        <x:v>20:15</x:v>
      </x:c>
      <x:c r="H270" s="14" t="str">
        <x:v>20:50</x:v>
      </x:c>
      <x:c r="I270" s="14" t="str">
        <x:v>Din</x:v>
      </x:c>
      <x:c r="J270" s="14" t="str">
        <x:v>Konu / Tekrar</x:v>
      </x:c>
      <x:c r="K270" s="14" t="str">
        <x:v>İnsanın İradesi ve Kader / Kaderle İlgili Kavramlar</x:v>
      </x:c>
      <x:c r="L270" s="14" t="str">
        <x:v>İnsanın İradesi ve Kader / Kaderle İlgili Kavramlar — MEB doğrulaması öncesi 5-10 dk aktif hatırlama; gerekiyorsa ilgili playlist videosuna kısa dönüş yap.</x:v>
      </x:c>
      <x:c r="M270" s="14" t="str">
        <x:v>Din Genel Oynatma Listesi</x:v>
      </x:c>
      <x:c r="N270" s="14" t="str">
        <x:v>https://www.youtube.com/watch?v=wvdOE_75VnA&amp;list=PLbRoPq-Zu-SWXGUbVt4t4UWo-4VjsMUo-&amp;index=2</x:v>
      </x:c>
      <x:c r="O270" s="14" t="n">
        <x:v>0</x:v>
      </x:c>
      <x:c r="P270" s="14" t="str">
        <x:v>Hayır</x:v>
      </x:c>
      <x:c r="Q270" s="14" t="str">
        <x:v>Evet</x:v>
      </x:c>
      <x:c r="R270" s="14" t="str">
        <x:v>Planlandı</x:v>
      </x:c>
      <x:c r="S270" s="15" t="str"/>
      <x:c r="T270" s="14" t="str"/>
    </x:row>
    <x:row r="271">
      <x:c r="A271" s="14" t="n">
        <x:v>270</x:v>
      </x:c>
      <x:c r="B271" s="15" t="n">
        <x:v>46317</x:v>
      </x:c>
      <x:c r="C271" s="14" t="str">
        <x:v>Perşembe</x:v>
      </x:c>
      <x:c r="D271" s="14" t="str">
        <x:v>Okul Günü</x:v>
      </x:c>
      <x:c r="E271" s="14" t="str">
        <x:v>16:00 sonrası</x:v>
      </x:c>
      <x:c r="F271" s="14" t="str">
        <x:v>F1 - Temel Kurma</x:v>
      </x:c>
      <x:c r="G271" s="14" t="str">
        <x:v>20:55</x:v>
      </x:c>
      <x:c r="H271" s="14" t="str">
        <x:v>21:20</x:v>
      </x:c>
      <x:c r="I271" s="14" t="str">
        <x:v>Din</x:v>
      </x:c>
      <x:c r="J271" s="14" t="str">
        <x:v>Kitap / MEB / Mastery</x:v>
      </x:c>
      <x:c r="K271" s="14" t="str">
        <x:v>İnsanın İradesi ve Kader / Kaderle İlgili Kavramlar</x:v>
      </x:c>
      <x:c r="L271" s="14" t="str">
        <x:v>İnsanın İradesi ve Kader / Kaderle İlgili Kavramlar için ilgili MEB sorularını TAMAMLA; D/Y/B kaydet. Bu oturum konu mastery gate'idir.</x:v>
      </x:c>
      <x:c r="M271" s="14" t="str">
        <x:v>MEB 8. Sınıf Din Soruları</x:v>
      </x:c>
      <x:c r="N271" s="14" t="str">
        <x:v>https://odsgm.meb.gov.tr/www/8sinif-calisma-sorulari/icerik/1632</x:v>
      </x:c>
      <x:c r="O271" s="14" t="n">
        <x:v>0</x:v>
      </x:c>
      <x:c r="P271" s="14" t="str">
        <x:v>Hayır</x:v>
      </x:c>
      <x:c r="Q271" s="14" t="str">
        <x:v>Evet</x:v>
      </x:c>
      <x:c r="R271" s="14" t="str">
        <x:v>Planlandı</x:v>
      </x:c>
      <x:c r="S271" s="15" t="str"/>
      <x:c r="T271" s="14" t="str">
        <x:v>MEB sonucu Konu_Ustaligi sayfasına işlenir.</x:v>
      </x:c>
    </x:row>
    <x:row r="272">
      <x:c r="A272" s="14" t="n">
        <x:v>271</x:v>
      </x:c>
      <x:c r="B272" s="15" t="n">
        <x:v>46317</x:v>
      </x:c>
      <x:c r="C272" s="14" t="str">
        <x:v>Perşembe</x:v>
      </x:c>
      <x:c r="D272" s="14" t="str">
        <x:v>Okul Günü</x:v>
      </x:c>
      <x:c r="E272" s="14" t="str">
        <x:v>16:00 sonrası</x:v>
      </x:c>
      <x:c r="F272" s="14" t="str">
        <x:v>F1 - Temel Kurma</x:v>
      </x:c>
      <x:c r="G272" s="14" t="str">
        <x:v>21:20</x:v>
      </x:c>
      <x:c r="H272" s="14" t="str">
        <x:v>21:35</x:v>
      </x:c>
      <x:c r="I272" s="14" t="str">
        <x:v>Genel</x:v>
      </x:c>
      <x:c r="J272" s="14" t="str">
        <x:v>Yanlış / Boş Analizi</x:v>
      </x:c>
      <x:c r="K272" s="14" t="str">
        <x:v>Günlük</x:v>
      </x:c>
      <x:c r="L272" s="14" t="str">
        <x:v>Bugünkü yanlış/boşları kaydet; çözümünü öğrenmeden kapatma. Hata türünü sınıflandır.</x:v>
      </x:c>
      <x:c r="M272" s="14" t="str">
        <x:v>Yanlış Defteri</x:v>
      </x:c>
      <x:c r="N272" s="14" t="str"/>
      <x:c r="O272" s="14" t="n">
        <x:v>0</x:v>
      </x:c>
      <x:c r="P272" s="14" t="str">
        <x:v>Hayır</x:v>
      </x:c>
      <x:c r="Q272" s="14" t="str">
        <x:v>Evet</x:v>
      </x:c>
      <x:c r="R272" s="14" t="str">
        <x:v>Planlandı</x:v>
      </x:c>
      <x:c r="S272" s="15" t="str"/>
      <x:c r="T272" s="14" t="str"/>
    </x:row>
    <x:row r="273">
      <x:c r="A273" s="14" t="n">
        <x:v>272</x:v>
      </x:c>
      <x:c r="B273" s="15" t="n">
        <x:v>46317</x:v>
      </x:c>
      <x:c r="C273" s="14" t="str">
        <x:v>Perşembe</x:v>
      </x:c>
      <x:c r="D273" s="14" t="str">
        <x:v>Okul Günü</x:v>
      </x:c>
      <x:c r="E273" s="14" t="str">
        <x:v>16:00 sonrası</x:v>
      </x:c>
      <x:c r="F273" s="14" t="str">
        <x:v>F1 - Temel Kurma</x:v>
      </x:c>
      <x:c r="G273" s="14" t="str">
        <x:v>21:35</x:v>
      </x:c>
      <x:c r="H273" s="14" t="str">
        <x:v>21:50</x:v>
      </x:c>
      <x:c r="I273" s="14" t="str">
        <x:v>Genel</x:v>
      </x:c>
      <x:c r="J273" s="14" t="str">
        <x:v>Aralıklı Hata Tekrarı</x:v>
      </x:c>
      <x:c r="K273" s="14" t="str">
        <x:v>+1 / +7 / +21</x:v>
      </x:c>
      <x:c r="L273" s="14" t="str">
        <x:v>Bugün vadesi gelen yanlış soruları tekrar çöz. Vadesi yoksa bu süre serbest/okuma olabilir.</x:v>
      </x:c>
      <x:c r="M273" s="14" t="str">
        <x:v>Yanlış Defteri</x:v>
      </x:c>
      <x:c r="N273" s="14" t="str"/>
      <x:c r="O273" s="14" t="n">
        <x:v>0</x:v>
      </x:c>
      <x:c r="P273" s="14" t="str">
        <x:v>Hayır</x:v>
      </x:c>
      <x:c r="Q273" s="14" t="str">
        <x:v>Koşullu</x:v>
      </x:c>
      <x:c r="R273" s="14" t="str">
        <x:v>Planlandı</x:v>
      </x:c>
      <x:c r="S273" s="15" t="str"/>
      <x:c r="T273" s="14" t="str">
        <x:v>Yanlışlar +1, +7 ve +21 gün aralıklarıyla tekrar edilir; hâlâ yanlışsa konu mastery durumu düşürülür.</x:v>
      </x:c>
    </x:row>
    <x:row r="274">
      <x:c r="A274" s="14" t="n">
        <x:v>273</x:v>
      </x:c>
      <x:c r="B274" s="15" t="n">
        <x:v>46317</x:v>
      </x:c>
      <x:c r="C274" s="14" t="str">
        <x:v>Perşembe</x:v>
      </x:c>
      <x:c r="D274" s="14" t="str">
        <x:v>Okul Günü</x:v>
      </x:c>
      <x:c r="E274" s="14" t="str">
        <x:v>16:00 sonrası</x:v>
      </x:c>
      <x:c r="F274" s="14" t="str">
        <x:v>F1 - Temel Kurma</x:v>
      </x:c>
      <x:c r="G274" s="14" t="str">
        <x:v>21:50</x:v>
      </x:c>
      <x:c r="H274" s="14" t="str">
        <x:v>22:00</x:v>
      </x:c>
      <x:c r="I274" s="14" t="str">
        <x:v>Genel</x:v>
      </x:c>
      <x:c r="J274" s="14" t="str">
        <x:v>Uyku Hazırlığı</x:v>
      </x:c>
      <x:c r="K274" s="14" t="str"/>
      <x:c r="L274" s="14" t="str">
        <x:v>22:00'de yatakta ve uyku.</x:v>
      </x:c>
      <x:c r="M274" s="14" t="str"/>
      <x:c r="N274" s="14" t="str"/>
      <x:c r="O274" s="14" t="n">
        <x:v>0</x:v>
      </x:c>
      <x:c r="P274" s="14" t="str">
        <x:v>Hayır</x:v>
      </x:c>
      <x:c r="Q274" s="14" t="str">
        <x:v>Hayır</x:v>
      </x:c>
      <x:c r="R274" s="14" t="str">
        <x:v>Planlandı</x:v>
      </x:c>
      <x:c r="S274" s="15" t="str"/>
      <x:c r="T274" s="14" t="str"/>
    </x:row>
    <x:row r="275">
      <x:c r="A275" s="14" t="n">
        <x:v>274</x:v>
      </x:c>
      <x:c r="B275" s="15" t="n">
        <x:v>46318</x:v>
      </x:c>
      <x:c r="C275" s="14" t="str">
        <x:v>Cuma</x:v>
      </x:c>
      <x:c r="D275" s="14" t="str">
        <x:v>Okul Günü</x:v>
      </x:c>
      <x:c r="E275" s="14" t="str">
        <x:v>16:00 sonrası</x:v>
      </x:c>
      <x:c r="F275" s="14" t="str">
        <x:v>F1 - Temel Kurma</x:v>
      </x:c>
      <x:c r="G275" s="14" t="str">
        <x:v>16:00</x:v>
      </x:c>
      <x:c r="H275" s="14" t="str">
        <x:v>16:25</x:v>
      </x:c>
      <x:c r="I275" s="14" t="str">
        <x:v>Genel</x:v>
      </x:c>
      <x:c r="J275" s="14" t="str">
        <x:v>Dinlenme</x:v>
      </x:c>
      <x:c r="K275" s="14" t="str"/>
      <x:c r="L275" s="14" t="str">
        <x:v>Eve geliş, atıştırma ve dinlenme.</x:v>
      </x:c>
      <x:c r="M275" s="14" t="str"/>
      <x:c r="N275" s="14" t="str"/>
      <x:c r="O275" s="14" t="n">
        <x:v>0</x:v>
      </x:c>
      <x:c r="P275" s="14" t="str">
        <x:v>Hayır</x:v>
      </x:c>
      <x:c r="Q275" s="14" t="str">
        <x:v>Hayır</x:v>
      </x:c>
      <x:c r="R275" s="14" t="str">
        <x:v>Planlandı</x:v>
      </x:c>
      <x:c r="S275" s="15" t="str"/>
      <x:c r="T275" s="14" t="str"/>
    </x:row>
    <x:row r="276">
      <x:c r="A276" s="14" t="n">
        <x:v>275</x:v>
      </x:c>
      <x:c r="B276" s="15" t="n">
        <x:v>46318</x:v>
      </x:c>
      <x:c r="C276" s="14" t="str">
        <x:v>Cuma</x:v>
      </x:c>
      <x:c r="D276" s="14" t="str">
        <x:v>Okul Günü</x:v>
      </x:c>
      <x:c r="E276" s="14" t="str">
        <x:v>16:00 sonrası</x:v>
      </x:c>
      <x:c r="F276" s="14" t="str">
        <x:v>F1 - Temel Kurma</x:v>
      </x:c>
      <x:c r="G276" s="14" t="str">
        <x:v>16:25</x:v>
      </x:c>
      <x:c r="H276" s="14" t="str">
        <x:v>17:05</x:v>
      </x:c>
      <x:c r="I276" s="14" t="str">
        <x:v>Matematik</x:v>
      </x:c>
      <x:c r="J276" s="14" t="str">
        <x:v>Konu / Tekrar</x:v>
      </x:c>
      <x:c r="K276" s="14" t="str">
        <x:v>Bölme ve Bölünebilme</x:v>
      </x:c>
      <x:c r="L276" s="14" t="str">
        <x:v>Bölme ve Bölünebilme — genel oynatma listesinden ilgili videoyu izle (2/5).</x:v>
      </x:c>
      <x:c r="M276" s="14" t="str">
        <x:v>Matematik Ana Oynatma Listesi</x:v>
      </x:c>
      <x:c r="N276" s="14" t="str">
        <x:v>https://www.youtube.com/watch?v=EuJ89QzqrAg&amp;list=PLicNtF7vp6fnfDqrRLH6H7fIbzYT4ct4F&amp;index=11</x:v>
      </x:c>
      <x:c r="O276" s="14" t="n">
        <x:v>0</x:v>
      </x:c>
      <x:c r="P276" s="14" t="str">
        <x:v>Hayır</x:v>
      </x:c>
      <x:c r="Q276" s="14" t="str">
        <x:v>Evet</x:v>
      </x:c>
      <x:c r="R276" s="14" t="str">
        <x:v>Planlandı</x:v>
      </x:c>
      <x:c r="S276" s="15" t="str"/>
      <x:c r="T276" s="14" t="str">
        <x:v>Yeni konu ancak plan sırasıyla açılır; LGS dışı ileri TYT içeriği zorunlu değildir.</x:v>
      </x:c>
    </x:row>
    <x:row r="277">
      <x:c r="A277" s="14" t="n">
        <x:v>276</x:v>
      </x:c>
      <x:c r="B277" s="15" t="n">
        <x:v>46318</x:v>
      </x:c>
      <x:c r="C277" s="14" t="str">
        <x:v>Cuma</x:v>
      </x:c>
      <x:c r="D277" s="14" t="str">
        <x:v>Okul Günü</x:v>
      </x:c>
      <x:c r="E277" s="14" t="str">
        <x:v>16:00 sonrası</x:v>
      </x:c>
      <x:c r="F277" s="14" t="str">
        <x:v>F1 - Temel Kurma</x:v>
      </x:c>
      <x:c r="G277" s="14" t="str">
        <x:v>17:10</x:v>
      </x:c>
      <x:c r="H277" s="14" t="str">
        <x:v>17:55</x:v>
      </x:c>
      <x:c r="I277" s="14" t="str">
        <x:v>Matematik</x:v>
      </x:c>
      <x:c r="J277" s="14" t="str">
        <x:v>Kitap / MEB / Mastery</x:v>
      </x:c>
      <x:c r="K277" s="14" t="str">
        <x:v>Bölme ve Bölünebilme</x:v>
      </x:c>
      <x:c r="L277" s="14" t="str">
        <x:v>Bölme ve Bölünebilme ile ilgili soru kitabından en az 20 soru / bugünkü test payını çöz.</x:v>
      </x:c>
      <x:c r="M277" s="14" t="str">
        <x:v>MUBA 8. Sınıf Başlangıç Matematik (ISBN 9789756526972) (eşleşen bölüm) + MEB temel destek</x:v>
      </x:c>
      <x:c r="N277" s="14" t="str">
        <x:v>https://odsgm.meb.gov.tr/www/5-6-7-ve-9-sinif-duzeylerinde-calisma-sorulari-yayimlandi/icerik/775</x:v>
      </x:c>
      <x:c r="O277" s="14" t="n">
        <x:v>20</x:v>
      </x:c>
      <x:c r="P277" s="14" t="str">
        <x:v>İlk 20 soru</x:v>
      </x:c>
      <x:c r="Q277" s="14" t="str">
        <x:v>Evet</x:v>
      </x:c>
      <x:c r="R277" s="14" t="str">
        <x:v>Planlandı</x:v>
      </x:c>
      <x:c r="S277" s="15" t="str"/>
      <x:c r="T277" s="14" t="str">
        <x:v>Ayrı/rastgele matematik benchmark yoktur. Süreli ilk 20 soru o gün çalışılan konunun içindedir.</x:v>
      </x:c>
    </x:row>
    <x:row r="278">
      <x:c r="A278" s="14" t="n">
        <x:v>277</x:v>
      </x:c>
      <x:c r="B278" s="15" t="n">
        <x:v>46318</x:v>
      </x:c>
      <x:c r="C278" s="14" t="str">
        <x:v>Cuma</x:v>
      </x:c>
      <x:c r="D278" s="14" t="str">
        <x:v>Okul Günü</x:v>
      </x:c>
      <x:c r="E278" s="14" t="str">
        <x:v>16:00 sonrası</x:v>
      </x:c>
      <x:c r="F278" s="14" t="str">
        <x:v>F1 - Temel Kurma</x:v>
      </x:c>
      <x:c r="G278" s="14" t="str">
        <x:v>17:55</x:v>
      </x:c>
      <x:c r="H278" s="14" t="str">
        <x:v>18:25</x:v>
      </x:c>
      <x:c r="I278" s="14" t="str">
        <x:v>Genel</x:v>
      </x:c>
      <x:c r="J278" s="14" t="str">
        <x:v>Yemek / Serbest Zaman</x:v>
      </x:c>
      <x:c r="K278" s="14" t="str"/>
      <x:c r="L278" s="14" t="str">
        <x:v>Yemek, hareket ve dinlenme.</x:v>
      </x:c>
      <x:c r="M278" s="14" t="str"/>
      <x:c r="N278" s="14" t="str"/>
      <x:c r="O278" s="14" t="n">
        <x:v>0</x:v>
      </x:c>
      <x:c r="P278" s="14" t="str">
        <x:v>Hayır</x:v>
      </x:c>
      <x:c r="Q278" s="14" t="str">
        <x:v>Hayır</x:v>
      </x:c>
      <x:c r="R278" s="14" t="str">
        <x:v>Planlandı</x:v>
      </x:c>
      <x:c r="S278" s="15" t="str"/>
      <x:c r="T278" s="14" t="str"/>
    </x:row>
    <x:row r="279">
      <x:c r="A279" s="14" t="n">
        <x:v>278</x:v>
      </x:c>
      <x:c r="B279" s="15" t="n">
        <x:v>46318</x:v>
      </x:c>
      <x:c r="C279" s="14" t="str">
        <x:v>Cuma</x:v>
      </x:c>
      <x:c r="D279" s="14" t="str">
        <x:v>Okul Günü</x:v>
      </x:c>
      <x:c r="E279" s="14" t="str">
        <x:v>16:00 sonrası</x:v>
      </x:c>
      <x:c r="F279" s="14" t="str">
        <x:v>F1 - Temel Kurma</x:v>
      </x:c>
      <x:c r="G279" s="14" t="str">
        <x:v>18:25</x:v>
      </x:c>
      <x:c r="H279" s="14" t="str">
        <x:v>18:55</x:v>
      </x:c>
      <x:c r="I279" s="14" t="str">
        <x:v>Türkçe</x:v>
      </x:c>
      <x:c r="J279" s="14" t="str">
        <x:v>Paragraf Rutini</x:v>
      </x:c>
      <x:c r="K279" s="14" t="str">
        <x:v>Paragraf</x:v>
      </x:c>
      <x:c r="L279" s="14" t="str">
        <x:v>En az 20 paragraf sorusu çöz; ilk 20 soruyu ileri sayımla ölç, D/Y/B + süre kaydet.</x:v>
      </x:c>
      <x:c r="M279" s="14" t="str">
        <x:v>Hız 8. Sınıf Türkçe Paragraf (ISBN 9786258394498)</x:v>
      </x:c>
      <x:c r="N279" s="14" t="str"/>
      <x:c r="O279" s="14" t="n">
        <x:v>20</x:v>
      </x:c>
      <x:c r="P279" s="14" t="str">
        <x:v>İlk 20 soru</x:v>
      </x:c>
      <x:c r="Q279" s="14" t="str">
        <x:v>Evet</x:v>
      </x:c>
      <x:c r="R279" s="14" t="str">
        <x:v>Planlandı</x:v>
      </x:c>
      <x:c r="S279" s="15" t="str"/>
      <x:c r="T279" s="14" t="str">
        <x:v>Geri sayım ve hedef süre yok.</x:v>
      </x:c>
    </x:row>
    <x:row r="280">
      <x:c r="A280" s="14" t="n">
        <x:v>279</x:v>
      </x:c>
      <x:c r="B280" s="15" t="n">
        <x:v>46318</x:v>
      </x:c>
      <x:c r="C280" s="14" t="str">
        <x:v>Cuma</x:v>
      </x:c>
      <x:c r="D280" s="14" t="str">
        <x:v>Okul Günü</x:v>
      </x:c>
      <x:c r="E280" s="14" t="str">
        <x:v>16:00 sonrası</x:v>
      </x:c>
      <x:c r="F280" s="14" t="str">
        <x:v>F1 - Temel Kurma</x:v>
      </x:c>
      <x:c r="G280" s="14" t="str">
        <x:v>19:00</x:v>
      </x:c>
      <x:c r="H280" s="14" t="str">
        <x:v>19:35</x:v>
      </x:c>
      <x:c r="I280" s="14" t="str">
        <x:v>Türkçe</x:v>
      </x:c>
      <x:c r="J280" s="14" t="str">
        <x:v>Konu / Tekrar</x:v>
      </x:c>
      <x:c r="K280" s="14" t="str">
        <x:v>Ses Bilgisi</x:v>
      </x:c>
      <x:c r="L280" s="14" t="str">
        <x:v>Ses Bilgisi — genel oynatma listesinden ilgili videoyu izle (1/3).</x:v>
      </x:c>
      <x:c r="M280" s="14" t="str">
        <x:v>Türkçe Ana Oynatma Listesi</x:v>
      </x:c>
      <x:c r="N280" s="14" t="str">
        <x:v>https://www.youtube.com/watch?v=VYsPntNKVdw&amp;list=PLIBjFaUoJJ91bz7QQEBlxNJNZka5YQRr6</x:v>
      </x:c>
      <x:c r="O280" s="14" t="n">
        <x:v>0</x:v>
      </x:c>
      <x:c r="P280" s="14" t="str">
        <x:v>Hayır</x:v>
      </x:c>
      <x:c r="Q280" s="14" t="str">
        <x:v>Evet</x:v>
      </x:c>
      <x:c r="R280" s="14" t="str">
        <x:v>Planlandı</x:v>
      </x:c>
      <x:c r="S280" s="15" t="str"/>
      <x:c r="T280" s="14" t="str">
        <x:v>TYT etiketli kaynak temelden başlamak için sabittir; LGS dışı gereksiz ayrıntı zorunlu değildir.</x:v>
      </x:c>
    </x:row>
    <x:row r="281">
      <x:c r="A281" s="14" t="n">
        <x:v>280</x:v>
      </x:c>
      <x:c r="B281" s="15" t="n">
        <x:v>46318</x:v>
      </x:c>
      <x:c r="C281" s="14" t="str">
        <x:v>Cuma</x:v>
      </x:c>
      <x:c r="D281" s="14" t="str">
        <x:v>Okul Günü</x:v>
      </x:c>
      <x:c r="E281" s="14" t="str">
        <x:v>16:00 sonrası</x:v>
      </x:c>
      <x:c r="F281" s="14" t="str">
        <x:v>F1 - Temel Kurma</x:v>
      </x:c>
      <x:c r="G281" s="14" t="str">
        <x:v>19:40</x:v>
      </x:c>
      <x:c r="H281" s="14" t="str">
        <x:v>20:10</x:v>
      </x:c>
      <x:c r="I281" s="14" t="str">
        <x:v>Türkçe</x:v>
      </x:c>
      <x:c r="J281" s="14" t="str">
        <x:v>Kitap / MEB / Mastery</x:v>
      </x:c>
      <x:c r="K281" s="14" t="str">
        <x:v>Ses Bilgisi</x:v>
      </x:c>
      <x:c r="L281" s="14" t="str">
        <x:v>Ses Bilgisi ile ilgili soru kitabından en az 10 soru / bugünkü test payını çöz.</x:v>
      </x:c>
      <x:c r="M281" s="14" t="str">
        <x:v>Ankara 8. Sınıf Dil Bilgisi Güçlendiren (eşleşen bölüm) + MEB temel destek</x:v>
      </x:c>
      <x:c r="N281" s="14" t="str">
        <x:v>https://odsgm.meb.gov.tr/www/5-6-7-ve-9-sinif-duzeylerinde-calisma-sorulari-yayimlandi/icerik/775</x:v>
      </x:c>
      <x:c r="O281" s="14" t="n">
        <x:v>10</x:v>
      </x:c>
      <x:c r="P281" s="14" t="str">
        <x:v>Hayır</x:v>
      </x:c>
      <x:c r="Q281" s="14" t="str">
        <x:v>Evet</x:v>
      </x:c>
      <x:c r="R281" s="14" t="str">
        <x:v>Planlandı</x:v>
      </x:c>
      <x:c r="S281" s="15" t="str"/>
      <x:c r="T281" s="14" t="str"/>
    </x:row>
    <x:row r="282">
      <x:c r="A282" s="14" t="n">
        <x:v>281</x:v>
      </x:c>
      <x:c r="B282" s="15" t="n">
        <x:v>46318</x:v>
      </x:c>
      <x:c r="C282" s="14" t="str">
        <x:v>Cuma</x:v>
      </x:c>
      <x:c r="D282" s="14" t="str">
        <x:v>Okul Günü</x:v>
      </x:c>
      <x:c r="E282" s="14" t="str">
        <x:v>16:00 sonrası</x:v>
      </x:c>
      <x:c r="F282" s="14" t="str">
        <x:v>F1 - Temel Kurma</x:v>
      </x:c>
      <x:c r="G282" s="14" t="str">
        <x:v>20:15</x:v>
      </x:c>
      <x:c r="H282" s="14" t="str">
        <x:v>20:50</x:v>
      </x:c>
      <x:c r="I282" s="14" t="str">
        <x:v>İnkılap</x:v>
      </x:c>
      <x:c r="J282" s="14" t="str">
        <x:v>Konu / Tekrar</x:v>
      </x:c>
      <x:c r="K282" s="14" t="str">
        <x:v>Mustafa Kemal’in Çocukluk, Eğitim ve Fikir Hayatı</x:v>
      </x:c>
      <x:c r="L282" s="14" t="str">
        <x:v>Mustafa Kemal’in Çocukluk, Eğitim ve Fikir Hayatı — MEB doğrulaması öncesi 5-10 dk aktif hatırlama; gerekiyorsa ilgili playlist videosuna kısa dönüş yap.</x:v>
      </x:c>
      <x:c r="M282" s="14" t="str">
        <x:v>İnkılap Genel Oynatma Listesi</x:v>
      </x:c>
      <x:c r="N282" s="14" t="str">
        <x:v>https://www.youtube.com/watch?v=MltIX0oKpYU&amp;list=PLsAsBPsriHNbXit4Ra3iuBrk1ZHZWxsOR&amp;index=78</x:v>
      </x:c>
      <x:c r="O282" s="14" t="n">
        <x:v>0</x:v>
      </x:c>
      <x:c r="P282" s="14" t="str">
        <x:v>Hayır</x:v>
      </x:c>
      <x:c r="Q282" s="14" t="str">
        <x:v>Evet</x:v>
      </x:c>
      <x:c r="R282" s="14" t="str">
        <x:v>Planlandı</x:v>
      </x:c>
      <x:c r="S282" s="15" t="str"/>
      <x:c r="T282" s="14" t="str">
        <x:v>İnkılapta okul yazılısı videoları zorunlu değildir.</x:v>
      </x:c>
    </x:row>
    <x:row r="283">
      <x:c r="A283" s="14" t="n">
        <x:v>282</x:v>
      </x:c>
      <x:c r="B283" s="15" t="n">
        <x:v>46318</x:v>
      </x:c>
      <x:c r="C283" s="14" t="str">
        <x:v>Cuma</x:v>
      </x:c>
      <x:c r="D283" s="14" t="str">
        <x:v>Okul Günü</x:v>
      </x:c>
      <x:c r="E283" s="14" t="str">
        <x:v>16:00 sonrası</x:v>
      </x:c>
      <x:c r="F283" s="14" t="str">
        <x:v>F1 - Temel Kurma</x:v>
      </x:c>
      <x:c r="G283" s="14" t="str">
        <x:v>20:55</x:v>
      </x:c>
      <x:c r="H283" s="14" t="str">
        <x:v>21:20</x:v>
      </x:c>
      <x:c r="I283" s="14" t="str">
        <x:v>İnkılap</x:v>
      </x:c>
      <x:c r="J283" s="14" t="str">
        <x:v>Kitap / MEB / Mastery</x:v>
      </x:c>
      <x:c r="K283" s="14" t="str">
        <x:v>Mustafa Kemal’in Çocukluk, Eğitim ve Fikir Hayatı</x:v>
      </x:c>
      <x:c r="L283" s="14" t="str">
        <x:v>Mustafa Kemal’in Çocukluk, Eğitim ve Fikir Hayatı için ilgili MEB sorularını TAMAMLA; D/Y/B kaydet. Bu oturum konu mastery gate'idir.</x:v>
      </x:c>
      <x:c r="M283" s="14" t="str">
        <x:v>MEB 8. Sınıf İnkılap Soruları</x:v>
      </x:c>
      <x:c r="N283" s="14" t="str">
        <x:v>https://odsgm.meb.gov.tr/www/8sinif-calisma-sorulari/icerik/1632</x:v>
      </x:c>
      <x:c r="O283" s="14" t="n">
        <x:v>0</x:v>
      </x:c>
      <x:c r="P283" s="14" t="str">
        <x:v>Hayır</x:v>
      </x:c>
      <x:c r="Q283" s="14" t="str">
        <x:v>Evet</x:v>
      </x:c>
      <x:c r="R283" s="14" t="str">
        <x:v>Planlandı</x:v>
      </x:c>
      <x:c r="S283" s="15" t="str"/>
      <x:c r="T283" s="14" t="str">
        <x:v>MEB sonucu Konu_Ustaligi sayfasına işlenir.</x:v>
      </x:c>
    </x:row>
    <x:row r="284">
      <x:c r="A284" s="14" t="n">
        <x:v>283</x:v>
      </x:c>
      <x:c r="B284" s="15" t="n">
        <x:v>46318</x:v>
      </x:c>
      <x:c r="C284" s="14" t="str">
        <x:v>Cuma</x:v>
      </x:c>
      <x:c r="D284" s="14" t="str">
        <x:v>Okul Günü</x:v>
      </x:c>
      <x:c r="E284" s="14" t="str">
        <x:v>16:00 sonrası</x:v>
      </x:c>
      <x:c r="F284" s="14" t="str">
        <x:v>F1 - Temel Kurma</x:v>
      </x:c>
      <x:c r="G284" s="14" t="str">
        <x:v>21:20</x:v>
      </x:c>
      <x:c r="H284" s="14" t="str">
        <x:v>21:35</x:v>
      </x:c>
      <x:c r="I284" s="14" t="str">
        <x:v>Genel</x:v>
      </x:c>
      <x:c r="J284" s="14" t="str">
        <x:v>Yanlış / Boş Analizi</x:v>
      </x:c>
      <x:c r="K284" s="14" t="str">
        <x:v>Günlük</x:v>
      </x:c>
      <x:c r="L284" s="14" t="str">
        <x:v>Bugünkü yanlış/boşları kaydet; çözümünü öğrenmeden kapatma. Hata türünü sınıflandır.</x:v>
      </x:c>
      <x:c r="M284" s="14" t="str">
        <x:v>Yanlış Defteri</x:v>
      </x:c>
      <x:c r="N284" s="14" t="str"/>
      <x:c r="O284" s="14" t="n">
        <x:v>0</x:v>
      </x:c>
      <x:c r="P284" s="14" t="str">
        <x:v>Hayır</x:v>
      </x:c>
      <x:c r="Q284" s="14" t="str">
        <x:v>Evet</x:v>
      </x:c>
      <x:c r="R284" s="14" t="str">
        <x:v>Planlandı</x:v>
      </x:c>
      <x:c r="S284" s="15" t="str"/>
      <x:c r="T284" s="14" t="str"/>
    </x:row>
    <x:row r="285">
      <x:c r="A285" s="14" t="n">
        <x:v>284</x:v>
      </x:c>
      <x:c r="B285" s="15" t="n">
        <x:v>46318</x:v>
      </x:c>
      <x:c r="C285" s="14" t="str">
        <x:v>Cuma</x:v>
      </x:c>
      <x:c r="D285" s="14" t="str">
        <x:v>Okul Günü</x:v>
      </x:c>
      <x:c r="E285" s="14" t="str">
        <x:v>16:00 sonrası</x:v>
      </x:c>
      <x:c r="F285" s="14" t="str">
        <x:v>F1 - Temel Kurma</x:v>
      </x:c>
      <x:c r="G285" s="14" t="str">
        <x:v>21:35</x:v>
      </x:c>
      <x:c r="H285" s="14" t="str">
        <x:v>21:50</x:v>
      </x:c>
      <x:c r="I285" s="14" t="str">
        <x:v>Genel</x:v>
      </x:c>
      <x:c r="J285" s="14" t="str">
        <x:v>Aralıklı Hata Tekrarı</x:v>
      </x:c>
      <x:c r="K285" s="14" t="str">
        <x:v>+1 / +7 / +21</x:v>
      </x:c>
      <x:c r="L285" s="14" t="str">
        <x:v>Bugün vadesi gelen yanlış soruları tekrar çöz. Vadesi yoksa bu süre serbest/okuma olabilir.</x:v>
      </x:c>
      <x:c r="M285" s="14" t="str">
        <x:v>Yanlış Defteri</x:v>
      </x:c>
      <x:c r="N285" s="14" t="str"/>
      <x:c r="O285" s="14" t="n">
        <x:v>0</x:v>
      </x:c>
      <x:c r="P285" s="14" t="str">
        <x:v>Hayır</x:v>
      </x:c>
      <x:c r="Q285" s="14" t="str">
        <x:v>Koşullu</x:v>
      </x:c>
      <x:c r="R285" s="14" t="str">
        <x:v>Planlandı</x:v>
      </x:c>
      <x:c r="S285" s="15" t="str"/>
      <x:c r="T285" s="14" t="str">
        <x:v>Yanlışlar +1, +7 ve +21 gün aralıklarıyla tekrar edilir; hâlâ yanlışsa konu mastery durumu düşürülür.</x:v>
      </x:c>
    </x:row>
    <x:row r="286">
      <x:c r="A286" s="14" t="n">
        <x:v>285</x:v>
      </x:c>
      <x:c r="B286" s="15" t="n">
        <x:v>46318</x:v>
      </x:c>
      <x:c r="C286" s="14" t="str">
        <x:v>Cuma</x:v>
      </x:c>
      <x:c r="D286" s="14" t="str">
        <x:v>Okul Günü</x:v>
      </x:c>
      <x:c r="E286" s="14" t="str">
        <x:v>16:00 sonrası</x:v>
      </x:c>
      <x:c r="F286" s="14" t="str">
        <x:v>F1 - Temel Kurma</x:v>
      </x:c>
      <x:c r="G286" s="14" t="str">
        <x:v>21:50</x:v>
      </x:c>
      <x:c r="H286" s="14" t="str">
        <x:v>22:00</x:v>
      </x:c>
      <x:c r="I286" s="14" t="str">
        <x:v>Genel</x:v>
      </x:c>
      <x:c r="J286" s="14" t="str">
        <x:v>Uyku Hazırlığı</x:v>
      </x:c>
      <x:c r="K286" s="14" t="str"/>
      <x:c r="L286" s="14" t="str">
        <x:v>22:00'de yatakta ve uyku.</x:v>
      </x:c>
      <x:c r="M286" s="14" t="str"/>
      <x:c r="N286" s="14" t="str"/>
      <x:c r="O286" s="14" t="n">
        <x:v>0</x:v>
      </x:c>
      <x:c r="P286" s="14" t="str">
        <x:v>Hayır</x:v>
      </x:c>
      <x:c r="Q286" s="14" t="str">
        <x:v>Hayır</x:v>
      </x:c>
      <x:c r="R286" s="14" t="str">
        <x:v>Planlandı</x:v>
      </x:c>
      <x:c r="S286" s="15" t="str"/>
      <x:c r="T286" s="14" t="str"/>
    </x:row>
    <x:row r="287">
      <x:c r="A287" s="14" t="n">
        <x:v>286</x:v>
      </x:c>
      <x:c r="B287" s="15" t="n">
        <x:v>46319</x:v>
      </x:c>
      <x:c r="C287" s="14" t="str">
        <x:v>Cumartesi</x:v>
      </x:c>
      <x:c r="D287" s="14" t="str">
        <x:v>Hafta Sonu</x:v>
      </x:c>
      <x:c r="E287" s="14" t="str">
        <x:v>Tam gün</x:v>
      </x:c>
      <x:c r="F287" s="14" t="str">
        <x:v>F1 - Temel Kurma</x:v>
      </x:c>
      <x:c r="G287" s="14" t="str">
        <x:v>09:30</x:v>
      </x:c>
      <x:c r="H287" s="14" t="str">
        <x:v>10:15</x:v>
      </x:c>
      <x:c r="I287" s="14" t="str">
        <x:v>Matematik</x:v>
      </x:c>
      <x:c r="J287" s="14" t="str">
        <x:v>Konu / Tekrar</x:v>
      </x:c>
      <x:c r="K287" s="14" t="str">
        <x:v>Bölme ve Bölünebilme</x:v>
      </x:c>
      <x:c r="L287" s="14" t="str">
        <x:v>Bölme ve Bölünebilme — genel oynatma listesinden ilgili videoyu izle (3/5).</x:v>
      </x:c>
      <x:c r="M287" s="14" t="str">
        <x:v>Matematik Ana Oynatma Listesi</x:v>
      </x:c>
      <x:c r="N287" s="14" t="str">
        <x:v>https://www.youtube.com/watch?v=EuJ89QzqrAg&amp;list=PLicNtF7vp6fnfDqrRLH6H7fIbzYT4ct4F&amp;index=11</x:v>
      </x:c>
      <x:c r="O287" s="14" t="n">
        <x:v>0</x:v>
      </x:c>
      <x:c r="P287" s="14" t="str">
        <x:v>Hayır</x:v>
      </x:c>
      <x:c r="Q287" s="14" t="str">
        <x:v>Evet</x:v>
      </x:c>
      <x:c r="R287" s="14" t="str">
        <x:v>Planlandı</x:v>
      </x:c>
      <x:c r="S287" s="15" t="str"/>
      <x:c r="T287" s="14" t="str">
        <x:v>Yeni konu ancak plan sırasıyla açılır; LGS dışı ileri TYT içeriği zorunlu değildir.</x:v>
      </x:c>
    </x:row>
    <x:row r="288">
      <x:c r="A288" s="14" t="n">
        <x:v>287</x:v>
      </x:c>
      <x:c r="B288" s="15" t="n">
        <x:v>46319</x:v>
      </x:c>
      <x:c r="C288" s="14" t="str">
        <x:v>Cumartesi</x:v>
      </x:c>
      <x:c r="D288" s="14" t="str">
        <x:v>Hafta Sonu</x:v>
      </x:c>
      <x:c r="E288" s="14" t="str">
        <x:v>Tam gün</x:v>
      </x:c>
      <x:c r="F288" s="14" t="str">
        <x:v>F1 - Temel Kurma</x:v>
      </x:c>
      <x:c r="G288" s="14" t="str">
        <x:v>10:25</x:v>
      </x:c>
      <x:c r="H288" s="14" t="str">
        <x:v>11:15</x:v>
      </x:c>
      <x:c r="I288" s="14" t="str">
        <x:v>Matematik</x:v>
      </x:c>
      <x:c r="J288" s="14" t="str">
        <x:v>Kitap / MEB / Mastery</x:v>
      </x:c>
      <x:c r="K288" s="14" t="str">
        <x:v>Bölme ve Bölünebilme</x:v>
      </x:c>
      <x:c r="L288" s="14" t="str">
        <x:v>Bölme ve Bölünebilme ile ilgili soru kitabından en az 20 soru / bugünkü test payını çöz.</x:v>
      </x:c>
      <x:c r="M288" s="14" t="str">
        <x:v>MUBA 8. Sınıf Başlangıç Matematik (ISBN 9789756526972) (eşleşen bölüm) + MEB temel destek</x:v>
      </x:c>
      <x:c r="N288" s="14" t="str">
        <x:v>https://odsgm.meb.gov.tr/www/5-6-7-ve-9-sinif-duzeylerinde-calisma-sorulari-yayimlandi/icerik/775</x:v>
      </x:c>
      <x:c r="O288" s="14" t="n">
        <x:v>20</x:v>
      </x:c>
      <x:c r="P288" s="14" t="str">
        <x:v>İlk 20 soru</x:v>
      </x:c>
      <x:c r="Q288" s="14" t="str">
        <x:v>Evet</x:v>
      </x:c>
      <x:c r="R288" s="14" t="str">
        <x:v>Planlandı</x:v>
      </x:c>
      <x:c r="S288" s="15" t="str"/>
      <x:c r="T288" s="14" t="str">
        <x:v>Ayrı/rastgele matematik benchmark yoktur. Süreli ilk 20 soru o gün çalışılan konunun içindedir.</x:v>
      </x:c>
    </x:row>
    <x:row r="289">
      <x:c r="A289" s="14" t="n">
        <x:v>288</x:v>
      </x:c>
      <x:c r="B289" s="15" t="n">
        <x:v>46319</x:v>
      </x:c>
      <x:c r="C289" s="14" t="str">
        <x:v>Cumartesi</x:v>
      </x:c>
      <x:c r="D289" s="14" t="str">
        <x:v>Hafta Sonu</x:v>
      </x:c>
      <x:c r="E289" s="14" t="str">
        <x:v>Tam gün</x:v>
      </x:c>
      <x:c r="F289" s="14" t="str">
        <x:v>F1 - Temel Kurma</x:v>
      </x:c>
      <x:c r="G289" s="14" t="str">
        <x:v>12:00</x:v>
      </x:c>
      <x:c r="H289" s="14" t="str">
        <x:v>14:00</x:v>
      </x:c>
      <x:c r="I289" s="14" t="str">
        <x:v>Genel</x:v>
      </x:c>
      <x:c r="J289" s="14" t="str">
        <x:v>Yemek / Serbest Zaman</x:v>
      </x:c>
      <x:c r="K289" s="14" t="str"/>
      <x:c r="L289" s="14" t="str">
        <x:v>Yemek, hareket ve dinlenme.</x:v>
      </x:c>
      <x:c r="M289" s="14" t="str"/>
      <x:c r="N289" s="14" t="str"/>
      <x:c r="O289" s="14" t="n">
        <x:v>0</x:v>
      </x:c>
      <x:c r="P289" s="14" t="str">
        <x:v>Hayır</x:v>
      </x:c>
      <x:c r="Q289" s="14" t="str">
        <x:v>Hayır</x:v>
      </x:c>
      <x:c r="R289" s="14" t="str">
        <x:v>Planlandı</x:v>
      </x:c>
      <x:c r="S289" s="15" t="str"/>
      <x:c r="T289" s="14" t="str"/>
    </x:row>
    <x:row r="290">
      <x:c r="A290" s="14" t="n">
        <x:v>289</x:v>
      </x:c>
      <x:c r="B290" s="15" t="n">
        <x:v>46319</x:v>
      </x:c>
      <x:c r="C290" s="14" t="str">
        <x:v>Cumartesi</x:v>
      </x:c>
      <x:c r="D290" s="14" t="str">
        <x:v>Hafta Sonu</x:v>
      </x:c>
      <x:c r="E290" s="14" t="str">
        <x:v>Tam gün</x:v>
      </x:c>
      <x:c r="F290" s="14" t="str">
        <x:v>F1 - Temel Kurma</x:v>
      </x:c>
      <x:c r="G290" s="14" t="str">
        <x:v>11:25</x:v>
      </x:c>
      <x:c r="H290" s="14" t="str">
        <x:v>11:55</x:v>
      </x:c>
      <x:c r="I290" s="14" t="str">
        <x:v>Türkçe</x:v>
      </x:c>
      <x:c r="J290" s="14" t="str">
        <x:v>Paragraf Rutini</x:v>
      </x:c>
      <x:c r="K290" s="14" t="str">
        <x:v>Paragraf</x:v>
      </x:c>
      <x:c r="L290" s="14" t="str">
        <x:v>En az 20 paragraf sorusu çöz; ilk 20 soruyu ileri sayımla ölç, D/Y/B + süre kaydet.</x:v>
      </x:c>
      <x:c r="M290" s="14" t="str">
        <x:v>Hız 8. Sınıf Türkçe Paragraf (ISBN 9786258394498)</x:v>
      </x:c>
      <x:c r="N290" s="14" t="str"/>
      <x:c r="O290" s="14" t="n">
        <x:v>20</x:v>
      </x:c>
      <x:c r="P290" s="14" t="str">
        <x:v>İlk 20 soru</x:v>
      </x:c>
      <x:c r="Q290" s="14" t="str">
        <x:v>Evet</x:v>
      </x:c>
      <x:c r="R290" s="14" t="str">
        <x:v>Planlandı</x:v>
      </x:c>
      <x:c r="S290" s="15" t="str"/>
      <x:c r="T290" s="14" t="str">
        <x:v>Geri sayım ve hedef süre yok.</x:v>
      </x:c>
    </x:row>
    <x:row r="291">
      <x:c r="A291" s="14" t="n">
        <x:v>290</x:v>
      </x:c>
      <x:c r="B291" s="15" t="n">
        <x:v>46319</x:v>
      </x:c>
      <x:c r="C291" s="14" t="str">
        <x:v>Cumartesi</x:v>
      </x:c>
      <x:c r="D291" s="14" t="str">
        <x:v>Hafta Sonu</x:v>
      </x:c>
      <x:c r="E291" s="14" t="str">
        <x:v>Tam gün</x:v>
      </x:c>
      <x:c r="F291" s="14" t="str">
        <x:v>F1 - Temel Kurma</x:v>
      </x:c>
      <x:c r="G291" s="14" t="str">
        <x:v>14:00</x:v>
      </x:c>
      <x:c r="H291" s="14" t="str">
        <x:v>14:40</x:v>
      </x:c>
      <x:c r="I291" s="14" t="str">
        <x:v>Türkçe</x:v>
      </x:c>
      <x:c r="J291" s="14" t="str">
        <x:v>Konu / Tekrar</x:v>
      </x:c>
      <x:c r="K291" s="14" t="str">
        <x:v>Ses Bilgisi</x:v>
      </x:c>
      <x:c r="L291" s="14" t="str">
        <x:v>Ses Bilgisi — genel oynatma listesinden ilgili videoyu izle (2/3).</x:v>
      </x:c>
      <x:c r="M291" s="14" t="str">
        <x:v>Türkçe Ana Oynatma Listesi</x:v>
      </x:c>
      <x:c r="N291" s="14" t="str">
        <x:v>https://www.youtube.com/watch?v=VYsPntNKVdw&amp;list=PLIBjFaUoJJ91bz7QQEBlxNJNZka5YQRr6</x:v>
      </x:c>
      <x:c r="O291" s="14" t="n">
        <x:v>0</x:v>
      </x:c>
      <x:c r="P291" s="14" t="str">
        <x:v>Hayır</x:v>
      </x:c>
      <x:c r="Q291" s="14" t="str">
        <x:v>Evet</x:v>
      </x:c>
      <x:c r="R291" s="14" t="str">
        <x:v>Planlandı</x:v>
      </x:c>
      <x:c r="S291" s="15" t="str"/>
      <x:c r="T291" s="14" t="str">
        <x:v>TYT etiketli kaynak temelden başlamak için sabittir; LGS dışı gereksiz ayrıntı zorunlu değildir.</x:v>
      </x:c>
    </x:row>
    <x:row r="292">
      <x:c r="A292" s="14" t="n">
        <x:v>291</x:v>
      </x:c>
      <x:c r="B292" s="15" t="n">
        <x:v>46319</x:v>
      </x:c>
      <x:c r="C292" s="14" t="str">
        <x:v>Cumartesi</x:v>
      </x:c>
      <x:c r="D292" s="14" t="str">
        <x:v>Hafta Sonu</x:v>
      </x:c>
      <x:c r="E292" s="14" t="str">
        <x:v>Tam gün</x:v>
      </x:c>
      <x:c r="F292" s="14" t="str">
        <x:v>F1 - Temel Kurma</x:v>
      </x:c>
      <x:c r="G292" s="14" t="str">
        <x:v>14:50</x:v>
      </x:c>
      <x:c r="H292" s="14" t="str">
        <x:v>15:30</x:v>
      </x:c>
      <x:c r="I292" s="14" t="str">
        <x:v>Türkçe</x:v>
      </x:c>
      <x:c r="J292" s="14" t="str">
        <x:v>Kitap / MEB / Mastery</x:v>
      </x:c>
      <x:c r="K292" s="14" t="str">
        <x:v>Ses Bilgisi</x:v>
      </x:c>
      <x:c r="L292" s="14" t="str">
        <x:v>Ses Bilgisi ile ilgili soru kitabından en az 10 soru / bugünkü test payını çöz.</x:v>
      </x:c>
      <x:c r="M292" s="14" t="str">
        <x:v>Ankara 8. Sınıf Dil Bilgisi Güçlendiren (eşleşen bölüm) + MEB temel destek</x:v>
      </x:c>
      <x:c r="N292" s="14" t="str">
        <x:v>https://odsgm.meb.gov.tr/www/5-6-7-ve-9-sinif-duzeylerinde-calisma-sorulari-yayimlandi/icerik/775</x:v>
      </x:c>
      <x:c r="O292" s="14" t="n">
        <x:v>10</x:v>
      </x:c>
      <x:c r="P292" s="14" t="str">
        <x:v>Hayır</x:v>
      </x:c>
      <x:c r="Q292" s="14" t="str">
        <x:v>Evet</x:v>
      </x:c>
      <x:c r="R292" s="14" t="str">
        <x:v>Planlandı</x:v>
      </x:c>
      <x:c r="S292" s="15" t="str"/>
      <x:c r="T292" s="14" t="str"/>
    </x:row>
    <x:row r="293">
      <x:c r="A293" s="14" t="n">
        <x:v>292</x:v>
      </x:c>
      <x:c r="B293" s="15" t="n">
        <x:v>46319</x:v>
      </x:c>
      <x:c r="C293" s="14" t="str">
        <x:v>Cumartesi</x:v>
      </x:c>
      <x:c r="D293" s="14" t="str">
        <x:v>Hafta Sonu</x:v>
      </x:c>
      <x:c r="E293" s="14" t="str">
        <x:v>Tam gün</x:v>
      </x:c>
      <x:c r="F293" s="14" t="str">
        <x:v>F1 - Temel Kurma</x:v>
      </x:c>
      <x:c r="G293" s="14" t="str">
        <x:v>15:45</x:v>
      </x:c>
      <x:c r="H293" s="14" t="str">
        <x:v>16:25</x:v>
      </x:c>
      <x:c r="I293" s="14" t="str">
        <x:v>İngilizce</x:v>
      </x:c>
      <x:c r="J293" s="14" t="str">
        <x:v>Konu / Tekrar</x:v>
      </x:c>
      <x:c r="K293" s="14" t="str">
        <x:v>Unit 2 - Teen Life</x:v>
      </x:c>
      <x:c r="L293" s="14" t="str">
        <x:v>Unit 2 - Teen Life — Reading çalışmasını playlistten yap.</x:v>
      </x:c>
      <x:c r="M293" s="14" t="str">
        <x:v>İngilizce Genel Oynatma Listesi</x:v>
      </x:c>
      <x:c r="N293" s="14" t="str">
        <x:v>https://www.youtube.com/watch?v=FaY3dFjZbns&amp;list=PLSgpQDrUSYp94WgE9pzpHiOG5FwxnZBrr</x:v>
      </x:c>
      <x:c r="O293" s="14" t="n">
        <x:v>0</x:v>
      </x:c>
      <x:c r="P293" s="14" t="str">
        <x:v>Hayır</x:v>
      </x:c>
      <x:c r="Q293" s="14" t="str">
        <x:v>Evet</x:v>
      </x:c>
      <x:c r="R293" s="14" t="str">
        <x:v>Planlandı</x:v>
      </x:c>
      <x:c r="S293" s="15" t="str"/>
      <x:c r="T293" s="14" t="str"/>
    </x:row>
    <x:row r="294">
      <x:c r="A294" s="14" t="n">
        <x:v>293</x:v>
      </x:c>
      <x:c r="B294" s="15" t="n">
        <x:v>46319</x:v>
      </x:c>
      <x:c r="C294" s="14" t="str">
        <x:v>Cumartesi</x:v>
      </x:c>
      <x:c r="D294" s="14" t="str">
        <x:v>Hafta Sonu</x:v>
      </x:c>
      <x:c r="E294" s="14" t="str">
        <x:v>Tam gün</x:v>
      </x:c>
      <x:c r="F294" s="14" t="str">
        <x:v>F1 - Temel Kurma</x:v>
      </x:c>
      <x:c r="G294" s="14" t="str">
        <x:v>16:35</x:v>
      </x:c>
      <x:c r="H294" s="14" t="str">
        <x:v>17:15</x:v>
      </x:c>
      <x:c r="I294" s="14" t="str">
        <x:v>İngilizce</x:v>
      </x:c>
      <x:c r="J294" s="14" t="str">
        <x:v>Kitap / MEB / Mastery</x:v>
      </x:c>
      <x:c r="K294" s="14" t="str">
        <x:v>Unit 2 - Teen Life</x:v>
      </x:c>
      <x:c r="L294" s="14" t="str">
        <x:v>Unit 2 - Teen Life ile ilgili soru kitabından en az 15 soru / bugünkü test payını çöz.</x:v>
      </x:c>
      <x:c r="M294" s="14" t="str">
        <x:v>More &amp; More 8 Worksheets Notebook</x:v>
      </x:c>
      <x:c r="N294" s="14" t="str">
        <x:v>https://www.youtube.com/watch?v=FaY3dFjZbns&amp;list=PLSgpQDrUSYp94WgE9pzpHiOG5FwxnZBrr</x:v>
      </x:c>
      <x:c r="O294" s="14" t="n">
        <x:v>15</x:v>
      </x:c>
      <x:c r="P294" s="14" t="str">
        <x:v>Hayır</x:v>
      </x:c>
      <x:c r="Q294" s="14" t="str">
        <x:v>Evet</x:v>
      </x:c>
      <x:c r="R294" s="14" t="str">
        <x:v>Planlandı</x:v>
      </x:c>
      <x:c r="S294" s="15" t="str"/>
      <x:c r="T294" s="14" t="str"/>
    </x:row>
    <x:row r="295">
      <x:c r="A295" s="14" t="n">
        <x:v>294</x:v>
      </x:c>
      <x:c r="B295" s="15" t="n">
        <x:v>46319</x:v>
      </x:c>
      <x:c r="C295" s="14" t="str">
        <x:v>Cumartesi</x:v>
      </x:c>
      <x:c r="D295" s="14" t="str">
        <x:v>Hafta Sonu</x:v>
      </x:c>
      <x:c r="E295" s="14" t="str">
        <x:v>Tam gün</x:v>
      </x:c>
      <x:c r="F295" s="14" t="str">
        <x:v>F1 - Temel Kurma</x:v>
      </x:c>
      <x:c r="G295" s="14" t="str">
        <x:v>17:25</x:v>
      </x:c>
      <x:c r="H295" s="14" t="str">
        <x:v>17:55</x:v>
      </x:c>
      <x:c r="I295" s="14" t="str">
        <x:v>Fen</x:v>
      </x:c>
      <x:c r="J295" s="14" t="str">
        <x:v>Ek Fen Pekiştirme</x:v>
      </x:c>
      <x:c r="K295" s="14" t="str">
        <x:v>Kalıtım</x:v>
      </x:c>
      <x:c r="L295" s="14" t="str">
        <x:v>Kalıtım — Fen konu anlatım playlistinden ilgili videoyu izle.</x:v>
      </x:c>
      <x:c r="M295" s="14" t="str">
        <x:v>Fen Konu/Soru Oynatma Listesi</x:v>
      </x:c>
      <x:c r="N295" s="14" t="str">
        <x:v>https://www.youtube.com/watch?v=AHdk01aR4Ko&amp;list=PLrQm7mt99FRV_Oe9xFavWzFpCIl7_XiWj</x:v>
      </x:c>
      <x:c r="O295" s="14" t="n">
        <x:v>0</x:v>
      </x:c>
      <x:c r="P295" s="14" t="str">
        <x:v>Hayır</x:v>
      </x:c>
      <x:c r="Q295" s="14" t="str">
        <x:v>Evet</x:v>
      </x:c>
      <x:c r="R295" s="14" t="str">
        <x:v>Planlandı</x:v>
      </x:c>
      <x:c r="S295" s="15" t="str"/>
      <x:c r="T295" s="14" t="str">
        <x:v>Fen haftalık temas sıklığını artırmak için ek Cumartesi oturumu.</x:v>
      </x:c>
    </x:row>
    <x:row r="296">
      <x:c r="A296" s="14" t="n">
        <x:v>295</x:v>
      </x:c>
      <x:c r="B296" s="15" t="n">
        <x:v>46319</x:v>
      </x:c>
      <x:c r="C296" s="14" t="str">
        <x:v>Cumartesi</x:v>
      </x:c>
      <x:c r="D296" s="14" t="str">
        <x:v>Hafta Sonu</x:v>
      </x:c>
      <x:c r="E296" s="14" t="str">
        <x:v>Tam gün</x:v>
      </x:c>
      <x:c r="F296" s="14" t="str">
        <x:v>F1 - Temel Kurma</x:v>
      </x:c>
      <x:c r="G296" s="14" t="str">
        <x:v>17:55</x:v>
      </x:c>
      <x:c r="H296" s="14" t="str">
        <x:v>18:25</x:v>
      </x:c>
      <x:c r="I296" s="14" t="str">
        <x:v>Fen</x:v>
      </x:c>
      <x:c r="J296" s="14" t="str">
        <x:v>Ek Fen Kitap / MEB</x:v>
      </x:c>
      <x:c r="K296" s="14" t="str">
        <x:v>Kalıtım</x:v>
      </x:c>
      <x:c r="L296" s="14" t="str">
        <x:v>Kalıtım ile ilgili soru kitabından en az 15 soru / bugünkü test payını çöz.</x:v>
      </x:c>
      <x:c r="M296" s="14" t="str">
        <x:v>Hız 8. Sınıf Fen (ISBN 9786257514859); tamamlandıysa Mozaik 8. Sınıf Fen</x:v>
      </x:c>
      <x:c r="N296" s="14" t="str">
        <x:v>https://www.youtube.com/watch?v=AHdk01aR4Ko&amp;list=PLrQm7mt99FRV_Oe9xFavWzFpCIl7_XiWj</x:v>
      </x:c>
      <x:c r="O296" s="14" t="n">
        <x:v>15</x:v>
      </x:c>
      <x:c r="P296" s="14" t="str">
        <x:v>Hayır</x:v>
      </x:c>
      <x:c r="Q296" s="14" t="str">
        <x:v>Evet</x:v>
      </x:c>
      <x:c r="R296" s="14" t="str">
        <x:v>Planlandı</x:v>
      </x:c>
      <x:c r="S296" s="15" t="str"/>
      <x:c r="T296" s="14" t="str">
        <x:v>Fen için Hız → gerekiyorsa Mozaik; MEB doğrulaması konu bitiminde.</x:v>
      </x:c>
    </x:row>
    <x:row r="297">
      <x:c r="A297" s="14" t="n">
        <x:v>296</x:v>
      </x:c>
      <x:c r="B297" s="15" t="n">
        <x:v>46319</x:v>
      </x:c>
      <x:c r="C297" s="14" t="str">
        <x:v>Cumartesi</x:v>
      </x:c>
      <x:c r="D297" s="14" t="str">
        <x:v>Hafta Sonu</x:v>
      </x:c>
      <x:c r="E297" s="14" t="str">
        <x:v>Tam gün</x:v>
      </x:c>
      <x:c r="F297" s="14" t="str">
        <x:v>F1 - Temel Kurma</x:v>
      </x:c>
      <x:c r="G297" s="14" t="str">
        <x:v>18:25</x:v>
      </x:c>
      <x:c r="H297" s="14" t="str">
        <x:v>18:45</x:v>
      </x:c>
      <x:c r="I297" s="14" t="str">
        <x:v>Genel</x:v>
      </x:c>
      <x:c r="J297" s="14" t="str">
        <x:v>Yanlış / Boş Analizi</x:v>
      </x:c>
      <x:c r="K297" s="14" t="str">
        <x:v>Günlük</x:v>
      </x:c>
      <x:c r="L297" s="14" t="str">
        <x:v>Bugünkü yanlış/boşları kaydet; çözümünü öğrenmeden kapatma. Hata türünü sınıflandır.</x:v>
      </x:c>
      <x:c r="M297" s="14" t="str">
        <x:v>Yanlış Defteri</x:v>
      </x:c>
      <x:c r="N297" s="14" t="str"/>
      <x:c r="O297" s="14" t="n">
        <x:v>0</x:v>
      </x:c>
      <x:c r="P297" s="14" t="str">
        <x:v>Hayır</x:v>
      </x:c>
      <x:c r="Q297" s="14" t="str">
        <x:v>Evet</x:v>
      </x:c>
      <x:c r="R297" s="14" t="str">
        <x:v>Planlandı</x:v>
      </x:c>
      <x:c r="S297" s="15" t="str"/>
      <x:c r="T297" s="14" t="str"/>
    </x:row>
    <x:row r="298">
      <x:c r="A298" s="14" t="n">
        <x:v>297</x:v>
      </x:c>
      <x:c r="B298" s="15" t="n">
        <x:v>46319</x:v>
      </x:c>
      <x:c r="C298" s="14" t="str">
        <x:v>Cumartesi</x:v>
      </x:c>
      <x:c r="D298" s="14" t="str">
        <x:v>Hafta Sonu</x:v>
      </x:c>
      <x:c r="E298" s="14" t="str">
        <x:v>Tam gün</x:v>
      </x:c>
      <x:c r="F298" s="14" t="str">
        <x:v>F1 - Temel Kurma</x:v>
      </x:c>
      <x:c r="G298" s="14" t="str">
        <x:v>18:45</x:v>
      </x:c>
      <x:c r="H298" s="14" t="str">
        <x:v>19:05</x:v>
      </x:c>
      <x:c r="I298" s="14" t="str">
        <x:v>Genel</x:v>
      </x:c>
      <x:c r="J298" s="14" t="str">
        <x:v>Aralıklı Hata Tekrarı</x:v>
      </x:c>
      <x:c r="K298" s="14" t="str">
        <x:v>+1 / +7 / +21</x:v>
      </x:c>
      <x:c r="L298" s="14" t="str">
        <x:v>Bugün vadesi gelen yanlış soruları tekrar çöz. Vadesi yoksa bu süre serbest/okuma olabilir.</x:v>
      </x:c>
      <x:c r="M298" s="14" t="str">
        <x:v>Yanlış Defteri</x:v>
      </x:c>
      <x:c r="N298" s="14" t="str"/>
      <x:c r="O298" s="14" t="n">
        <x:v>0</x:v>
      </x:c>
      <x:c r="P298" s="14" t="str">
        <x:v>Hayır</x:v>
      </x:c>
      <x:c r="Q298" s="14" t="str">
        <x:v>Koşullu</x:v>
      </x:c>
      <x:c r="R298" s="14" t="str">
        <x:v>Planlandı</x:v>
      </x:c>
      <x:c r="S298" s="15" t="str"/>
      <x:c r="T298" s="14" t="str">
        <x:v>Yanlışlar +1, +7 ve +21 gün aralıklarıyla tekrar edilir; hâlâ yanlışsa konu mastery durumu düşürülür.</x:v>
      </x:c>
    </x:row>
    <x:row r="299">
      <x:c r="A299" s="14" t="n">
        <x:v>298</x:v>
      </x:c>
      <x:c r="B299" s="15" t="n">
        <x:v>46319</x:v>
      </x:c>
      <x:c r="C299" s="14" t="str">
        <x:v>Cumartesi</x:v>
      </x:c>
      <x:c r="D299" s="14" t="str">
        <x:v>Hafta Sonu</x:v>
      </x:c>
      <x:c r="E299" s="14" t="str">
        <x:v>Tam gün</x:v>
      </x:c>
      <x:c r="F299" s="14" t="str">
        <x:v>F1 - Temel Kurma</x:v>
      </x:c>
      <x:c r="G299" s="14" t="str">
        <x:v>20:00</x:v>
      </x:c>
      <x:c r="H299" s="14" t="str">
        <x:v>20:30</x:v>
      </x:c>
      <x:c r="I299" s="14" t="str">
        <x:v>Okuma</x:v>
      </x:c>
      <x:c r="J299" s="14" t="str">
        <x:v>İsteğe Bağlı</x:v>
      </x:c>
      <x:c r="K299" s="14" t="str">
        <x:v>Serbest Kitap</x:v>
      </x:c>
      <x:c r="L299" s="14" t="str">
        <x:v>Zorunlu çalışmalar bittiyse isteğe bağlı kitap oku.</x:v>
      </x:c>
      <x:c r="M299" s="14" t="str">
        <x:v>Serbest Kitap</x:v>
      </x:c>
      <x:c r="N299" s="14" t="str"/>
      <x:c r="O299" s="14" t="n">
        <x:v>0</x:v>
      </x:c>
      <x:c r="P299" s="14" t="str">
        <x:v>İsteğe Bağlı</x:v>
      </x:c>
      <x:c r="Q299" s="14" t="str">
        <x:v>Hayır</x:v>
      </x:c>
      <x:c r="R299" s="14" t="str">
        <x:v>Planlandı</x:v>
      </x:c>
      <x:c r="S299" s="15" t="str"/>
      <x:c r="T299" s="14" t="str">
        <x:v>Minimum süre yok.</x:v>
      </x:c>
    </x:row>
    <x:row r="300">
      <x:c r="A300" s="14" t="n">
        <x:v>299</x:v>
      </x:c>
      <x:c r="B300" s="15" t="n">
        <x:v>46319</x:v>
      </x:c>
      <x:c r="C300" s="14" t="str">
        <x:v>Cumartesi</x:v>
      </x:c>
      <x:c r="D300" s="14" t="str">
        <x:v>Hafta Sonu</x:v>
      </x:c>
      <x:c r="E300" s="14" t="str">
        <x:v>Tam gün</x:v>
      </x:c>
      <x:c r="F300" s="14" t="str">
        <x:v>F1 - Temel Kurma</x:v>
      </x:c>
      <x:c r="G300" s="14" t="str">
        <x:v>21:50</x:v>
      </x:c>
      <x:c r="H300" s="14" t="str">
        <x:v>22:00</x:v>
      </x:c>
      <x:c r="I300" s="14" t="str">
        <x:v>Genel</x:v>
      </x:c>
      <x:c r="J300" s="14" t="str">
        <x:v>Uyku Hazırlığı</x:v>
      </x:c>
      <x:c r="K300" s="14" t="str"/>
      <x:c r="L300" s="14" t="str">
        <x:v>22:00'de yatakta ve uyku.</x:v>
      </x:c>
      <x:c r="M300" s="14" t="str"/>
      <x:c r="N300" s="14" t="str"/>
      <x:c r="O300" s="14" t="n">
        <x:v>0</x:v>
      </x:c>
      <x:c r="P300" s="14" t="str">
        <x:v>Hayır</x:v>
      </x:c>
      <x:c r="Q300" s="14" t="str">
        <x:v>Hayır</x:v>
      </x:c>
      <x:c r="R300" s="14" t="str">
        <x:v>Planlandı</x:v>
      </x:c>
      <x:c r="S300" s="15" t="str"/>
      <x:c r="T300" s="14" t="str"/>
    </x:row>
    <x:row r="301">
      <x:c r="A301" s="14" t="n">
        <x:v>300</x:v>
      </x:c>
      <x:c r="B301" s="15" t="n">
        <x:v>46320</x:v>
      </x:c>
      <x:c r="C301" s="14" t="str">
        <x:v>Pazar</x:v>
      </x:c>
      <x:c r="D301" s="14" t="str">
        <x:v>Hafta Sonu</x:v>
      </x:c>
      <x:c r="E301" s="14" t="str">
        <x:v>Tam gün</x:v>
      </x:c>
      <x:c r="F301" s="14" t="str">
        <x:v>F1 - Temel Kurma</x:v>
      </x:c>
      <x:c r="G301" s="14" t="str">
        <x:v>09:30</x:v>
      </x:c>
      <x:c r="H301" s="14" t="str">
        <x:v>10:15</x:v>
      </x:c>
      <x:c r="I301" s="14" t="str">
        <x:v>Matematik</x:v>
      </x:c>
      <x:c r="J301" s="14" t="str">
        <x:v>Konu / Tekrar</x:v>
      </x:c>
      <x:c r="K301" s="14" t="str">
        <x:v>Bölme ve Bölünebilme</x:v>
      </x:c>
      <x:c r="L301" s="14" t="str">
        <x:v>Bölme ve Bölünebilme — genel oynatma listesinden ilgili videoyu izle (4/5).</x:v>
      </x:c>
      <x:c r="M301" s="14" t="str">
        <x:v>Matematik Ana Oynatma Listesi</x:v>
      </x:c>
      <x:c r="N301" s="14" t="str">
        <x:v>https://www.youtube.com/watch?v=EuJ89QzqrAg&amp;list=PLicNtF7vp6fnfDqrRLH6H7fIbzYT4ct4F&amp;index=11</x:v>
      </x:c>
      <x:c r="O301" s="14" t="n">
        <x:v>0</x:v>
      </x:c>
      <x:c r="P301" s="14" t="str">
        <x:v>Hayır</x:v>
      </x:c>
      <x:c r="Q301" s="14" t="str">
        <x:v>Evet</x:v>
      </x:c>
      <x:c r="R301" s="14" t="str">
        <x:v>Planlandı</x:v>
      </x:c>
      <x:c r="S301" s="15" t="str"/>
      <x:c r="T301" s="14" t="str">
        <x:v>Yeni konu ancak plan sırasıyla açılır; LGS dışı ileri TYT içeriği zorunlu değildir.</x:v>
      </x:c>
    </x:row>
    <x:row r="302">
      <x:c r="A302" s="14" t="n">
        <x:v>301</x:v>
      </x:c>
      <x:c r="B302" s="15" t="n">
        <x:v>46320</x:v>
      </x:c>
      <x:c r="C302" s="14" t="str">
        <x:v>Pazar</x:v>
      </x:c>
      <x:c r="D302" s="14" t="str">
        <x:v>Hafta Sonu</x:v>
      </x:c>
      <x:c r="E302" s="14" t="str">
        <x:v>Tam gün</x:v>
      </x:c>
      <x:c r="F302" s="14" t="str">
        <x:v>F1 - Temel Kurma</x:v>
      </x:c>
      <x:c r="G302" s="14" t="str">
        <x:v>10:25</x:v>
      </x:c>
      <x:c r="H302" s="14" t="str">
        <x:v>11:15</x:v>
      </x:c>
      <x:c r="I302" s="14" t="str">
        <x:v>Matematik</x:v>
      </x:c>
      <x:c r="J302" s="14" t="str">
        <x:v>Kitap / MEB / Mastery</x:v>
      </x:c>
      <x:c r="K302" s="14" t="str">
        <x:v>Bölme ve Bölünebilme</x:v>
      </x:c>
      <x:c r="L302" s="14" t="str">
        <x:v>Bölme ve Bölünebilme ile ilgili soru kitabından en az 20 soru / bugünkü test payını çöz.</x:v>
      </x:c>
      <x:c r="M302" s="14" t="str">
        <x:v>MUBA 8. Sınıf Başlangıç Matematik (ISBN 9789756526972) (eşleşen bölüm) + MEB temel destek</x:v>
      </x:c>
      <x:c r="N302" s="14" t="str">
        <x:v>https://odsgm.meb.gov.tr/www/5-6-7-ve-9-sinif-duzeylerinde-calisma-sorulari-yayimlandi/icerik/775</x:v>
      </x:c>
      <x:c r="O302" s="14" t="n">
        <x:v>20</x:v>
      </x:c>
      <x:c r="P302" s="14" t="str">
        <x:v>İlk 20 soru</x:v>
      </x:c>
      <x:c r="Q302" s="14" t="str">
        <x:v>Evet</x:v>
      </x:c>
      <x:c r="R302" s="14" t="str">
        <x:v>Planlandı</x:v>
      </x:c>
      <x:c r="S302" s="15" t="str"/>
      <x:c r="T302" s="14" t="str">
        <x:v>Ayrı/rastgele matematik benchmark yoktur. Süreli ilk 20 soru o gün çalışılan konunun içindedir.</x:v>
      </x:c>
    </x:row>
    <x:row r="303">
      <x:c r="A303" s="14" t="n">
        <x:v>302</x:v>
      </x:c>
      <x:c r="B303" s="15" t="n">
        <x:v>46320</x:v>
      </x:c>
      <x:c r="C303" s="14" t="str">
        <x:v>Pazar</x:v>
      </x:c>
      <x:c r="D303" s="14" t="str">
        <x:v>Hafta Sonu</x:v>
      </x:c>
      <x:c r="E303" s="14" t="str">
        <x:v>Tam gün</x:v>
      </x:c>
      <x:c r="F303" s="14" t="str">
        <x:v>F1 - Temel Kurma</x:v>
      </x:c>
      <x:c r="G303" s="14" t="str">
        <x:v>12:00</x:v>
      </x:c>
      <x:c r="H303" s="14" t="str">
        <x:v>14:00</x:v>
      </x:c>
      <x:c r="I303" s="14" t="str">
        <x:v>Genel</x:v>
      </x:c>
      <x:c r="J303" s="14" t="str">
        <x:v>Yemek / Serbest Zaman</x:v>
      </x:c>
      <x:c r="K303" s="14" t="str"/>
      <x:c r="L303" s="14" t="str">
        <x:v>Yemek, hareket ve dinlenme.</x:v>
      </x:c>
      <x:c r="M303" s="14" t="str"/>
      <x:c r="N303" s="14" t="str"/>
      <x:c r="O303" s="14" t="n">
        <x:v>0</x:v>
      </x:c>
      <x:c r="P303" s="14" t="str">
        <x:v>Hayır</x:v>
      </x:c>
      <x:c r="Q303" s="14" t="str">
        <x:v>Hayır</x:v>
      </x:c>
      <x:c r="R303" s="14" t="str">
        <x:v>Planlandı</x:v>
      </x:c>
      <x:c r="S303" s="15" t="str"/>
      <x:c r="T303" s="14" t="str"/>
    </x:row>
    <x:row r="304">
      <x:c r="A304" s="14" t="n">
        <x:v>303</x:v>
      </x:c>
      <x:c r="B304" s="15" t="n">
        <x:v>46320</x:v>
      </x:c>
      <x:c r="C304" s="14" t="str">
        <x:v>Pazar</x:v>
      </x:c>
      <x:c r="D304" s="14" t="str">
        <x:v>Hafta Sonu</x:v>
      </x:c>
      <x:c r="E304" s="14" t="str">
        <x:v>Tam gün</x:v>
      </x:c>
      <x:c r="F304" s="14" t="str">
        <x:v>F1 - Temel Kurma</x:v>
      </x:c>
      <x:c r="G304" s="14" t="str">
        <x:v>11:25</x:v>
      </x:c>
      <x:c r="H304" s="14" t="str">
        <x:v>11:55</x:v>
      </x:c>
      <x:c r="I304" s="14" t="str">
        <x:v>Türkçe</x:v>
      </x:c>
      <x:c r="J304" s="14" t="str">
        <x:v>Paragraf Rutini</x:v>
      </x:c>
      <x:c r="K304" s="14" t="str">
        <x:v>Paragraf</x:v>
      </x:c>
      <x:c r="L304" s="14" t="str">
        <x:v>En az 20 paragraf sorusu çöz; ilk 20 soruyu ileri sayımla ölç, D/Y/B + süre kaydet.</x:v>
      </x:c>
      <x:c r="M304" s="14" t="str">
        <x:v>Hız 8. Sınıf Türkçe Paragraf (ISBN 9786258394498)</x:v>
      </x:c>
      <x:c r="N304" s="14" t="str"/>
      <x:c r="O304" s="14" t="n">
        <x:v>20</x:v>
      </x:c>
      <x:c r="P304" s="14" t="str">
        <x:v>İlk 20 soru</x:v>
      </x:c>
      <x:c r="Q304" s="14" t="str">
        <x:v>Evet</x:v>
      </x:c>
      <x:c r="R304" s="14" t="str">
        <x:v>Planlandı</x:v>
      </x:c>
      <x:c r="S304" s="15" t="str"/>
      <x:c r="T304" s="14" t="str">
        <x:v>Geri sayım ve hedef süre yok.</x:v>
      </x:c>
    </x:row>
    <x:row r="305">
      <x:c r="A305" s="14" t="n">
        <x:v>304</x:v>
      </x:c>
      <x:c r="B305" s="15" t="n">
        <x:v>46320</x:v>
      </x:c>
      <x:c r="C305" s="14" t="str">
        <x:v>Pazar</x:v>
      </x:c>
      <x:c r="D305" s="14" t="str">
        <x:v>Hafta Sonu</x:v>
      </x:c>
      <x:c r="E305" s="14" t="str">
        <x:v>Tam gün</x:v>
      </x:c>
      <x:c r="F305" s="14" t="str">
        <x:v>F1 - Temel Kurma</x:v>
      </x:c>
      <x:c r="G305" s="14" t="str">
        <x:v>14:00</x:v>
      </x:c>
      <x:c r="H305" s="14" t="str">
        <x:v>14:40</x:v>
      </x:c>
      <x:c r="I305" s="14" t="str">
        <x:v>Türkçe</x:v>
      </x:c>
      <x:c r="J305" s="14" t="str">
        <x:v>Konu / Tekrar</x:v>
      </x:c>
      <x:c r="K305" s="14" t="str">
        <x:v>Ses Bilgisi</x:v>
      </x:c>
      <x:c r="L305" s="14" t="str">
        <x:v>Ses Bilgisi — genel oynatma listesinden ilgili videoyu izle (3/3).</x:v>
      </x:c>
      <x:c r="M305" s="14" t="str">
        <x:v>Türkçe Ana Oynatma Listesi</x:v>
      </x:c>
      <x:c r="N305" s="14" t="str">
        <x:v>https://www.youtube.com/watch?v=VYsPntNKVdw&amp;list=PLIBjFaUoJJ91bz7QQEBlxNJNZka5YQRr6</x:v>
      </x:c>
      <x:c r="O305" s="14" t="n">
        <x:v>0</x:v>
      </x:c>
      <x:c r="P305" s="14" t="str">
        <x:v>Hayır</x:v>
      </x:c>
      <x:c r="Q305" s="14" t="str">
        <x:v>Evet</x:v>
      </x:c>
      <x:c r="R305" s="14" t="str">
        <x:v>Planlandı</x:v>
      </x:c>
      <x:c r="S305" s="15" t="str"/>
      <x:c r="T305" s="14" t="str">
        <x:v>TYT etiketli kaynak temelden başlamak için sabittir; LGS dışı gereksiz ayrıntı zorunlu değildir.</x:v>
      </x:c>
    </x:row>
    <x:row r="306">
      <x:c r="A306" s="14" t="n">
        <x:v>305</x:v>
      </x:c>
      <x:c r="B306" s="15" t="n">
        <x:v>46320</x:v>
      </x:c>
      <x:c r="C306" s="14" t="str">
        <x:v>Pazar</x:v>
      </x:c>
      <x:c r="D306" s="14" t="str">
        <x:v>Hafta Sonu</x:v>
      </x:c>
      <x:c r="E306" s="14" t="str">
        <x:v>Tam gün</x:v>
      </x:c>
      <x:c r="F306" s="14" t="str">
        <x:v>F1 - Temel Kurma</x:v>
      </x:c>
      <x:c r="G306" s="14" t="str">
        <x:v>14:50</x:v>
      </x:c>
      <x:c r="H306" s="14" t="str">
        <x:v>15:30</x:v>
      </x:c>
      <x:c r="I306" s="14" t="str">
        <x:v>Türkçe</x:v>
      </x:c>
      <x:c r="J306" s="14" t="str">
        <x:v>Kitap / MEB / Mastery</x:v>
      </x:c>
      <x:c r="K306" s="14" t="str">
        <x:v>Ses Bilgisi</x:v>
      </x:c>
      <x:c r="L306" s="14" t="str">
        <x:v>Ses Bilgisi ile ilgili soru kitabından en az 10 soru / bugünkü test payını çöz. İlgili kitap konu bölümünü bu oturumda bitirmeyi hedefle; sonraki oturum MEB doğrulaması.</x:v>
      </x:c>
      <x:c r="M306" s="14" t="str">
        <x:v>Ankara 8. Sınıf Dil Bilgisi Güçlendiren (eşleşen bölüm) + MEB temel destek</x:v>
      </x:c>
      <x:c r="N306" s="14" t="str">
        <x:v>https://odsgm.meb.gov.tr/www/5-6-7-ve-9-sinif-duzeylerinde-calisma-sorulari-yayimlandi/icerik/775</x:v>
      </x:c>
      <x:c r="O306" s="14" t="n">
        <x:v>10</x:v>
      </x:c>
      <x:c r="P306" s="14" t="str">
        <x:v>Hayır</x:v>
      </x:c>
      <x:c r="Q306" s="14" t="str">
        <x:v>Evet</x:v>
      </x:c>
      <x:c r="R306" s="14" t="str">
        <x:v>Planlandı</x:v>
      </x:c>
      <x:c r="S306" s="15" t="str"/>
      <x:c r="T306" s="14" t="str"/>
    </x:row>
    <x:row r="307">
      <x:c r="A307" s="14" t="n">
        <x:v>306</x:v>
      </x:c>
      <x:c r="B307" s="15" t="n">
        <x:v>46320</x:v>
      </x:c>
      <x:c r="C307" s="14" t="str">
        <x:v>Pazar</x:v>
      </x:c>
      <x:c r="D307" s="14" t="str">
        <x:v>Hafta Sonu</x:v>
      </x:c>
      <x:c r="E307" s="14" t="str">
        <x:v>Tam gün</x:v>
      </x:c>
      <x:c r="F307" s="14" t="str">
        <x:v>F1 - Temel Kurma</x:v>
      </x:c>
      <x:c r="G307" s="14" t="str">
        <x:v>15:45</x:v>
      </x:c>
      <x:c r="H307" s="14" t="str">
        <x:v>16:25</x:v>
      </x:c>
      <x:c r="I307" s="14" t="str">
        <x:v>Fen</x:v>
      </x:c>
      <x:c r="J307" s="14" t="str">
        <x:v>Konu / Tekrar</x:v>
      </x:c>
      <x:c r="K307" s="14" t="str">
        <x:v>Kalıtım</x:v>
      </x:c>
      <x:c r="L307" s="14" t="str">
        <x:v>Kalıtım — Fen soru çözüm playlistinden ilgili videoyu izle.</x:v>
      </x:c>
      <x:c r="M307" s="14" t="str">
        <x:v>Fen Soru Çözüm / Tekrar</x:v>
      </x:c>
      <x:c r="N307" s="14" t="str">
        <x:v>https://www.youtube.com/watch?v=pQXhWnDZ3vM&amp;list=PLrQm7mt99FRXcBnorCttd31HJEvg0En26&amp;index=23</x:v>
      </x:c>
      <x:c r="O307" s="14" t="n">
        <x:v>0</x:v>
      </x:c>
      <x:c r="P307" s="14" t="str">
        <x:v>Hayır</x:v>
      </x:c>
      <x:c r="Q307" s="14" t="str">
        <x:v>Evet</x:v>
      </x:c>
      <x:c r="R307" s="14" t="str">
        <x:v>Planlandı</x:v>
      </x:c>
      <x:c r="S307" s="15" t="str"/>
      <x:c r="T307" s="14" t="str"/>
    </x:row>
    <x:row r="308">
      <x:c r="A308" s="14" t="n">
        <x:v>307</x:v>
      </x:c>
      <x:c r="B308" s="15" t="n">
        <x:v>46320</x:v>
      </x:c>
      <x:c r="C308" s="14" t="str">
        <x:v>Pazar</x:v>
      </x:c>
      <x:c r="D308" s="14" t="str">
        <x:v>Hafta Sonu</x:v>
      </x:c>
      <x:c r="E308" s="14" t="str">
        <x:v>Tam gün</x:v>
      </x:c>
      <x:c r="F308" s="14" t="str">
        <x:v>F1 - Temel Kurma</x:v>
      </x:c>
      <x:c r="G308" s="14" t="str">
        <x:v>16:35</x:v>
      </x:c>
      <x:c r="H308" s="14" t="str">
        <x:v>17:15</x:v>
      </x:c>
      <x:c r="I308" s="14" t="str">
        <x:v>Fen</x:v>
      </x:c>
      <x:c r="J308" s="14" t="str">
        <x:v>Kitap / MEB / Mastery</x:v>
      </x:c>
      <x:c r="K308" s="14" t="str">
        <x:v>Kalıtım</x:v>
      </x:c>
      <x:c r="L308" s="14" t="str">
        <x:v>Kalıtım ile ilgili soru kitabından en az 15 soru / bugünkü test payını çöz.</x:v>
      </x:c>
      <x:c r="M308" s="14" t="str">
        <x:v>Hız 8. Sınıf Fen (ISBN 9786257514859); tamamlandıysa Mozaik 8. Sınıf Fen</x:v>
      </x:c>
      <x:c r="N308" s="14" t="str">
        <x:v>https://www.youtube.com/watch?v=pQXhWnDZ3vM&amp;list=PLrQm7mt99FRXcBnorCttd31HJEvg0En26&amp;index=23</x:v>
      </x:c>
      <x:c r="O308" s="14" t="n">
        <x:v>15</x:v>
      </x:c>
      <x:c r="P308" s="14" t="str">
        <x:v>Hayır</x:v>
      </x:c>
      <x:c r="Q308" s="14" t="str">
        <x:v>Evet</x:v>
      </x:c>
      <x:c r="R308" s="14" t="str">
        <x:v>Planlandı</x:v>
      </x:c>
      <x:c r="S308" s="15" t="str"/>
      <x:c r="T308" s="14" t="str"/>
    </x:row>
    <x:row r="309">
      <x:c r="A309" s="14" t="n">
        <x:v>308</x:v>
      </x:c>
      <x:c r="B309" s="15" t="n">
        <x:v>46320</x:v>
      </x:c>
      <x:c r="C309" s="14" t="str">
        <x:v>Pazar</x:v>
      </x:c>
      <x:c r="D309" s="14" t="str">
        <x:v>Hafta Sonu</x:v>
      </x:c>
      <x:c r="E309" s="14" t="str">
        <x:v>Tam gün</x:v>
      </x:c>
      <x:c r="F309" s="14" t="str">
        <x:v>F1 - Temel Kurma</x:v>
      </x:c>
      <x:c r="G309" s="14" t="str">
        <x:v>17:25</x:v>
      </x:c>
      <x:c r="H309" s="14" t="str">
        <x:v>18:25</x:v>
      </x:c>
      <x:c r="I309" s="14" t="str">
        <x:v>Genel</x:v>
      </x:c>
      <x:c r="J309" s="14" t="str">
        <x:v>Kaynak Tamamlama</x:v>
      </x:c>
      <x:c r="K309" s="14" t="str">
        <x:v>En Geride Kalan Kaynak</x:v>
      </x:c>
      <x:c r="L309" s="14" t="str">
        <x:v>Kaynak_Ilerleme sayfasında hedef yüzdesinin en gerisinde kalan ZORUNLU soru kaynağına 60 dk ayır. Öğrenilmemiş konudan ileri gitme.</x:v>
      </x:c>
      <x:c r="M309" s="14" t="str">
        <x:v>Kaynak İlerleme</x:v>
      </x:c>
      <x:c r="N309" s="14" t="str"/>
      <x:c r="O309" s="14" t="n">
        <x:v>0</x:v>
      </x:c>
      <x:c r="P309" s="14" t="str">
        <x:v>Hayır</x:v>
      </x:c>
      <x:c r="Q309" s="14" t="str">
        <x:v>Evet</x:v>
      </x:c>
      <x:c r="R309" s="14" t="str">
        <x:v>Planlandı</x:v>
      </x:c>
      <x:c r="S309" s="15" t="str"/>
      <x:c r="T309" s="14" t="str">
        <x:v>Amaç 13.04.2027'de zorunlu soru kitapları + ilgili MEB setlerini %100 tamamlamak.</x:v>
      </x:c>
    </x:row>
    <x:row r="310">
      <x:c r="A310" s="14" t="n">
        <x:v>309</x:v>
      </x:c>
      <x:c r="B310" s="15" t="n">
        <x:v>46320</x:v>
      </x:c>
      <x:c r="C310" s="14" t="str">
        <x:v>Pazar</x:v>
      </x:c>
      <x:c r="D310" s="14" t="str">
        <x:v>Hafta Sonu</x:v>
      </x:c>
      <x:c r="E310" s="14" t="str">
        <x:v>Tam gün</x:v>
      </x:c>
      <x:c r="F310" s="14" t="str">
        <x:v>F1 - Temel Kurma</x:v>
      </x:c>
      <x:c r="G310" s="14" t="str">
        <x:v>18:25</x:v>
      </x:c>
      <x:c r="H310" s="14" t="str">
        <x:v>18:45</x:v>
      </x:c>
      <x:c r="I310" s="14" t="str">
        <x:v>Genel</x:v>
      </x:c>
      <x:c r="J310" s="14" t="str">
        <x:v>Yanlış / Boş Analizi</x:v>
      </x:c>
      <x:c r="K310" s="14" t="str">
        <x:v>Günlük</x:v>
      </x:c>
      <x:c r="L310" s="14" t="str">
        <x:v>Bugünkü yanlış/boşları kaydet; çözümünü öğrenmeden kapatma. Hata türünü sınıflandır.</x:v>
      </x:c>
      <x:c r="M310" s="14" t="str">
        <x:v>Yanlış Defteri</x:v>
      </x:c>
      <x:c r="N310" s="14" t="str"/>
      <x:c r="O310" s="14" t="n">
        <x:v>0</x:v>
      </x:c>
      <x:c r="P310" s="14" t="str">
        <x:v>Hayır</x:v>
      </x:c>
      <x:c r="Q310" s="14" t="str">
        <x:v>Evet</x:v>
      </x:c>
      <x:c r="R310" s="14" t="str">
        <x:v>Planlandı</x:v>
      </x:c>
      <x:c r="S310" s="15" t="str"/>
      <x:c r="T310" s="14" t="str"/>
    </x:row>
    <x:row r="311">
      <x:c r="A311" s="14" t="n">
        <x:v>310</x:v>
      </x:c>
      <x:c r="B311" s="15" t="n">
        <x:v>46320</x:v>
      </x:c>
      <x:c r="C311" s="14" t="str">
        <x:v>Pazar</x:v>
      </x:c>
      <x:c r="D311" s="14" t="str">
        <x:v>Hafta Sonu</x:v>
      </x:c>
      <x:c r="E311" s="14" t="str">
        <x:v>Tam gün</x:v>
      </x:c>
      <x:c r="F311" s="14" t="str">
        <x:v>F1 - Temel Kurma</x:v>
      </x:c>
      <x:c r="G311" s="14" t="str">
        <x:v>18:45</x:v>
      </x:c>
      <x:c r="H311" s="14" t="str">
        <x:v>19:05</x:v>
      </x:c>
      <x:c r="I311" s="14" t="str">
        <x:v>Genel</x:v>
      </x:c>
      <x:c r="J311" s="14" t="str">
        <x:v>Aralıklı Hata Tekrarı</x:v>
      </x:c>
      <x:c r="K311" s="14" t="str">
        <x:v>+1 / +7 / +21</x:v>
      </x:c>
      <x:c r="L311" s="14" t="str">
        <x:v>Bugün vadesi gelen yanlış soruları tekrar çöz. Vadesi yoksa bu süre serbest/okuma olabilir.</x:v>
      </x:c>
      <x:c r="M311" s="14" t="str">
        <x:v>Yanlış Defteri</x:v>
      </x:c>
      <x:c r="N311" s="14" t="str"/>
      <x:c r="O311" s="14" t="n">
        <x:v>0</x:v>
      </x:c>
      <x:c r="P311" s="14" t="str">
        <x:v>Hayır</x:v>
      </x:c>
      <x:c r="Q311" s="14" t="str">
        <x:v>Koşullu</x:v>
      </x:c>
      <x:c r="R311" s="14" t="str">
        <x:v>Planlandı</x:v>
      </x:c>
      <x:c r="S311" s="15" t="str"/>
      <x:c r="T311" s="14" t="str">
        <x:v>Yanlışlar +1, +7 ve +21 gün aralıklarıyla tekrar edilir; hâlâ yanlışsa konu mastery durumu düşürülür.</x:v>
      </x:c>
    </x:row>
    <x:row r="312">
      <x:c r="A312" s="14" t="n">
        <x:v>311</x:v>
      </x:c>
      <x:c r="B312" s="15" t="n">
        <x:v>46320</x:v>
      </x:c>
      <x:c r="C312" s="14" t="str">
        <x:v>Pazar</x:v>
      </x:c>
      <x:c r="D312" s="14" t="str">
        <x:v>Hafta Sonu</x:v>
      </x:c>
      <x:c r="E312" s="14" t="str">
        <x:v>Tam gün</x:v>
      </x:c>
      <x:c r="F312" s="14" t="str">
        <x:v>F1 - Temel Kurma</x:v>
      </x:c>
      <x:c r="G312" s="14" t="str">
        <x:v>20:00</x:v>
      </x:c>
      <x:c r="H312" s="14" t="str">
        <x:v>20:30</x:v>
      </x:c>
      <x:c r="I312" s="14" t="str">
        <x:v>Okuma</x:v>
      </x:c>
      <x:c r="J312" s="14" t="str">
        <x:v>İsteğe Bağlı</x:v>
      </x:c>
      <x:c r="K312" s="14" t="str">
        <x:v>Serbest Kitap</x:v>
      </x:c>
      <x:c r="L312" s="14" t="str">
        <x:v>Zorunlu çalışmalar bittiyse isteğe bağlı kitap oku.</x:v>
      </x:c>
      <x:c r="M312" s="14" t="str">
        <x:v>Serbest Kitap</x:v>
      </x:c>
      <x:c r="N312" s="14" t="str"/>
      <x:c r="O312" s="14" t="n">
        <x:v>0</x:v>
      </x:c>
      <x:c r="P312" s="14" t="str">
        <x:v>İsteğe Bağlı</x:v>
      </x:c>
      <x:c r="Q312" s="14" t="str">
        <x:v>Hayır</x:v>
      </x:c>
      <x:c r="R312" s="14" t="str">
        <x:v>Planlandı</x:v>
      </x:c>
      <x:c r="S312" s="15" t="str"/>
      <x:c r="T312" s="14" t="str">
        <x:v>Minimum süre yok.</x:v>
      </x:c>
    </x:row>
    <x:row r="313">
      <x:c r="A313" s="14" t="n">
        <x:v>312</x:v>
      </x:c>
      <x:c r="B313" s="15" t="n">
        <x:v>46320</x:v>
      </x:c>
      <x:c r="C313" s="14" t="str">
        <x:v>Pazar</x:v>
      </x:c>
      <x:c r="D313" s="14" t="str">
        <x:v>Hafta Sonu</x:v>
      </x:c>
      <x:c r="E313" s="14" t="str">
        <x:v>Tam gün</x:v>
      </x:c>
      <x:c r="F313" s="14" t="str">
        <x:v>F1 - Temel Kurma</x:v>
      </x:c>
      <x:c r="G313" s="14" t="str">
        <x:v>21:50</x:v>
      </x:c>
      <x:c r="H313" s="14" t="str">
        <x:v>22:00</x:v>
      </x:c>
      <x:c r="I313" s="14" t="str">
        <x:v>Genel</x:v>
      </x:c>
      <x:c r="J313" s="14" t="str">
        <x:v>Uyku Hazırlığı</x:v>
      </x:c>
      <x:c r="K313" s="14" t="str"/>
      <x:c r="L313" s="14" t="str">
        <x:v>22:00'de yatakta ve uyku.</x:v>
      </x:c>
      <x:c r="M313" s="14" t="str"/>
      <x:c r="N313" s="14" t="str"/>
      <x:c r="O313" s="14" t="n">
        <x:v>0</x:v>
      </x:c>
      <x:c r="P313" s="14" t="str">
        <x:v>Hayır</x:v>
      </x:c>
      <x:c r="Q313" s="14" t="str">
        <x:v>Hayır</x:v>
      </x:c>
      <x:c r="R313" s="14" t="str">
        <x:v>Planlandı</x:v>
      </x:c>
      <x:c r="S313" s="15" t="str"/>
      <x:c r="T313" s="14" t="str"/>
    </x:row>
    <x:row r="314">
      <x:c r="A314" s="14" t="n">
        <x:v>313</x:v>
      </x:c>
      <x:c r="B314" s="15" t="n">
        <x:v>46321</x:v>
      </x:c>
      <x:c r="C314" s="14" t="str">
        <x:v>Pazartesi</x:v>
      </x:c>
      <x:c r="D314" s="14" t="str">
        <x:v>Okul Günü</x:v>
      </x:c>
      <x:c r="E314" s="14" t="str">
        <x:v>16:00 sonrası</x:v>
      </x:c>
      <x:c r="F314" s="14" t="str">
        <x:v>F1 - Temel Kurma</x:v>
      </x:c>
      <x:c r="G314" s="14" t="str">
        <x:v>16:00</x:v>
      </x:c>
      <x:c r="H314" s="14" t="str">
        <x:v>16:25</x:v>
      </x:c>
      <x:c r="I314" s="14" t="str">
        <x:v>Genel</x:v>
      </x:c>
      <x:c r="J314" s="14" t="str">
        <x:v>Dinlenme</x:v>
      </x:c>
      <x:c r="K314" s="14" t="str"/>
      <x:c r="L314" s="14" t="str">
        <x:v>Eve geliş, atıştırma ve dinlenme.</x:v>
      </x:c>
      <x:c r="M314" s="14" t="str"/>
      <x:c r="N314" s="14" t="str"/>
      <x:c r="O314" s="14" t="n">
        <x:v>0</x:v>
      </x:c>
      <x:c r="P314" s="14" t="str">
        <x:v>Hayır</x:v>
      </x:c>
      <x:c r="Q314" s="14" t="str">
        <x:v>Hayır</x:v>
      </x:c>
      <x:c r="R314" s="14" t="str">
        <x:v>Planlandı</x:v>
      </x:c>
      <x:c r="S314" s="15" t="str"/>
      <x:c r="T314" s="14" t="str"/>
    </x:row>
    <x:row r="315">
      <x:c r="A315" s="14" t="n">
        <x:v>314</x:v>
      </x:c>
      <x:c r="B315" s="15" t="n">
        <x:v>46321</x:v>
      </x:c>
      <x:c r="C315" s="14" t="str">
        <x:v>Pazartesi</x:v>
      </x:c>
      <x:c r="D315" s="14" t="str">
        <x:v>Okul Günü</x:v>
      </x:c>
      <x:c r="E315" s="14" t="str">
        <x:v>16:00 sonrası</x:v>
      </x:c>
      <x:c r="F315" s="14" t="str">
        <x:v>F1 - Temel Kurma</x:v>
      </x:c>
      <x:c r="G315" s="14" t="str">
        <x:v>16:25</x:v>
      </x:c>
      <x:c r="H315" s="14" t="str">
        <x:v>17:05</x:v>
      </x:c>
      <x:c r="I315" s="14" t="str">
        <x:v>Matematik</x:v>
      </x:c>
      <x:c r="J315" s="14" t="str">
        <x:v>Konu / Tekrar</x:v>
      </x:c>
      <x:c r="K315" s="14" t="str">
        <x:v>Bölme ve Bölünebilme</x:v>
      </x:c>
      <x:c r="L315" s="14" t="str">
        <x:v>Bölme ve Bölünebilme — genel oynatma listesinden ilgili videoyu izle (5/5).</x:v>
      </x:c>
      <x:c r="M315" s="14" t="str">
        <x:v>Matematik Ana Oynatma Listesi</x:v>
      </x:c>
      <x:c r="N315" s="14" t="str">
        <x:v>https://www.youtube.com/watch?v=EuJ89QzqrAg&amp;list=PLicNtF7vp6fnfDqrRLH6H7fIbzYT4ct4F&amp;index=11</x:v>
      </x:c>
      <x:c r="O315" s="14" t="n">
        <x:v>0</x:v>
      </x:c>
      <x:c r="P315" s="14" t="str">
        <x:v>Hayır</x:v>
      </x:c>
      <x:c r="Q315" s="14" t="str">
        <x:v>Evet</x:v>
      </x:c>
      <x:c r="R315" s="14" t="str">
        <x:v>Planlandı</x:v>
      </x:c>
      <x:c r="S315" s="15" t="str"/>
      <x:c r="T315" s="14" t="str">
        <x:v>Yeni konu ancak plan sırasıyla açılır; LGS dışı ileri TYT içeriği zorunlu değildir.</x:v>
      </x:c>
    </x:row>
    <x:row r="316">
      <x:c r="A316" s="14" t="n">
        <x:v>315</x:v>
      </x:c>
      <x:c r="B316" s="15" t="n">
        <x:v>46321</x:v>
      </x:c>
      <x:c r="C316" s="14" t="str">
        <x:v>Pazartesi</x:v>
      </x:c>
      <x:c r="D316" s="14" t="str">
        <x:v>Okul Günü</x:v>
      </x:c>
      <x:c r="E316" s="14" t="str">
        <x:v>16:00 sonrası</x:v>
      </x:c>
      <x:c r="F316" s="14" t="str">
        <x:v>F1 - Temel Kurma</x:v>
      </x:c>
      <x:c r="G316" s="14" t="str">
        <x:v>17:10</x:v>
      </x:c>
      <x:c r="H316" s="14" t="str">
        <x:v>17:55</x:v>
      </x:c>
      <x:c r="I316" s="14" t="str">
        <x:v>Matematik</x:v>
      </x:c>
      <x:c r="J316" s="14" t="str">
        <x:v>Kitap / MEB / Mastery</x:v>
      </x:c>
      <x:c r="K316" s="14" t="str">
        <x:v>Bölme ve Bölünebilme</x:v>
      </x:c>
      <x:c r="L316" s="14" t="str">
        <x:v>Bölme ve Bölünebilme ile ilgili soru kitabından en az 20 soru / bugünkü test payını çöz. İlgili kitap konu bölümünü bu oturumda bitirmeyi hedefle; sonraki oturum MEB doğrulaması.</x:v>
      </x:c>
      <x:c r="M316" s="14" t="str">
        <x:v>MUBA 8. Sınıf Başlangıç Matematik (ISBN 9789756526972) (eşleşen bölüm) + MEB temel destek</x:v>
      </x:c>
      <x:c r="N316" s="14" t="str">
        <x:v>https://odsgm.meb.gov.tr/www/5-6-7-ve-9-sinif-duzeylerinde-calisma-sorulari-yayimlandi/icerik/775</x:v>
      </x:c>
      <x:c r="O316" s="14" t="n">
        <x:v>20</x:v>
      </x:c>
      <x:c r="P316" s="14" t="str">
        <x:v>İlk 20 soru</x:v>
      </x:c>
      <x:c r="Q316" s="14" t="str">
        <x:v>Evet</x:v>
      </x:c>
      <x:c r="R316" s="14" t="str">
        <x:v>Planlandı</x:v>
      </x:c>
      <x:c r="S316" s="15" t="str"/>
      <x:c r="T316" s="14" t="str">
        <x:v>Ayrı/rastgele matematik benchmark yoktur. Süreli ilk 20 soru o gün çalışılan konunun içindedir.</x:v>
      </x:c>
    </x:row>
    <x:row r="317">
      <x:c r="A317" s="14" t="n">
        <x:v>316</x:v>
      </x:c>
      <x:c r="B317" s="15" t="n">
        <x:v>46321</x:v>
      </x:c>
      <x:c r="C317" s="14" t="str">
        <x:v>Pazartesi</x:v>
      </x:c>
      <x:c r="D317" s="14" t="str">
        <x:v>Okul Günü</x:v>
      </x:c>
      <x:c r="E317" s="14" t="str">
        <x:v>16:00 sonrası</x:v>
      </x:c>
      <x:c r="F317" s="14" t="str">
        <x:v>F1 - Temel Kurma</x:v>
      </x:c>
      <x:c r="G317" s="14" t="str">
        <x:v>17:55</x:v>
      </x:c>
      <x:c r="H317" s="14" t="str">
        <x:v>18:25</x:v>
      </x:c>
      <x:c r="I317" s="14" t="str">
        <x:v>Genel</x:v>
      </x:c>
      <x:c r="J317" s="14" t="str">
        <x:v>Yemek / Serbest Zaman</x:v>
      </x:c>
      <x:c r="K317" s="14" t="str"/>
      <x:c r="L317" s="14" t="str">
        <x:v>Yemek, hareket ve dinlenme.</x:v>
      </x:c>
      <x:c r="M317" s="14" t="str"/>
      <x:c r="N317" s="14" t="str"/>
      <x:c r="O317" s="14" t="n">
        <x:v>0</x:v>
      </x:c>
      <x:c r="P317" s="14" t="str">
        <x:v>Hayır</x:v>
      </x:c>
      <x:c r="Q317" s="14" t="str">
        <x:v>Hayır</x:v>
      </x:c>
      <x:c r="R317" s="14" t="str">
        <x:v>Planlandı</x:v>
      </x:c>
      <x:c r="S317" s="15" t="str"/>
      <x:c r="T317" s="14" t="str"/>
    </x:row>
    <x:row r="318">
      <x:c r="A318" s="14" t="n">
        <x:v>317</x:v>
      </x:c>
      <x:c r="B318" s="15" t="n">
        <x:v>46321</x:v>
      </x:c>
      <x:c r="C318" s="14" t="str">
        <x:v>Pazartesi</x:v>
      </x:c>
      <x:c r="D318" s="14" t="str">
        <x:v>Okul Günü</x:v>
      </x:c>
      <x:c r="E318" s="14" t="str">
        <x:v>16:00 sonrası</x:v>
      </x:c>
      <x:c r="F318" s="14" t="str">
        <x:v>F1 - Temel Kurma</x:v>
      </x:c>
      <x:c r="G318" s="14" t="str">
        <x:v>18:25</x:v>
      </x:c>
      <x:c r="H318" s="14" t="str">
        <x:v>18:55</x:v>
      </x:c>
      <x:c r="I318" s="14" t="str">
        <x:v>Türkçe</x:v>
      </x:c>
      <x:c r="J318" s="14" t="str">
        <x:v>Paragraf Rutini</x:v>
      </x:c>
      <x:c r="K318" s="14" t="str">
        <x:v>Paragraf</x:v>
      </x:c>
      <x:c r="L318" s="14" t="str">
        <x:v>En az 20 paragraf sorusu çöz; ilk 20 soruyu ileri sayımla ölç, D/Y/B + süre kaydet.</x:v>
      </x:c>
      <x:c r="M318" s="14" t="str">
        <x:v>Hız 8. Sınıf Türkçe Paragraf (ISBN 9786258394498)</x:v>
      </x:c>
      <x:c r="N318" s="14" t="str"/>
      <x:c r="O318" s="14" t="n">
        <x:v>20</x:v>
      </x:c>
      <x:c r="P318" s="14" t="str">
        <x:v>İlk 20 soru</x:v>
      </x:c>
      <x:c r="Q318" s="14" t="str">
        <x:v>Evet</x:v>
      </x:c>
      <x:c r="R318" s="14" t="str">
        <x:v>Planlandı</x:v>
      </x:c>
      <x:c r="S318" s="15" t="str"/>
      <x:c r="T318" s="14" t="str">
        <x:v>Geri sayım ve hedef süre yok.</x:v>
      </x:c>
    </x:row>
    <x:row r="319">
      <x:c r="A319" s="14" t="n">
        <x:v>318</x:v>
      </x:c>
      <x:c r="B319" s="15" t="n">
        <x:v>46321</x:v>
      </x:c>
      <x:c r="C319" s="14" t="str">
        <x:v>Pazartesi</x:v>
      </x:c>
      <x:c r="D319" s="14" t="str">
        <x:v>Okul Günü</x:v>
      </x:c>
      <x:c r="E319" s="14" t="str">
        <x:v>16:00 sonrası</x:v>
      </x:c>
      <x:c r="F319" s="14" t="str">
        <x:v>F1 - Temel Kurma</x:v>
      </x:c>
      <x:c r="G319" s="14" t="str">
        <x:v>19:00</x:v>
      </x:c>
      <x:c r="H319" s="14" t="str">
        <x:v>19:35</x:v>
      </x:c>
      <x:c r="I319" s="14" t="str">
        <x:v>Türkçe</x:v>
      </x:c>
      <x:c r="J319" s="14" t="str">
        <x:v>Konu / Tekrar</x:v>
      </x:c>
      <x:c r="K319" s="14" t="str">
        <x:v>Ses Bilgisi</x:v>
      </x:c>
      <x:c r="L319" s="14" t="str">
        <x:v>Ses Bilgisi — MEB doğrulaması öncesi 5-10 dk aktif hatırlama; gerekiyorsa ilgili playlist videosuna kısa dönüş yap.</x:v>
      </x:c>
      <x:c r="M319" s="14" t="str">
        <x:v>Türkçe Ana Oynatma Listesi</x:v>
      </x:c>
      <x:c r="N319" s="14" t="str">
        <x:v>https://www.youtube.com/watch?v=VYsPntNKVdw&amp;list=PLIBjFaUoJJ91bz7QQEBlxNJNZka5YQRr6</x:v>
      </x:c>
      <x:c r="O319" s="14" t="n">
        <x:v>0</x:v>
      </x:c>
      <x:c r="P319" s="14" t="str">
        <x:v>Hayır</x:v>
      </x:c>
      <x:c r="Q319" s="14" t="str">
        <x:v>Evet</x:v>
      </x:c>
      <x:c r="R319" s="14" t="str">
        <x:v>Planlandı</x:v>
      </x:c>
      <x:c r="S319" s="15" t="str"/>
      <x:c r="T319" s="14" t="str">
        <x:v>TYT etiketli kaynak temelden başlamak için sabittir; LGS dışı gereksiz ayrıntı zorunlu değildir.</x:v>
      </x:c>
    </x:row>
    <x:row r="320">
      <x:c r="A320" s="14" t="n">
        <x:v>319</x:v>
      </x:c>
      <x:c r="B320" s="15" t="n">
        <x:v>46321</x:v>
      </x:c>
      <x:c r="C320" s="14" t="str">
        <x:v>Pazartesi</x:v>
      </x:c>
      <x:c r="D320" s="14" t="str">
        <x:v>Okul Günü</x:v>
      </x:c>
      <x:c r="E320" s="14" t="str">
        <x:v>16:00 sonrası</x:v>
      </x:c>
      <x:c r="F320" s="14" t="str">
        <x:v>F1 - Temel Kurma</x:v>
      </x:c>
      <x:c r="G320" s="14" t="str">
        <x:v>19:40</x:v>
      </x:c>
      <x:c r="H320" s="14" t="str">
        <x:v>20:10</x:v>
      </x:c>
      <x:c r="I320" s="14" t="str">
        <x:v>Türkçe</x:v>
      </x:c>
      <x:c r="J320" s="14" t="str">
        <x:v>Kitap / MEB / Mastery</x:v>
      </x:c>
      <x:c r="K320" s="14" t="str">
        <x:v>Ses Bilgisi</x:v>
      </x:c>
      <x:c r="L320" s="14" t="str">
        <x:v>Ses Bilgisi için ilgili MEB sorularını TAMAMLA; D/Y/B kaydet. Bu oturum konu mastery gate'idir.</x:v>
      </x:c>
      <x:c r="M320" s="14" t="str">
        <x:v>MEB Resmî Soru Seti</x:v>
      </x:c>
      <x:c r="N320" s="14" t="str">
        <x:v>https://odsgm.meb.gov.tr/www/5-6-7-ve-9-sinif-duzeylerinde-calisma-sorulari-yayimlandi/icerik/775</x:v>
      </x:c>
      <x:c r="O320" s="14" t="n">
        <x:v>0</x:v>
      </x:c>
      <x:c r="P320" s="14" t="str">
        <x:v>Hayır</x:v>
      </x:c>
      <x:c r="Q320" s="14" t="str">
        <x:v>Evet</x:v>
      </x:c>
      <x:c r="R320" s="14" t="str">
        <x:v>Planlandı</x:v>
      </x:c>
      <x:c r="S320" s="15" t="str"/>
      <x:c r="T320" s="14" t="str">
        <x:v>MEB sonucu Konu_Ustaligi sayfasına işlenir.</x:v>
      </x:c>
    </x:row>
    <x:row r="321">
      <x:c r="A321" s="14" t="n">
        <x:v>320</x:v>
      </x:c>
      <x:c r="B321" s="15" t="n">
        <x:v>46321</x:v>
      </x:c>
      <x:c r="C321" s="14" t="str">
        <x:v>Pazartesi</x:v>
      </x:c>
      <x:c r="D321" s="14" t="str">
        <x:v>Okul Günü</x:v>
      </x:c>
      <x:c r="E321" s="14" t="str">
        <x:v>16:00 sonrası</x:v>
      </x:c>
      <x:c r="F321" s="14" t="str">
        <x:v>F1 - Temel Kurma</x:v>
      </x:c>
      <x:c r="G321" s="14" t="str">
        <x:v>20:15</x:v>
      </x:c>
      <x:c r="H321" s="14" t="str">
        <x:v>20:50</x:v>
      </x:c>
      <x:c r="I321" s="14" t="str">
        <x:v>Din</x:v>
      </x:c>
      <x:c r="J321" s="14" t="str">
        <x:v>Konu / Tekrar</x:v>
      </x:c>
      <x:c r="K321" s="14" t="str">
        <x:v>Hz. Musa ve Ayetel Kürsi</x:v>
      </x:c>
      <x:c r="L321" s="14" t="str">
        <x:v>Hz. Musa ve Ayetel Kürsi — genel oynatma listesinden ilgili konu/soru çalışmasını yap.</x:v>
      </x:c>
      <x:c r="M321" s="14" t="str">
        <x:v>Din Genel Oynatma Listesi</x:v>
      </x:c>
      <x:c r="N321" s="14" t="str">
        <x:v>https://www.youtube.com/watch?v=wvdOE_75VnA&amp;list=PLbRoPq-Zu-SWXGUbVt4t4UWo-4VjsMUo-&amp;index=2</x:v>
      </x:c>
      <x:c r="O321" s="14" t="n">
        <x:v>0</x:v>
      </x:c>
      <x:c r="P321" s="14" t="str">
        <x:v>Hayır</x:v>
      </x:c>
      <x:c r="Q321" s="14" t="str">
        <x:v>Evet</x:v>
      </x:c>
      <x:c r="R321" s="14" t="str">
        <x:v>Planlandı</x:v>
      </x:c>
      <x:c r="S321" s="15" t="str"/>
      <x:c r="T321" s="14" t="str"/>
    </x:row>
    <x:row r="322">
      <x:c r="A322" s="14" t="n">
        <x:v>321</x:v>
      </x:c>
      <x:c r="B322" s="15" t="n">
        <x:v>46321</x:v>
      </x:c>
      <x:c r="C322" s="14" t="str">
        <x:v>Pazartesi</x:v>
      </x:c>
      <x:c r="D322" s="14" t="str">
        <x:v>Okul Günü</x:v>
      </x:c>
      <x:c r="E322" s="14" t="str">
        <x:v>16:00 sonrası</x:v>
      </x:c>
      <x:c r="F322" s="14" t="str">
        <x:v>F1 - Temel Kurma</x:v>
      </x:c>
      <x:c r="G322" s="14" t="str">
        <x:v>20:55</x:v>
      </x:c>
      <x:c r="H322" s="14" t="str">
        <x:v>21:20</x:v>
      </x:c>
      <x:c r="I322" s="14" t="str">
        <x:v>Din</x:v>
      </x:c>
      <x:c r="J322" s="14" t="str">
        <x:v>Kitap / MEB / Mastery</x:v>
      </x:c>
      <x:c r="K322" s="14" t="str">
        <x:v>Hz. Musa ve Ayetel Kürsi</x:v>
      </x:c>
      <x:c r="L322" s="14" t="str">
        <x:v>Hz. Musa ve Ayetel Kürsi ile ilgili soru kitabından en az 15 soru / bugünkü test payını çöz.</x:v>
      </x:c>
      <x:c r="M322" s="14" t="str">
        <x:v>Hız 8. Sınıf Din Kültürü ve Ahlak Bilgisi</x:v>
      </x:c>
      <x:c r="N322" s="14" t="str">
        <x:v>https://www.youtube.com/watch?v=wvdOE_75VnA&amp;list=PLbRoPq-Zu-SWXGUbVt4t4UWo-4VjsMUo-&amp;index=2</x:v>
      </x:c>
      <x:c r="O322" s="14" t="n">
        <x:v>15</x:v>
      </x:c>
      <x:c r="P322" s="14" t="str">
        <x:v>Hayır</x:v>
      </x:c>
      <x:c r="Q322" s="14" t="str">
        <x:v>Evet</x:v>
      </x:c>
      <x:c r="R322" s="14" t="str">
        <x:v>Planlandı</x:v>
      </x:c>
      <x:c r="S322" s="15" t="str"/>
      <x:c r="T322" s="14" t="str"/>
    </x:row>
    <x:row r="323">
      <x:c r="A323" s="14" t="n">
        <x:v>322</x:v>
      </x:c>
      <x:c r="B323" s="15" t="n">
        <x:v>46321</x:v>
      </x:c>
      <x:c r="C323" s="14" t="str">
        <x:v>Pazartesi</x:v>
      </x:c>
      <x:c r="D323" s="14" t="str">
        <x:v>Okul Günü</x:v>
      </x:c>
      <x:c r="E323" s="14" t="str">
        <x:v>16:00 sonrası</x:v>
      </x:c>
      <x:c r="F323" s="14" t="str">
        <x:v>F1 - Temel Kurma</x:v>
      </x:c>
      <x:c r="G323" s="14" t="str">
        <x:v>21:20</x:v>
      </x:c>
      <x:c r="H323" s="14" t="str">
        <x:v>21:35</x:v>
      </x:c>
      <x:c r="I323" s="14" t="str">
        <x:v>Genel</x:v>
      </x:c>
      <x:c r="J323" s="14" t="str">
        <x:v>Yanlış / Boş Analizi</x:v>
      </x:c>
      <x:c r="K323" s="14" t="str">
        <x:v>Günlük</x:v>
      </x:c>
      <x:c r="L323" s="14" t="str">
        <x:v>Bugünkü yanlış/boşları kaydet; çözümünü öğrenmeden kapatma. Hata türünü sınıflandır.</x:v>
      </x:c>
      <x:c r="M323" s="14" t="str">
        <x:v>Yanlış Defteri</x:v>
      </x:c>
      <x:c r="N323" s="14" t="str"/>
      <x:c r="O323" s="14" t="n">
        <x:v>0</x:v>
      </x:c>
      <x:c r="P323" s="14" t="str">
        <x:v>Hayır</x:v>
      </x:c>
      <x:c r="Q323" s="14" t="str">
        <x:v>Evet</x:v>
      </x:c>
      <x:c r="R323" s="14" t="str">
        <x:v>Planlandı</x:v>
      </x:c>
      <x:c r="S323" s="15" t="str"/>
      <x:c r="T323" s="14" t="str"/>
    </x:row>
    <x:row r="324">
      <x:c r="A324" s="14" t="n">
        <x:v>323</x:v>
      </x:c>
      <x:c r="B324" s="15" t="n">
        <x:v>46321</x:v>
      </x:c>
      <x:c r="C324" s="14" t="str">
        <x:v>Pazartesi</x:v>
      </x:c>
      <x:c r="D324" s="14" t="str">
        <x:v>Okul Günü</x:v>
      </x:c>
      <x:c r="E324" s="14" t="str">
        <x:v>16:00 sonrası</x:v>
      </x:c>
      <x:c r="F324" s="14" t="str">
        <x:v>F1 - Temel Kurma</x:v>
      </x:c>
      <x:c r="G324" s="14" t="str">
        <x:v>21:35</x:v>
      </x:c>
      <x:c r="H324" s="14" t="str">
        <x:v>21:50</x:v>
      </x:c>
      <x:c r="I324" s="14" t="str">
        <x:v>Genel</x:v>
      </x:c>
      <x:c r="J324" s="14" t="str">
        <x:v>Aralıklı Hata Tekrarı</x:v>
      </x:c>
      <x:c r="K324" s="14" t="str">
        <x:v>+1 / +7 / +21</x:v>
      </x:c>
      <x:c r="L324" s="14" t="str">
        <x:v>Bugün vadesi gelen yanlış soruları tekrar çöz. Vadesi yoksa bu süre serbest/okuma olabilir.</x:v>
      </x:c>
      <x:c r="M324" s="14" t="str">
        <x:v>Yanlış Defteri</x:v>
      </x:c>
      <x:c r="N324" s="14" t="str"/>
      <x:c r="O324" s="14" t="n">
        <x:v>0</x:v>
      </x:c>
      <x:c r="P324" s="14" t="str">
        <x:v>Hayır</x:v>
      </x:c>
      <x:c r="Q324" s="14" t="str">
        <x:v>Koşullu</x:v>
      </x:c>
      <x:c r="R324" s="14" t="str">
        <x:v>Planlandı</x:v>
      </x:c>
      <x:c r="S324" s="15" t="str"/>
      <x:c r="T324" s="14" t="str">
        <x:v>Yanlışlar +1, +7 ve +21 gün aralıklarıyla tekrar edilir; hâlâ yanlışsa konu mastery durumu düşürülür.</x:v>
      </x:c>
    </x:row>
    <x:row r="325">
      <x:c r="A325" s="14" t="n">
        <x:v>324</x:v>
      </x:c>
      <x:c r="B325" s="15" t="n">
        <x:v>46321</x:v>
      </x:c>
      <x:c r="C325" s="14" t="str">
        <x:v>Pazartesi</x:v>
      </x:c>
      <x:c r="D325" s="14" t="str">
        <x:v>Okul Günü</x:v>
      </x:c>
      <x:c r="E325" s="14" t="str">
        <x:v>16:00 sonrası</x:v>
      </x:c>
      <x:c r="F325" s="14" t="str">
        <x:v>F1 - Temel Kurma</x:v>
      </x:c>
      <x:c r="G325" s="14" t="str">
        <x:v>21:50</x:v>
      </x:c>
      <x:c r="H325" s="14" t="str">
        <x:v>22:00</x:v>
      </x:c>
      <x:c r="I325" s="14" t="str">
        <x:v>Genel</x:v>
      </x:c>
      <x:c r="J325" s="14" t="str">
        <x:v>Uyku Hazırlığı</x:v>
      </x:c>
      <x:c r="K325" s="14" t="str"/>
      <x:c r="L325" s="14" t="str">
        <x:v>22:00'de yatakta ve uyku.</x:v>
      </x:c>
      <x:c r="M325" s="14" t="str"/>
      <x:c r="N325" s="14" t="str"/>
      <x:c r="O325" s="14" t="n">
        <x:v>0</x:v>
      </x:c>
      <x:c r="P325" s="14" t="str">
        <x:v>Hayır</x:v>
      </x:c>
      <x:c r="Q325" s="14" t="str">
        <x:v>Hayır</x:v>
      </x:c>
      <x:c r="R325" s="14" t="str">
        <x:v>Planlandı</x:v>
      </x:c>
      <x:c r="S325" s="15" t="str"/>
      <x:c r="T325" s="14" t="str"/>
    </x:row>
    <x:row r="326">
      <x:c r="A326" s="14" t="n">
        <x:v>325</x:v>
      </x:c>
      <x:c r="B326" s="15" t="n">
        <x:v>46322</x:v>
      </x:c>
      <x:c r="C326" s="14" t="str">
        <x:v>Salı</x:v>
      </x:c>
      <x:c r="D326" s="14" t="str">
        <x:v>Okul Günü</x:v>
      </x:c>
      <x:c r="E326" s="14" t="str">
        <x:v>16:00 sonrası</x:v>
      </x:c>
      <x:c r="F326" s="14" t="str">
        <x:v>F1 - Temel Kurma</x:v>
      </x:c>
      <x:c r="G326" s="14" t="str">
        <x:v>16:00</x:v>
      </x:c>
      <x:c r="H326" s="14" t="str">
        <x:v>16:25</x:v>
      </x:c>
      <x:c r="I326" s="14" t="str">
        <x:v>Genel</x:v>
      </x:c>
      <x:c r="J326" s="14" t="str">
        <x:v>Dinlenme</x:v>
      </x:c>
      <x:c r="K326" s="14" t="str"/>
      <x:c r="L326" s="14" t="str">
        <x:v>Eve geliş, atıştırma ve dinlenme.</x:v>
      </x:c>
      <x:c r="M326" s="14" t="str"/>
      <x:c r="N326" s="14" t="str"/>
      <x:c r="O326" s="14" t="n">
        <x:v>0</x:v>
      </x:c>
      <x:c r="P326" s="14" t="str">
        <x:v>Hayır</x:v>
      </x:c>
      <x:c r="Q326" s="14" t="str">
        <x:v>Hayır</x:v>
      </x:c>
      <x:c r="R326" s="14" t="str">
        <x:v>Planlandı</x:v>
      </x:c>
      <x:c r="S326" s="15" t="str"/>
      <x:c r="T326" s="14" t="str"/>
    </x:row>
    <x:row r="327">
      <x:c r="A327" s="14" t="n">
        <x:v>326</x:v>
      </x:c>
      <x:c r="B327" s="15" t="n">
        <x:v>46322</x:v>
      </x:c>
      <x:c r="C327" s="14" t="str">
        <x:v>Salı</x:v>
      </x:c>
      <x:c r="D327" s="14" t="str">
        <x:v>Okul Günü</x:v>
      </x:c>
      <x:c r="E327" s="14" t="str">
        <x:v>16:00 sonrası</x:v>
      </x:c>
      <x:c r="F327" s="14" t="str">
        <x:v>F1 - Temel Kurma</x:v>
      </x:c>
      <x:c r="G327" s="14" t="str">
        <x:v>16:25</x:v>
      </x:c>
      <x:c r="H327" s="14" t="str">
        <x:v>17:05</x:v>
      </x:c>
      <x:c r="I327" s="14" t="str">
        <x:v>Matematik</x:v>
      </x:c>
      <x:c r="J327" s="14" t="str">
        <x:v>Konu / Tekrar</x:v>
      </x:c>
      <x:c r="K327" s="14" t="str">
        <x:v>Bölme ve Bölünebilme</x:v>
      </x:c>
      <x:c r="L327" s="14" t="str">
        <x:v>Bölme ve Bölünebilme — MEB doğrulaması öncesi 5-10 dk aktif hatırlama; gerekiyorsa ilgili playlist videosuna kısa dönüş yap.</x:v>
      </x:c>
      <x:c r="M327" s="14" t="str">
        <x:v>Matematik Ana Oynatma Listesi</x:v>
      </x:c>
      <x:c r="N327" s="14" t="str">
        <x:v>https://www.youtube.com/watch?v=EuJ89QzqrAg&amp;list=PLicNtF7vp6fnfDqrRLH6H7fIbzYT4ct4F&amp;index=11</x:v>
      </x:c>
      <x:c r="O327" s="14" t="n">
        <x:v>0</x:v>
      </x:c>
      <x:c r="P327" s="14" t="str">
        <x:v>Hayır</x:v>
      </x:c>
      <x:c r="Q327" s="14" t="str">
        <x:v>Evet</x:v>
      </x:c>
      <x:c r="R327" s="14" t="str">
        <x:v>Planlandı</x:v>
      </x:c>
      <x:c r="S327" s="15" t="str"/>
      <x:c r="T327" s="14" t="str">
        <x:v>Yeni konu ancak plan sırasıyla açılır; LGS dışı ileri TYT içeriği zorunlu değildir.</x:v>
      </x:c>
    </x:row>
    <x:row r="328">
      <x:c r="A328" s="14" t="n">
        <x:v>327</x:v>
      </x:c>
      <x:c r="B328" s="15" t="n">
        <x:v>46322</x:v>
      </x:c>
      <x:c r="C328" s="14" t="str">
        <x:v>Salı</x:v>
      </x:c>
      <x:c r="D328" s="14" t="str">
        <x:v>Okul Günü</x:v>
      </x:c>
      <x:c r="E328" s="14" t="str">
        <x:v>16:00 sonrası</x:v>
      </x:c>
      <x:c r="F328" s="14" t="str">
        <x:v>F1 - Temel Kurma</x:v>
      </x:c>
      <x:c r="G328" s="14" t="str">
        <x:v>17:10</x:v>
      </x:c>
      <x:c r="H328" s="14" t="str">
        <x:v>17:55</x:v>
      </x:c>
      <x:c r="I328" s="14" t="str">
        <x:v>Matematik</x:v>
      </x:c>
      <x:c r="J328" s="14" t="str">
        <x:v>Kitap / MEB / Mastery</x:v>
      </x:c>
      <x:c r="K328" s="14" t="str">
        <x:v>Bölme ve Bölünebilme</x:v>
      </x:c>
      <x:c r="L328" s="14" t="str">
        <x:v>Bölme ve Bölünebilme için ilgili MEB sorularını TAMAMLA; D/Y/B kaydet. Bu oturum konu mastery gate'idir.</x:v>
      </x:c>
      <x:c r="M328" s="14" t="str">
        <x:v>MEB Resmî Soru Seti</x:v>
      </x:c>
      <x:c r="N328" s="14" t="str">
        <x:v>https://odsgm.meb.gov.tr/www/5-6-7-ve-9-sinif-duzeylerinde-calisma-sorulari-yayimlandi/icerik/775</x:v>
      </x:c>
      <x:c r="O328" s="14" t="n">
        <x:v>0</x:v>
      </x:c>
      <x:c r="P328" s="14" t="str">
        <x:v>Hayır</x:v>
      </x:c>
      <x:c r="Q328" s="14" t="str">
        <x:v>Evet</x:v>
      </x:c>
      <x:c r="R328" s="14" t="str">
        <x:v>Planlandı</x:v>
      </x:c>
      <x:c r="S328" s="15" t="str"/>
      <x:c r="T328" s="14" t="str">
        <x:v>MEB sonucu Konu_Ustaligi sayfasına işlenir.</x:v>
      </x:c>
    </x:row>
    <x:row r="329">
      <x:c r="A329" s="14" t="n">
        <x:v>328</x:v>
      </x:c>
      <x:c r="B329" s="15" t="n">
        <x:v>46322</x:v>
      </x:c>
      <x:c r="C329" s="14" t="str">
        <x:v>Salı</x:v>
      </x:c>
      <x:c r="D329" s="14" t="str">
        <x:v>Okul Günü</x:v>
      </x:c>
      <x:c r="E329" s="14" t="str">
        <x:v>16:00 sonrası</x:v>
      </x:c>
      <x:c r="F329" s="14" t="str">
        <x:v>F1 - Temel Kurma</x:v>
      </x:c>
      <x:c r="G329" s="14" t="str">
        <x:v>17:55</x:v>
      </x:c>
      <x:c r="H329" s="14" t="str">
        <x:v>18:25</x:v>
      </x:c>
      <x:c r="I329" s="14" t="str">
        <x:v>Genel</x:v>
      </x:c>
      <x:c r="J329" s="14" t="str">
        <x:v>Yemek / Serbest Zaman</x:v>
      </x:c>
      <x:c r="K329" s="14" t="str"/>
      <x:c r="L329" s="14" t="str">
        <x:v>Yemek, hareket ve dinlenme.</x:v>
      </x:c>
      <x:c r="M329" s="14" t="str"/>
      <x:c r="N329" s="14" t="str"/>
      <x:c r="O329" s="14" t="n">
        <x:v>0</x:v>
      </x:c>
      <x:c r="P329" s="14" t="str">
        <x:v>Hayır</x:v>
      </x:c>
      <x:c r="Q329" s="14" t="str">
        <x:v>Hayır</x:v>
      </x:c>
      <x:c r="R329" s="14" t="str">
        <x:v>Planlandı</x:v>
      </x:c>
      <x:c r="S329" s="15" t="str"/>
      <x:c r="T329" s="14" t="str"/>
    </x:row>
    <x:row r="330">
      <x:c r="A330" s="14" t="n">
        <x:v>329</x:v>
      </x:c>
      <x:c r="B330" s="15" t="n">
        <x:v>46322</x:v>
      </x:c>
      <x:c r="C330" s="14" t="str">
        <x:v>Salı</x:v>
      </x:c>
      <x:c r="D330" s="14" t="str">
        <x:v>Okul Günü</x:v>
      </x:c>
      <x:c r="E330" s="14" t="str">
        <x:v>16:00 sonrası</x:v>
      </x:c>
      <x:c r="F330" s="14" t="str">
        <x:v>F1 - Temel Kurma</x:v>
      </x:c>
      <x:c r="G330" s="14" t="str">
        <x:v>18:25</x:v>
      </x:c>
      <x:c r="H330" s="14" t="str">
        <x:v>18:55</x:v>
      </x:c>
      <x:c r="I330" s="14" t="str">
        <x:v>Türkçe</x:v>
      </x:c>
      <x:c r="J330" s="14" t="str">
        <x:v>Paragraf Rutini</x:v>
      </x:c>
      <x:c r="K330" s="14" t="str">
        <x:v>Paragraf</x:v>
      </x:c>
      <x:c r="L330" s="14" t="str">
        <x:v>En az 20 paragraf sorusu çöz; ilk 20 soruyu ileri sayımla ölç, D/Y/B + süre kaydet.</x:v>
      </x:c>
      <x:c r="M330" s="14" t="str">
        <x:v>Hız 8. Sınıf Türkçe Paragraf (ISBN 9786258394498)</x:v>
      </x:c>
      <x:c r="N330" s="14" t="str"/>
      <x:c r="O330" s="14" t="n">
        <x:v>20</x:v>
      </x:c>
      <x:c r="P330" s="14" t="str">
        <x:v>İlk 20 soru</x:v>
      </x:c>
      <x:c r="Q330" s="14" t="str">
        <x:v>Evet</x:v>
      </x:c>
      <x:c r="R330" s="14" t="str">
        <x:v>Planlandı</x:v>
      </x:c>
      <x:c r="S330" s="15" t="str"/>
      <x:c r="T330" s="14" t="str">
        <x:v>Geri sayım ve hedef süre yok.</x:v>
      </x:c>
    </x:row>
    <x:row r="331">
      <x:c r="A331" s="14" t="n">
        <x:v>330</x:v>
      </x:c>
      <x:c r="B331" s="15" t="n">
        <x:v>46322</x:v>
      </x:c>
      <x:c r="C331" s="14" t="str">
        <x:v>Salı</x:v>
      </x:c>
      <x:c r="D331" s="14" t="str">
        <x:v>Okul Günü</x:v>
      </x:c>
      <x:c r="E331" s="14" t="str">
        <x:v>16:00 sonrası</x:v>
      </x:c>
      <x:c r="F331" s="14" t="str">
        <x:v>F1 - Temel Kurma</x:v>
      </x:c>
      <x:c r="G331" s="14" t="str">
        <x:v>19:00</x:v>
      </x:c>
      <x:c r="H331" s="14" t="str">
        <x:v>19:35</x:v>
      </x:c>
      <x:c r="I331" s="14" t="str">
        <x:v>Türkçe</x:v>
      </x:c>
      <x:c r="J331" s="14" t="str">
        <x:v>Konu / Tekrar</x:v>
      </x:c>
      <x:c r="K331" s="14" t="str">
        <x:v>Yazım Kuralları</x:v>
      </x:c>
      <x:c r="L331" s="14" t="str">
        <x:v>Yazım Kuralları — genel oynatma listesinden ilgili videoyu izle (1/4).</x:v>
      </x:c>
      <x:c r="M331" s="14" t="str">
        <x:v>Türkçe Ana Oynatma Listesi</x:v>
      </x:c>
      <x:c r="N331" s="14" t="str">
        <x:v>https://www.youtube.com/watch?v=VYsPntNKVdw&amp;list=PLIBjFaUoJJ91bz7QQEBlxNJNZka5YQRr6</x:v>
      </x:c>
      <x:c r="O331" s="14" t="n">
        <x:v>0</x:v>
      </x:c>
      <x:c r="P331" s="14" t="str">
        <x:v>Hayır</x:v>
      </x:c>
      <x:c r="Q331" s="14" t="str">
        <x:v>Evet</x:v>
      </x:c>
      <x:c r="R331" s="14" t="str">
        <x:v>Planlandı</x:v>
      </x:c>
      <x:c r="S331" s="15" t="str"/>
      <x:c r="T331" s="14" t="str">
        <x:v>TYT etiketli kaynak temelden başlamak için sabittir; LGS dışı gereksiz ayrıntı zorunlu değildir.</x:v>
      </x:c>
    </x:row>
    <x:row r="332">
      <x:c r="A332" s="14" t="n">
        <x:v>331</x:v>
      </x:c>
      <x:c r="B332" s="15" t="n">
        <x:v>46322</x:v>
      </x:c>
      <x:c r="C332" s="14" t="str">
        <x:v>Salı</x:v>
      </x:c>
      <x:c r="D332" s="14" t="str">
        <x:v>Okul Günü</x:v>
      </x:c>
      <x:c r="E332" s="14" t="str">
        <x:v>16:00 sonrası</x:v>
      </x:c>
      <x:c r="F332" s="14" t="str">
        <x:v>F1 - Temel Kurma</x:v>
      </x:c>
      <x:c r="G332" s="14" t="str">
        <x:v>19:40</x:v>
      </x:c>
      <x:c r="H332" s="14" t="str">
        <x:v>20:10</x:v>
      </x:c>
      <x:c r="I332" s="14" t="str">
        <x:v>Türkçe</x:v>
      </x:c>
      <x:c r="J332" s="14" t="str">
        <x:v>Kitap / MEB / Mastery</x:v>
      </x:c>
      <x:c r="K332" s="14" t="str">
        <x:v>Yazım Kuralları</x:v>
      </x:c>
      <x:c r="L332" s="14" t="str">
        <x:v>Yazım Kuralları ile ilgili soru kitabından en az 10 soru / bugünkü test payını çöz.</x:v>
      </x:c>
      <x:c r="M332" s="14" t="str">
        <x:v>Ankara 8. Sınıf Dil Bilgisi Güçlendiren</x:v>
      </x:c>
      <x:c r="N332" s="14" t="str">
        <x:v>https://odsgm.meb.gov.tr/www/8sinif-calisma-sorulari/icerik/1632</x:v>
      </x:c>
      <x:c r="O332" s="14" t="n">
        <x:v>10</x:v>
      </x:c>
      <x:c r="P332" s="14" t="str">
        <x:v>Hayır</x:v>
      </x:c>
      <x:c r="Q332" s="14" t="str">
        <x:v>Evet</x:v>
      </x:c>
      <x:c r="R332" s="14" t="str">
        <x:v>Planlandı</x:v>
      </x:c>
      <x:c r="S332" s="15" t="str"/>
      <x:c r="T332" s="14" t="str"/>
    </x:row>
    <x:row r="333">
      <x:c r="A333" s="14" t="n">
        <x:v>332</x:v>
      </x:c>
      <x:c r="B333" s="15" t="n">
        <x:v>46322</x:v>
      </x:c>
      <x:c r="C333" s="14" t="str">
        <x:v>Salı</x:v>
      </x:c>
      <x:c r="D333" s="14" t="str">
        <x:v>Okul Günü</x:v>
      </x:c>
      <x:c r="E333" s="14" t="str">
        <x:v>16:00 sonrası</x:v>
      </x:c>
      <x:c r="F333" s="14" t="str">
        <x:v>F1 - Temel Kurma</x:v>
      </x:c>
      <x:c r="G333" s="14" t="str">
        <x:v>20:15</x:v>
      </x:c>
      <x:c r="H333" s="14" t="str">
        <x:v>20:50</x:v>
      </x:c>
      <x:c r="I333" s="14" t="str">
        <x:v>İnkılap</x:v>
      </x:c>
      <x:c r="J333" s="14" t="str">
        <x:v>Konu / Tekrar</x:v>
      </x:c>
      <x:c r="K333" s="14" t="str">
        <x:v>Mustafa Kemal’in Askerlik Hayatı</x:v>
      </x:c>
      <x:c r="L333" s="14" t="str">
        <x:v>Mustafa Kemal’in Askerlik Hayatı — genel oynatma listesinden ilgili konu/soru çalışmasını yap.</x:v>
      </x:c>
      <x:c r="M333" s="14" t="str">
        <x:v>İnkılap Genel Oynatma Listesi</x:v>
      </x:c>
      <x:c r="N333" s="14" t="str">
        <x:v>https://www.youtube.com/watch?v=MltIX0oKpYU&amp;list=PLsAsBPsriHNbXit4Ra3iuBrk1ZHZWxsOR&amp;index=78</x:v>
      </x:c>
      <x:c r="O333" s="14" t="n">
        <x:v>0</x:v>
      </x:c>
      <x:c r="P333" s="14" t="str">
        <x:v>Hayır</x:v>
      </x:c>
      <x:c r="Q333" s="14" t="str">
        <x:v>Evet</x:v>
      </x:c>
      <x:c r="R333" s="14" t="str">
        <x:v>Planlandı</x:v>
      </x:c>
      <x:c r="S333" s="15" t="str"/>
      <x:c r="T333" s="14" t="str">
        <x:v>İnkılapta okul yazılısı videoları zorunlu değildir.</x:v>
      </x:c>
    </x:row>
    <x:row r="334">
      <x:c r="A334" s="14" t="n">
        <x:v>333</x:v>
      </x:c>
      <x:c r="B334" s="15" t="n">
        <x:v>46322</x:v>
      </x:c>
      <x:c r="C334" s="14" t="str">
        <x:v>Salı</x:v>
      </x:c>
      <x:c r="D334" s="14" t="str">
        <x:v>Okul Günü</x:v>
      </x:c>
      <x:c r="E334" s="14" t="str">
        <x:v>16:00 sonrası</x:v>
      </x:c>
      <x:c r="F334" s="14" t="str">
        <x:v>F1 - Temel Kurma</x:v>
      </x:c>
      <x:c r="G334" s="14" t="str">
        <x:v>20:55</x:v>
      </x:c>
      <x:c r="H334" s="14" t="str">
        <x:v>21:20</x:v>
      </x:c>
      <x:c r="I334" s="14" t="str">
        <x:v>İnkılap</x:v>
      </x:c>
      <x:c r="J334" s="14" t="str">
        <x:v>Kitap / MEB / Mastery</x:v>
      </x:c>
      <x:c r="K334" s="14" t="str">
        <x:v>Mustafa Kemal’in Askerlik Hayatı</x:v>
      </x:c>
      <x:c r="L334" s="14" t="str">
        <x:v>Mustafa Kemal’in Askerlik Hayatı ile ilgili soru kitabından en az 15 soru / bugünkü test payını çöz.</x:v>
      </x:c>
      <x:c r="M334" s="14" t="str">
        <x:v>Hız 8. Sınıf T.C. İnkılap Tarihi ve Atatürkçülük</x:v>
      </x:c>
      <x:c r="N334" s="14" t="str">
        <x:v>https://www.youtube.com/watch?v=MltIX0oKpYU&amp;list=PLsAsBPsriHNbXit4Ra3iuBrk1ZHZWxsOR&amp;index=78</x:v>
      </x:c>
      <x:c r="O334" s="14" t="n">
        <x:v>15</x:v>
      </x:c>
      <x:c r="P334" s="14" t="str">
        <x:v>Hayır</x:v>
      </x:c>
      <x:c r="Q334" s="14" t="str">
        <x:v>Evet</x:v>
      </x:c>
      <x:c r="R334" s="14" t="str">
        <x:v>Planlandı</x:v>
      </x:c>
      <x:c r="S334" s="15" t="str"/>
      <x:c r="T334" s="14" t="str"/>
    </x:row>
    <x:row r="335">
      <x:c r="A335" s="14" t="n">
        <x:v>334</x:v>
      </x:c>
      <x:c r="B335" s="15" t="n">
        <x:v>46322</x:v>
      </x:c>
      <x:c r="C335" s="14" t="str">
        <x:v>Salı</x:v>
      </x:c>
      <x:c r="D335" s="14" t="str">
        <x:v>Okul Günü</x:v>
      </x:c>
      <x:c r="E335" s="14" t="str">
        <x:v>16:00 sonrası</x:v>
      </x:c>
      <x:c r="F335" s="14" t="str">
        <x:v>F1 - Temel Kurma</x:v>
      </x:c>
      <x:c r="G335" s="14" t="str">
        <x:v>21:20</x:v>
      </x:c>
      <x:c r="H335" s="14" t="str">
        <x:v>21:35</x:v>
      </x:c>
      <x:c r="I335" s="14" t="str">
        <x:v>Genel</x:v>
      </x:c>
      <x:c r="J335" s="14" t="str">
        <x:v>Yanlış / Boş Analizi</x:v>
      </x:c>
      <x:c r="K335" s="14" t="str">
        <x:v>Günlük</x:v>
      </x:c>
      <x:c r="L335" s="14" t="str">
        <x:v>Bugünkü yanlış/boşları kaydet; çözümünü öğrenmeden kapatma. Hata türünü sınıflandır.</x:v>
      </x:c>
      <x:c r="M335" s="14" t="str">
        <x:v>Yanlış Defteri</x:v>
      </x:c>
      <x:c r="N335" s="14" t="str"/>
      <x:c r="O335" s="14" t="n">
        <x:v>0</x:v>
      </x:c>
      <x:c r="P335" s="14" t="str">
        <x:v>Hayır</x:v>
      </x:c>
      <x:c r="Q335" s="14" t="str">
        <x:v>Evet</x:v>
      </x:c>
      <x:c r="R335" s="14" t="str">
        <x:v>Planlandı</x:v>
      </x:c>
      <x:c r="S335" s="15" t="str"/>
      <x:c r="T335" s="14" t="str"/>
    </x:row>
    <x:row r="336">
      <x:c r="A336" s="14" t="n">
        <x:v>335</x:v>
      </x:c>
      <x:c r="B336" s="15" t="n">
        <x:v>46322</x:v>
      </x:c>
      <x:c r="C336" s="14" t="str">
        <x:v>Salı</x:v>
      </x:c>
      <x:c r="D336" s="14" t="str">
        <x:v>Okul Günü</x:v>
      </x:c>
      <x:c r="E336" s="14" t="str">
        <x:v>16:00 sonrası</x:v>
      </x:c>
      <x:c r="F336" s="14" t="str">
        <x:v>F1 - Temel Kurma</x:v>
      </x:c>
      <x:c r="G336" s="14" t="str">
        <x:v>21:35</x:v>
      </x:c>
      <x:c r="H336" s="14" t="str">
        <x:v>21:50</x:v>
      </x:c>
      <x:c r="I336" s="14" t="str">
        <x:v>Genel</x:v>
      </x:c>
      <x:c r="J336" s="14" t="str">
        <x:v>Aralıklı Hata Tekrarı</x:v>
      </x:c>
      <x:c r="K336" s="14" t="str">
        <x:v>+1 / +7 / +21</x:v>
      </x:c>
      <x:c r="L336" s="14" t="str">
        <x:v>Bugün vadesi gelen yanlış soruları tekrar çöz. Vadesi yoksa bu süre serbest/okuma olabilir.</x:v>
      </x:c>
      <x:c r="M336" s="14" t="str">
        <x:v>Yanlış Defteri</x:v>
      </x:c>
      <x:c r="N336" s="14" t="str"/>
      <x:c r="O336" s="14" t="n">
        <x:v>0</x:v>
      </x:c>
      <x:c r="P336" s="14" t="str">
        <x:v>Hayır</x:v>
      </x:c>
      <x:c r="Q336" s="14" t="str">
        <x:v>Koşullu</x:v>
      </x:c>
      <x:c r="R336" s="14" t="str">
        <x:v>Planlandı</x:v>
      </x:c>
      <x:c r="S336" s="15" t="str"/>
      <x:c r="T336" s="14" t="str">
        <x:v>Yanlışlar +1, +7 ve +21 gün aralıklarıyla tekrar edilir; hâlâ yanlışsa konu mastery durumu düşürülür.</x:v>
      </x:c>
    </x:row>
    <x:row r="337">
      <x:c r="A337" s="14" t="n">
        <x:v>336</x:v>
      </x:c>
      <x:c r="B337" s="15" t="n">
        <x:v>46322</x:v>
      </x:c>
      <x:c r="C337" s="14" t="str">
        <x:v>Salı</x:v>
      </x:c>
      <x:c r="D337" s="14" t="str">
        <x:v>Okul Günü</x:v>
      </x:c>
      <x:c r="E337" s="14" t="str">
        <x:v>16:00 sonrası</x:v>
      </x:c>
      <x:c r="F337" s="14" t="str">
        <x:v>F1 - Temel Kurma</x:v>
      </x:c>
      <x:c r="G337" s="14" t="str">
        <x:v>21:50</x:v>
      </x:c>
      <x:c r="H337" s="14" t="str">
        <x:v>22:00</x:v>
      </x:c>
      <x:c r="I337" s="14" t="str">
        <x:v>Genel</x:v>
      </x:c>
      <x:c r="J337" s="14" t="str">
        <x:v>Uyku Hazırlığı</x:v>
      </x:c>
      <x:c r="K337" s="14" t="str"/>
      <x:c r="L337" s="14" t="str">
        <x:v>22:00'de yatakta ve uyku.</x:v>
      </x:c>
      <x:c r="M337" s="14" t="str"/>
      <x:c r="N337" s="14" t="str"/>
      <x:c r="O337" s="14" t="n">
        <x:v>0</x:v>
      </x:c>
      <x:c r="P337" s="14" t="str">
        <x:v>Hayır</x:v>
      </x:c>
      <x:c r="Q337" s="14" t="str">
        <x:v>Hayır</x:v>
      </x:c>
      <x:c r="R337" s="14" t="str">
        <x:v>Planlandı</x:v>
      </x:c>
      <x:c r="S337" s="15" t="str"/>
      <x:c r="T337" s="14" t="str"/>
    </x:row>
    <x:row r="338">
      <x:c r="A338" s="14" t="n">
        <x:v>337</x:v>
      </x:c>
      <x:c r="B338" s="15" t="n">
        <x:v>46323</x:v>
      </x:c>
      <x:c r="C338" s="14" t="str">
        <x:v>Çarşamba</x:v>
      </x:c>
      <x:c r="D338" s="14" t="str">
        <x:v>Okul Günü</x:v>
      </x:c>
      <x:c r="E338" s="14" t="str">
        <x:v>16:00 sonrası</x:v>
      </x:c>
      <x:c r="F338" s="14" t="str">
        <x:v>F1 - Temel Kurma</x:v>
      </x:c>
      <x:c r="G338" s="14" t="str">
        <x:v>16:00</x:v>
      </x:c>
      <x:c r="H338" s="14" t="str">
        <x:v>16:25</x:v>
      </x:c>
      <x:c r="I338" s="14" t="str">
        <x:v>Genel</x:v>
      </x:c>
      <x:c r="J338" s="14" t="str">
        <x:v>Dinlenme</x:v>
      </x:c>
      <x:c r="K338" s="14" t="str"/>
      <x:c r="L338" s="14" t="str">
        <x:v>Eve geliş, atıştırma ve dinlenme.</x:v>
      </x:c>
      <x:c r="M338" s="14" t="str"/>
      <x:c r="N338" s="14" t="str"/>
      <x:c r="O338" s="14" t="n">
        <x:v>0</x:v>
      </x:c>
      <x:c r="P338" s="14" t="str">
        <x:v>Hayır</x:v>
      </x:c>
      <x:c r="Q338" s="14" t="str">
        <x:v>Hayır</x:v>
      </x:c>
      <x:c r="R338" s="14" t="str">
        <x:v>Planlandı</x:v>
      </x:c>
      <x:c r="S338" s="15" t="str"/>
      <x:c r="T338" s="14" t="str"/>
    </x:row>
    <x:row r="339">
      <x:c r="A339" s="14" t="n">
        <x:v>338</x:v>
      </x:c>
      <x:c r="B339" s="15" t="n">
        <x:v>46323</x:v>
      </x:c>
      <x:c r="C339" s="14" t="str">
        <x:v>Çarşamba</x:v>
      </x:c>
      <x:c r="D339" s="14" t="str">
        <x:v>Okul Günü</x:v>
      </x:c>
      <x:c r="E339" s="14" t="str">
        <x:v>16:00 sonrası</x:v>
      </x:c>
      <x:c r="F339" s="14" t="str">
        <x:v>F1 - Temel Kurma</x:v>
      </x:c>
      <x:c r="G339" s="14" t="str">
        <x:v>16:25</x:v>
      </x:c>
      <x:c r="H339" s="14" t="str">
        <x:v>17:05</x:v>
      </x:c>
      <x:c r="I339" s="14" t="str">
        <x:v>Matematik</x:v>
      </x:c>
      <x:c r="J339" s="14" t="str">
        <x:v>Konu / Tekrar</x:v>
      </x:c>
      <x:c r="K339" s="14" t="str">
        <x:v>Asal Çarpanlara Ayırma</x:v>
      </x:c>
      <x:c r="L339" s="14" t="str">
        <x:v>Asal Çarpanlara Ayırma — genel oynatma listesinden ilgili videoyu izle (1/3).</x:v>
      </x:c>
      <x:c r="M339" s="14" t="str">
        <x:v>Matematik Ana Oynatma Listesi</x:v>
      </x:c>
      <x:c r="N339" s="14" t="str">
        <x:v>https://www.youtube.com/watch?v=EuJ89QzqrAg&amp;list=PLicNtF7vp6fnfDqrRLH6H7fIbzYT4ct4F&amp;index=11</x:v>
      </x:c>
      <x:c r="O339" s="14" t="n">
        <x:v>0</x:v>
      </x:c>
      <x:c r="P339" s="14" t="str">
        <x:v>Hayır</x:v>
      </x:c>
      <x:c r="Q339" s="14" t="str">
        <x:v>Evet</x:v>
      </x:c>
      <x:c r="R339" s="14" t="str">
        <x:v>Planlandı</x:v>
      </x:c>
      <x:c r="S339" s="15" t="str"/>
      <x:c r="T339" s="14" t="str">
        <x:v>Yeni konu ancak plan sırasıyla açılır; LGS dışı ileri TYT içeriği zorunlu değildir.</x:v>
      </x:c>
    </x:row>
    <x:row r="340">
      <x:c r="A340" s="14" t="n">
        <x:v>339</x:v>
      </x:c>
      <x:c r="B340" s="15" t="n">
        <x:v>46323</x:v>
      </x:c>
      <x:c r="C340" s="14" t="str">
        <x:v>Çarşamba</x:v>
      </x:c>
      <x:c r="D340" s="14" t="str">
        <x:v>Okul Günü</x:v>
      </x:c>
      <x:c r="E340" s="14" t="str">
        <x:v>16:00 sonrası</x:v>
      </x:c>
      <x:c r="F340" s="14" t="str">
        <x:v>F1 - Temel Kurma</x:v>
      </x:c>
      <x:c r="G340" s="14" t="str">
        <x:v>17:10</x:v>
      </x:c>
      <x:c r="H340" s="14" t="str">
        <x:v>17:55</x:v>
      </x:c>
      <x:c r="I340" s="14" t="str">
        <x:v>Matematik</x:v>
      </x:c>
      <x:c r="J340" s="14" t="str">
        <x:v>Kitap / MEB / Mastery</x:v>
      </x:c>
      <x:c r="K340" s="14" t="str">
        <x:v>Asal Çarpanlara Ayırma</x:v>
      </x:c>
      <x:c r="L340" s="14" t="str">
        <x:v>Asal Çarpanlara Ayırma ile ilgili soru kitabından en az 20 soru / bugünkü test payını çöz.</x:v>
      </x:c>
      <x:c r="M340" s="14" t="str">
        <x:v>MUBA 8. Sınıf Başlangıç Matematik (ISBN 9789756526972) (eşleşen bölüm) + MEB temel destek</x:v>
      </x:c>
      <x:c r="N340" s="14" t="str">
        <x:v>https://odsgm.meb.gov.tr/www/5-6-7-ve-9-sinif-duzeylerinde-calisma-sorulari-yayimlandi/icerik/775</x:v>
      </x:c>
      <x:c r="O340" s="14" t="n">
        <x:v>20</x:v>
      </x:c>
      <x:c r="P340" s="14" t="str">
        <x:v>İlk 20 soru</x:v>
      </x:c>
      <x:c r="Q340" s="14" t="str">
        <x:v>Evet</x:v>
      </x:c>
      <x:c r="R340" s="14" t="str">
        <x:v>Planlandı</x:v>
      </x:c>
      <x:c r="S340" s="15" t="str"/>
      <x:c r="T340" s="14" t="str">
        <x:v>Ayrı/rastgele matematik benchmark yoktur. Süreli ilk 20 soru o gün çalışılan konunun içindedir.</x:v>
      </x:c>
    </x:row>
    <x:row r="341">
      <x:c r="A341" s="14" t="n">
        <x:v>340</x:v>
      </x:c>
      <x:c r="B341" s="15" t="n">
        <x:v>46323</x:v>
      </x:c>
      <x:c r="C341" s="14" t="str">
        <x:v>Çarşamba</x:v>
      </x:c>
      <x:c r="D341" s="14" t="str">
        <x:v>Okul Günü</x:v>
      </x:c>
      <x:c r="E341" s="14" t="str">
        <x:v>16:00 sonrası</x:v>
      </x:c>
      <x:c r="F341" s="14" t="str">
        <x:v>F1 - Temel Kurma</x:v>
      </x:c>
      <x:c r="G341" s="14" t="str">
        <x:v>17:55</x:v>
      </x:c>
      <x:c r="H341" s="14" t="str">
        <x:v>18:25</x:v>
      </x:c>
      <x:c r="I341" s="14" t="str">
        <x:v>Genel</x:v>
      </x:c>
      <x:c r="J341" s="14" t="str">
        <x:v>Yemek / Serbest Zaman</x:v>
      </x:c>
      <x:c r="K341" s="14" t="str"/>
      <x:c r="L341" s="14" t="str">
        <x:v>Yemek, hareket ve dinlenme.</x:v>
      </x:c>
      <x:c r="M341" s="14" t="str"/>
      <x:c r="N341" s="14" t="str"/>
      <x:c r="O341" s="14" t="n">
        <x:v>0</x:v>
      </x:c>
      <x:c r="P341" s="14" t="str">
        <x:v>Hayır</x:v>
      </x:c>
      <x:c r="Q341" s="14" t="str">
        <x:v>Hayır</x:v>
      </x:c>
      <x:c r="R341" s="14" t="str">
        <x:v>Planlandı</x:v>
      </x:c>
      <x:c r="S341" s="15" t="str"/>
      <x:c r="T341" s="14" t="str"/>
    </x:row>
    <x:row r="342">
      <x:c r="A342" s="14" t="n">
        <x:v>341</x:v>
      </x:c>
      <x:c r="B342" s="15" t="n">
        <x:v>46323</x:v>
      </x:c>
      <x:c r="C342" s="14" t="str">
        <x:v>Çarşamba</x:v>
      </x:c>
      <x:c r="D342" s="14" t="str">
        <x:v>Okul Günü</x:v>
      </x:c>
      <x:c r="E342" s="14" t="str">
        <x:v>16:00 sonrası</x:v>
      </x:c>
      <x:c r="F342" s="14" t="str">
        <x:v>F1 - Temel Kurma</x:v>
      </x:c>
      <x:c r="G342" s="14" t="str">
        <x:v>18:25</x:v>
      </x:c>
      <x:c r="H342" s="14" t="str">
        <x:v>18:55</x:v>
      </x:c>
      <x:c r="I342" s="14" t="str">
        <x:v>Türkçe</x:v>
      </x:c>
      <x:c r="J342" s="14" t="str">
        <x:v>Paragraf Rutini</x:v>
      </x:c>
      <x:c r="K342" s="14" t="str">
        <x:v>Paragraf</x:v>
      </x:c>
      <x:c r="L342" s="14" t="str">
        <x:v>En az 20 paragraf sorusu çöz; ilk 20 soruyu ileri sayımla ölç, D/Y/B + süre kaydet.</x:v>
      </x:c>
      <x:c r="M342" s="14" t="str">
        <x:v>Hız 8. Sınıf Türkçe Paragraf (ISBN 9786258394498)</x:v>
      </x:c>
      <x:c r="N342" s="14" t="str"/>
      <x:c r="O342" s="14" t="n">
        <x:v>20</x:v>
      </x:c>
      <x:c r="P342" s="14" t="str">
        <x:v>İlk 20 soru</x:v>
      </x:c>
      <x:c r="Q342" s="14" t="str">
        <x:v>Evet</x:v>
      </x:c>
      <x:c r="R342" s="14" t="str">
        <x:v>Planlandı</x:v>
      </x:c>
      <x:c r="S342" s="15" t="str"/>
      <x:c r="T342" s="14" t="str">
        <x:v>Geri sayım ve hedef süre yok.</x:v>
      </x:c>
    </x:row>
    <x:row r="343">
      <x:c r="A343" s="14" t="n">
        <x:v>342</x:v>
      </x:c>
      <x:c r="B343" s="15" t="n">
        <x:v>46323</x:v>
      </x:c>
      <x:c r="C343" s="14" t="str">
        <x:v>Çarşamba</x:v>
      </x:c>
      <x:c r="D343" s="14" t="str">
        <x:v>Okul Günü</x:v>
      </x:c>
      <x:c r="E343" s="14" t="str">
        <x:v>16:00 sonrası</x:v>
      </x:c>
      <x:c r="F343" s="14" t="str">
        <x:v>F1 - Temel Kurma</x:v>
      </x:c>
      <x:c r="G343" s="14" t="str">
        <x:v>19:00</x:v>
      </x:c>
      <x:c r="H343" s="14" t="str">
        <x:v>19:35</x:v>
      </x:c>
      <x:c r="I343" s="14" t="str">
        <x:v>Türkçe</x:v>
      </x:c>
      <x:c r="J343" s="14" t="str">
        <x:v>Konu / Tekrar</x:v>
      </x:c>
      <x:c r="K343" s="14" t="str">
        <x:v>Yazım Kuralları</x:v>
      </x:c>
      <x:c r="L343" s="14" t="str">
        <x:v>Yazım Kuralları — genel oynatma listesinden ilgili videoyu izle (2/4).</x:v>
      </x:c>
      <x:c r="M343" s="14" t="str">
        <x:v>Türkçe Ana Oynatma Listesi</x:v>
      </x:c>
      <x:c r="N343" s="14" t="str">
        <x:v>https://www.youtube.com/watch?v=VYsPntNKVdw&amp;list=PLIBjFaUoJJ91bz7QQEBlxNJNZka5YQRr6</x:v>
      </x:c>
      <x:c r="O343" s="14" t="n">
        <x:v>0</x:v>
      </x:c>
      <x:c r="P343" s="14" t="str">
        <x:v>Hayır</x:v>
      </x:c>
      <x:c r="Q343" s="14" t="str">
        <x:v>Evet</x:v>
      </x:c>
      <x:c r="R343" s="14" t="str">
        <x:v>Planlandı</x:v>
      </x:c>
      <x:c r="S343" s="15" t="str"/>
      <x:c r="T343" s="14" t="str">
        <x:v>TYT etiketli kaynak temelden başlamak için sabittir; LGS dışı gereksiz ayrıntı zorunlu değildir.</x:v>
      </x:c>
    </x:row>
    <x:row r="344">
      <x:c r="A344" s="14" t="n">
        <x:v>343</x:v>
      </x:c>
      <x:c r="B344" s="15" t="n">
        <x:v>46323</x:v>
      </x:c>
      <x:c r="C344" s="14" t="str">
        <x:v>Çarşamba</x:v>
      </x:c>
      <x:c r="D344" s="14" t="str">
        <x:v>Okul Günü</x:v>
      </x:c>
      <x:c r="E344" s="14" t="str">
        <x:v>16:00 sonrası</x:v>
      </x:c>
      <x:c r="F344" s="14" t="str">
        <x:v>F1 - Temel Kurma</x:v>
      </x:c>
      <x:c r="G344" s="14" t="str">
        <x:v>19:40</x:v>
      </x:c>
      <x:c r="H344" s="14" t="str">
        <x:v>20:10</x:v>
      </x:c>
      <x:c r="I344" s="14" t="str">
        <x:v>Türkçe</x:v>
      </x:c>
      <x:c r="J344" s="14" t="str">
        <x:v>Kitap / MEB / Mastery</x:v>
      </x:c>
      <x:c r="K344" s="14" t="str">
        <x:v>Yazım Kuralları</x:v>
      </x:c>
      <x:c r="L344" s="14" t="str">
        <x:v>Yazım Kuralları ile ilgili soru kitabından en az 10 soru / bugünkü test payını çöz.</x:v>
      </x:c>
      <x:c r="M344" s="14" t="str">
        <x:v>Ankara 8. Sınıf Dil Bilgisi Güçlendiren</x:v>
      </x:c>
      <x:c r="N344" s="14" t="str">
        <x:v>https://odsgm.meb.gov.tr/www/8sinif-calisma-sorulari/icerik/1632</x:v>
      </x:c>
      <x:c r="O344" s="14" t="n">
        <x:v>10</x:v>
      </x:c>
      <x:c r="P344" s="14" t="str">
        <x:v>Hayır</x:v>
      </x:c>
      <x:c r="Q344" s="14" t="str">
        <x:v>Evet</x:v>
      </x:c>
      <x:c r="R344" s="14" t="str">
        <x:v>Planlandı</x:v>
      </x:c>
      <x:c r="S344" s="15" t="str"/>
      <x:c r="T344" s="14" t="str"/>
    </x:row>
    <x:row r="345">
      <x:c r="A345" s="14" t="n">
        <x:v>344</x:v>
      </x:c>
      <x:c r="B345" s="15" t="n">
        <x:v>46323</x:v>
      </x:c>
      <x:c r="C345" s="14" t="str">
        <x:v>Çarşamba</x:v>
      </x:c>
      <x:c r="D345" s="14" t="str">
        <x:v>Okul Günü</x:v>
      </x:c>
      <x:c r="E345" s="14" t="str">
        <x:v>16:00 sonrası</x:v>
      </x:c>
      <x:c r="F345" s="14" t="str">
        <x:v>F1 - Temel Kurma</x:v>
      </x:c>
      <x:c r="G345" s="14" t="str">
        <x:v>20:15</x:v>
      </x:c>
      <x:c r="H345" s="14" t="str">
        <x:v>20:50</x:v>
      </x:c>
      <x:c r="I345" s="14" t="str">
        <x:v>İngilizce</x:v>
      </x:c>
      <x:c r="J345" s="14" t="str">
        <x:v>Konu / Tekrar</x:v>
      </x:c>
      <x:c r="K345" s="14" t="str">
        <x:v>Unit 2 - Teen Life</x:v>
      </x:c>
      <x:c r="L345" s="14" t="str">
        <x:v>Unit 2 - Teen Life — Worksheet çalışmasını playlistten yap.</x:v>
      </x:c>
      <x:c r="M345" s="14" t="str">
        <x:v>İngilizce Genel Oynatma Listesi</x:v>
      </x:c>
      <x:c r="N345" s="14" t="str">
        <x:v>https://www.youtube.com/watch?v=FaY3dFjZbns&amp;list=PLSgpQDrUSYp94WgE9pzpHiOG5FwxnZBrr</x:v>
      </x:c>
      <x:c r="O345" s="14" t="n">
        <x:v>0</x:v>
      </x:c>
      <x:c r="P345" s="14" t="str">
        <x:v>Hayır</x:v>
      </x:c>
      <x:c r="Q345" s="14" t="str">
        <x:v>Evet</x:v>
      </x:c>
      <x:c r="R345" s="14" t="str">
        <x:v>Planlandı</x:v>
      </x:c>
      <x:c r="S345" s="15" t="str"/>
      <x:c r="T345" s="14" t="str"/>
    </x:row>
    <x:row r="346">
      <x:c r="A346" s="14" t="n">
        <x:v>345</x:v>
      </x:c>
      <x:c r="B346" s="15" t="n">
        <x:v>46323</x:v>
      </x:c>
      <x:c r="C346" s="14" t="str">
        <x:v>Çarşamba</x:v>
      </x:c>
      <x:c r="D346" s="14" t="str">
        <x:v>Okul Günü</x:v>
      </x:c>
      <x:c r="E346" s="14" t="str">
        <x:v>16:00 sonrası</x:v>
      </x:c>
      <x:c r="F346" s="14" t="str">
        <x:v>F1 - Temel Kurma</x:v>
      </x:c>
      <x:c r="G346" s="14" t="str">
        <x:v>20:55</x:v>
      </x:c>
      <x:c r="H346" s="14" t="str">
        <x:v>21:20</x:v>
      </x:c>
      <x:c r="I346" s="14" t="str">
        <x:v>İngilizce</x:v>
      </x:c>
      <x:c r="J346" s="14" t="str">
        <x:v>Kitap / MEB / Mastery</x:v>
      </x:c>
      <x:c r="K346" s="14" t="str">
        <x:v>Unit 2 - Teen Life</x:v>
      </x:c>
      <x:c r="L346" s="14" t="str">
        <x:v>Unit 2 - Teen Life ile ilgili soru kitabından en az 15 soru / bugünkü test payını çöz.</x:v>
      </x:c>
      <x:c r="M346" s="14" t="str">
        <x:v>More &amp; More 8 Worksheets Notebook</x:v>
      </x:c>
      <x:c r="N346" s="14" t="str">
        <x:v>https://www.youtube.com/watch?v=FaY3dFjZbns&amp;list=PLSgpQDrUSYp94WgE9pzpHiOG5FwxnZBrr</x:v>
      </x:c>
      <x:c r="O346" s="14" t="n">
        <x:v>15</x:v>
      </x:c>
      <x:c r="P346" s="14" t="str">
        <x:v>Hayır</x:v>
      </x:c>
      <x:c r="Q346" s="14" t="str">
        <x:v>Evet</x:v>
      </x:c>
      <x:c r="R346" s="14" t="str">
        <x:v>Planlandı</x:v>
      </x:c>
      <x:c r="S346" s="15" t="str"/>
      <x:c r="T346" s="14" t="str"/>
    </x:row>
    <x:row r="347">
      <x:c r="A347" s="14" t="n">
        <x:v>346</x:v>
      </x:c>
      <x:c r="B347" s="15" t="n">
        <x:v>46323</x:v>
      </x:c>
      <x:c r="C347" s="14" t="str">
        <x:v>Çarşamba</x:v>
      </x:c>
      <x:c r="D347" s="14" t="str">
        <x:v>Okul Günü</x:v>
      </x:c>
      <x:c r="E347" s="14" t="str">
        <x:v>16:00 sonrası</x:v>
      </x:c>
      <x:c r="F347" s="14" t="str">
        <x:v>F1 - Temel Kurma</x:v>
      </x:c>
      <x:c r="G347" s="14" t="str">
        <x:v>21:20</x:v>
      </x:c>
      <x:c r="H347" s="14" t="str">
        <x:v>21:35</x:v>
      </x:c>
      <x:c r="I347" s="14" t="str">
        <x:v>Genel</x:v>
      </x:c>
      <x:c r="J347" s="14" t="str">
        <x:v>Yanlış / Boş Analizi</x:v>
      </x:c>
      <x:c r="K347" s="14" t="str">
        <x:v>Günlük</x:v>
      </x:c>
      <x:c r="L347" s="14" t="str">
        <x:v>Bugünkü yanlış/boşları kaydet; çözümünü öğrenmeden kapatma. Hata türünü sınıflandır.</x:v>
      </x:c>
      <x:c r="M347" s="14" t="str">
        <x:v>Yanlış Defteri</x:v>
      </x:c>
      <x:c r="N347" s="14" t="str"/>
      <x:c r="O347" s="14" t="n">
        <x:v>0</x:v>
      </x:c>
      <x:c r="P347" s="14" t="str">
        <x:v>Hayır</x:v>
      </x:c>
      <x:c r="Q347" s="14" t="str">
        <x:v>Evet</x:v>
      </x:c>
      <x:c r="R347" s="14" t="str">
        <x:v>Planlandı</x:v>
      </x:c>
      <x:c r="S347" s="15" t="str"/>
      <x:c r="T347" s="14" t="str"/>
    </x:row>
    <x:row r="348">
      <x:c r="A348" s="14" t="n">
        <x:v>347</x:v>
      </x:c>
      <x:c r="B348" s="15" t="n">
        <x:v>46323</x:v>
      </x:c>
      <x:c r="C348" s="14" t="str">
        <x:v>Çarşamba</x:v>
      </x:c>
      <x:c r="D348" s="14" t="str">
        <x:v>Okul Günü</x:v>
      </x:c>
      <x:c r="E348" s="14" t="str">
        <x:v>16:00 sonrası</x:v>
      </x:c>
      <x:c r="F348" s="14" t="str">
        <x:v>F1 - Temel Kurma</x:v>
      </x:c>
      <x:c r="G348" s="14" t="str">
        <x:v>21:35</x:v>
      </x:c>
      <x:c r="H348" s="14" t="str">
        <x:v>21:50</x:v>
      </x:c>
      <x:c r="I348" s="14" t="str">
        <x:v>Genel</x:v>
      </x:c>
      <x:c r="J348" s="14" t="str">
        <x:v>Aralıklı Hata Tekrarı</x:v>
      </x:c>
      <x:c r="K348" s="14" t="str">
        <x:v>+1 / +7 / +21</x:v>
      </x:c>
      <x:c r="L348" s="14" t="str">
        <x:v>Bugün vadesi gelen yanlış soruları tekrar çöz. Vadesi yoksa bu süre serbest/okuma olabilir.</x:v>
      </x:c>
      <x:c r="M348" s="14" t="str">
        <x:v>Yanlış Defteri</x:v>
      </x:c>
      <x:c r="N348" s="14" t="str"/>
      <x:c r="O348" s="14" t="n">
        <x:v>0</x:v>
      </x:c>
      <x:c r="P348" s="14" t="str">
        <x:v>Hayır</x:v>
      </x:c>
      <x:c r="Q348" s="14" t="str">
        <x:v>Koşullu</x:v>
      </x:c>
      <x:c r="R348" s="14" t="str">
        <x:v>Planlandı</x:v>
      </x:c>
      <x:c r="S348" s="15" t="str"/>
      <x:c r="T348" s="14" t="str">
        <x:v>Yanlışlar +1, +7 ve +21 gün aralıklarıyla tekrar edilir; hâlâ yanlışsa konu mastery durumu düşürülür.</x:v>
      </x:c>
    </x:row>
    <x:row r="349">
      <x:c r="A349" s="14" t="n">
        <x:v>348</x:v>
      </x:c>
      <x:c r="B349" s="15" t="n">
        <x:v>46323</x:v>
      </x:c>
      <x:c r="C349" s="14" t="str">
        <x:v>Çarşamba</x:v>
      </x:c>
      <x:c r="D349" s="14" t="str">
        <x:v>Okul Günü</x:v>
      </x:c>
      <x:c r="E349" s="14" t="str">
        <x:v>16:00 sonrası</x:v>
      </x:c>
      <x:c r="F349" s="14" t="str">
        <x:v>F1 - Temel Kurma</x:v>
      </x:c>
      <x:c r="G349" s="14" t="str">
        <x:v>21:50</x:v>
      </x:c>
      <x:c r="H349" s="14" t="str">
        <x:v>22:00</x:v>
      </x:c>
      <x:c r="I349" s="14" t="str">
        <x:v>Genel</x:v>
      </x:c>
      <x:c r="J349" s="14" t="str">
        <x:v>Uyku Hazırlığı</x:v>
      </x:c>
      <x:c r="K349" s="14" t="str"/>
      <x:c r="L349" s="14" t="str">
        <x:v>22:00'de yatakta ve uyku.</x:v>
      </x:c>
      <x:c r="M349" s="14" t="str"/>
      <x:c r="N349" s="14" t="str"/>
      <x:c r="O349" s="14" t="n">
        <x:v>0</x:v>
      </x:c>
      <x:c r="P349" s="14" t="str">
        <x:v>Hayır</x:v>
      </x:c>
      <x:c r="Q349" s="14" t="str">
        <x:v>Hayır</x:v>
      </x:c>
      <x:c r="R349" s="14" t="str">
        <x:v>Planlandı</x:v>
      </x:c>
      <x:c r="S349" s="15" t="str"/>
      <x:c r="T349" s="14" t="str"/>
    </x:row>
    <x:row r="350">
      <x:c r="A350" s="14" t="n">
        <x:v>349</x:v>
      </x:c>
      <x:c r="B350" s="15" t="n">
        <x:v>46324</x:v>
      </x:c>
      <x:c r="C350" s="14" t="str">
        <x:v>Perşembe</x:v>
      </x:c>
      <x:c r="D350" s="14" t="str">
        <x:v>Resmî Tatil</x:v>
      </x:c>
      <x:c r="E350" s="14" t="str">
        <x:v>Cumhuriyet Bayramı</x:v>
      </x:c>
      <x:c r="F350" s="14" t="str">
        <x:v>F1 - Temel Kurma</x:v>
      </x:c>
      <x:c r="G350" s="14" t="str">
        <x:v>09:30</x:v>
      </x:c>
      <x:c r="H350" s="14" t="str">
        <x:v>10:15</x:v>
      </x:c>
      <x:c r="I350" s="14" t="str">
        <x:v>Matematik</x:v>
      </x:c>
      <x:c r="J350" s="14" t="str">
        <x:v>Konu / Tekrar</x:v>
      </x:c>
      <x:c r="K350" s="14" t="str">
        <x:v>Asal Çarpanlara Ayırma</x:v>
      </x:c>
      <x:c r="L350" s="14" t="str">
        <x:v>Asal Çarpanlara Ayırma — genel oynatma listesinden ilgili videoyu izle (2/3).</x:v>
      </x:c>
      <x:c r="M350" s="14" t="str">
        <x:v>Matematik Ana Oynatma Listesi</x:v>
      </x:c>
      <x:c r="N350" s="14" t="str">
        <x:v>https://www.youtube.com/watch?v=EuJ89QzqrAg&amp;list=PLicNtF7vp6fnfDqrRLH6H7fIbzYT4ct4F&amp;index=11</x:v>
      </x:c>
      <x:c r="O350" s="14" t="n">
        <x:v>0</x:v>
      </x:c>
      <x:c r="P350" s="14" t="str">
        <x:v>Hayır</x:v>
      </x:c>
      <x:c r="Q350" s="14" t="str">
        <x:v>Evet</x:v>
      </x:c>
      <x:c r="R350" s="14" t="str">
        <x:v>Planlandı</x:v>
      </x:c>
      <x:c r="S350" s="15" t="str"/>
      <x:c r="T350" s="14" t="str">
        <x:v>Yeni konu ancak plan sırasıyla açılır; LGS dışı ileri TYT içeriği zorunlu değildir.</x:v>
      </x:c>
    </x:row>
    <x:row r="351">
      <x:c r="A351" s="14" t="n">
        <x:v>350</x:v>
      </x:c>
      <x:c r="B351" s="15" t="n">
        <x:v>46324</x:v>
      </x:c>
      <x:c r="C351" s="14" t="str">
        <x:v>Perşembe</x:v>
      </x:c>
      <x:c r="D351" s="14" t="str">
        <x:v>Resmî Tatil</x:v>
      </x:c>
      <x:c r="E351" s="14" t="str">
        <x:v>Cumhuriyet Bayramı</x:v>
      </x:c>
      <x:c r="F351" s="14" t="str">
        <x:v>F1 - Temel Kurma</x:v>
      </x:c>
      <x:c r="G351" s="14" t="str">
        <x:v>10:25</x:v>
      </x:c>
      <x:c r="H351" s="14" t="str">
        <x:v>11:15</x:v>
      </x:c>
      <x:c r="I351" s="14" t="str">
        <x:v>Matematik</x:v>
      </x:c>
      <x:c r="J351" s="14" t="str">
        <x:v>Kitap / MEB / Mastery</x:v>
      </x:c>
      <x:c r="K351" s="14" t="str">
        <x:v>Asal Çarpanlara Ayırma</x:v>
      </x:c>
      <x:c r="L351" s="14" t="str">
        <x:v>Asal Çarpanlara Ayırma ile ilgili soru kitabından en az 20 soru / bugünkü test payını çöz.</x:v>
      </x:c>
      <x:c r="M351" s="14" t="str">
        <x:v>MUBA 8. Sınıf Başlangıç Matematik (ISBN 9789756526972) (eşleşen bölüm) + MEB temel destek</x:v>
      </x:c>
      <x:c r="N351" s="14" t="str">
        <x:v>https://odsgm.meb.gov.tr/www/5-6-7-ve-9-sinif-duzeylerinde-calisma-sorulari-yayimlandi/icerik/775</x:v>
      </x:c>
      <x:c r="O351" s="14" t="n">
        <x:v>20</x:v>
      </x:c>
      <x:c r="P351" s="14" t="str">
        <x:v>İlk 20 soru</x:v>
      </x:c>
      <x:c r="Q351" s="14" t="str">
        <x:v>Evet</x:v>
      </x:c>
      <x:c r="R351" s="14" t="str">
        <x:v>Planlandı</x:v>
      </x:c>
      <x:c r="S351" s="15" t="str"/>
      <x:c r="T351" s="14" t="str">
        <x:v>Ayrı/rastgele matematik benchmark yoktur. Süreli ilk 20 soru o gün çalışılan konunun içindedir.</x:v>
      </x:c>
    </x:row>
    <x:row r="352">
      <x:c r="A352" s="14" t="n">
        <x:v>351</x:v>
      </x:c>
      <x:c r="B352" s="15" t="n">
        <x:v>46324</x:v>
      </x:c>
      <x:c r="C352" s="14" t="str">
        <x:v>Perşembe</x:v>
      </x:c>
      <x:c r="D352" s="14" t="str">
        <x:v>Resmî Tatil</x:v>
      </x:c>
      <x:c r="E352" s="14" t="str">
        <x:v>Cumhuriyet Bayramı</x:v>
      </x:c>
      <x:c r="F352" s="14" t="str">
        <x:v>F1 - Temel Kurma</x:v>
      </x:c>
      <x:c r="G352" s="14" t="str">
        <x:v>12:00</x:v>
      </x:c>
      <x:c r="H352" s="14" t="str">
        <x:v>14:00</x:v>
      </x:c>
      <x:c r="I352" s="14" t="str">
        <x:v>Genel</x:v>
      </x:c>
      <x:c r="J352" s="14" t="str">
        <x:v>Yemek / Serbest Zaman</x:v>
      </x:c>
      <x:c r="K352" s="14" t="str"/>
      <x:c r="L352" s="14" t="str">
        <x:v>Yemek, hareket ve dinlenme.</x:v>
      </x:c>
      <x:c r="M352" s="14" t="str"/>
      <x:c r="N352" s="14" t="str"/>
      <x:c r="O352" s="14" t="n">
        <x:v>0</x:v>
      </x:c>
      <x:c r="P352" s="14" t="str">
        <x:v>Hayır</x:v>
      </x:c>
      <x:c r="Q352" s="14" t="str">
        <x:v>Hayır</x:v>
      </x:c>
      <x:c r="R352" s="14" t="str">
        <x:v>Planlandı</x:v>
      </x:c>
      <x:c r="S352" s="15" t="str"/>
      <x:c r="T352" s="14" t="str"/>
    </x:row>
    <x:row r="353">
      <x:c r="A353" s="14" t="n">
        <x:v>352</x:v>
      </x:c>
      <x:c r="B353" s="15" t="n">
        <x:v>46324</x:v>
      </x:c>
      <x:c r="C353" s="14" t="str">
        <x:v>Perşembe</x:v>
      </x:c>
      <x:c r="D353" s="14" t="str">
        <x:v>Resmî Tatil</x:v>
      </x:c>
      <x:c r="E353" s="14" t="str">
        <x:v>Cumhuriyet Bayramı</x:v>
      </x:c>
      <x:c r="F353" s="14" t="str">
        <x:v>F1 - Temel Kurma</x:v>
      </x:c>
      <x:c r="G353" s="14" t="str">
        <x:v>11:25</x:v>
      </x:c>
      <x:c r="H353" s="14" t="str">
        <x:v>11:55</x:v>
      </x:c>
      <x:c r="I353" s="14" t="str">
        <x:v>Türkçe</x:v>
      </x:c>
      <x:c r="J353" s="14" t="str">
        <x:v>Paragraf Rutini</x:v>
      </x:c>
      <x:c r="K353" s="14" t="str">
        <x:v>Paragraf</x:v>
      </x:c>
      <x:c r="L353" s="14" t="str">
        <x:v>En az 20 paragraf sorusu çöz; ilk 20 soruyu ileri sayımla ölç, D/Y/B + süre kaydet.</x:v>
      </x:c>
      <x:c r="M353" s="14" t="str">
        <x:v>Hız 8. Sınıf Türkçe Paragraf (ISBN 9786258394498)</x:v>
      </x:c>
      <x:c r="N353" s="14" t="str"/>
      <x:c r="O353" s="14" t="n">
        <x:v>20</x:v>
      </x:c>
      <x:c r="P353" s="14" t="str">
        <x:v>İlk 20 soru</x:v>
      </x:c>
      <x:c r="Q353" s="14" t="str">
        <x:v>Evet</x:v>
      </x:c>
      <x:c r="R353" s="14" t="str">
        <x:v>Planlandı</x:v>
      </x:c>
      <x:c r="S353" s="15" t="str"/>
      <x:c r="T353" s="14" t="str">
        <x:v>Geri sayım ve hedef süre yok.</x:v>
      </x:c>
    </x:row>
    <x:row r="354">
      <x:c r="A354" s="14" t="n">
        <x:v>353</x:v>
      </x:c>
      <x:c r="B354" s="15" t="n">
        <x:v>46324</x:v>
      </x:c>
      <x:c r="C354" s="14" t="str">
        <x:v>Perşembe</x:v>
      </x:c>
      <x:c r="D354" s="14" t="str">
        <x:v>Resmî Tatil</x:v>
      </x:c>
      <x:c r="E354" s="14" t="str">
        <x:v>Cumhuriyet Bayramı</x:v>
      </x:c>
      <x:c r="F354" s="14" t="str">
        <x:v>F1 - Temel Kurma</x:v>
      </x:c>
      <x:c r="G354" s="14" t="str">
        <x:v>14:00</x:v>
      </x:c>
      <x:c r="H354" s="14" t="str">
        <x:v>14:40</x:v>
      </x:c>
      <x:c r="I354" s="14" t="str">
        <x:v>Türkçe</x:v>
      </x:c>
      <x:c r="J354" s="14" t="str">
        <x:v>Konu / Tekrar</x:v>
      </x:c>
      <x:c r="K354" s="14" t="str">
        <x:v>Yazım Kuralları</x:v>
      </x:c>
      <x:c r="L354" s="14" t="str">
        <x:v>Yazım Kuralları — genel oynatma listesinden ilgili videoyu izle (3/4).</x:v>
      </x:c>
      <x:c r="M354" s="14" t="str">
        <x:v>Türkçe Ana Oynatma Listesi</x:v>
      </x:c>
      <x:c r="N354" s="14" t="str">
        <x:v>https://www.youtube.com/watch?v=VYsPntNKVdw&amp;list=PLIBjFaUoJJ91bz7QQEBlxNJNZka5YQRr6</x:v>
      </x:c>
      <x:c r="O354" s="14" t="n">
        <x:v>0</x:v>
      </x:c>
      <x:c r="P354" s="14" t="str">
        <x:v>Hayır</x:v>
      </x:c>
      <x:c r="Q354" s="14" t="str">
        <x:v>Evet</x:v>
      </x:c>
      <x:c r="R354" s="14" t="str">
        <x:v>Planlandı</x:v>
      </x:c>
      <x:c r="S354" s="15" t="str"/>
      <x:c r="T354" s="14" t="str">
        <x:v>TYT etiketli kaynak temelden başlamak için sabittir; LGS dışı gereksiz ayrıntı zorunlu değildir.</x:v>
      </x:c>
    </x:row>
    <x:row r="355">
      <x:c r="A355" s="14" t="n">
        <x:v>354</x:v>
      </x:c>
      <x:c r="B355" s="15" t="n">
        <x:v>46324</x:v>
      </x:c>
      <x:c r="C355" s="14" t="str">
        <x:v>Perşembe</x:v>
      </x:c>
      <x:c r="D355" s="14" t="str">
        <x:v>Resmî Tatil</x:v>
      </x:c>
      <x:c r="E355" s="14" t="str">
        <x:v>Cumhuriyet Bayramı</x:v>
      </x:c>
      <x:c r="F355" s="14" t="str">
        <x:v>F1 - Temel Kurma</x:v>
      </x:c>
      <x:c r="G355" s="14" t="str">
        <x:v>14:50</x:v>
      </x:c>
      <x:c r="H355" s="14" t="str">
        <x:v>15:30</x:v>
      </x:c>
      <x:c r="I355" s="14" t="str">
        <x:v>Türkçe</x:v>
      </x:c>
      <x:c r="J355" s="14" t="str">
        <x:v>Kitap / MEB / Mastery</x:v>
      </x:c>
      <x:c r="K355" s="14" t="str">
        <x:v>Yazım Kuralları</x:v>
      </x:c>
      <x:c r="L355" s="14" t="str">
        <x:v>Yazım Kuralları ile ilgili soru kitabından en az 10 soru / bugünkü test payını çöz.</x:v>
      </x:c>
      <x:c r="M355" s="14" t="str">
        <x:v>Ankara 8. Sınıf Dil Bilgisi Güçlendiren</x:v>
      </x:c>
      <x:c r="N355" s="14" t="str">
        <x:v>https://odsgm.meb.gov.tr/www/8sinif-calisma-sorulari/icerik/1632</x:v>
      </x:c>
      <x:c r="O355" s="14" t="n">
        <x:v>10</x:v>
      </x:c>
      <x:c r="P355" s="14" t="str">
        <x:v>Hayır</x:v>
      </x:c>
      <x:c r="Q355" s="14" t="str">
        <x:v>Evet</x:v>
      </x:c>
      <x:c r="R355" s="14" t="str">
        <x:v>Planlandı</x:v>
      </x:c>
      <x:c r="S355" s="15" t="str"/>
      <x:c r="T355" s="14" t="str"/>
    </x:row>
    <x:row r="356">
      <x:c r="A356" s="14" t="n">
        <x:v>355</x:v>
      </x:c>
      <x:c r="B356" s="15" t="n">
        <x:v>46324</x:v>
      </x:c>
      <x:c r="C356" s="14" t="str">
        <x:v>Perşembe</x:v>
      </x:c>
      <x:c r="D356" s="14" t="str">
        <x:v>Resmî Tatil</x:v>
      </x:c>
      <x:c r="E356" s="14" t="str">
        <x:v>Cumhuriyet Bayramı</x:v>
      </x:c>
      <x:c r="F356" s="14" t="str">
        <x:v>F1 - Temel Kurma</x:v>
      </x:c>
      <x:c r="G356" s="14" t="str">
        <x:v>15:45</x:v>
      </x:c>
      <x:c r="H356" s="14" t="str">
        <x:v>16:25</x:v>
      </x:c>
      <x:c r="I356" s="14" t="str">
        <x:v>Fen</x:v>
      </x:c>
      <x:c r="J356" s="14" t="str">
        <x:v>Konu / Tekrar</x:v>
      </x:c>
      <x:c r="K356" s="14" t="str">
        <x:v>Kalıtım</x:v>
      </x:c>
      <x:c r="L356" s="14" t="str">
        <x:v>Kalıtım — MEB doğrulaması öncesi 5-10 dk aktif hatırlama; gerekiyorsa ilgili playlist videosuna kısa dönüş yap.</x:v>
      </x:c>
      <x:c r="M356" s="14" t="str">
        <x:v>Fen Soru Çözüm / Tekrar</x:v>
      </x:c>
      <x:c r="N356" s="14" t="str">
        <x:v>https://www.youtube.com/watch?v=pQXhWnDZ3vM&amp;list=PLrQm7mt99FRXcBnorCttd31HJEvg0En26&amp;index=23</x:v>
      </x:c>
      <x:c r="O356" s="14" t="n">
        <x:v>0</x:v>
      </x:c>
      <x:c r="P356" s="14" t="str">
        <x:v>Hayır</x:v>
      </x:c>
      <x:c r="Q356" s="14" t="str">
        <x:v>Evet</x:v>
      </x:c>
      <x:c r="R356" s="14" t="str">
        <x:v>Planlandı</x:v>
      </x:c>
      <x:c r="S356" s="15" t="str"/>
      <x:c r="T356" s="14" t="str"/>
    </x:row>
    <x:row r="357">
      <x:c r="A357" s="14" t="n">
        <x:v>356</x:v>
      </x:c>
      <x:c r="B357" s="15" t="n">
        <x:v>46324</x:v>
      </x:c>
      <x:c r="C357" s="14" t="str">
        <x:v>Perşembe</x:v>
      </x:c>
      <x:c r="D357" s="14" t="str">
        <x:v>Resmî Tatil</x:v>
      </x:c>
      <x:c r="E357" s="14" t="str">
        <x:v>Cumhuriyet Bayramı</x:v>
      </x:c>
      <x:c r="F357" s="14" t="str">
        <x:v>F1 - Temel Kurma</x:v>
      </x:c>
      <x:c r="G357" s="14" t="str">
        <x:v>16:35</x:v>
      </x:c>
      <x:c r="H357" s="14" t="str">
        <x:v>17:15</x:v>
      </x:c>
      <x:c r="I357" s="14" t="str">
        <x:v>Fen</x:v>
      </x:c>
      <x:c r="J357" s="14" t="str">
        <x:v>Kitap / MEB / Mastery</x:v>
      </x:c>
      <x:c r="K357" s="14" t="str">
        <x:v>Kalıtım</x:v>
      </x:c>
      <x:c r="L357" s="14" t="str">
        <x:v>Kalıtım için ilgili MEB sorularını TAMAMLA; D/Y/B kaydet. Bu oturum konu mastery gate'idir.</x:v>
      </x:c>
      <x:c r="M357" s="14" t="str">
        <x:v>MEB 8. Sınıf Fen Soruları</x:v>
      </x:c>
      <x:c r="N357" s="14" t="str">
        <x:v>https://odsgm.meb.gov.tr/www/8sinif-calisma-sorulari/icerik/1632</x:v>
      </x:c>
      <x:c r="O357" s="14" t="n">
        <x:v>0</x:v>
      </x:c>
      <x:c r="P357" s="14" t="str">
        <x:v>Hayır</x:v>
      </x:c>
      <x:c r="Q357" s="14" t="str">
        <x:v>Evet</x:v>
      </x:c>
      <x:c r="R357" s="14" t="str">
        <x:v>Planlandı</x:v>
      </x:c>
      <x:c r="S357" s="15" t="str"/>
      <x:c r="T357" s="14" t="str">
        <x:v>MEB sonucu Konu_Ustaligi sayfasına işlenir.</x:v>
      </x:c>
    </x:row>
    <x:row r="358">
      <x:c r="A358" s="14" t="n">
        <x:v>357</x:v>
      </x:c>
      <x:c r="B358" s="15" t="n">
        <x:v>46324</x:v>
      </x:c>
      <x:c r="C358" s="14" t="str">
        <x:v>Perşembe</x:v>
      </x:c>
      <x:c r="D358" s="14" t="str">
        <x:v>Resmî Tatil</x:v>
      </x:c>
      <x:c r="E358" s="14" t="str">
        <x:v>Cumhuriyet Bayramı</x:v>
      </x:c>
      <x:c r="F358" s="14" t="str">
        <x:v>F1 - Temel Kurma</x:v>
      </x:c>
      <x:c r="G358" s="14" t="str">
        <x:v>18:25</x:v>
      </x:c>
      <x:c r="H358" s="14" t="str">
        <x:v>18:45</x:v>
      </x:c>
      <x:c r="I358" s="14" t="str">
        <x:v>Genel</x:v>
      </x:c>
      <x:c r="J358" s="14" t="str">
        <x:v>Yanlış / Boş Analizi</x:v>
      </x:c>
      <x:c r="K358" s="14" t="str">
        <x:v>Günlük</x:v>
      </x:c>
      <x:c r="L358" s="14" t="str">
        <x:v>Bugünkü yanlış/boşları kaydet; çözümünü öğrenmeden kapatma. Hata türünü sınıflandır.</x:v>
      </x:c>
      <x:c r="M358" s="14" t="str">
        <x:v>Yanlış Defteri</x:v>
      </x:c>
      <x:c r="N358" s="14" t="str"/>
      <x:c r="O358" s="14" t="n">
        <x:v>0</x:v>
      </x:c>
      <x:c r="P358" s="14" t="str">
        <x:v>Hayır</x:v>
      </x:c>
      <x:c r="Q358" s="14" t="str">
        <x:v>Evet</x:v>
      </x:c>
      <x:c r="R358" s="14" t="str">
        <x:v>Planlandı</x:v>
      </x:c>
      <x:c r="S358" s="15" t="str"/>
      <x:c r="T358" s="14" t="str"/>
    </x:row>
    <x:row r="359">
      <x:c r="A359" s="14" t="n">
        <x:v>358</x:v>
      </x:c>
      <x:c r="B359" s="15" t="n">
        <x:v>46324</x:v>
      </x:c>
      <x:c r="C359" s="14" t="str">
        <x:v>Perşembe</x:v>
      </x:c>
      <x:c r="D359" s="14" t="str">
        <x:v>Resmî Tatil</x:v>
      </x:c>
      <x:c r="E359" s="14" t="str">
        <x:v>Cumhuriyet Bayramı</x:v>
      </x:c>
      <x:c r="F359" s="14" t="str">
        <x:v>F1 - Temel Kurma</x:v>
      </x:c>
      <x:c r="G359" s="14" t="str">
        <x:v>18:45</x:v>
      </x:c>
      <x:c r="H359" s="14" t="str">
        <x:v>19:05</x:v>
      </x:c>
      <x:c r="I359" s="14" t="str">
        <x:v>Genel</x:v>
      </x:c>
      <x:c r="J359" s="14" t="str">
        <x:v>Aralıklı Hata Tekrarı</x:v>
      </x:c>
      <x:c r="K359" s="14" t="str">
        <x:v>+1 / +7 / +21</x:v>
      </x:c>
      <x:c r="L359" s="14" t="str">
        <x:v>Bugün vadesi gelen yanlış soruları tekrar çöz. Vadesi yoksa bu süre serbest/okuma olabilir.</x:v>
      </x:c>
      <x:c r="M359" s="14" t="str">
        <x:v>Yanlış Defteri</x:v>
      </x:c>
      <x:c r="N359" s="14" t="str"/>
      <x:c r="O359" s="14" t="n">
        <x:v>0</x:v>
      </x:c>
      <x:c r="P359" s="14" t="str">
        <x:v>Hayır</x:v>
      </x:c>
      <x:c r="Q359" s="14" t="str">
        <x:v>Koşullu</x:v>
      </x:c>
      <x:c r="R359" s="14" t="str">
        <x:v>Planlandı</x:v>
      </x:c>
      <x:c r="S359" s="15" t="str"/>
      <x:c r="T359" s="14" t="str">
        <x:v>Yanlışlar +1, +7 ve +21 gün aralıklarıyla tekrar edilir; hâlâ yanlışsa konu mastery durumu düşürülür.</x:v>
      </x:c>
    </x:row>
    <x:row r="360">
      <x:c r="A360" s="14" t="n">
        <x:v>359</x:v>
      </x:c>
      <x:c r="B360" s="15" t="n">
        <x:v>46324</x:v>
      </x:c>
      <x:c r="C360" s="14" t="str">
        <x:v>Perşembe</x:v>
      </x:c>
      <x:c r="D360" s="14" t="str">
        <x:v>Resmî Tatil</x:v>
      </x:c>
      <x:c r="E360" s="14" t="str">
        <x:v>Cumhuriyet Bayramı</x:v>
      </x:c>
      <x:c r="F360" s="14" t="str">
        <x:v>F1 - Temel Kurma</x:v>
      </x:c>
      <x:c r="G360" s="14" t="str">
        <x:v>20:00</x:v>
      </x:c>
      <x:c r="H360" s="14" t="str">
        <x:v>20:30</x:v>
      </x:c>
      <x:c r="I360" s="14" t="str">
        <x:v>Okuma</x:v>
      </x:c>
      <x:c r="J360" s="14" t="str">
        <x:v>İsteğe Bağlı</x:v>
      </x:c>
      <x:c r="K360" s="14" t="str">
        <x:v>Serbest Kitap</x:v>
      </x:c>
      <x:c r="L360" s="14" t="str">
        <x:v>Zorunlu çalışmalar bittiyse isteğe bağlı kitap oku.</x:v>
      </x:c>
      <x:c r="M360" s="14" t="str">
        <x:v>Serbest Kitap</x:v>
      </x:c>
      <x:c r="N360" s="14" t="str"/>
      <x:c r="O360" s="14" t="n">
        <x:v>0</x:v>
      </x:c>
      <x:c r="P360" s="14" t="str">
        <x:v>İsteğe Bağlı</x:v>
      </x:c>
      <x:c r="Q360" s="14" t="str">
        <x:v>Hayır</x:v>
      </x:c>
      <x:c r="R360" s="14" t="str">
        <x:v>Planlandı</x:v>
      </x:c>
      <x:c r="S360" s="15" t="str"/>
      <x:c r="T360" s="14" t="str">
        <x:v>Minimum süre yok.</x:v>
      </x:c>
    </x:row>
    <x:row r="361">
      <x:c r="A361" s="14" t="n">
        <x:v>360</x:v>
      </x:c>
      <x:c r="B361" s="15" t="n">
        <x:v>46324</x:v>
      </x:c>
      <x:c r="C361" s="14" t="str">
        <x:v>Perşembe</x:v>
      </x:c>
      <x:c r="D361" s="14" t="str">
        <x:v>Resmî Tatil</x:v>
      </x:c>
      <x:c r="E361" s="14" t="str">
        <x:v>Cumhuriyet Bayramı</x:v>
      </x:c>
      <x:c r="F361" s="14" t="str">
        <x:v>F1 - Temel Kurma</x:v>
      </x:c>
      <x:c r="G361" s="14" t="str">
        <x:v>21:50</x:v>
      </x:c>
      <x:c r="H361" s="14" t="str">
        <x:v>22:00</x:v>
      </x:c>
      <x:c r="I361" s="14" t="str">
        <x:v>Genel</x:v>
      </x:c>
      <x:c r="J361" s="14" t="str">
        <x:v>Uyku Hazırlığı</x:v>
      </x:c>
      <x:c r="K361" s="14" t="str"/>
      <x:c r="L361" s="14" t="str">
        <x:v>22:00'de yatakta ve uyku.</x:v>
      </x:c>
      <x:c r="M361" s="14" t="str"/>
      <x:c r="N361" s="14" t="str"/>
      <x:c r="O361" s="14" t="n">
        <x:v>0</x:v>
      </x:c>
      <x:c r="P361" s="14" t="str">
        <x:v>Hayır</x:v>
      </x:c>
      <x:c r="Q361" s="14" t="str">
        <x:v>Hayır</x:v>
      </x:c>
      <x:c r="R361" s="14" t="str">
        <x:v>Planlandı</x:v>
      </x:c>
      <x:c r="S361" s="15" t="str"/>
      <x:c r="T361" s="14" t="str"/>
    </x:row>
    <x:row r="362">
      <x:c r="A362" s="14" t="n">
        <x:v>361</x:v>
      </x:c>
      <x:c r="B362" s="15" t="n">
        <x:v>46325</x:v>
      </x:c>
      <x:c r="C362" s="14" t="str">
        <x:v>Cuma</x:v>
      </x:c>
      <x:c r="D362" s="14" t="str">
        <x:v>Okul Günü</x:v>
      </x:c>
      <x:c r="E362" s="14" t="str">
        <x:v>16:00 sonrası</x:v>
      </x:c>
      <x:c r="F362" s="14" t="str">
        <x:v>F1 - Temel Kurma</x:v>
      </x:c>
      <x:c r="G362" s="14" t="str">
        <x:v>16:00</x:v>
      </x:c>
      <x:c r="H362" s="14" t="str">
        <x:v>16:25</x:v>
      </x:c>
      <x:c r="I362" s="14" t="str">
        <x:v>Genel</x:v>
      </x:c>
      <x:c r="J362" s="14" t="str">
        <x:v>Dinlenme</x:v>
      </x:c>
      <x:c r="K362" s="14" t="str"/>
      <x:c r="L362" s="14" t="str">
        <x:v>Eve geliş, atıştırma ve dinlenme.</x:v>
      </x:c>
      <x:c r="M362" s="14" t="str"/>
      <x:c r="N362" s="14" t="str"/>
      <x:c r="O362" s="14" t="n">
        <x:v>0</x:v>
      </x:c>
      <x:c r="P362" s="14" t="str">
        <x:v>Hayır</x:v>
      </x:c>
      <x:c r="Q362" s="14" t="str">
        <x:v>Hayır</x:v>
      </x:c>
      <x:c r="R362" s="14" t="str">
        <x:v>Planlandı</x:v>
      </x:c>
      <x:c r="S362" s="15" t="str"/>
      <x:c r="T362" s="14" t="str"/>
    </x:row>
    <x:row r="363">
      <x:c r="A363" s="14" t="n">
        <x:v>362</x:v>
      </x:c>
      <x:c r="B363" s="15" t="n">
        <x:v>46325</x:v>
      </x:c>
      <x:c r="C363" s="14" t="str">
        <x:v>Cuma</x:v>
      </x:c>
      <x:c r="D363" s="14" t="str">
        <x:v>Okul Günü</x:v>
      </x:c>
      <x:c r="E363" s="14" t="str">
        <x:v>16:00 sonrası</x:v>
      </x:c>
      <x:c r="F363" s="14" t="str">
        <x:v>F1 - Temel Kurma</x:v>
      </x:c>
      <x:c r="G363" s="14" t="str">
        <x:v>16:25</x:v>
      </x:c>
      <x:c r="H363" s="14" t="str">
        <x:v>17:05</x:v>
      </x:c>
      <x:c r="I363" s="14" t="str">
        <x:v>Matematik</x:v>
      </x:c>
      <x:c r="J363" s="14" t="str">
        <x:v>Konu / Tekrar</x:v>
      </x:c>
      <x:c r="K363" s="14" t="str">
        <x:v>Asal Çarpanlara Ayırma</x:v>
      </x:c>
      <x:c r="L363" s="14" t="str">
        <x:v>Asal Çarpanlara Ayırma — genel oynatma listesinden ilgili videoyu izle (3/3).</x:v>
      </x:c>
      <x:c r="M363" s="14" t="str">
        <x:v>Matematik Ana Oynatma Listesi</x:v>
      </x:c>
      <x:c r="N363" s="14" t="str">
        <x:v>https://www.youtube.com/watch?v=EuJ89QzqrAg&amp;list=PLicNtF7vp6fnfDqrRLH6H7fIbzYT4ct4F&amp;index=11</x:v>
      </x:c>
      <x:c r="O363" s="14" t="n">
        <x:v>0</x:v>
      </x:c>
      <x:c r="P363" s="14" t="str">
        <x:v>Hayır</x:v>
      </x:c>
      <x:c r="Q363" s="14" t="str">
        <x:v>Evet</x:v>
      </x:c>
      <x:c r="R363" s="14" t="str">
        <x:v>Planlandı</x:v>
      </x:c>
      <x:c r="S363" s="15" t="str"/>
      <x:c r="T363" s="14" t="str">
        <x:v>Yeni konu ancak plan sırasıyla açılır; LGS dışı ileri TYT içeriği zorunlu değildir.</x:v>
      </x:c>
    </x:row>
    <x:row r="364">
      <x:c r="A364" s="14" t="n">
        <x:v>363</x:v>
      </x:c>
      <x:c r="B364" s="15" t="n">
        <x:v>46325</x:v>
      </x:c>
      <x:c r="C364" s="14" t="str">
        <x:v>Cuma</x:v>
      </x:c>
      <x:c r="D364" s="14" t="str">
        <x:v>Okul Günü</x:v>
      </x:c>
      <x:c r="E364" s="14" t="str">
        <x:v>16:00 sonrası</x:v>
      </x:c>
      <x:c r="F364" s="14" t="str">
        <x:v>F1 - Temel Kurma</x:v>
      </x:c>
      <x:c r="G364" s="14" t="str">
        <x:v>17:10</x:v>
      </x:c>
      <x:c r="H364" s="14" t="str">
        <x:v>17:55</x:v>
      </x:c>
      <x:c r="I364" s="14" t="str">
        <x:v>Matematik</x:v>
      </x:c>
      <x:c r="J364" s="14" t="str">
        <x:v>Kitap / MEB / Mastery</x:v>
      </x:c>
      <x:c r="K364" s="14" t="str">
        <x:v>Asal Çarpanlara Ayırma</x:v>
      </x:c>
      <x:c r="L364" s="14" t="str">
        <x:v>Asal Çarpanlara Ayırma ile ilgili soru kitabından en az 20 soru / bugünkü test payını çöz. İlgili kitap konu bölümünü bu oturumda bitirmeyi hedefle; sonraki oturum MEB doğrulaması.</x:v>
      </x:c>
      <x:c r="M364" s="14" t="str">
        <x:v>MUBA 8. Sınıf Başlangıç Matematik (ISBN 9789756526972) (eşleşen bölüm) + MEB temel destek</x:v>
      </x:c>
      <x:c r="N364" s="14" t="str">
        <x:v>https://odsgm.meb.gov.tr/www/5-6-7-ve-9-sinif-duzeylerinde-calisma-sorulari-yayimlandi/icerik/775</x:v>
      </x:c>
      <x:c r="O364" s="14" t="n">
        <x:v>20</x:v>
      </x:c>
      <x:c r="P364" s="14" t="str">
        <x:v>İlk 20 soru</x:v>
      </x:c>
      <x:c r="Q364" s="14" t="str">
        <x:v>Evet</x:v>
      </x:c>
      <x:c r="R364" s="14" t="str">
        <x:v>Planlandı</x:v>
      </x:c>
      <x:c r="S364" s="15" t="str"/>
      <x:c r="T364" s="14" t="str">
        <x:v>Ayrı/rastgele matematik benchmark yoktur. Süreli ilk 20 soru o gün çalışılan konunun içindedir.</x:v>
      </x:c>
    </x:row>
    <x:row r="365">
      <x:c r="A365" s="14" t="n">
        <x:v>364</x:v>
      </x:c>
      <x:c r="B365" s="15" t="n">
        <x:v>46325</x:v>
      </x:c>
      <x:c r="C365" s="14" t="str">
        <x:v>Cuma</x:v>
      </x:c>
      <x:c r="D365" s="14" t="str">
        <x:v>Okul Günü</x:v>
      </x:c>
      <x:c r="E365" s="14" t="str">
        <x:v>16:00 sonrası</x:v>
      </x:c>
      <x:c r="F365" s="14" t="str">
        <x:v>F1 - Temel Kurma</x:v>
      </x:c>
      <x:c r="G365" s="14" t="str">
        <x:v>17:55</x:v>
      </x:c>
      <x:c r="H365" s="14" t="str">
        <x:v>18:25</x:v>
      </x:c>
      <x:c r="I365" s="14" t="str">
        <x:v>Genel</x:v>
      </x:c>
      <x:c r="J365" s="14" t="str">
        <x:v>Yemek / Serbest Zaman</x:v>
      </x:c>
      <x:c r="K365" s="14" t="str"/>
      <x:c r="L365" s="14" t="str">
        <x:v>Yemek, hareket ve dinlenme.</x:v>
      </x:c>
      <x:c r="M365" s="14" t="str"/>
      <x:c r="N365" s="14" t="str"/>
      <x:c r="O365" s="14" t="n">
        <x:v>0</x:v>
      </x:c>
      <x:c r="P365" s="14" t="str">
        <x:v>Hayır</x:v>
      </x:c>
      <x:c r="Q365" s="14" t="str">
        <x:v>Hayır</x:v>
      </x:c>
      <x:c r="R365" s="14" t="str">
        <x:v>Planlandı</x:v>
      </x:c>
      <x:c r="S365" s="15" t="str"/>
      <x:c r="T365" s="14" t="str"/>
    </x:row>
    <x:row r="366">
      <x:c r="A366" s="14" t="n">
        <x:v>365</x:v>
      </x:c>
      <x:c r="B366" s="15" t="n">
        <x:v>46325</x:v>
      </x:c>
      <x:c r="C366" s="14" t="str">
        <x:v>Cuma</x:v>
      </x:c>
      <x:c r="D366" s="14" t="str">
        <x:v>Okul Günü</x:v>
      </x:c>
      <x:c r="E366" s="14" t="str">
        <x:v>16:00 sonrası</x:v>
      </x:c>
      <x:c r="F366" s="14" t="str">
        <x:v>F1 - Temel Kurma</x:v>
      </x:c>
      <x:c r="G366" s="14" t="str">
        <x:v>18:25</x:v>
      </x:c>
      <x:c r="H366" s="14" t="str">
        <x:v>18:55</x:v>
      </x:c>
      <x:c r="I366" s="14" t="str">
        <x:v>Türkçe</x:v>
      </x:c>
      <x:c r="J366" s="14" t="str">
        <x:v>Paragraf Rutini</x:v>
      </x:c>
      <x:c r="K366" s="14" t="str">
        <x:v>Paragraf</x:v>
      </x:c>
      <x:c r="L366" s="14" t="str">
        <x:v>En az 20 paragraf sorusu çöz; ilk 20 soruyu ileri sayımla ölç, D/Y/B + süre kaydet.</x:v>
      </x:c>
      <x:c r="M366" s="14" t="str">
        <x:v>Hız 8. Sınıf Türkçe Paragraf (ISBN 9786258394498)</x:v>
      </x:c>
      <x:c r="N366" s="14" t="str"/>
      <x:c r="O366" s="14" t="n">
        <x:v>20</x:v>
      </x:c>
      <x:c r="P366" s="14" t="str">
        <x:v>İlk 20 soru</x:v>
      </x:c>
      <x:c r="Q366" s="14" t="str">
        <x:v>Evet</x:v>
      </x:c>
      <x:c r="R366" s="14" t="str">
        <x:v>Planlandı</x:v>
      </x:c>
      <x:c r="S366" s="15" t="str"/>
      <x:c r="T366" s="14" t="str">
        <x:v>Geri sayım ve hedef süre yok.</x:v>
      </x:c>
    </x:row>
    <x:row r="367">
      <x:c r="A367" s="14" t="n">
        <x:v>366</x:v>
      </x:c>
      <x:c r="B367" s="15" t="n">
        <x:v>46325</x:v>
      </x:c>
      <x:c r="C367" s="14" t="str">
        <x:v>Cuma</x:v>
      </x:c>
      <x:c r="D367" s="14" t="str">
        <x:v>Okul Günü</x:v>
      </x:c>
      <x:c r="E367" s="14" t="str">
        <x:v>16:00 sonrası</x:v>
      </x:c>
      <x:c r="F367" s="14" t="str">
        <x:v>F1 - Temel Kurma</x:v>
      </x:c>
      <x:c r="G367" s="14" t="str">
        <x:v>19:00</x:v>
      </x:c>
      <x:c r="H367" s="14" t="str">
        <x:v>19:35</x:v>
      </x:c>
      <x:c r="I367" s="14" t="str">
        <x:v>Türkçe</x:v>
      </x:c>
      <x:c r="J367" s="14" t="str">
        <x:v>Konu / Tekrar</x:v>
      </x:c>
      <x:c r="K367" s="14" t="str">
        <x:v>Yazım Kuralları</x:v>
      </x:c>
      <x:c r="L367" s="14" t="str">
        <x:v>Yazım Kuralları — genel oynatma listesinden ilgili videoyu izle (4/4).</x:v>
      </x:c>
      <x:c r="M367" s="14" t="str">
        <x:v>Türkçe Ana Oynatma Listesi</x:v>
      </x:c>
      <x:c r="N367" s="14" t="str">
        <x:v>https://www.youtube.com/watch?v=VYsPntNKVdw&amp;list=PLIBjFaUoJJ91bz7QQEBlxNJNZka5YQRr6</x:v>
      </x:c>
      <x:c r="O367" s="14" t="n">
        <x:v>0</x:v>
      </x:c>
      <x:c r="P367" s="14" t="str">
        <x:v>Hayır</x:v>
      </x:c>
      <x:c r="Q367" s="14" t="str">
        <x:v>Evet</x:v>
      </x:c>
      <x:c r="R367" s="14" t="str">
        <x:v>Planlandı</x:v>
      </x:c>
      <x:c r="S367" s="15" t="str"/>
      <x:c r="T367" s="14" t="str">
        <x:v>TYT etiketli kaynak temelden başlamak için sabittir; LGS dışı gereksiz ayrıntı zorunlu değildir.</x:v>
      </x:c>
    </x:row>
    <x:row r="368">
      <x:c r="A368" s="14" t="n">
        <x:v>367</x:v>
      </x:c>
      <x:c r="B368" s="15" t="n">
        <x:v>46325</x:v>
      </x:c>
      <x:c r="C368" s="14" t="str">
        <x:v>Cuma</x:v>
      </x:c>
      <x:c r="D368" s="14" t="str">
        <x:v>Okul Günü</x:v>
      </x:c>
      <x:c r="E368" s="14" t="str">
        <x:v>16:00 sonrası</x:v>
      </x:c>
      <x:c r="F368" s="14" t="str">
        <x:v>F1 - Temel Kurma</x:v>
      </x:c>
      <x:c r="G368" s="14" t="str">
        <x:v>19:40</x:v>
      </x:c>
      <x:c r="H368" s="14" t="str">
        <x:v>20:10</x:v>
      </x:c>
      <x:c r="I368" s="14" t="str">
        <x:v>Türkçe</x:v>
      </x:c>
      <x:c r="J368" s="14" t="str">
        <x:v>Kitap / MEB / Mastery</x:v>
      </x:c>
      <x:c r="K368" s="14" t="str">
        <x:v>Yazım Kuralları</x:v>
      </x:c>
      <x:c r="L368" s="14" t="str">
        <x:v>Yazım Kuralları ile ilgili soru kitabından en az 10 soru / bugünkü test payını çöz. İlgili kitap konu bölümünü bu oturumda bitirmeyi hedefle; sonraki oturum MEB doğrulaması.</x:v>
      </x:c>
      <x:c r="M368" s="14" t="str">
        <x:v>Ankara 8. Sınıf Dil Bilgisi Güçlendiren</x:v>
      </x:c>
      <x:c r="N368" s="14" t="str">
        <x:v>https://odsgm.meb.gov.tr/www/8sinif-calisma-sorulari/icerik/1632</x:v>
      </x:c>
      <x:c r="O368" s="14" t="n">
        <x:v>10</x:v>
      </x:c>
      <x:c r="P368" s="14" t="str">
        <x:v>Hayır</x:v>
      </x:c>
      <x:c r="Q368" s="14" t="str">
        <x:v>Evet</x:v>
      </x:c>
      <x:c r="R368" s="14" t="str">
        <x:v>Planlandı</x:v>
      </x:c>
      <x:c r="S368" s="15" t="str"/>
      <x:c r="T368" s="14" t="str"/>
    </x:row>
    <x:row r="369">
      <x:c r="A369" s="14" t="n">
        <x:v>368</x:v>
      </x:c>
      <x:c r="B369" s="15" t="n">
        <x:v>46325</x:v>
      </x:c>
      <x:c r="C369" s="14" t="str">
        <x:v>Cuma</x:v>
      </x:c>
      <x:c r="D369" s="14" t="str">
        <x:v>Okul Günü</x:v>
      </x:c>
      <x:c r="E369" s="14" t="str">
        <x:v>16:00 sonrası</x:v>
      </x:c>
      <x:c r="F369" s="14" t="str">
        <x:v>F1 - Temel Kurma</x:v>
      </x:c>
      <x:c r="G369" s="14" t="str">
        <x:v>20:15</x:v>
      </x:c>
      <x:c r="H369" s="14" t="str">
        <x:v>20:50</x:v>
      </x:c>
      <x:c r="I369" s="14" t="str">
        <x:v>Din</x:v>
      </x:c>
      <x:c r="J369" s="14" t="str">
        <x:v>Konu / Tekrar</x:v>
      </x:c>
      <x:c r="K369" s="14" t="str">
        <x:v>Hz. Musa ve Ayetel Kürsi</x:v>
      </x:c>
      <x:c r="L369" s="14" t="str">
        <x:v>Hz. Musa ve Ayetel Kürsi — genel oynatma listesinden ilgili konu/soru çalışmasını yap.</x:v>
      </x:c>
      <x:c r="M369" s="14" t="str">
        <x:v>Din Genel Oynatma Listesi</x:v>
      </x:c>
      <x:c r="N369" s="14" t="str">
        <x:v>https://www.youtube.com/watch?v=wvdOE_75VnA&amp;list=PLbRoPq-Zu-SWXGUbVt4t4UWo-4VjsMUo-&amp;index=2</x:v>
      </x:c>
      <x:c r="O369" s="14" t="n">
        <x:v>0</x:v>
      </x:c>
      <x:c r="P369" s="14" t="str">
        <x:v>Hayır</x:v>
      </x:c>
      <x:c r="Q369" s="14" t="str">
        <x:v>Evet</x:v>
      </x:c>
      <x:c r="R369" s="14" t="str">
        <x:v>Planlandı</x:v>
      </x:c>
      <x:c r="S369" s="15" t="str"/>
      <x:c r="T369" s="14" t="str"/>
    </x:row>
    <x:row r="370">
      <x:c r="A370" s="14" t="n">
        <x:v>369</x:v>
      </x:c>
      <x:c r="B370" s="15" t="n">
        <x:v>46325</x:v>
      </x:c>
      <x:c r="C370" s="14" t="str">
        <x:v>Cuma</x:v>
      </x:c>
      <x:c r="D370" s="14" t="str">
        <x:v>Okul Günü</x:v>
      </x:c>
      <x:c r="E370" s="14" t="str">
        <x:v>16:00 sonrası</x:v>
      </x:c>
      <x:c r="F370" s="14" t="str">
        <x:v>F1 - Temel Kurma</x:v>
      </x:c>
      <x:c r="G370" s="14" t="str">
        <x:v>20:55</x:v>
      </x:c>
      <x:c r="H370" s="14" t="str">
        <x:v>21:20</x:v>
      </x:c>
      <x:c r="I370" s="14" t="str">
        <x:v>Din</x:v>
      </x:c>
      <x:c r="J370" s="14" t="str">
        <x:v>Kitap / MEB / Mastery</x:v>
      </x:c>
      <x:c r="K370" s="14" t="str">
        <x:v>Hz. Musa ve Ayetel Kürsi</x:v>
      </x:c>
      <x:c r="L370" s="14" t="str">
        <x:v>Hz. Musa ve Ayetel Kürsi ile ilgili soru kitabından en az 15 soru / bugünkü test payını çöz.</x:v>
      </x:c>
      <x:c r="M370" s="14" t="str">
        <x:v>Hız 8. Sınıf Din Kültürü ve Ahlak Bilgisi</x:v>
      </x:c>
      <x:c r="N370" s="14" t="str">
        <x:v>https://www.youtube.com/watch?v=wvdOE_75VnA&amp;list=PLbRoPq-Zu-SWXGUbVt4t4UWo-4VjsMUo-&amp;index=2</x:v>
      </x:c>
      <x:c r="O370" s="14" t="n">
        <x:v>15</x:v>
      </x:c>
      <x:c r="P370" s="14" t="str">
        <x:v>Hayır</x:v>
      </x:c>
      <x:c r="Q370" s="14" t="str">
        <x:v>Evet</x:v>
      </x:c>
      <x:c r="R370" s="14" t="str">
        <x:v>Planlandı</x:v>
      </x:c>
      <x:c r="S370" s="15" t="str"/>
      <x:c r="T370" s="14" t="str"/>
    </x:row>
    <x:row r="371">
      <x:c r="A371" s="14" t="n">
        <x:v>370</x:v>
      </x:c>
      <x:c r="B371" s="15" t="n">
        <x:v>46325</x:v>
      </x:c>
      <x:c r="C371" s="14" t="str">
        <x:v>Cuma</x:v>
      </x:c>
      <x:c r="D371" s="14" t="str">
        <x:v>Okul Günü</x:v>
      </x:c>
      <x:c r="E371" s="14" t="str">
        <x:v>16:00 sonrası</x:v>
      </x:c>
      <x:c r="F371" s="14" t="str">
        <x:v>F1 - Temel Kurma</x:v>
      </x:c>
      <x:c r="G371" s="14" t="str">
        <x:v>21:20</x:v>
      </x:c>
      <x:c r="H371" s="14" t="str">
        <x:v>21:35</x:v>
      </x:c>
      <x:c r="I371" s="14" t="str">
        <x:v>Genel</x:v>
      </x:c>
      <x:c r="J371" s="14" t="str">
        <x:v>Yanlış / Boş Analizi</x:v>
      </x:c>
      <x:c r="K371" s="14" t="str">
        <x:v>Günlük</x:v>
      </x:c>
      <x:c r="L371" s="14" t="str">
        <x:v>Bugünkü yanlış/boşları kaydet; çözümünü öğrenmeden kapatma. Hata türünü sınıflandır.</x:v>
      </x:c>
      <x:c r="M371" s="14" t="str">
        <x:v>Yanlış Defteri</x:v>
      </x:c>
      <x:c r="N371" s="14" t="str"/>
      <x:c r="O371" s="14" t="n">
        <x:v>0</x:v>
      </x:c>
      <x:c r="P371" s="14" t="str">
        <x:v>Hayır</x:v>
      </x:c>
      <x:c r="Q371" s="14" t="str">
        <x:v>Evet</x:v>
      </x:c>
      <x:c r="R371" s="14" t="str">
        <x:v>Planlandı</x:v>
      </x:c>
      <x:c r="S371" s="15" t="str"/>
      <x:c r="T371" s="14" t="str"/>
    </x:row>
    <x:row r="372">
      <x:c r="A372" s="14" t="n">
        <x:v>371</x:v>
      </x:c>
      <x:c r="B372" s="15" t="n">
        <x:v>46325</x:v>
      </x:c>
      <x:c r="C372" s="14" t="str">
        <x:v>Cuma</x:v>
      </x:c>
      <x:c r="D372" s="14" t="str">
        <x:v>Okul Günü</x:v>
      </x:c>
      <x:c r="E372" s="14" t="str">
        <x:v>16:00 sonrası</x:v>
      </x:c>
      <x:c r="F372" s="14" t="str">
        <x:v>F1 - Temel Kurma</x:v>
      </x:c>
      <x:c r="G372" s="14" t="str">
        <x:v>21:35</x:v>
      </x:c>
      <x:c r="H372" s="14" t="str">
        <x:v>21:50</x:v>
      </x:c>
      <x:c r="I372" s="14" t="str">
        <x:v>Genel</x:v>
      </x:c>
      <x:c r="J372" s="14" t="str">
        <x:v>Aralıklı Hata Tekrarı</x:v>
      </x:c>
      <x:c r="K372" s="14" t="str">
        <x:v>+1 / +7 / +21</x:v>
      </x:c>
      <x:c r="L372" s="14" t="str">
        <x:v>Bugün vadesi gelen yanlış soruları tekrar çöz. Vadesi yoksa bu süre serbest/okuma olabilir.</x:v>
      </x:c>
      <x:c r="M372" s="14" t="str">
        <x:v>Yanlış Defteri</x:v>
      </x:c>
      <x:c r="N372" s="14" t="str"/>
      <x:c r="O372" s="14" t="n">
        <x:v>0</x:v>
      </x:c>
      <x:c r="P372" s="14" t="str">
        <x:v>Hayır</x:v>
      </x:c>
      <x:c r="Q372" s="14" t="str">
        <x:v>Koşullu</x:v>
      </x:c>
      <x:c r="R372" s="14" t="str">
        <x:v>Planlandı</x:v>
      </x:c>
      <x:c r="S372" s="15" t="str"/>
      <x:c r="T372" s="14" t="str">
        <x:v>Yanlışlar +1, +7 ve +21 gün aralıklarıyla tekrar edilir; hâlâ yanlışsa konu mastery durumu düşürülür.</x:v>
      </x:c>
    </x:row>
    <x:row r="373">
      <x:c r="A373" s="14" t="n">
        <x:v>372</x:v>
      </x:c>
      <x:c r="B373" s="15" t="n">
        <x:v>46325</x:v>
      </x:c>
      <x:c r="C373" s="14" t="str">
        <x:v>Cuma</x:v>
      </x:c>
      <x:c r="D373" s="14" t="str">
        <x:v>Okul Günü</x:v>
      </x:c>
      <x:c r="E373" s="14" t="str">
        <x:v>16:00 sonrası</x:v>
      </x:c>
      <x:c r="F373" s="14" t="str">
        <x:v>F1 - Temel Kurma</x:v>
      </x:c>
      <x:c r="G373" s="14" t="str">
        <x:v>21:50</x:v>
      </x:c>
      <x:c r="H373" s="14" t="str">
        <x:v>22:00</x:v>
      </x:c>
      <x:c r="I373" s="14" t="str">
        <x:v>Genel</x:v>
      </x:c>
      <x:c r="J373" s="14" t="str">
        <x:v>Uyku Hazırlığı</x:v>
      </x:c>
      <x:c r="K373" s="14" t="str"/>
      <x:c r="L373" s="14" t="str">
        <x:v>22:00'de yatakta ve uyku.</x:v>
      </x:c>
      <x:c r="M373" s="14" t="str"/>
      <x:c r="N373" s="14" t="str"/>
      <x:c r="O373" s="14" t="n">
        <x:v>0</x:v>
      </x:c>
      <x:c r="P373" s="14" t="str">
        <x:v>Hayır</x:v>
      </x:c>
      <x:c r="Q373" s="14" t="str">
        <x:v>Hayır</x:v>
      </x:c>
      <x:c r="R373" s="14" t="str">
        <x:v>Planlandı</x:v>
      </x:c>
      <x:c r="S373" s="15" t="str"/>
      <x:c r="T373" s="14" t="str"/>
    </x:row>
    <x:row r="374">
      <x:c r="A374" s="14" t="n">
        <x:v>373</x:v>
      </x:c>
      <x:c r="B374" s="15" t="n">
        <x:v>46326</x:v>
      </x:c>
      <x:c r="C374" s="14" t="str">
        <x:v>Cumartesi</x:v>
      </x:c>
      <x:c r="D374" s="14" t="str">
        <x:v>Hafta Sonu</x:v>
      </x:c>
      <x:c r="E374" s="14" t="str">
        <x:v>Tam gün</x:v>
      </x:c>
      <x:c r="F374" s="14" t="str">
        <x:v>F1 - Temel Kurma</x:v>
      </x:c>
      <x:c r="G374" s="14" t="str">
        <x:v>09:30</x:v>
      </x:c>
      <x:c r="H374" s="14" t="str">
        <x:v>10:15</x:v>
      </x:c>
      <x:c r="I374" s="14" t="str">
        <x:v>Matematik</x:v>
      </x:c>
      <x:c r="J374" s="14" t="str">
        <x:v>Konu / Tekrar</x:v>
      </x:c>
      <x:c r="K374" s="14" t="str">
        <x:v>Asal Çarpanlara Ayırma</x:v>
      </x:c>
      <x:c r="L374" s="14" t="str">
        <x:v>Asal Çarpanlara Ayırma — MEB doğrulaması öncesi 5-10 dk aktif hatırlama; gerekiyorsa ilgili playlist videosuna kısa dönüş yap.</x:v>
      </x:c>
      <x:c r="M374" s="14" t="str">
        <x:v>Matematik Ana Oynatma Listesi</x:v>
      </x:c>
      <x:c r="N374" s="14" t="str">
        <x:v>https://www.youtube.com/watch?v=EuJ89QzqrAg&amp;list=PLicNtF7vp6fnfDqrRLH6H7fIbzYT4ct4F&amp;index=11</x:v>
      </x:c>
      <x:c r="O374" s="14" t="n">
        <x:v>0</x:v>
      </x:c>
      <x:c r="P374" s="14" t="str">
        <x:v>Hayır</x:v>
      </x:c>
      <x:c r="Q374" s="14" t="str">
        <x:v>Evet</x:v>
      </x:c>
      <x:c r="R374" s="14" t="str">
        <x:v>Planlandı</x:v>
      </x:c>
      <x:c r="S374" s="15" t="str"/>
      <x:c r="T374" s="14" t="str">
        <x:v>Yeni konu ancak plan sırasıyla açılır; LGS dışı ileri TYT içeriği zorunlu değildir.</x:v>
      </x:c>
    </x:row>
    <x:row r="375">
      <x:c r="A375" s="14" t="n">
        <x:v>374</x:v>
      </x:c>
      <x:c r="B375" s="15" t="n">
        <x:v>46326</x:v>
      </x:c>
      <x:c r="C375" s="14" t="str">
        <x:v>Cumartesi</x:v>
      </x:c>
      <x:c r="D375" s="14" t="str">
        <x:v>Hafta Sonu</x:v>
      </x:c>
      <x:c r="E375" s="14" t="str">
        <x:v>Tam gün</x:v>
      </x:c>
      <x:c r="F375" s="14" t="str">
        <x:v>F1 - Temel Kurma</x:v>
      </x:c>
      <x:c r="G375" s="14" t="str">
        <x:v>10:25</x:v>
      </x:c>
      <x:c r="H375" s="14" t="str">
        <x:v>11:15</x:v>
      </x:c>
      <x:c r="I375" s="14" t="str">
        <x:v>Matematik</x:v>
      </x:c>
      <x:c r="J375" s="14" t="str">
        <x:v>Kitap / MEB / Mastery</x:v>
      </x:c>
      <x:c r="K375" s="14" t="str">
        <x:v>Asal Çarpanlara Ayırma</x:v>
      </x:c>
      <x:c r="L375" s="14" t="str">
        <x:v>Asal Çarpanlara Ayırma için ilgili MEB sorularını TAMAMLA; D/Y/B kaydet. Bu oturum konu mastery gate'idir.</x:v>
      </x:c>
      <x:c r="M375" s="14" t="str">
        <x:v>MEB Resmî Soru Seti</x:v>
      </x:c>
      <x:c r="N375" s="14" t="str">
        <x:v>https://odsgm.meb.gov.tr/www/5-6-7-ve-9-sinif-duzeylerinde-calisma-sorulari-yayimlandi/icerik/775</x:v>
      </x:c>
      <x:c r="O375" s="14" t="n">
        <x:v>0</x:v>
      </x:c>
      <x:c r="P375" s="14" t="str">
        <x:v>Hayır</x:v>
      </x:c>
      <x:c r="Q375" s="14" t="str">
        <x:v>Evet</x:v>
      </x:c>
      <x:c r="R375" s="14" t="str">
        <x:v>Planlandı</x:v>
      </x:c>
      <x:c r="S375" s="15" t="str"/>
      <x:c r="T375" s="14" t="str">
        <x:v>MEB sonucu Konu_Ustaligi sayfasına işlenir.</x:v>
      </x:c>
    </x:row>
    <x:row r="376">
      <x:c r="A376" s="14" t="n">
        <x:v>375</x:v>
      </x:c>
      <x:c r="B376" s="15" t="n">
        <x:v>46326</x:v>
      </x:c>
      <x:c r="C376" s="14" t="str">
        <x:v>Cumartesi</x:v>
      </x:c>
      <x:c r="D376" s="14" t="str">
        <x:v>Hafta Sonu</x:v>
      </x:c>
      <x:c r="E376" s="14" t="str">
        <x:v>Tam gün</x:v>
      </x:c>
      <x:c r="F376" s="14" t="str">
        <x:v>F1 - Temel Kurma</x:v>
      </x:c>
      <x:c r="G376" s="14" t="str">
        <x:v>12:00</x:v>
      </x:c>
      <x:c r="H376" s="14" t="str">
        <x:v>14:00</x:v>
      </x:c>
      <x:c r="I376" s="14" t="str">
        <x:v>Genel</x:v>
      </x:c>
      <x:c r="J376" s="14" t="str">
        <x:v>Yemek / Serbest Zaman</x:v>
      </x:c>
      <x:c r="K376" s="14" t="str"/>
      <x:c r="L376" s="14" t="str">
        <x:v>Yemek, hareket ve dinlenme.</x:v>
      </x:c>
      <x:c r="M376" s="14" t="str"/>
      <x:c r="N376" s="14" t="str"/>
      <x:c r="O376" s="14" t="n">
        <x:v>0</x:v>
      </x:c>
      <x:c r="P376" s="14" t="str">
        <x:v>Hayır</x:v>
      </x:c>
      <x:c r="Q376" s="14" t="str">
        <x:v>Hayır</x:v>
      </x:c>
      <x:c r="R376" s="14" t="str">
        <x:v>Planlandı</x:v>
      </x:c>
      <x:c r="S376" s="15" t="str"/>
      <x:c r="T376" s="14" t="str"/>
    </x:row>
    <x:row r="377">
      <x:c r="A377" s="14" t="n">
        <x:v>376</x:v>
      </x:c>
      <x:c r="B377" s="15" t="n">
        <x:v>46326</x:v>
      </x:c>
      <x:c r="C377" s="14" t="str">
        <x:v>Cumartesi</x:v>
      </x:c>
      <x:c r="D377" s="14" t="str">
        <x:v>Hafta Sonu</x:v>
      </x:c>
      <x:c r="E377" s="14" t="str">
        <x:v>Tam gün</x:v>
      </x:c>
      <x:c r="F377" s="14" t="str">
        <x:v>F1 - Temel Kurma</x:v>
      </x:c>
      <x:c r="G377" s="14" t="str">
        <x:v>11:25</x:v>
      </x:c>
      <x:c r="H377" s="14" t="str">
        <x:v>11:55</x:v>
      </x:c>
      <x:c r="I377" s="14" t="str">
        <x:v>Türkçe</x:v>
      </x:c>
      <x:c r="J377" s="14" t="str">
        <x:v>Paragraf Rutini</x:v>
      </x:c>
      <x:c r="K377" s="14" t="str">
        <x:v>Paragraf</x:v>
      </x:c>
      <x:c r="L377" s="14" t="str">
        <x:v>En az 20 paragraf sorusu çöz; ilk 20 soruyu ileri sayımla ölç, D/Y/B + süre kaydet.</x:v>
      </x:c>
      <x:c r="M377" s="14" t="str">
        <x:v>Hız 8. Sınıf Türkçe Paragraf (ISBN 9786258394498)</x:v>
      </x:c>
      <x:c r="N377" s="14" t="str"/>
      <x:c r="O377" s="14" t="n">
        <x:v>20</x:v>
      </x:c>
      <x:c r="P377" s="14" t="str">
        <x:v>İlk 20 soru</x:v>
      </x:c>
      <x:c r="Q377" s="14" t="str">
        <x:v>Evet</x:v>
      </x:c>
      <x:c r="R377" s="14" t="str">
        <x:v>Planlandı</x:v>
      </x:c>
      <x:c r="S377" s="15" t="str"/>
      <x:c r="T377" s="14" t="str">
        <x:v>Geri sayım ve hedef süre yok.</x:v>
      </x:c>
    </x:row>
    <x:row r="378">
      <x:c r="A378" s="14" t="n">
        <x:v>377</x:v>
      </x:c>
      <x:c r="B378" s="15" t="n">
        <x:v>46326</x:v>
      </x:c>
      <x:c r="C378" s="14" t="str">
        <x:v>Cumartesi</x:v>
      </x:c>
      <x:c r="D378" s="14" t="str">
        <x:v>Hafta Sonu</x:v>
      </x:c>
      <x:c r="E378" s="14" t="str">
        <x:v>Tam gün</x:v>
      </x:c>
      <x:c r="F378" s="14" t="str">
        <x:v>F1 - Temel Kurma</x:v>
      </x:c>
      <x:c r="G378" s="14" t="str">
        <x:v>14:00</x:v>
      </x:c>
      <x:c r="H378" s="14" t="str">
        <x:v>14:40</x:v>
      </x:c>
      <x:c r="I378" s="14" t="str">
        <x:v>Türkçe</x:v>
      </x:c>
      <x:c r="J378" s="14" t="str">
        <x:v>Konu / Tekrar</x:v>
      </x:c>
      <x:c r="K378" s="14" t="str">
        <x:v>Yazım Kuralları</x:v>
      </x:c>
      <x:c r="L378" s="14" t="str">
        <x:v>Yazım Kuralları — MEB doğrulaması öncesi 5-10 dk aktif hatırlama; gerekiyorsa ilgili playlist videosuna kısa dönüş yap.</x:v>
      </x:c>
      <x:c r="M378" s="14" t="str">
        <x:v>Türkçe Ana Oynatma Listesi</x:v>
      </x:c>
      <x:c r="N378" s="14" t="str">
        <x:v>https://www.youtube.com/watch?v=VYsPntNKVdw&amp;list=PLIBjFaUoJJ91bz7QQEBlxNJNZka5YQRr6</x:v>
      </x:c>
      <x:c r="O378" s="14" t="n">
        <x:v>0</x:v>
      </x:c>
      <x:c r="P378" s="14" t="str">
        <x:v>Hayır</x:v>
      </x:c>
      <x:c r="Q378" s="14" t="str">
        <x:v>Evet</x:v>
      </x:c>
      <x:c r="R378" s="14" t="str">
        <x:v>Planlandı</x:v>
      </x:c>
      <x:c r="S378" s="15" t="str"/>
      <x:c r="T378" s="14" t="str">
        <x:v>TYT etiketli kaynak temelden başlamak için sabittir; LGS dışı gereksiz ayrıntı zorunlu değildir.</x:v>
      </x:c>
    </x:row>
    <x:row r="379">
      <x:c r="A379" s="14" t="n">
        <x:v>378</x:v>
      </x:c>
      <x:c r="B379" s="15" t="n">
        <x:v>46326</x:v>
      </x:c>
      <x:c r="C379" s="14" t="str">
        <x:v>Cumartesi</x:v>
      </x:c>
      <x:c r="D379" s="14" t="str">
        <x:v>Hafta Sonu</x:v>
      </x:c>
      <x:c r="E379" s="14" t="str">
        <x:v>Tam gün</x:v>
      </x:c>
      <x:c r="F379" s="14" t="str">
        <x:v>F1 - Temel Kurma</x:v>
      </x:c>
      <x:c r="G379" s="14" t="str">
        <x:v>14:50</x:v>
      </x:c>
      <x:c r="H379" s="14" t="str">
        <x:v>15:30</x:v>
      </x:c>
      <x:c r="I379" s="14" t="str">
        <x:v>Türkçe</x:v>
      </x:c>
      <x:c r="J379" s="14" t="str">
        <x:v>Kitap / MEB / Mastery</x:v>
      </x:c>
      <x:c r="K379" s="14" t="str">
        <x:v>Yazım Kuralları</x:v>
      </x:c>
      <x:c r="L379" s="14" t="str">
        <x:v>Yazım Kuralları için ilgili MEB sorularını TAMAMLA; D/Y/B kaydet. Bu oturum konu mastery gate'idir.</x:v>
      </x:c>
      <x:c r="M379" s="14" t="str">
        <x:v>MEB Resmî Soru Seti</x:v>
      </x:c>
      <x:c r="N379" s="14" t="str">
        <x:v>https://odsgm.meb.gov.tr/www/8sinif-calisma-sorulari/icerik/1632</x:v>
      </x:c>
      <x:c r="O379" s="14" t="n">
        <x:v>0</x:v>
      </x:c>
      <x:c r="P379" s="14" t="str">
        <x:v>Hayır</x:v>
      </x:c>
      <x:c r="Q379" s="14" t="str">
        <x:v>Evet</x:v>
      </x:c>
      <x:c r="R379" s="14" t="str">
        <x:v>Planlandı</x:v>
      </x:c>
      <x:c r="S379" s="15" t="str"/>
      <x:c r="T379" s="14" t="str">
        <x:v>MEB sonucu Konu_Ustaligi sayfasına işlenir.</x:v>
      </x:c>
    </x:row>
    <x:row r="380">
      <x:c r="A380" s="14" t="n">
        <x:v>379</x:v>
      </x:c>
      <x:c r="B380" s="15" t="n">
        <x:v>46326</x:v>
      </x:c>
      <x:c r="C380" s="14" t="str">
        <x:v>Cumartesi</x:v>
      </x:c>
      <x:c r="D380" s="14" t="str">
        <x:v>Hafta Sonu</x:v>
      </x:c>
      <x:c r="E380" s="14" t="str">
        <x:v>Tam gün</x:v>
      </x:c>
      <x:c r="F380" s="14" t="str">
        <x:v>F1 - Temel Kurma</x:v>
      </x:c>
      <x:c r="G380" s="14" t="str">
        <x:v>15:45</x:v>
      </x:c>
      <x:c r="H380" s="14" t="str">
        <x:v>16:25</x:v>
      </x:c>
      <x:c r="I380" s="14" t="str">
        <x:v>İnkılap</x:v>
      </x:c>
      <x:c r="J380" s="14" t="str">
        <x:v>Konu / Tekrar</x:v>
      </x:c>
      <x:c r="K380" s="14" t="str">
        <x:v>Mustafa Kemal’in Askerlik Hayatı</x:v>
      </x:c>
      <x:c r="L380" s="14" t="str">
        <x:v>Mustafa Kemal’in Askerlik Hayatı — genel oynatma listesinden ilgili konu/soru çalışmasını yap.</x:v>
      </x:c>
      <x:c r="M380" s="14" t="str">
        <x:v>İnkılap Genel Oynatma Listesi</x:v>
      </x:c>
      <x:c r="N380" s="14" t="str">
        <x:v>https://www.youtube.com/watch?v=MltIX0oKpYU&amp;list=PLsAsBPsriHNbXit4Ra3iuBrk1ZHZWxsOR&amp;index=78</x:v>
      </x:c>
      <x:c r="O380" s="14" t="n">
        <x:v>0</x:v>
      </x:c>
      <x:c r="P380" s="14" t="str">
        <x:v>Hayır</x:v>
      </x:c>
      <x:c r="Q380" s="14" t="str">
        <x:v>Evet</x:v>
      </x:c>
      <x:c r="R380" s="14" t="str">
        <x:v>Planlandı</x:v>
      </x:c>
      <x:c r="S380" s="15" t="str"/>
      <x:c r="T380" s="14" t="str">
        <x:v>İnkılapta okul yazılısı videoları zorunlu değildir.</x:v>
      </x:c>
    </x:row>
    <x:row r="381">
      <x:c r="A381" s="14" t="n">
        <x:v>380</x:v>
      </x:c>
      <x:c r="B381" s="15" t="n">
        <x:v>46326</x:v>
      </x:c>
      <x:c r="C381" s="14" t="str">
        <x:v>Cumartesi</x:v>
      </x:c>
      <x:c r="D381" s="14" t="str">
        <x:v>Hafta Sonu</x:v>
      </x:c>
      <x:c r="E381" s="14" t="str">
        <x:v>Tam gün</x:v>
      </x:c>
      <x:c r="F381" s="14" t="str">
        <x:v>F1 - Temel Kurma</x:v>
      </x:c>
      <x:c r="G381" s="14" t="str">
        <x:v>16:35</x:v>
      </x:c>
      <x:c r="H381" s="14" t="str">
        <x:v>17:15</x:v>
      </x:c>
      <x:c r="I381" s="14" t="str">
        <x:v>İnkılap</x:v>
      </x:c>
      <x:c r="J381" s="14" t="str">
        <x:v>Kitap / MEB / Mastery</x:v>
      </x:c>
      <x:c r="K381" s="14" t="str">
        <x:v>Mustafa Kemal’in Askerlik Hayatı</x:v>
      </x:c>
      <x:c r="L381" s="14" t="str">
        <x:v>Mustafa Kemal’in Askerlik Hayatı ile ilgili soru kitabından en az 15 soru / bugünkü test payını çöz.</x:v>
      </x:c>
      <x:c r="M381" s="14" t="str">
        <x:v>Hız 8. Sınıf T.C. İnkılap Tarihi ve Atatürkçülük</x:v>
      </x:c>
      <x:c r="N381" s="14" t="str">
        <x:v>https://www.youtube.com/watch?v=MltIX0oKpYU&amp;list=PLsAsBPsriHNbXit4Ra3iuBrk1ZHZWxsOR&amp;index=78</x:v>
      </x:c>
      <x:c r="O381" s="14" t="n">
        <x:v>15</x:v>
      </x:c>
      <x:c r="P381" s="14" t="str">
        <x:v>Hayır</x:v>
      </x:c>
      <x:c r="Q381" s="14" t="str">
        <x:v>Evet</x:v>
      </x:c>
      <x:c r="R381" s="14" t="str">
        <x:v>Planlandı</x:v>
      </x:c>
      <x:c r="S381" s="15" t="str"/>
      <x:c r="T381" s="14" t="str"/>
    </x:row>
    <x:row r="382">
      <x:c r="A382" s="14" t="n">
        <x:v>381</x:v>
      </x:c>
      <x:c r="B382" s="15" t="n">
        <x:v>46326</x:v>
      </x:c>
      <x:c r="C382" s="14" t="str">
        <x:v>Cumartesi</x:v>
      </x:c>
      <x:c r="D382" s="14" t="str">
        <x:v>Hafta Sonu</x:v>
      </x:c>
      <x:c r="E382" s="14" t="str">
        <x:v>Tam gün</x:v>
      </x:c>
      <x:c r="F382" s="14" t="str">
        <x:v>F1 - Temel Kurma</x:v>
      </x:c>
      <x:c r="G382" s="14" t="str">
        <x:v>17:25</x:v>
      </x:c>
      <x:c r="H382" s="14" t="str">
        <x:v>17:55</x:v>
      </x:c>
      <x:c r="I382" s="14" t="str">
        <x:v>Fen</x:v>
      </x:c>
      <x:c r="J382" s="14" t="str">
        <x:v>Ek Fen Pekiştirme</x:v>
      </x:c>
      <x:c r="K382" s="14" t="str">
        <x:v>Mutasyon - Modifikasyon - Adaptasyon</x:v>
      </x:c>
      <x:c r="L382" s="14" t="str">
        <x:v>Mutasyon - Modifikasyon - Adaptasyon — Fen konu anlatım playlistinden ilgili videoyu izle.</x:v>
      </x:c>
      <x:c r="M382" s="14" t="str">
        <x:v>Fen Konu/Soru Oynatma Listesi</x:v>
      </x:c>
      <x:c r="N382" s="14" t="str">
        <x:v>https://www.youtube.com/watch?v=AHdk01aR4Ko&amp;list=PLrQm7mt99FRV_Oe9xFavWzFpCIl7_XiWj</x:v>
      </x:c>
      <x:c r="O382" s="14" t="n">
        <x:v>0</x:v>
      </x:c>
      <x:c r="P382" s="14" t="str">
        <x:v>Hayır</x:v>
      </x:c>
      <x:c r="Q382" s="14" t="str">
        <x:v>Evet</x:v>
      </x:c>
      <x:c r="R382" s="14" t="str">
        <x:v>Planlandı</x:v>
      </x:c>
      <x:c r="S382" s="15" t="str"/>
      <x:c r="T382" s="14" t="str">
        <x:v>Fen haftalık temas sıklığını artırmak için ek Cumartesi oturumu.</x:v>
      </x:c>
    </x:row>
    <x:row r="383">
      <x:c r="A383" s="14" t="n">
        <x:v>382</x:v>
      </x:c>
      <x:c r="B383" s="15" t="n">
        <x:v>46326</x:v>
      </x:c>
      <x:c r="C383" s="14" t="str">
        <x:v>Cumartesi</x:v>
      </x:c>
      <x:c r="D383" s="14" t="str">
        <x:v>Hafta Sonu</x:v>
      </x:c>
      <x:c r="E383" s="14" t="str">
        <x:v>Tam gün</x:v>
      </x:c>
      <x:c r="F383" s="14" t="str">
        <x:v>F1 - Temel Kurma</x:v>
      </x:c>
      <x:c r="G383" s="14" t="str">
        <x:v>17:55</x:v>
      </x:c>
      <x:c r="H383" s="14" t="str">
        <x:v>18:25</x:v>
      </x:c>
      <x:c r="I383" s="14" t="str">
        <x:v>Fen</x:v>
      </x:c>
      <x:c r="J383" s="14" t="str">
        <x:v>Ek Fen Kitap / MEB</x:v>
      </x:c>
      <x:c r="K383" s="14" t="str">
        <x:v>Mutasyon - Modifikasyon - Adaptasyon</x:v>
      </x:c>
      <x:c r="L383" s="14" t="str">
        <x:v>Mutasyon - Modifikasyon - Adaptasyon ile ilgili soru kitabından en az 15 soru / bugünkü test payını çöz.</x:v>
      </x:c>
      <x:c r="M383" s="14" t="str">
        <x:v>Hız 8. Sınıf Fen (ISBN 9786257514859); tamamlandıysa Mozaik 8. Sınıf Fen</x:v>
      </x:c>
      <x:c r="N383" s="14" t="str">
        <x:v>https://www.youtube.com/watch?v=AHdk01aR4Ko&amp;list=PLrQm7mt99FRV_Oe9xFavWzFpCIl7_XiWj</x:v>
      </x:c>
      <x:c r="O383" s="14" t="n">
        <x:v>15</x:v>
      </x:c>
      <x:c r="P383" s="14" t="str">
        <x:v>Hayır</x:v>
      </x:c>
      <x:c r="Q383" s="14" t="str">
        <x:v>Evet</x:v>
      </x:c>
      <x:c r="R383" s="14" t="str">
        <x:v>Planlandı</x:v>
      </x:c>
      <x:c r="S383" s="15" t="str"/>
      <x:c r="T383" s="14" t="str">
        <x:v>Fen için Hız → gerekiyorsa Mozaik; MEB doğrulaması konu bitiminde.</x:v>
      </x:c>
    </x:row>
    <x:row r="384">
      <x:c r="A384" s="14" t="n">
        <x:v>383</x:v>
      </x:c>
      <x:c r="B384" s="15" t="n">
        <x:v>46326</x:v>
      </x:c>
      <x:c r="C384" s="14" t="str">
        <x:v>Cumartesi</x:v>
      </x:c>
      <x:c r="D384" s="14" t="str">
        <x:v>Hafta Sonu</x:v>
      </x:c>
      <x:c r="E384" s="14" t="str">
        <x:v>Tam gün</x:v>
      </x:c>
      <x:c r="F384" s="14" t="str">
        <x:v>F1 - Temel Kurma</x:v>
      </x:c>
      <x:c r="G384" s="14" t="str">
        <x:v>18:25</x:v>
      </x:c>
      <x:c r="H384" s="14" t="str">
        <x:v>18:45</x:v>
      </x:c>
      <x:c r="I384" s="14" t="str">
        <x:v>Genel</x:v>
      </x:c>
      <x:c r="J384" s="14" t="str">
        <x:v>Yanlış / Boş Analizi</x:v>
      </x:c>
      <x:c r="K384" s="14" t="str">
        <x:v>Günlük</x:v>
      </x:c>
      <x:c r="L384" s="14" t="str">
        <x:v>Bugünkü yanlış/boşları kaydet; çözümünü öğrenmeden kapatma. Hata türünü sınıflandır.</x:v>
      </x:c>
      <x:c r="M384" s="14" t="str">
        <x:v>Yanlış Defteri</x:v>
      </x:c>
      <x:c r="N384" s="14" t="str"/>
      <x:c r="O384" s="14" t="n">
        <x:v>0</x:v>
      </x:c>
      <x:c r="P384" s="14" t="str">
        <x:v>Hayır</x:v>
      </x:c>
      <x:c r="Q384" s="14" t="str">
        <x:v>Evet</x:v>
      </x:c>
      <x:c r="R384" s="14" t="str">
        <x:v>Planlandı</x:v>
      </x:c>
      <x:c r="S384" s="15" t="str"/>
      <x:c r="T384" s="14" t="str"/>
    </x:row>
    <x:row r="385">
      <x:c r="A385" s="14" t="n">
        <x:v>384</x:v>
      </x:c>
      <x:c r="B385" s="15" t="n">
        <x:v>46326</x:v>
      </x:c>
      <x:c r="C385" s="14" t="str">
        <x:v>Cumartesi</x:v>
      </x:c>
      <x:c r="D385" s="14" t="str">
        <x:v>Hafta Sonu</x:v>
      </x:c>
      <x:c r="E385" s="14" t="str">
        <x:v>Tam gün</x:v>
      </x:c>
      <x:c r="F385" s="14" t="str">
        <x:v>F1 - Temel Kurma</x:v>
      </x:c>
      <x:c r="G385" s="14" t="str">
        <x:v>18:45</x:v>
      </x:c>
      <x:c r="H385" s="14" t="str">
        <x:v>19:05</x:v>
      </x:c>
      <x:c r="I385" s="14" t="str">
        <x:v>Genel</x:v>
      </x:c>
      <x:c r="J385" s="14" t="str">
        <x:v>Aralıklı Hata Tekrarı</x:v>
      </x:c>
      <x:c r="K385" s="14" t="str">
        <x:v>+1 / +7 / +21</x:v>
      </x:c>
      <x:c r="L385" s="14" t="str">
        <x:v>Bugün vadesi gelen yanlış soruları tekrar çöz. Vadesi yoksa bu süre serbest/okuma olabilir.</x:v>
      </x:c>
      <x:c r="M385" s="14" t="str">
        <x:v>Yanlış Defteri</x:v>
      </x:c>
      <x:c r="N385" s="14" t="str"/>
      <x:c r="O385" s="14" t="n">
        <x:v>0</x:v>
      </x:c>
      <x:c r="P385" s="14" t="str">
        <x:v>Hayır</x:v>
      </x:c>
      <x:c r="Q385" s="14" t="str">
        <x:v>Koşullu</x:v>
      </x:c>
      <x:c r="R385" s="14" t="str">
        <x:v>Planlandı</x:v>
      </x:c>
      <x:c r="S385" s="15" t="str"/>
      <x:c r="T385" s="14" t="str">
        <x:v>Yanlışlar +1, +7 ve +21 gün aralıklarıyla tekrar edilir; hâlâ yanlışsa konu mastery durumu düşürülür.</x:v>
      </x:c>
    </x:row>
    <x:row r="386">
      <x:c r="A386" s="14" t="n">
        <x:v>385</x:v>
      </x:c>
      <x:c r="B386" s="15" t="n">
        <x:v>46326</x:v>
      </x:c>
      <x:c r="C386" s="14" t="str">
        <x:v>Cumartesi</x:v>
      </x:c>
      <x:c r="D386" s="14" t="str">
        <x:v>Hafta Sonu</x:v>
      </x:c>
      <x:c r="E386" s="14" t="str">
        <x:v>Tam gün</x:v>
      </x:c>
      <x:c r="F386" s="14" t="str">
        <x:v>F1 - Temel Kurma</x:v>
      </x:c>
      <x:c r="G386" s="14" t="str">
        <x:v>20:00</x:v>
      </x:c>
      <x:c r="H386" s="14" t="str">
        <x:v>20:30</x:v>
      </x:c>
      <x:c r="I386" s="14" t="str">
        <x:v>Okuma</x:v>
      </x:c>
      <x:c r="J386" s="14" t="str">
        <x:v>İsteğe Bağlı</x:v>
      </x:c>
      <x:c r="K386" s="14" t="str">
        <x:v>Serbest Kitap</x:v>
      </x:c>
      <x:c r="L386" s="14" t="str">
        <x:v>Zorunlu çalışmalar bittiyse isteğe bağlı kitap oku.</x:v>
      </x:c>
      <x:c r="M386" s="14" t="str">
        <x:v>Serbest Kitap</x:v>
      </x:c>
      <x:c r="N386" s="14" t="str"/>
      <x:c r="O386" s="14" t="n">
        <x:v>0</x:v>
      </x:c>
      <x:c r="P386" s="14" t="str">
        <x:v>İsteğe Bağlı</x:v>
      </x:c>
      <x:c r="Q386" s="14" t="str">
        <x:v>Hayır</x:v>
      </x:c>
      <x:c r="R386" s="14" t="str">
        <x:v>Planlandı</x:v>
      </x:c>
      <x:c r="S386" s="15" t="str"/>
      <x:c r="T386" s="14" t="str">
        <x:v>Minimum süre yok.</x:v>
      </x:c>
    </x:row>
    <x:row r="387">
      <x:c r="A387" s="14" t="n">
        <x:v>386</x:v>
      </x:c>
      <x:c r="B387" s="15" t="n">
        <x:v>46326</x:v>
      </x:c>
      <x:c r="C387" s="14" t="str">
        <x:v>Cumartesi</x:v>
      </x:c>
      <x:c r="D387" s="14" t="str">
        <x:v>Hafta Sonu</x:v>
      </x:c>
      <x:c r="E387" s="14" t="str">
        <x:v>Tam gün</x:v>
      </x:c>
      <x:c r="F387" s="14" t="str">
        <x:v>F1 - Temel Kurma</x:v>
      </x:c>
      <x:c r="G387" s="14" t="str">
        <x:v>21:50</x:v>
      </x:c>
      <x:c r="H387" s="14" t="str">
        <x:v>22:00</x:v>
      </x:c>
      <x:c r="I387" s="14" t="str">
        <x:v>Genel</x:v>
      </x:c>
      <x:c r="J387" s="14" t="str">
        <x:v>Uyku Hazırlığı</x:v>
      </x:c>
      <x:c r="K387" s="14" t="str"/>
      <x:c r="L387" s="14" t="str">
        <x:v>22:00'de yatakta ve uyku.</x:v>
      </x:c>
      <x:c r="M387" s="14" t="str"/>
      <x:c r="N387" s="14" t="str"/>
      <x:c r="O387" s="14" t="n">
        <x:v>0</x:v>
      </x:c>
      <x:c r="P387" s="14" t="str">
        <x:v>Hayır</x:v>
      </x:c>
      <x:c r="Q387" s="14" t="str">
        <x:v>Hayır</x:v>
      </x:c>
      <x:c r="R387" s="14" t="str">
        <x:v>Planlandı</x:v>
      </x:c>
      <x:c r="S387" s="15" t="str"/>
      <x:c r="T387" s="14" t="str"/>
    </x:row>
    <x:row r="388">
      <x:c r="A388" s="14" t="n">
        <x:v>387</x:v>
      </x:c>
      <x:c r="B388" s="15" t="n">
        <x:v>46327</x:v>
      </x:c>
      <x:c r="C388" s="14" t="str">
        <x:v>Pazar</x:v>
      </x:c>
      <x:c r="D388" s="14" t="str">
        <x:v>Hafta Sonu</x:v>
      </x:c>
      <x:c r="E388" s="14" t="str">
        <x:v>Tam gün</x:v>
      </x:c>
      <x:c r="F388" s="14" t="str">
        <x:v>F1 - Temel Kurma</x:v>
      </x:c>
      <x:c r="G388" s="14" t="str">
        <x:v>09:30</x:v>
      </x:c>
      <x:c r="H388" s="14" t="str">
        <x:v>10:15</x:v>
      </x:c>
      <x:c r="I388" s="14" t="str">
        <x:v>Matematik</x:v>
      </x:c>
      <x:c r="J388" s="14" t="str">
        <x:v>Konu / Tekrar</x:v>
      </x:c>
      <x:c r="K388" s="14" t="str">
        <x:v>EBOB - EKOK</x:v>
      </x:c>
      <x:c r="L388" s="14" t="str">
        <x:v>EBOB - EKOK — genel oynatma listesinden ilgili videoyu izle (1/3).</x:v>
      </x:c>
      <x:c r="M388" s="14" t="str">
        <x:v>Matematik Ana Oynatma Listesi</x:v>
      </x:c>
      <x:c r="N388" s="14" t="str">
        <x:v>https://www.youtube.com/watch?v=EuJ89QzqrAg&amp;list=PLicNtF7vp6fnfDqrRLH6H7fIbzYT4ct4F&amp;index=11</x:v>
      </x:c>
      <x:c r="O388" s="14" t="n">
        <x:v>0</x:v>
      </x:c>
      <x:c r="P388" s="14" t="str">
        <x:v>Hayır</x:v>
      </x:c>
      <x:c r="Q388" s="14" t="str">
        <x:v>Evet</x:v>
      </x:c>
      <x:c r="R388" s="14" t="str">
        <x:v>Planlandı</x:v>
      </x:c>
      <x:c r="S388" s="15" t="str"/>
      <x:c r="T388" s="14" t="str">
        <x:v>Yeni konu ancak plan sırasıyla açılır; LGS dışı ileri TYT içeriği zorunlu değildir.</x:v>
      </x:c>
    </x:row>
    <x:row r="389">
      <x:c r="A389" s="14" t="n">
        <x:v>388</x:v>
      </x:c>
      <x:c r="B389" s="15" t="n">
        <x:v>46327</x:v>
      </x:c>
      <x:c r="C389" s="14" t="str">
        <x:v>Pazar</x:v>
      </x:c>
      <x:c r="D389" s="14" t="str">
        <x:v>Hafta Sonu</x:v>
      </x:c>
      <x:c r="E389" s="14" t="str">
        <x:v>Tam gün</x:v>
      </x:c>
      <x:c r="F389" s="14" t="str">
        <x:v>F1 - Temel Kurma</x:v>
      </x:c>
      <x:c r="G389" s="14" t="str">
        <x:v>10:25</x:v>
      </x:c>
      <x:c r="H389" s="14" t="str">
        <x:v>11:15</x:v>
      </x:c>
      <x:c r="I389" s="14" t="str">
        <x:v>Matematik</x:v>
      </x:c>
      <x:c r="J389" s="14" t="str">
        <x:v>Kitap / MEB / Mastery</x:v>
      </x:c>
      <x:c r="K389" s="14" t="str">
        <x:v>EBOB - EKOK</x:v>
      </x:c>
      <x:c r="L389" s="14" t="str">
        <x:v>EBOB - EKOK ile ilgili soru kitabından en az 20 soru / bugünkü test payını çöz.</x:v>
      </x:c>
      <x:c r="M389" s="14" t="str">
        <x:v>MUBA 8. Sınıf Başlangıç Matematik (ISBN 9789756526972) (eşleşen bölüm) + MEB temel destek</x:v>
      </x:c>
      <x:c r="N389" s="14" t="str">
        <x:v>https://odsgm.meb.gov.tr/www/5-6-7-ve-9-sinif-duzeylerinde-calisma-sorulari-yayimlandi/icerik/775</x:v>
      </x:c>
      <x:c r="O389" s="14" t="n">
        <x:v>20</x:v>
      </x:c>
      <x:c r="P389" s="14" t="str">
        <x:v>İlk 20 soru</x:v>
      </x:c>
      <x:c r="Q389" s="14" t="str">
        <x:v>Evet</x:v>
      </x:c>
      <x:c r="R389" s="14" t="str">
        <x:v>Planlandı</x:v>
      </x:c>
      <x:c r="S389" s="15" t="str"/>
      <x:c r="T389" s="14" t="str">
        <x:v>Ayrı/rastgele matematik benchmark yoktur. Süreli ilk 20 soru o gün çalışılan konunun içindedir.</x:v>
      </x:c>
    </x:row>
    <x:row r="390">
      <x:c r="A390" s="14" t="n">
        <x:v>389</x:v>
      </x:c>
      <x:c r="B390" s="15" t="n">
        <x:v>46327</x:v>
      </x:c>
      <x:c r="C390" s="14" t="str">
        <x:v>Pazar</x:v>
      </x:c>
      <x:c r="D390" s="14" t="str">
        <x:v>Hafta Sonu</x:v>
      </x:c>
      <x:c r="E390" s="14" t="str">
        <x:v>Tam gün</x:v>
      </x:c>
      <x:c r="F390" s="14" t="str">
        <x:v>F1 - Temel Kurma</x:v>
      </x:c>
      <x:c r="G390" s="14" t="str">
        <x:v>12:00</x:v>
      </x:c>
      <x:c r="H390" s="14" t="str">
        <x:v>14:00</x:v>
      </x:c>
      <x:c r="I390" s="14" t="str">
        <x:v>Genel</x:v>
      </x:c>
      <x:c r="J390" s="14" t="str">
        <x:v>Yemek / Serbest Zaman</x:v>
      </x:c>
      <x:c r="K390" s="14" t="str"/>
      <x:c r="L390" s="14" t="str">
        <x:v>Yemek, hareket ve dinlenme.</x:v>
      </x:c>
      <x:c r="M390" s="14" t="str"/>
      <x:c r="N390" s="14" t="str"/>
      <x:c r="O390" s="14" t="n">
        <x:v>0</x:v>
      </x:c>
      <x:c r="P390" s="14" t="str">
        <x:v>Hayır</x:v>
      </x:c>
      <x:c r="Q390" s="14" t="str">
        <x:v>Hayır</x:v>
      </x:c>
      <x:c r="R390" s="14" t="str">
        <x:v>Planlandı</x:v>
      </x:c>
      <x:c r="S390" s="15" t="str"/>
      <x:c r="T390" s="14" t="str"/>
    </x:row>
    <x:row r="391">
      <x:c r="A391" s="14" t="n">
        <x:v>390</x:v>
      </x:c>
      <x:c r="B391" s="15" t="n">
        <x:v>46327</x:v>
      </x:c>
      <x:c r="C391" s="14" t="str">
        <x:v>Pazar</x:v>
      </x:c>
      <x:c r="D391" s="14" t="str">
        <x:v>Hafta Sonu</x:v>
      </x:c>
      <x:c r="E391" s="14" t="str">
        <x:v>Tam gün</x:v>
      </x:c>
      <x:c r="F391" s="14" t="str">
        <x:v>F1 - Temel Kurma</x:v>
      </x:c>
      <x:c r="G391" s="14" t="str">
        <x:v>11:25</x:v>
      </x:c>
      <x:c r="H391" s="14" t="str">
        <x:v>11:55</x:v>
      </x:c>
      <x:c r="I391" s="14" t="str">
        <x:v>Türkçe</x:v>
      </x:c>
      <x:c r="J391" s="14" t="str">
        <x:v>Paragraf Rutini</x:v>
      </x:c>
      <x:c r="K391" s="14" t="str">
        <x:v>Paragraf</x:v>
      </x:c>
      <x:c r="L391" s="14" t="str">
        <x:v>En az 20 paragraf sorusu çöz; ilk 20 soruyu ileri sayımla ölç, D/Y/B + süre kaydet.</x:v>
      </x:c>
      <x:c r="M391" s="14" t="str">
        <x:v>Hız 8. Sınıf Türkçe Paragraf (ISBN 9786258394498)</x:v>
      </x:c>
      <x:c r="N391" s="14" t="str"/>
      <x:c r="O391" s="14" t="n">
        <x:v>20</x:v>
      </x:c>
      <x:c r="P391" s="14" t="str">
        <x:v>İlk 20 soru</x:v>
      </x:c>
      <x:c r="Q391" s="14" t="str">
        <x:v>Evet</x:v>
      </x:c>
      <x:c r="R391" s="14" t="str">
        <x:v>Planlandı</x:v>
      </x:c>
      <x:c r="S391" s="15" t="str"/>
      <x:c r="T391" s="14" t="str">
        <x:v>Geri sayım ve hedef süre yok.</x:v>
      </x:c>
    </x:row>
    <x:row r="392">
      <x:c r="A392" s="14" t="n">
        <x:v>391</x:v>
      </x:c>
      <x:c r="B392" s="15" t="n">
        <x:v>46327</x:v>
      </x:c>
      <x:c r="C392" s="14" t="str">
        <x:v>Pazar</x:v>
      </x:c>
      <x:c r="D392" s="14" t="str">
        <x:v>Hafta Sonu</x:v>
      </x:c>
      <x:c r="E392" s="14" t="str">
        <x:v>Tam gün</x:v>
      </x:c>
      <x:c r="F392" s="14" t="str">
        <x:v>F1 - Temel Kurma</x:v>
      </x:c>
      <x:c r="G392" s="14" t="str">
        <x:v>14:00</x:v>
      </x:c>
      <x:c r="H392" s="14" t="str">
        <x:v>14:40</x:v>
      </x:c>
      <x:c r="I392" s="14" t="str">
        <x:v>Türkçe</x:v>
      </x:c>
      <x:c r="J392" s="14" t="str">
        <x:v>Konu / Tekrar</x:v>
      </x:c>
      <x:c r="K392" s="14" t="str">
        <x:v>Noktalama İşaretleri</x:v>
      </x:c>
      <x:c r="L392" s="14" t="str">
        <x:v>Noktalama İşaretleri — genel oynatma listesinden ilgili videoyu izle (1/3).</x:v>
      </x:c>
      <x:c r="M392" s="14" t="str">
        <x:v>Türkçe Ana Oynatma Listesi</x:v>
      </x:c>
      <x:c r="N392" s="14" t="str">
        <x:v>https://www.youtube.com/watch?v=VYsPntNKVdw&amp;list=PLIBjFaUoJJ91bz7QQEBlxNJNZka5YQRr6</x:v>
      </x:c>
      <x:c r="O392" s="14" t="n">
        <x:v>0</x:v>
      </x:c>
      <x:c r="P392" s="14" t="str">
        <x:v>Hayır</x:v>
      </x:c>
      <x:c r="Q392" s="14" t="str">
        <x:v>Evet</x:v>
      </x:c>
      <x:c r="R392" s="14" t="str">
        <x:v>Planlandı</x:v>
      </x:c>
      <x:c r="S392" s="15" t="str"/>
      <x:c r="T392" s="14" t="str">
        <x:v>TYT etiketli kaynak temelden başlamak için sabittir; LGS dışı gereksiz ayrıntı zorunlu değildir.</x:v>
      </x:c>
    </x:row>
    <x:row r="393">
      <x:c r="A393" s="14" t="n">
        <x:v>392</x:v>
      </x:c>
      <x:c r="B393" s="15" t="n">
        <x:v>46327</x:v>
      </x:c>
      <x:c r="C393" s="14" t="str">
        <x:v>Pazar</x:v>
      </x:c>
      <x:c r="D393" s="14" t="str">
        <x:v>Hafta Sonu</x:v>
      </x:c>
      <x:c r="E393" s="14" t="str">
        <x:v>Tam gün</x:v>
      </x:c>
      <x:c r="F393" s="14" t="str">
        <x:v>F1 - Temel Kurma</x:v>
      </x:c>
      <x:c r="G393" s="14" t="str">
        <x:v>14:50</x:v>
      </x:c>
      <x:c r="H393" s="14" t="str">
        <x:v>15:30</x:v>
      </x:c>
      <x:c r="I393" s="14" t="str">
        <x:v>Türkçe</x:v>
      </x:c>
      <x:c r="J393" s="14" t="str">
        <x:v>Kitap / MEB / Mastery</x:v>
      </x:c>
      <x:c r="K393" s="14" t="str">
        <x:v>Noktalama İşaretleri</x:v>
      </x:c>
      <x:c r="L393" s="14" t="str">
        <x:v>Noktalama İşaretleri ile ilgili soru kitabından en az 10 soru / bugünkü test payını çöz.</x:v>
      </x:c>
      <x:c r="M393" s="14" t="str">
        <x:v>Ankara 8. Sınıf Dil Bilgisi Güçlendiren</x:v>
      </x:c>
      <x:c r="N393" s="14" t="str">
        <x:v>https://odsgm.meb.gov.tr/www/8sinif-calisma-sorulari/icerik/1632</x:v>
      </x:c>
      <x:c r="O393" s="14" t="n">
        <x:v>10</x:v>
      </x:c>
      <x:c r="P393" s="14" t="str">
        <x:v>Hayır</x:v>
      </x:c>
      <x:c r="Q393" s="14" t="str">
        <x:v>Evet</x:v>
      </x:c>
      <x:c r="R393" s="14" t="str">
        <x:v>Planlandı</x:v>
      </x:c>
      <x:c r="S393" s="15" t="str"/>
      <x:c r="T393" s="14" t="str"/>
    </x:row>
    <x:row r="394">
      <x:c r="A394" s="14" t="n">
        <x:v>393</x:v>
      </x:c>
      <x:c r="B394" s="15" t="n">
        <x:v>46327</x:v>
      </x:c>
      <x:c r="C394" s="14" t="str">
        <x:v>Pazar</x:v>
      </x:c>
      <x:c r="D394" s="14" t="str">
        <x:v>Hafta Sonu</x:v>
      </x:c>
      <x:c r="E394" s="14" t="str">
        <x:v>Tam gün</x:v>
      </x:c>
      <x:c r="F394" s="14" t="str">
        <x:v>F1 - Temel Kurma</x:v>
      </x:c>
      <x:c r="G394" s="14" t="str">
        <x:v>15:45</x:v>
      </x:c>
      <x:c r="H394" s="14" t="str">
        <x:v>16:25</x:v>
      </x:c>
      <x:c r="I394" s="14" t="str">
        <x:v>İngilizce</x:v>
      </x:c>
      <x:c r="J394" s="14" t="str">
        <x:v>Konu / Tekrar</x:v>
      </x:c>
      <x:c r="K394" s="14" t="str">
        <x:v>Unit 2 - Teen Life</x:v>
      </x:c>
      <x:c r="L394" s="14" t="str">
        <x:v>Unit 2 - Teen Life — MEB doğrulaması öncesi 5-10 dk aktif hatırlama; gerekiyorsa ilgili playlist videosuna kısa dönüş yap.</x:v>
      </x:c>
      <x:c r="M394" s="14" t="str">
        <x:v>İngilizce Genel Oynatma Listesi</x:v>
      </x:c>
      <x:c r="N394" s="14" t="str">
        <x:v>https://www.youtube.com/watch?v=FaY3dFjZbns&amp;list=PLSgpQDrUSYp94WgE9pzpHiOG5FwxnZBrr</x:v>
      </x:c>
      <x:c r="O394" s="14" t="n">
        <x:v>0</x:v>
      </x:c>
      <x:c r="P394" s="14" t="str">
        <x:v>Hayır</x:v>
      </x:c>
      <x:c r="Q394" s="14" t="str">
        <x:v>Evet</x:v>
      </x:c>
      <x:c r="R394" s="14" t="str">
        <x:v>Planlandı</x:v>
      </x:c>
      <x:c r="S394" s="15" t="str"/>
      <x:c r="T394" s="14" t="str"/>
    </x:row>
    <x:row r="395">
      <x:c r="A395" s="14" t="n">
        <x:v>394</x:v>
      </x:c>
      <x:c r="B395" s="15" t="n">
        <x:v>46327</x:v>
      </x:c>
      <x:c r="C395" s="14" t="str">
        <x:v>Pazar</x:v>
      </x:c>
      <x:c r="D395" s="14" t="str">
        <x:v>Hafta Sonu</x:v>
      </x:c>
      <x:c r="E395" s="14" t="str">
        <x:v>Tam gün</x:v>
      </x:c>
      <x:c r="F395" s="14" t="str">
        <x:v>F1 - Temel Kurma</x:v>
      </x:c>
      <x:c r="G395" s="14" t="str">
        <x:v>16:35</x:v>
      </x:c>
      <x:c r="H395" s="14" t="str">
        <x:v>17:15</x:v>
      </x:c>
      <x:c r="I395" s="14" t="str">
        <x:v>İngilizce</x:v>
      </x:c>
      <x:c r="J395" s="14" t="str">
        <x:v>Kitap / MEB / Mastery</x:v>
      </x:c>
      <x:c r="K395" s="14" t="str">
        <x:v>Unit 2 - Teen Life</x:v>
      </x:c>
      <x:c r="L395" s="14" t="str">
        <x:v>Unit 2 - Teen Life için ilgili MEB sorularını TAMAMLA; D/Y/B kaydet. Bu oturum konu mastery gate'idir.</x:v>
      </x:c>
      <x:c r="M395" s="14" t="str">
        <x:v>MEB 8. Sınıf İngilizce Soruları</x:v>
      </x:c>
      <x:c r="N395" s="14" t="str">
        <x:v>https://odsgm.meb.gov.tr/www/8sinif-calisma-sorulari/icerik/1632</x:v>
      </x:c>
      <x:c r="O395" s="14" t="n">
        <x:v>0</x:v>
      </x:c>
      <x:c r="P395" s="14" t="str">
        <x:v>Hayır</x:v>
      </x:c>
      <x:c r="Q395" s="14" t="str">
        <x:v>Evet</x:v>
      </x:c>
      <x:c r="R395" s="14" t="str">
        <x:v>Planlandı</x:v>
      </x:c>
      <x:c r="S395" s="15" t="str"/>
      <x:c r="T395" s="14" t="str">
        <x:v>MEB sonucu Konu_Ustaligi sayfasına işlenir.</x:v>
      </x:c>
    </x:row>
    <x:row r="396">
      <x:c r="A396" s="14" t="n">
        <x:v>395</x:v>
      </x:c>
      <x:c r="B396" s="15" t="n">
        <x:v>46327</x:v>
      </x:c>
      <x:c r="C396" s="14" t="str">
        <x:v>Pazar</x:v>
      </x:c>
      <x:c r="D396" s="14" t="str">
        <x:v>Hafta Sonu</x:v>
      </x:c>
      <x:c r="E396" s="14" t="str">
        <x:v>Tam gün</x:v>
      </x:c>
      <x:c r="F396" s="14" t="str">
        <x:v>F1 - Temel Kurma</x:v>
      </x:c>
      <x:c r="G396" s="14" t="str">
        <x:v>17:25</x:v>
      </x:c>
      <x:c r="H396" s="14" t="str">
        <x:v>18:25</x:v>
      </x:c>
      <x:c r="I396" s="14" t="str">
        <x:v>Genel</x:v>
      </x:c>
      <x:c r="J396" s="14" t="str">
        <x:v>Kaynak Tamamlama</x:v>
      </x:c>
      <x:c r="K396" s="14" t="str">
        <x:v>En Geride Kalan Kaynak</x:v>
      </x:c>
      <x:c r="L396" s="14" t="str">
        <x:v>Kaynak_Ilerleme sayfasında hedef yüzdesinin en gerisinde kalan ZORUNLU soru kaynağına 60 dk ayır. Öğrenilmemiş konudan ileri gitme.</x:v>
      </x:c>
      <x:c r="M396" s="14" t="str">
        <x:v>Kaynak İlerleme</x:v>
      </x:c>
      <x:c r="N396" s="14" t="str"/>
      <x:c r="O396" s="14" t="n">
        <x:v>0</x:v>
      </x:c>
      <x:c r="P396" s="14" t="str">
        <x:v>Hayır</x:v>
      </x:c>
      <x:c r="Q396" s="14" t="str">
        <x:v>Evet</x:v>
      </x:c>
      <x:c r="R396" s="14" t="str">
        <x:v>Planlandı</x:v>
      </x:c>
      <x:c r="S396" s="15" t="str"/>
      <x:c r="T396" s="14" t="str">
        <x:v>Amaç 13.04.2027'de zorunlu soru kitapları + ilgili MEB setlerini %100 tamamlamak.</x:v>
      </x:c>
    </x:row>
    <x:row r="397">
      <x:c r="A397" s="14" t="n">
        <x:v>396</x:v>
      </x:c>
      <x:c r="B397" s="15" t="n">
        <x:v>46327</x:v>
      </x:c>
      <x:c r="C397" s="14" t="str">
        <x:v>Pazar</x:v>
      </x:c>
      <x:c r="D397" s="14" t="str">
        <x:v>Hafta Sonu</x:v>
      </x:c>
      <x:c r="E397" s="14" t="str">
        <x:v>Tam gün</x:v>
      </x:c>
      <x:c r="F397" s="14" t="str">
        <x:v>F1 - Temel Kurma</x:v>
      </x:c>
      <x:c r="G397" s="14" t="str">
        <x:v>18:25</x:v>
      </x:c>
      <x:c r="H397" s="14" t="str">
        <x:v>18:45</x:v>
      </x:c>
      <x:c r="I397" s="14" t="str">
        <x:v>Genel</x:v>
      </x:c>
      <x:c r="J397" s="14" t="str">
        <x:v>Yanlış / Boş Analizi</x:v>
      </x:c>
      <x:c r="K397" s="14" t="str">
        <x:v>Günlük</x:v>
      </x:c>
      <x:c r="L397" s="14" t="str">
        <x:v>Bugünkü yanlış/boşları kaydet; çözümünü öğrenmeden kapatma. Hata türünü sınıflandır.</x:v>
      </x:c>
      <x:c r="M397" s="14" t="str">
        <x:v>Yanlış Defteri</x:v>
      </x:c>
      <x:c r="N397" s="14" t="str"/>
      <x:c r="O397" s="14" t="n">
        <x:v>0</x:v>
      </x:c>
      <x:c r="P397" s="14" t="str">
        <x:v>Hayır</x:v>
      </x:c>
      <x:c r="Q397" s="14" t="str">
        <x:v>Evet</x:v>
      </x:c>
      <x:c r="R397" s="14" t="str">
        <x:v>Planlandı</x:v>
      </x:c>
      <x:c r="S397" s="15" t="str"/>
      <x:c r="T397" s="14" t="str"/>
    </x:row>
    <x:row r="398">
      <x:c r="A398" s="14" t="n">
        <x:v>397</x:v>
      </x:c>
      <x:c r="B398" s="15" t="n">
        <x:v>46327</x:v>
      </x:c>
      <x:c r="C398" s="14" t="str">
        <x:v>Pazar</x:v>
      </x:c>
      <x:c r="D398" s="14" t="str">
        <x:v>Hafta Sonu</x:v>
      </x:c>
      <x:c r="E398" s="14" t="str">
        <x:v>Tam gün</x:v>
      </x:c>
      <x:c r="F398" s="14" t="str">
        <x:v>F1 - Temel Kurma</x:v>
      </x:c>
      <x:c r="G398" s="14" t="str">
        <x:v>18:45</x:v>
      </x:c>
      <x:c r="H398" s="14" t="str">
        <x:v>19:05</x:v>
      </x:c>
      <x:c r="I398" s="14" t="str">
        <x:v>Genel</x:v>
      </x:c>
      <x:c r="J398" s="14" t="str">
        <x:v>Aralıklı Hata Tekrarı</x:v>
      </x:c>
      <x:c r="K398" s="14" t="str">
        <x:v>+1 / +7 / +21</x:v>
      </x:c>
      <x:c r="L398" s="14" t="str">
        <x:v>Bugün vadesi gelen yanlış soruları tekrar çöz. Vadesi yoksa bu süre serbest/okuma olabilir.</x:v>
      </x:c>
      <x:c r="M398" s="14" t="str">
        <x:v>Yanlış Defteri</x:v>
      </x:c>
      <x:c r="N398" s="14" t="str"/>
      <x:c r="O398" s="14" t="n">
        <x:v>0</x:v>
      </x:c>
      <x:c r="P398" s="14" t="str">
        <x:v>Hayır</x:v>
      </x:c>
      <x:c r="Q398" s="14" t="str">
        <x:v>Koşullu</x:v>
      </x:c>
      <x:c r="R398" s="14" t="str">
        <x:v>Planlandı</x:v>
      </x:c>
      <x:c r="S398" s="15" t="str"/>
      <x:c r="T398" s="14" t="str">
        <x:v>Yanlışlar +1, +7 ve +21 gün aralıklarıyla tekrar edilir; hâlâ yanlışsa konu mastery durumu düşürülür.</x:v>
      </x:c>
    </x:row>
    <x:row r="399">
      <x:c r="A399" s="14" t="n">
        <x:v>398</x:v>
      </x:c>
      <x:c r="B399" s="15" t="n">
        <x:v>46327</x:v>
      </x:c>
      <x:c r="C399" s="14" t="str">
        <x:v>Pazar</x:v>
      </x:c>
      <x:c r="D399" s="14" t="str">
        <x:v>Hafta Sonu</x:v>
      </x:c>
      <x:c r="E399" s="14" t="str">
        <x:v>Tam gün</x:v>
      </x:c>
      <x:c r="F399" s="14" t="str">
        <x:v>F1 - Temel Kurma</x:v>
      </x:c>
      <x:c r="G399" s="14" t="str">
        <x:v>20:00</x:v>
      </x:c>
      <x:c r="H399" s="14" t="str">
        <x:v>20:30</x:v>
      </x:c>
      <x:c r="I399" s="14" t="str">
        <x:v>Okuma</x:v>
      </x:c>
      <x:c r="J399" s="14" t="str">
        <x:v>İsteğe Bağlı</x:v>
      </x:c>
      <x:c r="K399" s="14" t="str">
        <x:v>Serbest Kitap</x:v>
      </x:c>
      <x:c r="L399" s="14" t="str">
        <x:v>Zorunlu çalışmalar bittiyse isteğe bağlı kitap oku.</x:v>
      </x:c>
      <x:c r="M399" s="14" t="str">
        <x:v>Serbest Kitap</x:v>
      </x:c>
      <x:c r="N399" s="14" t="str"/>
      <x:c r="O399" s="14" t="n">
        <x:v>0</x:v>
      </x:c>
      <x:c r="P399" s="14" t="str">
        <x:v>İsteğe Bağlı</x:v>
      </x:c>
      <x:c r="Q399" s="14" t="str">
        <x:v>Hayır</x:v>
      </x:c>
      <x:c r="R399" s="14" t="str">
        <x:v>Planlandı</x:v>
      </x:c>
      <x:c r="S399" s="15" t="str"/>
      <x:c r="T399" s="14" t="str">
        <x:v>Minimum süre yok.</x:v>
      </x:c>
    </x:row>
    <x:row r="400">
      <x:c r="A400" s="14" t="n">
        <x:v>399</x:v>
      </x:c>
      <x:c r="B400" s="15" t="n">
        <x:v>46327</x:v>
      </x:c>
      <x:c r="C400" s="14" t="str">
        <x:v>Pazar</x:v>
      </x:c>
      <x:c r="D400" s="14" t="str">
        <x:v>Hafta Sonu</x:v>
      </x:c>
      <x:c r="E400" s="14" t="str">
        <x:v>Tam gün</x:v>
      </x:c>
      <x:c r="F400" s="14" t="str">
        <x:v>F1 - Temel Kurma</x:v>
      </x:c>
      <x:c r="G400" s="14" t="str">
        <x:v>21:50</x:v>
      </x:c>
      <x:c r="H400" s="14" t="str">
        <x:v>22:00</x:v>
      </x:c>
      <x:c r="I400" s="14" t="str">
        <x:v>Genel</x:v>
      </x:c>
      <x:c r="J400" s="14" t="str">
        <x:v>Uyku Hazırlığı</x:v>
      </x:c>
      <x:c r="K400" s="14" t="str"/>
      <x:c r="L400" s="14" t="str">
        <x:v>22:00'de yatakta ve uyku.</x:v>
      </x:c>
      <x:c r="M400" s="14" t="str"/>
      <x:c r="N400" s="14" t="str"/>
      <x:c r="O400" s="14" t="n">
        <x:v>0</x:v>
      </x:c>
      <x:c r="P400" s="14" t="str">
        <x:v>Hayır</x:v>
      </x:c>
      <x:c r="Q400" s="14" t="str">
        <x:v>Hayır</x:v>
      </x:c>
      <x:c r="R400" s="14" t="str">
        <x:v>Planlandı</x:v>
      </x:c>
      <x:c r="S400" s="15" t="str"/>
      <x:c r="T400" s="14" t="str"/>
    </x:row>
    <x:row r="401">
      <x:c r="A401" s="14" t="n">
        <x:v>400</x:v>
      </x:c>
      <x:c r="B401" s="15" t="n">
        <x:v>46328</x:v>
      </x:c>
      <x:c r="C401" s="14" t="str">
        <x:v>Pazartesi</x:v>
      </x:c>
      <x:c r="D401" s="14" t="str">
        <x:v>Okul Günü</x:v>
      </x:c>
      <x:c r="E401" s="14" t="str">
        <x:v>16:00 sonrası</x:v>
      </x:c>
      <x:c r="F401" s="14" t="str">
        <x:v>F1 - Temel Kurma</x:v>
      </x:c>
      <x:c r="G401" s="14" t="str">
        <x:v>16:00</x:v>
      </x:c>
      <x:c r="H401" s="14" t="str">
        <x:v>16:25</x:v>
      </x:c>
      <x:c r="I401" s="14" t="str">
        <x:v>Genel</x:v>
      </x:c>
      <x:c r="J401" s="14" t="str">
        <x:v>Dinlenme</x:v>
      </x:c>
      <x:c r="K401" s="14" t="str"/>
      <x:c r="L401" s="14" t="str">
        <x:v>Eve geliş, atıştırma ve dinlenme.</x:v>
      </x:c>
      <x:c r="M401" s="14" t="str"/>
      <x:c r="N401" s="14" t="str"/>
      <x:c r="O401" s="14" t="n">
        <x:v>0</x:v>
      </x:c>
      <x:c r="P401" s="14" t="str">
        <x:v>Hayır</x:v>
      </x:c>
      <x:c r="Q401" s="14" t="str">
        <x:v>Hayır</x:v>
      </x:c>
      <x:c r="R401" s="14" t="str">
        <x:v>Planlandı</x:v>
      </x:c>
      <x:c r="S401" s="15" t="str"/>
      <x:c r="T401" s="14" t="str"/>
    </x:row>
    <x:row r="402">
      <x:c r="A402" s="14" t="n">
        <x:v>401</x:v>
      </x:c>
      <x:c r="B402" s="15" t="n">
        <x:v>46328</x:v>
      </x:c>
      <x:c r="C402" s="14" t="str">
        <x:v>Pazartesi</x:v>
      </x:c>
      <x:c r="D402" s="14" t="str">
        <x:v>Okul Günü</x:v>
      </x:c>
      <x:c r="E402" s="14" t="str">
        <x:v>16:00 sonrası</x:v>
      </x:c>
      <x:c r="F402" s="14" t="str">
        <x:v>F1 - Temel Kurma</x:v>
      </x:c>
      <x:c r="G402" s="14" t="str">
        <x:v>16:25</x:v>
      </x:c>
      <x:c r="H402" s="14" t="str">
        <x:v>17:05</x:v>
      </x:c>
      <x:c r="I402" s="14" t="str">
        <x:v>Matematik</x:v>
      </x:c>
      <x:c r="J402" s="14" t="str">
        <x:v>Konu / Tekrar</x:v>
      </x:c>
      <x:c r="K402" s="14" t="str">
        <x:v>EBOB - EKOK</x:v>
      </x:c>
      <x:c r="L402" s="14" t="str">
        <x:v>EBOB - EKOK — genel oynatma listesinden ilgili videoyu izle (2/3).</x:v>
      </x:c>
      <x:c r="M402" s="14" t="str">
        <x:v>Matematik Ana Oynatma Listesi</x:v>
      </x:c>
      <x:c r="N402" s="14" t="str">
        <x:v>https://www.youtube.com/watch?v=EuJ89QzqrAg&amp;list=PLicNtF7vp6fnfDqrRLH6H7fIbzYT4ct4F&amp;index=11</x:v>
      </x:c>
      <x:c r="O402" s="14" t="n">
        <x:v>0</x:v>
      </x:c>
      <x:c r="P402" s="14" t="str">
        <x:v>Hayır</x:v>
      </x:c>
      <x:c r="Q402" s="14" t="str">
        <x:v>Evet</x:v>
      </x:c>
      <x:c r="R402" s="14" t="str">
        <x:v>Planlandı</x:v>
      </x:c>
      <x:c r="S402" s="15" t="str"/>
      <x:c r="T402" s="14" t="str">
        <x:v>Yeni konu ancak plan sırasıyla açılır; LGS dışı ileri TYT içeriği zorunlu değildir.</x:v>
      </x:c>
    </x:row>
    <x:row r="403">
      <x:c r="A403" s="14" t="n">
        <x:v>402</x:v>
      </x:c>
      <x:c r="B403" s="15" t="n">
        <x:v>46328</x:v>
      </x:c>
      <x:c r="C403" s="14" t="str">
        <x:v>Pazartesi</x:v>
      </x:c>
      <x:c r="D403" s="14" t="str">
        <x:v>Okul Günü</x:v>
      </x:c>
      <x:c r="E403" s="14" t="str">
        <x:v>16:00 sonrası</x:v>
      </x:c>
      <x:c r="F403" s="14" t="str">
        <x:v>F1 - Temel Kurma</x:v>
      </x:c>
      <x:c r="G403" s="14" t="str">
        <x:v>17:10</x:v>
      </x:c>
      <x:c r="H403" s="14" t="str">
        <x:v>17:55</x:v>
      </x:c>
      <x:c r="I403" s="14" t="str">
        <x:v>Matematik</x:v>
      </x:c>
      <x:c r="J403" s="14" t="str">
        <x:v>Kitap / MEB / Mastery</x:v>
      </x:c>
      <x:c r="K403" s="14" t="str">
        <x:v>EBOB - EKOK</x:v>
      </x:c>
      <x:c r="L403" s="14" t="str">
        <x:v>EBOB - EKOK ile ilgili soru kitabından en az 20 soru / bugünkü test payını çöz.</x:v>
      </x:c>
      <x:c r="M403" s="14" t="str">
        <x:v>MUBA 8. Sınıf Başlangıç Matematik (ISBN 9789756526972) (eşleşen bölüm) + MEB temel destek</x:v>
      </x:c>
      <x:c r="N403" s="14" t="str">
        <x:v>https://odsgm.meb.gov.tr/www/5-6-7-ve-9-sinif-duzeylerinde-calisma-sorulari-yayimlandi/icerik/775</x:v>
      </x:c>
      <x:c r="O403" s="14" t="n">
        <x:v>20</x:v>
      </x:c>
      <x:c r="P403" s="14" t="str">
        <x:v>İlk 20 soru</x:v>
      </x:c>
      <x:c r="Q403" s="14" t="str">
        <x:v>Evet</x:v>
      </x:c>
      <x:c r="R403" s="14" t="str">
        <x:v>Planlandı</x:v>
      </x:c>
      <x:c r="S403" s="15" t="str"/>
      <x:c r="T403" s="14" t="str">
        <x:v>Ayrı/rastgele matematik benchmark yoktur. Süreli ilk 20 soru o gün çalışılan konunun içindedir.</x:v>
      </x:c>
    </x:row>
    <x:row r="404">
      <x:c r="A404" s="14" t="n">
        <x:v>403</x:v>
      </x:c>
      <x:c r="B404" s="15" t="n">
        <x:v>46328</x:v>
      </x:c>
      <x:c r="C404" s="14" t="str">
        <x:v>Pazartesi</x:v>
      </x:c>
      <x:c r="D404" s="14" t="str">
        <x:v>Okul Günü</x:v>
      </x:c>
      <x:c r="E404" s="14" t="str">
        <x:v>16:00 sonrası</x:v>
      </x:c>
      <x:c r="F404" s="14" t="str">
        <x:v>F1 - Temel Kurma</x:v>
      </x:c>
      <x:c r="G404" s="14" t="str">
        <x:v>17:55</x:v>
      </x:c>
      <x:c r="H404" s="14" t="str">
        <x:v>18:25</x:v>
      </x:c>
      <x:c r="I404" s="14" t="str">
        <x:v>Genel</x:v>
      </x:c>
      <x:c r="J404" s="14" t="str">
        <x:v>Yemek / Serbest Zaman</x:v>
      </x:c>
      <x:c r="K404" s="14" t="str"/>
      <x:c r="L404" s="14" t="str">
        <x:v>Yemek, hareket ve dinlenme.</x:v>
      </x:c>
      <x:c r="M404" s="14" t="str"/>
      <x:c r="N404" s="14" t="str"/>
      <x:c r="O404" s="14" t="n">
        <x:v>0</x:v>
      </x:c>
      <x:c r="P404" s="14" t="str">
        <x:v>Hayır</x:v>
      </x:c>
      <x:c r="Q404" s="14" t="str">
        <x:v>Hayır</x:v>
      </x:c>
      <x:c r="R404" s="14" t="str">
        <x:v>Planlandı</x:v>
      </x:c>
      <x:c r="S404" s="15" t="str"/>
      <x:c r="T404" s="14" t="str"/>
    </x:row>
    <x:row r="405">
      <x:c r="A405" s="14" t="n">
        <x:v>404</x:v>
      </x:c>
      <x:c r="B405" s="15" t="n">
        <x:v>46328</x:v>
      </x:c>
      <x:c r="C405" s="14" t="str">
        <x:v>Pazartesi</x:v>
      </x:c>
      <x:c r="D405" s="14" t="str">
        <x:v>Okul Günü</x:v>
      </x:c>
      <x:c r="E405" s="14" t="str">
        <x:v>16:00 sonrası</x:v>
      </x:c>
      <x:c r="F405" s="14" t="str">
        <x:v>F1 - Temel Kurma</x:v>
      </x:c>
      <x:c r="G405" s="14" t="str">
        <x:v>18:25</x:v>
      </x:c>
      <x:c r="H405" s="14" t="str">
        <x:v>18:55</x:v>
      </x:c>
      <x:c r="I405" s="14" t="str">
        <x:v>Türkçe</x:v>
      </x:c>
      <x:c r="J405" s="14" t="str">
        <x:v>Paragraf Rutini</x:v>
      </x:c>
      <x:c r="K405" s="14" t="str">
        <x:v>Paragraf</x:v>
      </x:c>
      <x:c r="L405" s="14" t="str">
        <x:v>En az 20 paragraf sorusu çöz; ilk 20 soruyu ileri sayımla ölç, D/Y/B + süre kaydet.</x:v>
      </x:c>
      <x:c r="M405" s="14" t="str">
        <x:v>Hız 8. Sınıf Türkçe Paragraf (ISBN 9786258394498)</x:v>
      </x:c>
      <x:c r="N405" s="14" t="str"/>
      <x:c r="O405" s="14" t="n">
        <x:v>20</x:v>
      </x:c>
      <x:c r="P405" s="14" t="str">
        <x:v>İlk 20 soru</x:v>
      </x:c>
      <x:c r="Q405" s="14" t="str">
        <x:v>Evet</x:v>
      </x:c>
      <x:c r="R405" s="14" t="str">
        <x:v>Planlandı</x:v>
      </x:c>
      <x:c r="S405" s="15" t="str"/>
      <x:c r="T405" s="14" t="str">
        <x:v>Geri sayım ve hedef süre yok.</x:v>
      </x:c>
    </x:row>
    <x:row r="406">
      <x:c r="A406" s="14" t="n">
        <x:v>405</x:v>
      </x:c>
      <x:c r="B406" s="15" t="n">
        <x:v>46328</x:v>
      </x:c>
      <x:c r="C406" s="14" t="str">
        <x:v>Pazartesi</x:v>
      </x:c>
      <x:c r="D406" s="14" t="str">
        <x:v>Okul Günü</x:v>
      </x:c>
      <x:c r="E406" s="14" t="str">
        <x:v>16:00 sonrası</x:v>
      </x:c>
      <x:c r="F406" s="14" t="str">
        <x:v>F1 - Temel Kurma</x:v>
      </x:c>
      <x:c r="G406" s="14" t="str">
        <x:v>19:00</x:v>
      </x:c>
      <x:c r="H406" s="14" t="str">
        <x:v>19:35</x:v>
      </x:c>
      <x:c r="I406" s="14" t="str">
        <x:v>Türkçe</x:v>
      </x:c>
      <x:c r="J406" s="14" t="str">
        <x:v>Konu / Tekrar</x:v>
      </x:c>
      <x:c r="K406" s="14" t="str">
        <x:v>Noktalama İşaretleri</x:v>
      </x:c>
      <x:c r="L406" s="14" t="str">
        <x:v>Noktalama İşaretleri — genel oynatma listesinden ilgili videoyu izle (2/3).</x:v>
      </x:c>
      <x:c r="M406" s="14" t="str">
        <x:v>Türkçe Ana Oynatma Listesi</x:v>
      </x:c>
      <x:c r="N406" s="14" t="str">
        <x:v>https://www.youtube.com/watch?v=VYsPntNKVdw&amp;list=PLIBjFaUoJJ91bz7QQEBlxNJNZka5YQRr6</x:v>
      </x:c>
      <x:c r="O406" s="14" t="n">
        <x:v>0</x:v>
      </x:c>
      <x:c r="P406" s="14" t="str">
        <x:v>Hayır</x:v>
      </x:c>
      <x:c r="Q406" s="14" t="str">
        <x:v>Evet</x:v>
      </x:c>
      <x:c r="R406" s="14" t="str">
        <x:v>Planlandı</x:v>
      </x:c>
      <x:c r="S406" s="15" t="str"/>
      <x:c r="T406" s="14" t="str">
        <x:v>TYT etiketli kaynak temelden başlamak için sabittir; LGS dışı gereksiz ayrıntı zorunlu değildir.</x:v>
      </x:c>
    </x:row>
    <x:row r="407">
      <x:c r="A407" s="14" t="n">
        <x:v>406</x:v>
      </x:c>
      <x:c r="B407" s="15" t="n">
        <x:v>46328</x:v>
      </x:c>
      <x:c r="C407" s="14" t="str">
        <x:v>Pazartesi</x:v>
      </x:c>
      <x:c r="D407" s="14" t="str">
        <x:v>Okul Günü</x:v>
      </x:c>
      <x:c r="E407" s="14" t="str">
        <x:v>16:00 sonrası</x:v>
      </x:c>
      <x:c r="F407" s="14" t="str">
        <x:v>F1 - Temel Kurma</x:v>
      </x:c>
      <x:c r="G407" s="14" t="str">
        <x:v>19:40</x:v>
      </x:c>
      <x:c r="H407" s="14" t="str">
        <x:v>20:10</x:v>
      </x:c>
      <x:c r="I407" s="14" t="str">
        <x:v>Türkçe</x:v>
      </x:c>
      <x:c r="J407" s="14" t="str">
        <x:v>Kitap / MEB / Mastery</x:v>
      </x:c>
      <x:c r="K407" s="14" t="str">
        <x:v>Noktalama İşaretleri</x:v>
      </x:c>
      <x:c r="L407" s="14" t="str">
        <x:v>Noktalama İşaretleri ile ilgili soru kitabından en az 10 soru / bugünkü test payını çöz.</x:v>
      </x:c>
      <x:c r="M407" s="14" t="str">
        <x:v>Ankara 8. Sınıf Dil Bilgisi Güçlendiren</x:v>
      </x:c>
      <x:c r="N407" s="14" t="str">
        <x:v>https://odsgm.meb.gov.tr/www/8sinif-calisma-sorulari/icerik/1632</x:v>
      </x:c>
      <x:c r="O407" s="14" t="n">
        <x:v>10</x:v>
      </x:c>
      <x:c r="P407" s="14" t="str">
        <x:v>Hayır</x:v>
      </x:c>
      <x:c r="Q407" s="14" t="str">
        <x:v>Evet</x:v>
      </x:c>
      <x:c r="R407" s="14" t="str">
        <x:v>Planlandı</x:v>
      </x:c>
      <x:c r="S407" s="15" t="str"/>
      <x:c r="T407" s="14" t="str"/>
    </x:row>
    <x:row r="408">
      <x:c r="A408" s="14" t="n">
        <x:v>407</x:v>
      </x:c>
      <x:c r="B408" s="15" t="n">
        <x:v>46328</x:v>
      </x:c>
      <x:c r="C408" s="14" t="str">
        <x:v>Pazartesi</x:v>
      </x:c>
      <x:c r="D408" s="14" t="str">
        <x:v>Okul Günü</x:v>
      </x:c>
      <x:c r="E408" s="14" t="str">
        <x:v>16:00 sonrası</x:v>
      </x:c>
      <x:c r="F408" s="14" t="str">
        <x:v>F1 - Temel Kurma</x:v>
      </x:c>
      <x:c r="G408" s="14" t="str">
        <x:v>20:15</x:v>
      </x:c>
      <x:c r="H408" s="14" t="str">
        <x:v>20:50</x:v>
      </x:c>
      <x:c r="I408" s="14" t="str">
        <x:v>Fen</x:v>
      </x:c>
      <x:c r="J408" s="14" t="str">
        <x:v>Konu / Tekrar</x:v>
      </x:c>
      <x:c r="K408" s="14" t="str">
        <x:v>Mutasyon - Modifikasyon - Adaptasyon</x:v>
      </x:c>
      <x:c r="L408" s="14" t="str">
        <x:v>Mutasyon - Modifikasyon - Adaptasyon — Fen soru çözüm playlistinden ilgili videoyu izle.</x:v>
      </x:c>
      <x:c r="M408" s="14" t="str">
        <x:v>Fen Soru Çözüm / Tekrar</x:v>
      </x:c>
      <x:c r="N408" s="14" t="str">
        <x:v>https://www.youtube.com/watch?v=pQXhWnDZ3vM&amp;list=PLrQm7mt99FRXcBnorCttd31HJEvg0En26&amp;index=23</x:v>
      </x:c>
      <x:c r="O408" s="14" t="n">
        <x:v>0</x:v>
      </x:c>
      <x:c r="P408" s="14" t="str">
        <x:v>Hayır</x:v>
      </x:c>
      <x:c r="Q408" s="14" t="str">
        <x:v>Evet</x:v>
      </x:c>
      <x:c r="R408" s="14" t="str">
        <x:v>Planlandı</x:v>
      </x:c>
      <x:c r="S408" s="15" t="str"/>
      <x:c r="T408" s="14" t="str"/>
    </x:row>
    <x:row r="409">
      <x:c r="A409" s="14" t="n">
        <x:v>408</x:v>
      </x:c>
      <x:c r="B409" s="15" t="n">
        <x:v>46328</x:v>
      </x:c>
      <x:c r="C409" s="14" t="str">
        <x:v>Pazartesi</x:v>
      </x:c>
      <x:c r="D409" s="14" t="str">
        <x:v>Okul Günü</x:v>
      </x:c>
      <x:c r="E409" s="14" t="str">
        <x:v>16:00 sonrası</x:v>
      </x:c>
      <x:c r="F409" s="14" t="str">
        <x:v>F1 - Temel Kurma</x:v>
      </x:c>
      <x:c r="G409" s="14" t="str">
        <x:v>20:55</x:v>
      </x:c>
      <x:c r="H409" s="14" t="str">
        <x:v>21:20</x:v>
      </x:c>
      <x:c r="I409" s="14" t="str">
        <x:v>Fen</x:v>
      </x:c>
      <x:c r="J409" s="14" t="str">
        <x:v>Kitap / MEB / Mastery</x:v>
      </x:c>
      <x:c r="K409" s="14" t="str">
        <x:v>Mutasyon - Modifikasyon - Adaptasyon</x:v>
      </x:c>
      <x:c r="L409" s="14" t="str">
        <x:v>Mutasyon - Modifikasyon - Adaptasyon ile ilgili soru kitabından en az 15 soru / bugünkü test payını çöz.</x:v>
      </x:c>
      <x:c r="M409" s="14" t="str">
        <x:v>Hız 8. Sınıf Fen (ISBN 9786257514859); tamamlandıysa Mozaik 8. Sınıf Fen</x:v>
      </x:c>
      <x:c r="N409" s="14" t="str">
        <x:v>https://www.youtube.com/watch?v=pQXhWnDZ3vM&amp;list=PLrQm7mt99FRXcBnorCttd31HJEvg0En26&amp;index=23</x:v>
      </x:c>
      <x:c r="O409" s="14" t="n">
        <x:v>15</x:v>
      </x:c>
      <x:c r="P409" s="14" t="str">
        <x:v>Hayır</x:v>
      </x:c>
      <x:c r="Q409" s="14" t="str">
        <x:v>Evet</x:v>
      </x:c>
      <x:c r="R409" s="14" t="str">
        <x:v>Planlandı</x:v>
      </x:c>
      <x:c r="S409" s="15" t="str"/>
      <x:c r="T409" s="14" t="str"/>
    </x:row>
    <x:row r="410">
      <x:c r="A410" s="14" t="n">
        <x:v>409</x:v>
      </x:c>
      <x:c r="B410" s="15" t="n">
        <x:v>46328</x:v>
      </x:c>
      <x:c r="C410" s="14" t="str">
        <x:v>Pazartesi</x:v>
      </x:c>
      <x:c r="D410" s="14" t="str">
        <x:v>Okul Günü</x:v>
      </x:c>
      <x:c r="E410" s="14" t="str">
        <x:v>16:00 sonrası</x:v>
      </x:c>
      <x:c r="F410" s="14" t="str">
        <x:v>F1 - Temel Kurma</x:v>
      </x:c>
      <x:c r="G410" s="14" t="str">
        <x:v>21:20</x:v>
      </x:c>
      <x:c r="H410" s="14" t="str">
        <x:v>21:35</x:v>
      </x:c>
      <x:c r="I410" s="14" t="str">
        <x:v>Genel</x:v>
      </x:c>
      <x:c r="J410" s="14" t="str">
        <x:v>Yanlış / Boş Analizi</x:v>
      </x:c>
      <x:c r="K410" s="14" t="str">
        <x:v>Günlük</x:v>
      </x:c>
      <x:c r="L410" s="14" t="str">
        <x:v>Bugünkü yanlış/boşları kaydet; çözümünü öğrenmeden kapatma. Hata türünü sınıflandır.</x:v>
      </x:c>
      <x:c r="M410" s="14" t="str">
        <x:v>Yanlış Defteri</x:v>
      </x:c>
      <x:c r="N410" s="14" t="str"/>
      <x:c r="O410" s="14" t="n">
        <x:v>0</x:v>
      </x:c>
      <x:c r="P410" s="14" t="str">
        <x:v>Hayır</x:v>
      </x:c>
      <x:c r="Q410" s="14" t="str">
        <x:v>Evet</x:v>
      </x:c>
      <x:c r="R410" s="14" t="str">
        <x:v>Planlandı</x:v>
      </x:c>
      <x:c r="S410" s="15" t="str"/>
      <x:c r="T410" s="14" t="str"/>
    </x:row>
    <x:row r="411">
      <x:c r="A411" s="14" t="n">
        <x:v>410</x:v>
      </x:c>
      <x:c r="B411" s="15" t="n">
        <x:v>46328</x:v>
      </x:c>
      <x:c r="C411" s="14" t="str">
        <x:v>Pazartesi</x:v>
      </x:c>
      <x:c r="D411" s="14" t="str">
        <x:v>Okul Günü</x:v>
      </x:c>
      <x:c r="E411" s="14" t="str">
        <x:v>16:00 sonrası</x:v>
      </x:c>
      <x:c r="F411" s="14" t="str">
        <x:v>F1 - Temel Kurma</x:v>
      </x:c>
      <x:c r="G411" s="14" t="str">
        <x:v>21:35</x:v>
      </x:c>
      <x:c r="H411" s="14" t="str">
        <x:v>21:50</x:v>
      </x:c>
      <x:c r="I411" s="14" t="str">
        <x:v>Genel</x:v>
      </x:c>
      <x:c r="J411" s="14" t="str">
        <x:v>Aralıklı Hata Tekrarı</x:v>
      </x:c>
      <x:c r="K411" s="14" t="str">
        <x:v>+1 / +7 / +21</x:v>
      </x:c>
      <x:c r="L411" s="14" t="str">
        <x:v>Bugün vadesi gelen yanlış soruları tekrar çöz. Vadesi yoksa bu süre serbest/okuma olabilir.</x:v>
      </x:c>
      <x:c r="M411" s="14" t="str">
        <x:v>Yanlış Defteri</x:v>
      </x:c>
      <x:c r="N411" s="14" t="str"/>
      <x:c r="O411" s="14" t="n">
        <x:v>0</x:v>
      </x:c>
      <x:c r="P411" s="14" t="str">
        <x:v>Hayır</x:v>
      </x:c>
      <x:c r="Q411" s="14" t="str">
        <x:v>Koşullu</x:v>
      </x:c>
      <x:c r="R411" s="14" t="str">
        <x:v>Planlandı</x:v>
      </x:c>
      <x:c r="S411" s="15" t="str"/>
      <x:c r="T411" s="14" t="str">
        <x:v>Yanlışlar +1, +7 ve +21 gün aralıklarıyla tekrar edilir; hâlâ yanlışsa konu mastery durumu düşürülür.</x:v>
      </x:c>
    </x:row>
    <x:row r="412">
      <x:c r="A412" s="14" t="n">
        <x:v>411</x:v>
      </x:c>
      <x:c r="B412" s="15" t="n">
        <x:v>46328</x:v>
      </x:c>
      <x:c r="C412" s="14" t="str">
        <x:v>Pazartesi</x:v>
      </x:c>
      <x:c r="D412" s="14" t="str">
        <x:v>Okul Günü</x:v>
      </x:c>
      <x:c r="E412" s="14" t="str">
        <x:v>16:00 sonrası</x:v>
      </x:c>
      <x:c r="F412" s="14" t="str">
        <x:v>F1 - Temel Kurma</x:v>
      </x:c>
      <x:c r="G412" s="14" t="str">
        <x:v>21:50</x:v>
      </x:c>
      <x:c r="H412" s="14" t="str">
        <x:v>22:00</x:v>
      </x:c>
      <x:c r="I412" s="14" t="str">
        <x:v>Genel</x:v>
      </x:c>
      <x:c r="J412" s="14" t="str">
        <x:v>Uyku Hazırlığı</x:v>
      </x:c>
      <x:c r="K412" s="14" t="str"/>
      <x:c r="L412" s="14" t="str">
        <x:v>22:00'de yatakta ve uyku.</x:v>
      </x:c>
      <x:c r="M412" s="14" t="str"/>
      <x:c r="N412" s="14" t="str"/>
      <x:c r="O412" s="14" t="n">
        <x:v>0</x:v>
      </x:c>
      <x:c r="P412" s="14" t="str">
        <x:v>Hayır</x:v>
      </x:c>
      <x:c r="Q412" s="14" t="str">
        <x:v>Hayır</x:v>
      </x:c>
      <x:c r="R412" s="14" t="str">
        <x:v>Planlandı</x:v>
      </x:c>
      <x:c r="S412" s="15" t="str"/>
      <x:c r="T412" s="14" t="str"/>
    </x:row>
    <x:row r="413">
      <x:c r="A413" s="14" t="n">
        <x:v>412</x:v>
      </x:c>
      <x:c r="B413" s="15" t="n">
        <x:v>46329</x:v>
      </x:c>
      <x:c r="C413" s="14" t="str">
        <x:v>Salı</x:v>
      </x:c>
      <x:c r="D413" s="14" t="str">
        <x:v>Okul Günü</x:v>
      </x:c>
      <x:c r="E413" s="14" t="str">
        <x:v>16:00 sonrası</x:v>
      </x:c>
      <x:c r="F413" s="14" t="str">
        <x:v>F1 - Temel Kurma</x:v>
      </x:c>
      <x:c r="G413" s="14" t="str">
        <x:v>16:00</x:v>
      </x:c>
      <x:c r="H413" s="14" t="str">
        <x:v>16:25</x:v>
      </x:c>
      <x:c r="I413" s="14" t="str">
        <x:v>Genel</x:v>
      </x:c>
      <x:c r="J413" s="14" t="str">
        <x:v>Dinlenme</x:v>
      </x:c>
      <x:c r="K413" s="14" t="str"/>
      <x:c r="L413" s="14" t="str">
        <x:v>Eve geliş, atıştırma ve dinlenme.</x:v>
      </x:c>
      <x:c r="M413" s="14" t="str"/>
      <x:c r="N413" s="14" t="str"/>
      <x:c r="O413" s="14" t="n">
        <x:v>0</x:v>
      </x:c>
      <x:c r="P413" s="14" t="str">
        <x:v>Hayır</x:v>
      </x:c>
      <x:c r="Q413" s="14" t="str">
        <x:v>Hayır</x:v>
      </x:c>
      <x:c r="R413" s="14" t="str">
        <x:v>Planlandı</x:v>
      </x:c>
      <x:c r="S413" s="15" t="str"/>
      <x:c r="T413" s="14" t="str"/>
    </x:row>
    <x:row r="414">
      <x:c r="A414" s="14" t="n">
        <x:v>413</x:v>
      </x:c>
      <x:c r="B414" s="15" t="n">
        <x:v>46329</x:v>
      </x:c>
      <x:c r="C414" s="14" t="str">
        <x:v>Salı</x:v>
      </x:c>
      <x:c r="D414" s="14" t="str">
        <x:v>Okul Günü</x:v>
      </x:c>
      <x:c r="E414" s="14" t="str">
        <x:v>16:00 sonrası</x:v>
      </x:c>
      <x:c r="F414" s="14" t="str">
        <x:v>F1 - Temel Kurma</x:v>
      </x:c>
      <x:c r="G414" s="14" t="str">
        <x:v>16:25</x:v>
      </x:c>
      <x:c r="H414" s="14" t="str">
        <x:v>17:05</x:v>
      </x:c>
      <x:c r="I414" s="14" t="str">
        <x:v>Matematik</x:v>
      </x:c>
      <x:c r="J414" s="14" t="str">
        <x:v>Konu / Tekrar</x:v>
      </x:c>
      <x:c r="K414" s="14" t="str">
        <x:v>EBOB - EKOK</x:v>
      </x:c>
      <x:c r="L414" s="14" t="str">
        <x:v>EBOB - EKOK — genel oynatma listesinden ilgili videoyu izle (3/3).</x:v>
      </x:c>
      <x:c r="M414" s="14" t="str">
        <x:v>Matematik Ana Oynatma Listesi</x:v>
      </x:c>
      <x:c r="N414" s="14" t="str">
        <x:v>https://www.youtube.com/watch?v=EuJ89QzqrAg&amp;list=PLicNtF7vp6fnfDqrRLH6H7fIbzYT4ct4F&amp;index=11</x:v>
      </x:c>
      <x:c r="O414" s="14" t="n">
        <x:v>0</x:v>
      </x:c>
      <x:c r="P414" s="14" t="str">
        <x:v>Hayır</x:v>
      </x:c>
      <x:c r="Q414" s="14" t="str">
        <x:v>Evet</x:v>
      </x:c>
      <x:c r="R414" s="14" t="str">
        <x:v>Planlandı</x:v>
      </x:c>
      <x:c r="S414" s="15" t="str"/>
      <x:c r="T414" s="14" t="str">
        <x:v>Yeni konu ancak plan sırasıyla açılır; LGS dışı ileri TYT içeriği zorunlu değildir.</x:v>
      </x:c>
    </x:row>
    <x:row r="415">
      <x:c r="A415" s="14" t="n">
        <x:v>414</x:v>
      </x:c>
      <x:c r="B415" s="15" t="n">
        <x:v>46329</x:v>
      </x:c>
      <x:c r="C415" s="14" t="str">
        <x:v>Salı</x:v>
      </x:c>
      <x:c r="D415" s="14" t="str">
        <x:v>Okul Günü</x:v>
      </x:c>
      <x:c r="E415" s="14" t="str">
        <x:v>16:00 sonrası</x:v>
      </x:c>
      <x:c r="F415" s="14" t="str">
        <x:v>F1 - Temel Kurma</x:v>
      </x:c>
      <x:c r="G415" s="14" t="str">
        <x:v>17:10</x:v>
      </x:c>
      <x:c r="H415" s="14" t="str">
        <x:v>17:55</x:v>
      </x:c>
      <x:c r="I415" s="14" t="str">
        <x:v>Matematik</x:v>
      </x:c>
      <x:c r="J415" s="14" t="str">
        <x:v>Kitap / MEB / Mastery</x:v>
      </x:c>
      <x:c r="K415" s="14" t="str">
        <x:v>EBOB - EKOK</x:v>
      </x:c>
      <x:c r="L415" s="14" t="str">
        <x:v>EBOB - EKOK ile ilgili soru kitabından en az 20 soru / bugünkü test payını çöz. İlgili kitap konu bölümünü bu oturumda bitirmeyi hedefle; sonraki oturum MEB doğrulaması.</x:v>
      </x:c>
      <x:c r="M415" s="14" t="str">
        <x:v>MUBA 8. Sınıf Başlangıç Matematik (ISBN 9789756526972) (eşleşen bölüm) + MEB temel destek</x:v>
      </x:c>
      <x:c r="N415" s="14" t="str">
        <x:v>https://odsgm.meb.gov.tr/www/5-6-7-ve-9-sinif-duzeylerinde-calisma-sorulari-yayimlandi/icerik/775</x:v>
      </x:c>
      <x:c r="O415" s="14" t="n">
        <x:v>20</x:v>
      </x:c>
      <x:c r="P415" s="14" t="str">
        <x:v>İlk 20 soru</x:v>
      </x:c>
      <x:c r="Q415" s="14" t="str">
        <x:v>Evet</x:v>
      </x:c>
      <x:c r="R415" s="14" t="str">
        <x:v>Planlandı</x:v>
      </x:c>
      <x:c r="S415" s="15" t="str"/>
      <x:c r="T415" s="14" t="str">
        <x:v>Ayrı/rastgele matematik benchmark yoktur. Süreli ilk 20 soru o gün çalışılan konunun içindedir.</x:v>
      </x:c>
    </x:row>
    <x:row r="416">
      <x:c r="A416" s="14" t="n">
        <x:v>415</x:v>
      </x:c>
      <x:c r="B416" s="15" t="n">
        <x:v>46329</x:v>
      </x:c>
      <x:c r="C416" s="14" t="str">
        <x:v>Salı</x:v>
      </x:c>
      <x:c r="D416" s="14" t="str">
        <x:v>Okul Günü</x:v>
      </x:c>
      <x:c r="E416" s="14" t="str">
        <x:v>16:00 sonrası</x:v>
      </x:c>
      <x:c r="F416" s="14" t="str">
        <x:v>F1 - Temel Kurma</x:v>
      </x:c>
      <x:c r="G416" s="14" t="str">
        <x:v>17:55</x:v>
      </x:c>
      <x:c r="H416" s="14" t="str">
        <x:v>18:25</x:v>
      </x:c>
      <x:c r="I416" s="14" t="str">
        <x:v>Genel</x:v>
      </x:c>
      <x:c r="J416" s="14" t="str">
        <x:v>Yemek / Serbest Zaman</x:v>
      </x:c>
      <x:c r="K416" s="14" t="str"/>
      <x:c r="L416" s="14" t="str">
        <x:v>Yemek, hareket ve dinlenme.</x:v>
      </x:c>
      <x:c r="M416" s="14" t="str"/>
      <x:c r="N416" s="14" t="str"/>
      <x:c r="O416" s="14" t="n">
        <x:v>0</x:v>
      </x:c>
      <x:c r="P416" s="14" t="str">
        <x:v>Hayır</x:v>
      </x:c>
      <x:c r="Q416" s="14" t="str">
        <x:v>Hayır</x:v>
      </x:c>
      <x:c r="R416" s="14" t="str">
        <x:v>Planlandı</x:v>
      </x:c>
      <x:c r="S416" s="15" t="str"/>
      <x:c r="T416" s="14" t="str"/>
    </x:row>
    <x:row r="417">
      <x:c r="A417" s="14" t="n">
        <x:v>416</x:v>
      </x:c>
      <x:c r="B417" s="15" t="n">
        <x:v>46329</x:v>
      </x:c>
      <x:c r="C417" s="14" t="str">
        <x:v>Salı</x:v>
      </x:c>
      <x:c r="D417" s="14" t="str">
        <x:v>Okul Günü</x:v>
      </x:c>
      <x:c r="E417" s="14" t="str">
        <x:v>16:00 sonrası</x:v>
      </x:c>
      <x:c r="F417" s="14" t="str">
        <x:v>F1 - Temel Kurma</x:v>
      </x:c>
      <x:c r="G417" s="14" t="str">
        <x:v>18:25</x:v>
      </x:c>
      <x:c r="H417" s="14" t="str">
        <x:v>18:55</x:v>
      </x:c>
      <x:c r="I417" s="14" t="str">
        <x:v>Türkçe</x:v>
      </x:c>
      <x:c r="J417" s="14" t="str">
        <x:v>Paragraf Rutini</x:v>
      </x:c>
      <x:c r="K417" s="14" t="str">
        <x:v>Paragraf</x:v>
      </x:c>
      <x:c r="L417" s="14" t="str">
        <x:v>En az 20 paragraf sorusu çöz; ilk 20 soruyu ileri sayımla ölç, D/Y/B + süre kaydet.</x:v>
      </x:c>
      <x:c r="M417" s="14" t="str">
        <x:v>Hız 8. Sınıf Türkçe Paragraf (ISBN 9786258394498)</x:v>
      </x:c>
      <x:c r="N417" s="14" t="str"/>
      <x:c r="O417" s="14" t="n">
        <x:v>20</x:v>
      </x:c>
      <x:c r="P417" s="14" t="str">
        <x:v>İlk 20 soru</x:v>
      </x:c>
      <x:c r="Q417" s="14" t="str">
        <x:v>Evet</x:v>
      </x:c>
      <x:c r="R417" s="14" t="str">
        <x:v>Planlandı</x:v>
      </x:c>
      <x:c r="S417" s="15" t="str"/>
      <x:c r="T417" s="14" t="str">
        <x:v>Geri sayım ve hedef süre yok.</x:v>
      </x:c>
    </x:row>
    <x:row r="418">
      <x:c r="A418" s="14" t="n">
        <x:v>417</x:v>
      </x:c>
      <x:c r="B418" s="15" t="n">
        <x:v>46329</x:v>
      </x:c>
      <x:c r="C418" s="14" t="str">
        <x:v>Salı</x:v>
      </x:c>
      <x:c r="D418" s="14" t="str">
        <x:v>Okul Günü</x:v>
      </x:c>
      <x:c r="E418" s="14" t="str">
        <x:v>16:00 sonrası</x:v>
      </x:c>
      <x:c r="F418" s="14" t="str">
        <x:v>F1 - Temel Kurma</x:v>
      </x:c>
      <x:c r="G418" s="14" t="str">
        <x:v>19:00</x:v>
      </x:c>
      <x:c r="H418" s="14" t="str">
        <x:v>19:35</x:v>
      </x:c>
      <x:c r="I418" s="14" t="str">
        <x:v>Türkçe</x:v>
      </x:c>
      <x:c r="J418" s="14" t="str">
        <x:v>Konu / Tekrar</x:v>
      </x:c>
      <x:c r="K418" s="14" t="str">
        <x:v>Noktalama İşaretleri</x:v>
      </x:c>
      <x:c r="L418" s="14" t="str">
        <x:v>Noktalama İşaretleri — genel oynatma listesinden ilgili videoyu izle (3/3).</x:v>
      </x:c>
      <x:c r="M418" s="14" t="str">
        <x:v>Türkçe Ana Oynatma Listesi</x:v>
      </x:c>
      <x:c r="N418" s="14" t="str">
        <x:v>https://www.youtube.com/watch?v=VYsPntNKVdw&amp;list=PLIBjFaUoJJ91bz7QQEBlxNJNZka5YQRr6</x:v>
      </x:c>
      <x:c r="O418" s="14" t="n">
        <x:v>0</x:v>
      </x:c>
      <x:c r="P418" s="14" t="str">
        <x:v>Hayır</x:v>
      </x:c>
      <x:c r="Q418" s="14" t="str">
        <x:v>Evet</x:v>
      </x:c>
      <x:c r="R418" s="14" t="str">
        <x:v>Planlandı</x:v>
      </x:c>
      <x:c r="S418" s="15" t="str"/>
      <x:c r="T418" s="14" t="str">
        <x:v>TYT etiketli kaynak temelden başlamak için sabittir; LGS dışı gereksiz ayrıntı zorunlu değildir.</x:v>
      </x:c>
    </x:row>
    <x:row r="419">
      <x:c r="A419" s="14" t="n">
        <x:v>418</x:v>
      </x:c>
      <x:c r="B419" s="15" t="n">
        <x:v>46329</x:v>
      </x:c>
      <x:c r="C419" s="14" t="str">
        <x:v>Salı</x:v>
      </x:c>
      <x:c r="D419" s="14" t="str">
        <x:v>Okul Günü</x:v>
      </x:c>
      <x:c r="E419" s="14" t="str">
        <x:v>16:00 sonrası</x:v>
      </x:c>
      <x:c r="F419" s="14" t="str">
        <x:v>F1 - Temel Kurma</x:v>
      </x:c>
      <x:c r="G419" s="14" t="str">
        <x:v>19:40</x:v>
      </x:c>
      <x:c r="H419" s="14" t="str">
        <x:v>20:10</x:v>
      </x:c>
      <x:c r="I419" s="14" t="str">
        <x:v>Türkçe</x:v>
      </x:c>
      <x:c r="J419" s="14" t="str">
        <x:v>Kitap / MEB / Mastery</x:v>
      </x:c>
      <x:c r="K419" s="14" t="str">
        <x:v>Noktalama İşaretleri</x:v>
      </x:c>
      <x:c r="L419" s="14" t="str">
        <x:v>Noktalama İşaretleri ile ilgili soru kitabından en az 10 soru / bugünkü test payını çöz. İlgili kitap konu bölümünü bu oturumda bitirmeyi hedefle; sonraki oturum MEB doğrulaması.</x:v>
      </x:c>
      <x:c r="M419" s="14" t="str">
        <x:v>Ankara 8. Sınıf Dil Bilgisi Güçlendiren</x:v>
      </x:c>
      <x:c r="N419" s="14" t="str">
        <x:v>https://odsgm.meb.gov.tr/www/8sinif-calisma-sorulari/icerik/1632</x:v>
      </x:c>
      <x:c r="O419" s="14" t="n">
        <x:v>10</x:v>
      </x:c>
      <x:c r="P419" s="14" t="str">
        <x:v>Hayır</x:v>
      </x:c>
      <x:c r="Q419" s="14" t="str">
        <x:v>Evet</x:v>
      </x:c>
      <x:c r="R419" s="14" t="str">
        <x:v>Planlandı</x:v>
      </x:c>
      <x:c r="S419" s="15" t="str"/>
      <x:c r="T419" s="14" t="str"/>
    </x:row>
    <x:row r="420">
      <x:c r="A420" s="14" t="n">
        <x:v>419</x:v>
      </x:c>
      <x:c r="B420" s="15" t="n">
        <x:v>46329</x:v>
      </x:c>
      <x:c r="C420" s="14" t="str">
        <x:v>Salı</x:v>
      </x:c>
      <x:c r="D420" s="14" t="str">
        <x:v>Okul Günü</x:v>
      </x:c>
      <x:c r="E420" s="14" t="str">
        <x:v>16:00 sonrası</x:v>
      </x:c>
      <x:c r="F420" s="14" t="str">
        <x:v>F1 - Temel Kurma</x:v>
      </x:c>
      <x:c r="G420" s="14" t="str">
        <x:v>20:15</x:v>
      </x:c>
      <x:c r="H420" s="14" t="str">
        <x:v>20:50</x:v>
      </x:c>
      <x:c r="I420" s="14" t="str">
        <x:v>Din</x:v>
      </x:c>
      <x:c r="J420" s="14" t="str">
        <x:v>Konu / Tekrar</x:v>
      </x:c>
      <x:c r="K420" s="14" t="str">
        <x:v>Hz. Musa ve Ayetel Kürsi</x:v>
      </x:c>
      <x:c r="L420" s="14" t="str">
        <x:v>Hz. Musa ve Ayetel Kürsi — MEB doğrulaması öncesi 5-10 dk aktif hatırlama; gerekiyorsa ilgili playlist videosuna kısa dönüş yap.</x:v>
      </x:c>
      <x:c r="M420" s="14" t="str">
        <x:v>Din Genel Oynatma Listesi</x:v>
      </x:c>
      <x:c r="N420" s="14" t="str">
        <x:v>https://www.youtube.com/watch?v=wvdOE_75VnA&amp;list=PLbRoPq-Zu-SWXGUbVt4t4UWo-4VjsMUo-&amp;index=2</x:v>
      </x:c>
      <x:c r="O420" s="14" t="n">
        <x:v>0</x:v>
      </x:c>
      <x:c r="P420" s="14" t="str">
        <x:v>Hayır</x:v>
      </x:c>
      <x:c r="Q420" s="14" t="str">
        <x:v>Evet</x:v>
      </x:c>
      <x:c r="R420" s="14" t="str">
        <x:v>Planlandı</x:v>
      </x:c>
      <x:c r="S420" s="15" t="str"/>
      <x:c r="T420" s="14" t="str"/>
    </x:row>
    <x:row r="421">
      <x:c r="A421" s="14" t="n">
        <x:v>420</x:v>
      </x:c>
      <x:c r="B421" s="15" t="n">
        <x:v>46329</x:v>
      </x:c>
      <x:c r="C421" s="14" t="str">
        <x:v>Salı</x:v>
      </x:c>
      <x:c r="D421" s="14" t="str">
        <x:v>Okul Günü</x:v>
      </x:c>
      <x:c r="E421" s="14" t="str">
        <x:v>16:00 sonrası</x:v>
      </x:c>
      <x:c r="F421" s="14" t="str">
        <x:v>F1 - Temel Kurma</x:v>
      </x:c>
      <x:c r="G421" s="14" t="str">
        <x:v>20:55</x:v>
      </x:c>
      <x:c r="H421" s="14" t="str">
        <x:v>21:20</x:v>
      </x:c>
      <x:c r="I421" s="14" t="str">
        <x:v>Din</x:v>
      </x:c>
      <x:c r="J421" s="14" t="str">
        <x:v>Kitap / MEB / Mastery</x:v>
      </x:c>
      <x:c r="K421" s="14" t="str">
        <x:v>Hz. Musa ve Ayetel Kürsi</x:v>
      </x:c>
      <x:c r="L421" s="14" t="str">
        <x:v>Hz. Musa ve Ayetel Kürsi için ilgili MEB sorularını TAMAMLA; D/Y/B kaydet. Bu oturum konu mastery gate'idir.</x:v>
      </x:c>
      <x:c r="M421" s="14" t="str">
        <x:v>MEB 8. Sınıf Din Soruları</x:v>
      </x:c>
      <x:c r="N421" s="14" t="str">
        <x:v>https://odsgm.meb.gov.tr/www/8sinif-calisma-sorulari/icerik/1632</x:v>
      </x:c>
      <x:c r="O421" s="14" t="n">
        <x:v>0</x:v>
      </x:c>
      <x:c r="P421" s="14" t="str">
        <x:v>Hayır</x:v>
      </x:c>
      <x:c r="Q421" s="14" t="str">
        <x:v>Evet</x:v>
      </x:c>
      <x:c r="R421" s="14" t="str">
        <x:v>Planlandı</x:v>
      </x:c>
      <x:c r="S421" s="15" t="str"/>
      <x:c r="T421" s="14" t="str">
        <x:v>MEB sonucu Konu_Ustaligi sayfasına işlenir.</x:v>
      </x:c>
    </x:row>
    <x:row r="422">
      <x:c r="A422" s="14" t="n">
        <x:v>421</x:v>
      </x:c>
      <x:c r="B422" s="15" t="n">
        <x:v>46329</x:v>
      </x:c>
      <x:c r="C422" s="14" t="str">
        <x:v>Salı</x:v>
      </x:c>
      <x:c r="D422" s="14" t="str">
        <x:v>Okul Günü</x:v>
      </x:c>
      <x:c r="E422" s="14" t="str">
        <x:v>16:00 sonrası</x:v>
      </x:c>
      <x:c r="F422" s="14" t="str">
        <x:v>F1 - Temel Kurma</x:v>
      </x:c>
      <x:c r="G422" s="14" t="str">
        <x:v>21:20</x:v>
      </x:c>
      <x:c r="H422" s="14" t="str">
        <x:v>21:35</x:v>
      </x:c>
      <x:c r="I422" s="14" t="str">
        <x:v>Genel</x:v>
      </x:c>
      <x:c r="J422" s="14" t="str">
        <x:v>Yanlış / Boş Analizi</x:v>
      </x:c>
      <x:c r="K422" s="14" t="str">
        <x:v>Günlük</x:v>
      </x:c>
      <x:c r="L422" s="14" t="str">
        <x:v>Bugünkü yanlış/boşları kaydet; çözümünü öğrenmeden kapatma. Hata türünü sınıflandır.</x:v>
      </x:c>
      <x:c r="M422" s="14" t="str">
        <x:v>Yanlış Defteri</x:v>
      </x:c>
      <x:c r="N422" s="14" t="str"/>
      <x:c r="O422" s="14" t="n">
        <x:v>0</x:v>
      </x:c>
      <x:c r="P422" s="14" t="str">
        <x:v>Hayır</x:v>
      </x:c>
      <x:c r="Q422" s="14" t="str">
        <x:v>Evet</x:v>
      </x:c>
      <x:c r="R422" s="14" t="str">
        <x:v>Planlandı</x:v>
      </x:c>
      <x:c r="S422" s="15" t="str"/>
      <x:c r="T422" s="14" t="str"/>
    </x:row>
    <x:row r="423">
      <x:c r="A423" s="14" t="n">
        <x:v>422</x:v>
      </x:c>
      <x:c r="B423" s="15" t="n">
        <x:v>46329</x:v>
      </x:c>
      <x:c r="C423" s="14" t="str">
        <x:v>Salı</x:v>
      </x:c>
      <x:c r="D423" s="14" t="str">
        <x:v>Okul Günü</x:v>
      </x:c>
      <x:c r="E423" s="14" t="str">
        <x:v>16:00 sonrası</x:v>
      </x:c>
      <x:c r="F423" s="14" t="str">
        <x:v>F1 - Temel Kurma</x:v>
      </x:c>
      <x:c r="G423" s="14" t="str">
        <x:v>21:35</x:v>
      </x:c>
      <x:c r="H423" s="14" t="str">
        <x:v>21:50</x:v>
      </x:c>
      <x:c r="I423" s="14" t="str">
        <x:v>Genel</x:v>
      </x:c>
      <x:c r="J423" s="14" t="str">
        <x:v>Aralıklı Hata Tekrarı</x:v>
      </x:c>
      <x:c r="K423" s="14" t="str">
        <x:v>+1 / +7 / +21</x:v>
      </x:c>
      <x:c r="L423" s="14" t="str">
        <x:v>Bugün vadesi gelen yanlış soruları tekrar çöz. Vadesi yoksa bu süre serbest/okuma olabilir.</x:v>
      </x:c>
      <x:c r="M423" s="14" t="str">
        <x:v>Yanlış Defteri</x:v>
      </x:c>
      <x:c r="N423" s="14" t="str"/>
      <x:c r="O423" s="14" t="n">
        <x:v>0</x:v>
      </x:c>
      <x:c r="P423" s="14" t="str">
        <x:v>Hayır</x:v>
      </x:c>
      <x:c r="Q423" s="14" t="str">
        <x:v>Koşullu</x:v>
      </x:c>
      <x:c r="R423" s="14" t="str">
        <x:v>Planlandı</x:v>
      </x:c>
      <x:c r="S423" s="15" t="str"/>
      <x:c r="T423" s="14" t="str">
        <x:v>Yanlışlar +1, +7 ve +21 gün aralıklarıyla tekrar edilir; hâlâ yanlışsa konu mastery durumu düşürülür.</x:v>
      </x:c>
    </x:row>
    <x:row r="424">
      <x:c r="A424" s="14" t="n">
        <x:v>423</x:v>
      </x:c>
      <x:c r="B424" s="15" t="n">
        <x:v>46329</x:v>
      </x:c>
      <x:c r="C424" s="14" t="str">
        <x:v>Salı</x:v>
      </x:c>
      <x:c r="D424" s="14" t="str">
        <x:v>Okul Günü</x:v>
      </x:c>
      <x:c r="E424" s="14" t="str">
        <x:v>16:00 sonrası</x:v>
      </x:c>
      <x:c r="F424" s="14" t="str">
        <x:v>F1 - Temel Kurma</x:v>
      </x:c>
      <x:c r="G424" s="14" t="str">
        <x:v>21:50</x:v>
      </x:c>
      <x:c r="H424" s="14" t="str">
        <x:v>22:00</x:v>
      </x:c>
      <x:c r="I424" s="14" t="str">
        <x:v>Genel</x:v>
      </x:c>
      <x:c r="J424" s="14" t="str">
        <x:v>Uyku Hazırlığı</x:v>
      </x:c>
      <x:c r="K424" s="14" t="str"/>
      <x:c r="L424" s="14" t="str">
        <x:v>22:00'de yatakta ve uyku.</x:v>
      </x:c>
      <x:c r="M424" s="14" t="str"/>
      <x:c r="N424" s="14" t="str"/>
      <x:c r="O424" s="14" t="n">
        <x:v>0</x:v>
      </x:c>
      <x:c r="P424" s="14" t="str">
        <x:v>Hayır</x:v>
      </x:c>
      <x:c r="Q424" s="14" t="str">
        <x:v>Hayır</x:v>
      </x:c>
      <x:c r="R424" s="14" t="str">
        <x:v>Planlandı</x:v>
      </x:c>
      <x:c r="S424" s="15" t="str"/>
      <x:c r="T424" s="14" t="str"/>
    </x:row>
    <x:row r="425">
      <x:c r="A425" s="14" t="n">
        <x:v>424</x:v>
      </x:c>
      <x:c r="B425" s="15" t="n">
        <x:v>46330</x:v>
      </x:c>
      <x:c r="C425" s="14" t="str">
        <x:v>Çarşamba</x:v>
      </x:c>
      <x:c r="D425" s="14" t="str">
        <x:v>Okul Günü</x:v>
      </x:c>
      <x:c r="E425" s="14" t="str">
        <x:v>16:00 sonrası</x:v>
      </x:c>
      <x:c r="F425" s="14" t="str">
        <x:v>F1 - Temel Kurma</x:v>
      </x:c>
      <x:c r="G425" s="14" t="str">
        <x:v>16:00</x:v>
      </x:c>
      <x:c r="H425" s="14" t="str">
        <x:v>16:25</x:v>
      </x:c>
      <x:c r="I425" s="14" t="str">
        <x:v>Genel</x:v>
      </x:c>
      <x:c r="J425" s="14" t="str">
        <x:v>Dinlenme</x:v>
      </x:c>
      <x:c r="K425" s="14" t="str"/>
      <x:c r="L425" s="14" t="str">
        <x:v>Eve geliş, atıştırma ve dinlenme.</x:v>
      </x:c>
      <x:c r="M425" s="14" t="str"/>
      <x:c r="N425" s="14" t="str"/>
      <x:c r="O425" s="14" t="n">
        <x:v>0</x:v>
      </x:c>
      <x:c r="P425" s="14" t="str">
        <x:v>Hayır</x:v>
      </x:c>
      <x:c r="Q425" s="14" t="str">
        <x:v>Hayır</x:v>
      </x:c>
      <x:c r="R425" s="14" t="str">
        <x:v>Planlandı</x:v>
      </x:c>
      <x:c r="S425" s="15" t="str"/>
      <x:c r="T425" s="14" t="str"/>
    </x:row>
    <x:row r="426">
      <x:c r="A426" s="14" t="n">
        <x:v>425</x:v>
      </x:c>
      <x:c r="B426" s="15" t="n">
        <x:v>46330</x:v>
      </x:c>
      <x:c r="C426" s="14" t="str">
        <x:v>Çarşamba</x:v>
      </x:c>
      <x:c r="D426" s="14" t="str">
        <x:v>Okul Günü</x:v>
      </x:c>
      <x:c r="E426" s="14" t="str">
        <x:v>16:00 sonrası</x:v>
      </x:c>
      <x:c r="F426" s="14" t="str">
        <x:v>F1 - Temel Kurma</x:v>
      </x:c>
      <x:c r="G426" s="14" t="str">
        <x:v>16:25</x:v>
      </x:c>
      <x:c r="H426" s="14" t="str">
        <x:v>17:05</x:v>
      </x:c>
      <x:c r="I426" s="14" t="str">
        <x:v>Matematik</x:v>
      </x:c>
      <x:c r="J426" s="14" t="str">
        <x:v>Konu / Tekrar</x:v>
      </x:c>
      <x:c r="K426" s="14" t="str">
        <x:v>EBOB - EKOK</x:v>
      </x:c>
      <x:c r="L426" s="14" t="str">
        <x:v>EBOB - EKOK — MEB doğrulaması öncesi 5-10 dk aktif hatırlama; gerekiyorsa ilgili playlist videosuna kısa dönüş yap.</x:v>
      </x:c>
      <x:c r="M426" s="14" t="str">
        <x:v>Matematik Ana Oynatma Listesi</x:v>
      </x:c>
      <x:c r="N426" s="14" t="str">
        <x:v>https://www.youtube.com/watch?v=EuJ89QzqrAg&amp;list=PLicNtF7vp6fnfDqrRLH6H7fIbzYT4ct4F&amp;index=11</x:v>
      </x:c>
      <x:c r="O426" s="14" t="n">
        <x:v>0</x:v>
      </x:c>
      <x:c r="P426" s="14" t="str">
        <x:v>Hayır</x:v>
      </x:c>
      <x:c r="Q426" s="14" t="str">
        <x:v>Evet</x:v>
      </x:c>
      <x:c r="R426" s="14" t="str">
        <x:v>Planlandı</x:v>
      </x:c>
      <x:c r="S426" s="15" t="str"/>
      <x:c r="T426" s="14" t="str">
        <x:v>Yeni konu ancak plan sırasıyla açılır; LGS dışı ileri TYT içeriği zorunlu değildir.</x:v>
      </x:c>
    </x:row>
    <x:row r="427">
      <x:c r="A427" s="14" t="n">
        <x:v>426</x:v>
      </x:c>
      <x:c r="B427" s="15" t="n">
        <x:v>46330</x:v>
      </x:c>
      <x:c r="C427" s="14" t="str">
        <x:v>Çarşamba</x:v>
      </x:c>
      <x:c r="D427" s="14" t="str">
        <x:v>Okul Günü</x:v>
      </x:c>
      <x:c r="E427" s="14" t="str">
        <x:v>16:00 sonrası</x:v>
      </x:c>
      <x:c r="F427" s="14" t="str">
        <x:v>F1 - Temel Kurma</x:v>
      </x:c>
      <x:c r="G427" s="14" t="str">
        <x:v>17:10</x:v>
      </x:c>
      <x:c r="H427" s="14" t="str">
        <x:v>17:55</x:v>
      </x:c>
      <x:c r="I427" s="14" t="str">
        <x:v>Matematik</x:v>
      </x:c>
      <x:c r="J427" s="14" t="str">
        <x:v>Kitap / MEB / Mastery</x:v>
      </x:c>
      <x:c r="K427" s="14" t="str">
        <x:v>EBOB - EKOK</x:v>
      </x:c>
      <x:c r="L427" s="14" t="str">
        <x:v>EBOB - EKOK için ilgili MEB sorularını TAMAMLA; D/Y/B kaydet. Bu oturum konu mastery gate'idir.</x:v>
      </x:c>
      <x:c r="M427" s="14" t="str">
        <x:v>MEB Resmî Soru Seti</x:v>
      </x:c>
      <x:c r="N427" s="14" t="str">
        <x:v>https://odsgm.meb.gov.tr/www/5-6-7-ve-9-sinif-duzeylerinde-calisma-sorulari-yayimlandi/icerik/775</x:v>
      </x:c>
      <x:c r="O427" s="14" t="n">
        <x:v>0</x:v>
      </x:c>
      <x:c r="P427" s="14" t="str">
        <x:v>Hayır</x:v>
      </x:c>
      <x:c r="Q427" s="14" t="str">
        <x:v>Evet</x:v>
      </x:c>
      <x:c r="R427" s="14" t="str">
        <x:v>Planlandı</x:v>
      </x:c>
      <x:c r="S427" s="15" t="str"/>
      <x:c r="T427" s="14" t="str">
        <x:v>MEB sonucu Konu_Ustaligi sayfasına işlenir.</x:v>
      </x:c>
    </x:row>
    <x:row r="428">
      <x:c r="A428" s="14" t="n">
        <x:v>427</x:v>
      </x:c>
      <x:c r="B428" s="15" t="n">
        <x:v>46330</x:v>
      </x:c>
      <x:c r="C428" s="14" t="str">
        <x:v>Çarşamba</x:v>
      </x:c>
      <x:c r="D428" s="14" t="str">
        <x:v>Okul Günü</x:v>
      </x:c>
      <x:c r="E428" s="14" t="str">
        <x:v>16:00 sonrası</x:v>
      </x:c>
      <x:c r="F428" s="14" t="str">
        <x:v>F1 - Temel Kurma</x:v>
      </x:c>
      <x:c r="G428" s="14" t="str">
        <x:v>17:55</x:v>
      </x:c>
      <x:c r="H428" s="14" t="str">
        <x:v>18:25</x:v>
      </x:c>
      <x:c r="I428" s="14" t="str">
        <x:v>Genel</x:v>
      </x:c>
      <x:c r="J428" s="14" t="str">
        <x:v>Yemek / Serbest Zaman</x:v>
      </x:c>
      <x:c r="K428" s="14" t="str"/>
      <x:c r="L428" s="14" t="str">
        <x:v>Yemek, hareket ve dinlenme.</x:v>
      </x:c>
      <x:c r="M428" s="14" t="str"/>
      <x:c r="N428" s="14" t="str"/>
      <x:c r="O428" s="14" t="n">
        <x:v>0</x:v>
      </x:c>
      <x:c r="P428" s="14" t="str">
        <x:v>Hayır</x:v>
      </x:c>
      <x:c r="Q428" s="14" t="str">
        <x:v>Hayır</x:v>
      </x:c>
      <x:c r="R428" s="14" t="str">
        <x:v>Planlandı</x:v>
      </x:c>
      <x:c r="S428" s="15" t="str"/>
      <x:c r="T428" s="14" t="str"/>
    </x:row>
    <x:row r="429">
      <x:c r="A429" s="14" t="n">
        <x:v>428</x:v>
      </x:c>
      <x:c r="B429" s="15" t="n">
        <x:v>46330</x:v>
      </x:c>
      <x:c r="C429" s="14" t="str">
        <x:v>Çarşamba</x:v>
      </x:c>
      <x:c r="D429" s="14" t="str">
        <x:v>Okul Günü</x:v>
      </x:c>
      <x:c r="E429" s="14" t="str">
        <x:v>16:00 sonrası</x:v>
      </x:c>
      <x:c r="F429" s="14" t="str">
        <x:v>F1 - Temel Kurma</x:v>
      </x:c>
      <x:c r="G429" s="14" t="str">
        <x:v>18:25</x:v>
      </x:c>
      <x:c r="H429" s="14" t="str">
        <x:v>18:55</x:v>
      </x:c>
      <x:c r="I429" s="14" t="str">
        <x:v>Türkçe</x:v>
      </x:c>
      <x:c r="J429" s="14" t="str">
        <x:v>Paragraf Rutini</x:v>
      </x:c>
      <x:c r="K429" s="14" t="str">
        <x:v>Paragraf</x:v>
      </x:c>
      <x:c r="L429" s="14" t="str">
        <x:v>En az 20 paragraf sorusu çöz; ilk 20 soruyu ileri sayımla ölç, D/Y/B + süre kaydet.</x:v>
      </x:c>
      <x:c r="M429" s="14" t="str">
        <x:v>Hız 8. Sınıf Türkçe Paragraf (ISBN 9786258394498)</x:v>
      </x:c>
      <x:c r="N429" s="14" t="str"/>
      <x:c r="O429" s="14" t="n">
        <x:v>20</x:v>
      </x:c>
      <x:c r="P429" s="14" t="str">
        <x:v>İlk 20 soru</x:v>
      </x:c>
      <x:c r="Q429" s="14" t="str">
        <x:v>Evet</x:v>
      </x:c>
      <x:c r="R429" s="14" t="str">
        <x:v>Planlandı</x:v>
      </x:c>
      <x:c r="S429" s="15" t="str"/>
      <x:c r="T429" s="14" t="str">
        <x:v>Geri sayım ve hedef süre yok.</x:v>
      </x:c>
    </x:row>
    <x:row r="430">
      <x:c r="A430" s="14" t="n">
        <x:v>429</x:v>
      </x:c>
      <x:c r="B430" s="15" t="n">
        <x:v>46330</x:v>
      </x:c>
      <x:c r="C430" s="14" t="str">
        <x:v>Çarşamba</x:v>
      </x:c>
      <x:c r="D430" s="14" t="str">
        <x:v>Okul Günü</x:v>
      </x:c>
      <x:c r="E430" s="14" t="str">
        <x:v>16:00 sonrası</x:v>
      </x:c>
      <x:c r="F430" s="14" t="str">
        <x:v>F1 - Temel Kurma</x:v>
      </x:c>
      <x:c r="G430" s="14" t="str">
        <x:v>19:00</x:v>
      </x:c>
      <x:c r="H430" s="14" t="str">
        <x:v>19:35</x:v>
      </x:c>
      <x:c r="I430" s="14" t="str">
        <x:v>Türkçe</x:v>
      </x:c>
      <x:c r="J430" s="14" t="str">
        <x:v>Konu / Tekrar</x:v>
      </x:c>
      <x:c r="K430" s="14" t="str">
        <x:v>Noktalama İşaretleri</x:v>
      </x:c>
      <x:c r="L430" s="14" t="str">
        <x:v>Noktalama İşaretleri — MEB doğrulaması öncesi 5-10 dk aktif hatırlama; gerekiyorsa ilgili playlist videosuna kısa dönüş yap.</x:v>
      </x:c>
      <x:c r="M430" s="14" t="str">
        <x:v>Türkçe Ana Oynatma Listesi</x:v>
      </x:c>
      <x:c r="N430" s="14" t="str">
        <x:v>https://www.youtube.com/watch?v=VYsPntNKVdw&amp;list=PLIBjFaUoJJ91bz7QQEBlxNJNZka5YQRr6</x:v>
      </x:c>
      <x:c r="O430" s="14" t="n">
        <x:v>0</x:v>
      </x:c>
      <x:c r="P430" s="14" t="str">
        <x:v>Hayır</x:v>
      </x:c>
      <x:c r="Q430" s="14" t="str">
        <x:v>Evet</x:v>
      </x:c>
      <x:c r="R430" s="14" t="str">
        <x:v>Planlandı</x:v>
      </x:c>
      <x:c r="S430" s="15" t="str"/>
      <x:c r="T430" s="14" t="str">
        <x:v>TYT etiketli kaynak temelden başlamak için sabittir; LGS dışı gereksiz ayrıntı zorunlu değildir.</x:v>
      </x:c>
    </x:row>
    <x:row r="431">
      <x:c r="A431" s="14" t="n">
        <x:v>430</x:v>
      </x:c>
      <x:c r="B431" s="15" t="n">
        <x:v>46330</x:v>
      </x:c>
      <x:c r="C431" s="14" t="str">
        <x:v>Çarşamba</x:v>
      </x:c>
      <x:c r="D431" s="14" t="str">
        <x:v>Okul Günü</x:v>
      </x:c>
      <x:c r="E431" s="14" t="str">
        <x:v>16:00 sonrası</x:v>
      </x:c>
      <x:c r="F431" s="14" t="str">
        <x:v>F1 - Temel Kurma</x:v>
      </x:c>
      <x:c r="G431" s="14" t="str">
        <x:v>19:40</x:v>
      </x:c>
      <x:c r="H431" s="14" t="str">
        <x:v>20:10</x:v>
      </x:c>
      <x:c r="I431" s="14" t="str">
        <x:v>Türkçe</x:v>
      </x:c>
      <x:c r="J431" s="14" t="str">
        <x:v>Kitap / MEB / Mastery</x:v>
      </x:c>
      <x:c r="K431" s="14" t="str">
        <x:v>Noktalama İşaretleri</x:v>
      </x:c>
      <x:c r="L431" s="14" t="str">
        <x:v>Noktalama İşaretleri için ilgili MEB sorularını TAMAMLA; D/Y/B kaydet. Bu oturum konu mastery gate'idir.</x:v>
      </x:c>
      <x:c r="M431" s="14" t="str">
        <x:v>MEB Resmî Soru Seti</x:v>
      </x:c>
      <x:c r="N431" s="14" t="str">
        <x:v>https://odsgm.meb.gov.tr/www/8sinif-calisma-sorulari/icerik/1632</x:v>
      </x:c>
      <x:c r="O431" s="14" t="n">
        <x:v>0</x:v>
      </x:c>
      <x:c r="P431" s="14" t="str">
        <x:v>Hayır</x:v>
      </x:c>
      <x:c r="Q431" s="14" t="str">
        <x:v>Evet</x:v>
      </x:c>
      <x:c r="R431" s="14" t="str">
        <x:v>Planlandı</x:v>
      </x:c>
      <x:c r="S431" s="15" t="str"/>
      <x:c r="T431" s="14" t="str">
        <x:v>MEB sonucu Konu_Ustaligi sayfasına işlenir.</x:v>
      </x:c>
    </x:row>
    <x:row r="432">
      <x:c r="A432" s="14" t="n">
        <x:v>431</x:v>
      </x:c>
      <x:c r="B432" s="15" t="n">
        <x:v>46330</x:v>
      </x:c>
      <x:c r="C432" s="14" t="str">
        <x:v>Çarşamba</x:v>
      </x:c>
      <x:c r="D432" s="14" t="str">
        <x:v>Okul Günü</x:v>
      </x:c>
      <x:c r="E432" s="14" t="str">
        <x:v>16:00 sonrası</x:v>
      </x:c>
      <x:c r="F432" s="14" t="str">
        <x:v>F1 - Temel Kurma</x:v>
      </x:c>
      <x:c r="G432" s="14" t="str">
        <x:v>20:15</x:v>
      </x:c>
      <x:c r="H432" s="14" t="str">
        <x:v>20:50</x:v>
      </x:c>
      <x:c r="I432" s="14" t="str">
        <x:v>İnkılap</x:v>
      </x:c>
      <x:c r="J432" s="14" t="str">
        <x:v>Konu / Tekrar</x:v>
      </x:c>
      <x:c r="K432" s="14" t="str">
        <x:v>Mustafa Kemal’in Askerlik Hayatı</x:v>
      </x:c>
      <x:c r="L432" s="14" t="str">
        <x:v>Mustafa Kemal’in Askerlik Hayatı — MEB doğrulaması öncesi 5-10 dk aktif hatırlama; gerekiyorsa ilgili playlist videosuna kısa dönüş yap.</x:v>
      </x:c>
      <x:c r="M432" s="14" t="str">
        <x:v>İnkılap Genel Oynatma Listesi</x:v>
      </x:c>
      <x:c r="N432" s="14" t="str">
        <x:v>https://www.youtube.com/watch?v=MltIX0oKpYU&amp;list=PLsAsBPsriHNbXit4Ra3iuBrk1ZHZWxsOR&amp;index=78</x:v>
      </x:c>
      <x:c r="O432" s="14" t="n">
        <x:v>0</x:v>
      </x:c>
      <x:c r="P432" s="14" t="str">
        <x:v>Hayır</x:v>
      </x:c>
      <x:c r="Q432" s="14" t="str">
        <x:v>Evet</x:v>
      </x:c>
      <x:c r="R432" s="14" t="str">
        <x:v>Planlandı</x:v>
      </x:c>
      <x:c r="S432" s="15" t="str"/>
      <x:c r="T432" s="14" t="str">
        <x:v>İnkılapta okul yazılısı videoları zorunlu değildir.</x:v>
      </x:c>
    </x:row>
    <x:row r="433">
      <x:c r="A433" s="14" t="n">
        <x:v>432</x:v>
      </x:c>
      <x:c r="B433" s="15" t="n">
        <x:v>46330</x:v>
      </x:c>
      <x:c r="C433" s="14" t="str">
        <x:v>Çarşamba</x:v>
      </x:c>
      <x:c r="D433" s="14" t="str">
        <x:v>Okul Günü</x:v>
      </x:c>
      <x:c r="E433" s="14" t="str">
        <x:v>16:00 sonrası</x:v>
      </x:c>
      <x:c r="F433" s="14" t="str">
        <x:v>F1 - Temel Kurma</x:v>
      </x:c>
      <x:c r="G433" s="14" t="str">
        <x:v>20:55</x:v>
      </x:c>
      <x:c r="H433" s="14" t="str">
        <x:v>21:20</x:v>
      </x:c>
      <x:c r="I433" s="14" t="str">
        <x:v>İnkılap</x:v>
      </x:c>
      <x:c r="J433" s="14" t="str">
        <x:v>Kitap / MEB / Mastery</x:v>
      </x:c>
      <x:c r="K433" s="14" t="str">
        <x:v>Mustafa Kemal’in Askerlik Hayatı</x:v>
      </x:c>
      <x:c r="L433" s="14" t="str">
        <x:v>Mustafa Kemal’in Askerlik Hayatı için ilgili MEB sorularını TAMAMLA; D/Y/B kaydet. Bu oturum konu mastery gate'idir.</x:v>
      </x:c>
      <x:c r="M433" s="14" t="str">
        <x:v>MEB 8. Sınıf İnkılap Soruları</x:v>
      </x:c>
      <x:c r="N433" s="14" t="str">
        <x:v>https://odsgm.meb.gov.tr/www/8sinif-calisma-sorulari/icerik/1632</x:v>
      </x:c>
      <x:c r="O433" s="14" t="n">
        <x:v>0</x:v>
      </x:c>
      <x:c r="P433" s="14" t="str">
        <x:v>Hayır</x:v>
      </x:c>
      <x:c r="Q433" s="14" t="str">
        <x:v>Evet</x:v>
      </x:c>
      <x:c r="R433" s="14" t="str">
        <x:v>Planlandı</x:v>
      </x:c>
      <x:c r="S433" s="15" t="str"/>
      <x:c r="T433" s="14" t="str">
        <x:v>MEB sonucu Konu_Ustaligi sayfasına işlenir.</x:v>
      </x:c>
    </x:row>
    <x:row r="434">
      <x:c r="A434" s="14" t="n">
        <x:v>433</x:v>
      </x:c>
      <x:c r="B434" s="15" t="n">
        <x:v>46330</x:v>
      </x:c>
      <x:c r="C434" s="14" t="str">
        <x:v>Çarşamba</x:v>
      </x:c>
      <x:c r="D434" s="14" t="str">
        <x:v>Okul Günü</x:v>
      </x:c>
      <x:c r="E434" s="14" t="str">
        <x:v>16:00 sonrası</x:v>
      </x:c>
      <x:c r="F434" s="14" t="str">
        <x:v>F1 - Temel Kurma</x:v>
      </x:c>
      <x:c r="G434" s="14" t="str">
        <x:v>21:20</x:v>
      </x:c>
      <x:c r="H434" s="14" t="str">
        <x:v>21:35</x:v>
      </x:c>
      <x:c r="I434" s="14" t="str">
        <x:v>Genel</x:v>
      </x:c>
      <x:c r="J434" s="14" t="str">
        <x:v>Yanlış / Boş Analizi</x:v>
      </x:c>
      <x:c r="K434" s="14" t="str">
        <x:v>Günlük</x:v>
      </x:c>
      <x:c r="L434" s="14" t="str">
        <x:v>Bugünkü yanlış/boşları kaydet; çözümünü öğrenmeden kapatma. Hata türünü sınıflandır.</x:v>
      </x:c>
      <x:c r="M434" s="14" t="str">
        <x:v>Yanlış Defteri</x:v>
      </x:c>
      <x:c r="N434" s="14" t="str"/>
      <x:c r="O434" s="14" t="n">
        <x:v>0</x:v>
      </x:c>
      <x:c r="P434" s="14" t="str">
        <x:v>Hayır</x:v>
      </x:c>
      <x:c r="Q434" s="14" t="str">
        <x:v>Evet</x:v>
      </x:c>
      <x:c r="R434" s="14" t="str">
        <x:v>Planlandı</x:v>
      </x:c>
      <x:c r="S434" s="15" t="str"/>
      <x:c r="T434" s="14" t="str"/>
    </x:row>
    <x:row r="435">
      <x:c r="A435" s="14" t="n">
        <x:v>434</x:v>
      </x:c>
      <x:c r="B435" s="15" t="n">
        <x:v>46330</x:v>
      </x:c>
      <x:c r="C435" s="14" t="str">
        <x:v>Çarşamba</x:v>
      </x:c>
      <x:c r="D435" s="14" t="str">
        <x:v>Okul Günü</x:v>
      </x:c>
      <x:c r="E435" s="14" t="str">
        <x:v>16:00 sonrası</x:v>
      </x:c>
      <x:c r="F435" s="14" t="str">
        <x:v>F1 - Temel Kurma</x:v>
      </x:c>
      <x:c r="G435" s="14" t="str">
        <x:v>21:35</x:v>
      </x:c>
      <x:c r="H435" s="14" t="str">
        <x:v>21:50</x:v>
      </x:c>
      <x:c r="I435" s="14" t="str">
        <x:v>Genel</x:v>
      </x:c>
      <x:c r="J435" s="14" t="str">
        <x:v>Aralıklı Hata Tekrarı</x:v>
      </x:c>
      <x:c r="K435" s="14" t="str">
        <x:v>+1 / +7 / +21</x:v>
      </x:c>
      <x:c r="L435" s="14" t="str">
        <x:v>Bugün vadesi gelen yanlış soruları tekrar çöz. Vadesi yoksa bu süre serbest/okuma olabilir.</x:v>
      </x:c>
      <x:c r="M435" s="14" t="str">
        <x:v>Yanlış Defteri</x:v>
      </x:c>
      <x:c r="N435" s="14" t="str"/>
      <x:c r="O435" s="14" t="n">
        <x:v>0</x:v>
      </x:c>
      <x:c r="P435" s="14" t="str">
        <x:v>Hayır</x:v>
      </x:c>
      <x:c r="Q435" s="14" t="str">
        <x:v>Koşullu</x:v>
      </x:c>
      <x:c r="R435" s="14" t="str">
        <x:v>Planlandı</x:v>
      </x:c>
      <x:c r="S435" s="15" t="str"/>
      <x:c r="T435" s="14" t="str">
        <x:v>Yanlışlar +1, +7 ve +21 gün aralıklarıyla tekrar edilir; hâlâ yanlışsa konu mastery durumu düşürülür.</x:v>
      </x:c>
    </x:row>
    <x:row r="436">
      <x:c r="A436" s="14" t="n">
        <x:v>435</x:v>
      </x:c>
      <x:c r="B436" s="15" t="n">
        <x:v>46330</x:v>
      </x:c>
      <x:c r="C436" s="14" t="str">
        <x:v>Çarşamba</x:v>
      </x:c>
      <x:c r="D436" s="14" t="str">
        <x:v>Okul Günü</x:v>
      </x:c>
      <x:c r="E436" s="14" t="str">
        <x:v>16:00 sonrası</x:v>
      </x:c>
      <x:c r="F436" s="14" t="str">
        <x:v>F1 - Temel Kurma</x:v>
      </x:c>
      <x:c r="G436" s="14" t="str">
        <x:v>21:50</x:v>
      </x:c>
      <x:c r="H436" s="14" t="str">
        <x:v>22:00</x:v>
      </x:c>
      <x:c r="I436" s="14" t="str">
        <x:v>Genel</x:v>
      </x:c>
      <x:c r="J436" s="14" t="str">
        <x:v>Uyku Hazırlığı</x:v>
      </x:c>
      <x:c r="K436" s="14" t="str"/>
      <x:c r="L436" s="14" t="str">
        <x:v>22:00'de yatakta ve uyku.</x:v>
      </x:c>
      <x:c r="M436" s="14" t="str"/>
      <x:c r="N436" s="14" t="str"/>
      <x:c r="O436" s="14" t="n">
        <x:v>0</x:v>
      </x:c>
      <x:c r="P436" s="14" t="str">
        <x:v>Hayır</x:v>
      </x:c>
      <x:c r="Q436" s="14" t="str">
        <x:v>Hayır</x:v>
      </x:c>
      <x:c r="R436" s="14" t="str">
        <x:v>Planlandı</x:v>
      </x:c>
      <x:c r="S436" s="15" t="str"/>
      <x:c r="T436" s="14" t="str"/>
    </x:row>
    <x:row r="437">
      <x:c r="A437" s="14" t="n">
        <x:v>436</x:v>
      </x:c>
      <x:c r="B437" s="15" t="n">
        <x:v>46331</x:v>
      </x:c>
      <x:c r="C437" s="14" t="str">
        <x:v>Perşembe</x:v>
      </x:c>
      <x:c r="D437" s="14" t="str">
        <x:v>Okul Günü</x:v>
      </x:c>
      <x:c r="E437" s="14" t="str">
        <x:v>16:00 sonrası</x:v>
      </x:c>
      <x:c r="F437" s="14" t="str">
        <x:v>F1 - Temel Kurma</x:v>
      </x:c>
      <x:c r="G437" s="14" t="str">
        <x:v>16:00</x:v>
      </x:c>
      <x:c r="H437" s="14" t="str">
        <x:v>16:25</x:v>
      </x:c>
      <x:c r="I437" s="14" t="str">
        <x:v>Genel</x:v>
      </x:c>
      <x:c r="J437" s="14" t="str">
        <x:v>Dinlenme</x:v>
      </x:c>
      <x:c r="K437" s="14" t="str"/>
      <x:c r="L437" s="14" t="str">
        <x:v>Eve geliş, atıştırma ve dinlenme.</x:v>
      </x:c>
      <x:c r="M437" s="14" t="str"/>
      <x:c r="N437" s="14" t="str"/>
      <x:c r="O437" s="14" t="n">
        <x:v>0</x:v>
      </x:c>
      <x:c r="P437" s="14" t="str">
        <x:v>Hayır</x:v>
      </x:c>
      <x:c r="Q437" s="14" t="str">
        <x:v>Hayır</x:v>
      </x:c>
      <x:c r="R437" s="14" t="str">
        <x:v>Planlandı</x:v>
      </x:c>
      <x:c r="S437" s="15" t="str"/>
      <x:c r="T437" s="14" t="str"/>
    </x:row>
    <x:row r="438">
      <x:c r="A438" s="14" t="n">
        <x:v>437</x:v>
      </x:c>
      <x:c r="B438" s="15" t="n">
        <x:v>46331</x:v>
      </x:c>
      <x:c r="C438" s="14" t="str">
        <x:v>Perşembe</x:v>
      </x:c>
      <x:c r="D438" s="14" t="str">
        <x:v>Okul Günü</x:v>
      </x:c>
      <x:c r="E438" s="14" t="str">
        <x:v>16:00 sonrası</x:v>
      </x:c>
      <x:c r="F438" s="14" t="str">
        <x:v>F1 - Temel Kurma</x:v>
      </x:c>
      <x:c r="G438" s="14" t="str">
        <x:v>16:25</x:v>
      </x:c>
      <x:c r="H438" s="14" t="str">
        <x:v>17:05</x:v>
      </x:c>
      <x:c r="I438" s="14" t="str">
        <x:v>Matematik</x:v>
      </x:c>
      <x:c r="J438" s="14" t="str">
        <x:v>Konu / Tekrar</x:v>
      </x:c>
      <x:c r="K438" s="14" t="str">
        <x:v>Sıralama ve Basit Eşitsizlik Altyapısı</x:v>
      </x:c>
      <x:c r="L438" s="14" t="str">
        <x:v>Sıralama ve Basit Eşitsizlik Altyapısı — genel oynatma listesinden ilgili videoyu izle (1/2).</x:v>
      </x:c>
      <x:c r="M438" s="14" t="str">
        <x:v>Matematik Ana Oynatma Listesi</x:v>
      </x:c>
      <x:c r="N438" s="14" t="str">
        <x:v>https://www.youtube.com/watch?v=EuJ89QzqrAg&amp;list=PLicNtF7vp6fnfDqrRLH6H7fIbzYT4ct4F&amp;index=11</x:v>
      </x:c>
      <x:c r="O438" s="14" t="n">
        <x:v>0</x:v>
      </x:c>
      <x:c r="P438" s="14" t="str">
        <x:v>Hayır</x:v>
      </x:c>
      <x:c r="Q438" s="14" t="str">
        <x:v>Evet</x:v>
      </x:c>
      <x:c r="R438" s="14" t="str">
        <x:v>Planlandı</x:v>
      </x:c>
      <x:c r="S438" s="15" t="str"/>
      <x:c r="T438" s="14" t="str">
        <x:v>Yeni konu ancak plan sırasıyla açılır; LGS dışı ileri TYT içeriği zorunlu değildir.</x:v>
      </x:c>
    </x:row>
    <x:row r="439">
      <x:c r="A439" s="14" t="n">
        <x:v>438</x:v>
      </x:c>
      <x:c r="B439" s="15" t="n">
        <x:v>46331</x:v>
      </x:c>
      <x:c r="C439" s="14" t="str">
        <x:v>Perşembe</x:v>
      </x:c>
      <x:c r="D439" s="14" t="str">
        <x:v>Okul Günü</x:v>
      </x:c>
      <x:c r="E439" s="14" t="str">
        <x:v>16:00 sonrası</x:v>
      </x:c>
      <x:c r="F439" s="14" t="str">
        <x:v>F1 - Temel Kurma</x:v>
      </x:c>
      <x:c r="G439" s="14" t="str">
        <x:v>17:10</x:v>
      </x:c>
      <x:c r="H439" s="14" t="str">
        <x:v>17:55</x:v>
      </x:c>
      <x:c r="I439" s="14" t="str">
        <x:v>Matematik</x:v>
      </x:c>
      <x:c r="J439" s="14" t="str">
        <x:v>Kitap / MEB / Mastery</x:v>
      </x:c>
      <x:c r="K439" s="14" t="str">
        <x:v>Sıralama ve Basit Eşitsizlik Altyapısı</x:v>
      </x:c>
      <x:c r="L439" s="14" t="str">
        <x:v>Sıralama ve Basit Eşitsizlik Altyapısı ile ilgili soru kitabından en az 20 soru / bugünkü test payını çöz.</x:v>
      </x:c>
      <x:c r="M439" s="14" t="str">
        <x:v>MUBA 8. Sınıf Başlangıç Matematik (ISBN 9789756526972) (eşleşen bölüm) + MEB temel destek</x:v>
      </x:c>
      <x:c r="N439" s="14" t="str">
        <x:v>https://odsgm.meb.gov.tr/www/5-6-7-ve-9-sinif-duzeylerinde-calisma-sorulari-yayimlandi/icerik/775</x:v>
      </x:c>
      <x:c r="O439" s="14" t="n">
        <x:v>20</x:v>
      </x:c>
      <x:c r="P439" s="14" t="str">
        <x:v>İlk 20 soru</x:v>
      </x:c>
      <x:c r="Q439" s="14" t="str">
        <x:v>Evet</x:v>
      </x:c>
      <x:c r="R439" s="14" t="str">
        <x:v>Planlandı</x:v>
      </x:c>
      <x:c r="S439" s="15" t="str"/>
      <x:c r="T439" s="14" t="str">
        <x:v>Ayrı/rastgele matematik benchmark yoktur. Süreli ilk 20 soru o gün çalışılan konunun içindedir.</x:v>
      </x:c>
    </x:row>
    <x:row r="440">
      <x:c r="A440" s="14" t="n">
        <x:v>439</x:v>
      </x:c>
      <x:c r="B440" s="15" t="n">
        <x:v>46331</x:v>
      </x:c>
      <x:c r="C440" s="14" t="str">
        <x:v>Perşembe</x:v>
      </x:c>
      <x:c r="D440" s="14" t="str">
        <x:v>Okul Günü</x:v>
      </x:c>
      <x:c r="E440" s="14" t="str">
        <x:v>16:00 sonrası</x:v>
      </x:c>
      <x:c r="F440" s="14" t="str">
        <x:v>F1 - Temel Kurma</x:v>
      </x:c>
      <x:c r="G440" s="14" t="str">
        <x:v>17:55</x:v>
      </x:c>
      <x:c r="H440" s="14" t="str">
        <x:v>18:25</x:v>
      </x:c>
      <x:c r="I440" s="14" t="str">
        <x:v>Genel</x:v>
      </x:c>
      <x:c r="J440" s="14" t="str">
        <x:v>Yemek / Serbest Zaman</x:v>
      </x:c>
      <x:c r="K440" s="14" t="str"/>
      <x:c r="L440" s="14" t="str">
        <x:v>Yemek, hareket ve dinlenme.</x:v>
      </x:c>
      <x:c r="M440" s="14" t="str"/>
      <x:c r="N440" s="14" t="str"/>
      <x:c r="O440" s="14" t="n">
        <x:v>0</x:v>
      </x:c>
      <x:c r="P440" s="14" t="str">
        <x:v>Hayır</x:v>
      </x:c>
      <x:c r="Q440" s="14" t="str">
        <x:v>Hayır</x:v>
      </x:c>
      <x:c r="R440" s="14" t="str">
        <x:v>Planlandı</x:v>
      </x:c>
      <x:c r="S440" s="15" t="str"/>
      <x:c r="T440" s="14" t="str"/>
    </x:row>
    <x:row r="441">
      <x:c r="A441" s="14" t="n">
        <x:v>440</x:v>
      </x:c>
      <x:c r="B441" s="15" t="n">
        <x:v>46331</x:v>
      </x:c>
      <x:c r="C441" s="14" t="str">
        <x:v>Perşembe</x:v>
      </x:c>
      <x:c r="D441" s="14" t="str">
        <x:v>Okul Günü</x:v>
      </x:c>
      <x:c r="E441" s="14" t="str">
        <x:v>16:00 sonrası</x:v>
      </x:c>
      <x:c r="F441" s="14" t="str">
        <x:v>F1 - Temel Kurma</x:v>
      </x:c>
      <x:c r="G441" s="14" t="str">
        <x:v>18:25</x:v>
      </x:c>
      <x:c r="H441" s="14" t="str">
        <x:v>18:55</x:v>
      </x:c>
      <x:c r="I441" s="14" t="str">
        <x:v>Türkçe</x:v>
      </x:c>
      <x:c r="J441" s="14" t="str">
        <x:v>Paragraf Rutini</x:v>
      </x:c>
      <x:c r="K441" s="14" t="str">
        <x:v>Paragraf</x:v>
      </x:c>
      <x:c r="L441" s="14" t="str">
        <x:v>En az 20 paragraf sorusu çöz; ilk 20 soruyu ileri sayımla ölç, D/Y/B + süre kaydet.</x:v>
      </x:c>
      <x:c r="M441" s="14" t="str">
        <x:v>Hız 8. Sınıf Türkçe Paragraf (ISBN 9786258394498)</x:v>
      </x:c>
      <x:c r="N441" s="14" t="str"/>
      <x:c r="O441" s="14" t="n">
        <x:v>20</x:v>
      </x:c>
      <x:c r="P441" s="14" t="str">
        <x:v>İlk 20 soru</x:v>
      </x:c>
      <x:c r="Q441" s="14" t="str">
        <x:v>Evet</x:v>
      </x:c>
      <x:c r="R441" s="14" t="str">
        <x:v>Planlandı</x:v>
      </x:c>
      <x:c r="S441" s="15" t="str"/>
      <x:c r="T441" s="14" t="str">
        <x:v>Geri sayım ve hedef süre yok.</x:v>
      </x:c>
    </x:row>
    <x:row r="442">
      <x:c r="A442" s="14" t="n">
        <x:v>441</x:v>
      </x:c>
      <x:c r="B442" s="15" t="n">
        <x:v>46331</x:v>
      </x:c>
      <x:c r="C442" s="14" t="str">
        <x:v>Perşembe</x:v>
      </x:c>
      <x:c r="D442" s="14" t="str">
        <x:v>Okul Günü</x:v>
      </x:c>
      <x:c r="E442" s="14" t="str">
        <x:v>16:00 sonrası</x:v>
      </x:c>
      <x:c r="F442" s="14" t="str">
        <x:v>F1 - Temel Kurma</x:v>
      </x:c>
      <x:c r="G442" s="14" t="str">
        <x:v>19:00</x:v>
      </x:c>
      <x:c r="H442" s="14" t="str">
        <x:v>19:35</x:v>
      </x:c>
      <x:c r="I442" s="14" t="str">
        <x:v>Türkçe</x:v>
      </x:c>
      <x:c r="J442" s="14" t="str">
        <x:v>Konu / Tekrar</x:v>
      </x:c>
      <x:c r="K442" s="14" t="str">
        <x:v>Ad (İsim)</x:v>
      </x:c>
      <x:c r="L442" s="14" t="str">
        <x:v>Ad (İsim) — genel oynatma listesinden ilgili videoyu izle (1/2).</x:v>
      </x:c>
      <x:c r="M442" s="14" t="str">
        <x:v>Türkçe Ana Oynatma Listesi</x:v>
      </x:c>
      <x:c r="N442" s="14" t="str">
        <x:v>https://www.youtube.com/watch?v=VYsPntNKVdw&amp;list=PLIBjFaUoJJ91bz7QQEBlxNJNZka5YQRr6</x:v>
      </x:c>
      <x:c r="O442" s="14" t="n">
        <x:v>0</x:v>
      </x:c>
      <x:c r="P442" s="14" t="str">
        <x:v>Hayır</x:v>
      </x:c>
      <x:c r="Q442" s="14" t="str">
        <x:v>Evet</x:v>
      </x:c>
      <x:c r="R442" s="14" t="str">
        <x:v>Planlandı</x:v>
      </x:c>
      <x:c r="S442" s="15" t="str"/>
      <x:c r="T442" s="14" t="str">
        <x:v>TYT etiketli kaynak temelden başlamak için sabittir; LGS dışı gereksiz ayrıntı zorunlu değildir.</x:v>
      </x:c>
    </x:row>
    <x:row r="443">
      <x:c r="A443" s="14" t="n">
        <x:v>442</x:v>
      </x:c>
      <x:c r="B443" s="15" t="n">
        <x:v>46331</x:v>
      </x:c>
      <x:c r="C443" s="14" t="str">
        <x:v>Perşembe</x:v>
      </x:c>
      <x:c r="D443" s="14" t="str">
        <x:v>Okul Günü</x:v>
      </x:c>
      <x:c r="E443" s="14" t="str">
        <x:v>16:00 sonrası</x:v>
      </x:c>
      <x:c r="F443" s="14" t="str">
        <x:v>F1 - Temel Kurma</x:v>
      </x:c>
      <x:c r="G443" s="14" t="str">
        <x:v>19:40</x:v>
      </x:c>
      <x:c r="H443" s="14" t="str">
        <x:v>20:10</x:v>
      </x:c>
      <x:c r="I443" s="14" t="str">
        <x:v>Türkçe</x:v>
      </x:c>
      <x:c r="J443" s="14" t="str">
        <x:v>Kitap / MEB / Mastery</x:v>
      </x:c>
      <x:c r="K443" s="14" t="str">
        <x:v>Ad (İsim)</x:v>
      </x:c>
      <x:c r="L443" s="14" t="str">
        <x:v>Ad (İsim) ile ilgili soru kitabından en az 10 soru / bugünkü test payını çöz.</x:v>
      </x:c>
      <x:c r="M443" s="14" t="str">
        <x:v>Ankara 8. Sınıf Dil Bilgisi Güçlendiren (eşleşen bölüm) + MEB temel destek</x:v>
      </x:c>
      <x:c r="N443" s="14" t="str">
        <x:v>https://odsgm.meb.gov.tr/www/5-6-7-ve-9-sinif-duzeylerinde-calisma-sorulari-yayimlandi/icerik/775</x:v>
      </x:c>
      <x:c r="O443" s="14" t="n">
        <x:v>10</x:v>
      </x:c>
      <x:c r="P443" s="14" t="str">
        <x:v>Hayır</x:v>
      </x:c>
      <x:c r="Q443" s="14" t="str">
        <x:v>Evet</x:v>
      </x:c>
      <x:c r="R443" s="14" t="str">
        <x:v>Planlandı</x:v>
      </x:c>
      <x:c r="S443" s="15" t="str"/>
      <x:c r="T443" s="14" t="str"/>
    </x:row>
    <x:row r="444">
      <x:c r="A444" s="14" t="n">
        <x:v>443</x:v>
      </x:c>
      <x:c r="B444" s="15" t="n">
        <x:v>46331</x:v>
      </x:c>
      <x:c r="C444" s="14" t="str">
        <x:v>Perşembe</x:v>
      </x:c>
      <x:c r="D444" s="14" t="str">
        <x:v>Okul Günü</x:v>
      </x:c>
      <x:c r="E444" s="14" t="str">
        <x:v>16:00 sonrası</x:v>
      </x:c>
      <x:c r="F444" s="14" t="str">
        <x:v>F1 - Temel Kurma</x:v>
      </x:c>
      <x:c r="G444" s="14" t="str">
        <x:v>20:15</x:v>
      </x:c>
      <x:c r="H444" s="14" t="str">
        <x:v>20:50</x:v>
      </x:c>
      <x:c r="I444" s="14" t="str">
        <x:v>İngilizce</x:v>
      </x:c>
      <x:c r="J444" s="14" t="str">
        <x:v>Konu / Tekrar</x:v>
      </x:c>
      <x:c r="K444" s="14" t="str">
        <x:v>Unit 3 - In The Kitchen</x:v>
      </x:c>
      <x:c r="L444" s="14" t="str">
        <x:v>Unit 3 - In The Kitchen — Content çalışmasını playlistten yap.</x:v>
      </x:c>
      <x:c r="M444" s="14" t="str">
        <x:v>İngilizce Genel Oynatma Listesi</x:v>
      </x:c>
      <x:c r="N444" s="14" t="str">
        <x:v>https://www.youtube.com/watch?v=FaY3dFjZbns&amp;list=PLSgpQDrUSYp94WgE9pzpHiOG5FwxnZBrr</x:v>
      </x:c>
      <x:c r="O444" s="14" t="n">
        <x:v>0</x:v>
      </x:c>
      <x:c r="P444" s="14" t="str">
        <x:v>Hayır</x:v>
      </x:c>
      <x:c r="Q444" s="14" t="str">
        <x:v>Evet</x:v>
      </x:c>
      <x:c r="R444" s="14" t="str">
        <x:v>Planlandı</x:v>
      </x:c>
      <x:c r="S444" s="15" t="str"/>
      <x:c r="T444" s="14" t="str"/>
    </x:row>
    <x:row r="445">
      <x:c r="A445" s="14" t="n">
        <x:v>444</x:v>
      </x:c>
      <x:c r="B445" s="15" t="n">
        <x:v>46331</x:v>
      </x:c>
      <x:c r="C445" s="14" t="str">
        <x:v>Perşembe</x:v>
      </x:c>
      <x:c r="D445" s="14" t="str">
        <x:v>Okul Günü</x:v>
      </x:c>
      <x:c r="E445" s="14" t="str">
        <x:v>16:00 sonrası</x:v>
      </x:c>
      <x:c r="F445" s="14" t="str">
        <x:v>F1 - Temel Kurma</x:v>
      </x:c>
      <x:c r="G445" s="14" t="str">
        <x:v>20:55</x:v>
      </x:c>
      <x:c r="H445" s="14" t="str">
        <x:v>21:20</x:v>
      </x:c>
      <x:c r="I445" s="14" t="str">
        <x:v>İngilizce</x:v>
      </x:c>
      <x:c r="J445" s="14" t="str">
        <x:v>Kitap / MEB / Mastery</x:v>
      </x:c>
      <x:c r="K445" s="14" t="str">
        <x:v>Unit 3 - In The Kitchen</x:v>
      </x:c>
      <x:c r="L445" s="14" t="str">
        <x:v>Unit 3 - In The Kitchen ile ilgili soru kitabından en az 15 soru / bugünkü test payını çöz.</x:v>
      </x:c>
      <x:c r="M445" s="14" t="str">
        <x:v>More &amp; More 8 Worksheets Notebook</x:v>
      </x:c>
      <x:c r="N445" s="14" t="str">
        <x:v>https://www.youtube.com/watch?v=FaY3dFjZbns&amp;list=PLSgpQDrUSYp94WgE9pzpHiOG5FwxnZBrr</x:v>
      </x:c>
      <x:c r="O445" s="14" t="n">
        <x:v>15</x:v>
      </x:c>
      <x:c r="P445" s="14" t="str">
        <x:v>Hayır</x:v>
      </x:c>
      <x:c r="Q445" s="14" t="str">
        <x:v>Evet</x:v>
      </x:c>
      <x:c r="R445" s="14" t="str">
        <x:v>Planlandı</x:v>
      </x:c>
      <x:c r="S445" s="15" t="str"/>
      <x:c r="T445" s="14" t="str"/>
    </x:row>
    <x:row r="446">
      <x:c r="A446" s="14" t="n">
        <x:v>445</x:v>
      </x:c>
      <x:c r="B446" s="15" t="n">
        <x:v>46331</x:v>
      </x:c>
      <x:c r="C446" s="14" t="str">
        <x:v>Perşembe</x:v>
      </x:c>
      <x:c r="D446" s="14" t="str">
        <x:v>Okul Günü</x:v>
      </x:c>
      <x:c r="E446" s="14" t="str">
        <x:v>16:00 sonrası</x:v>
      </x:c>
      <x:c r="F446" s="14" t="str">
        <x:v>F1 - Temel Kurma</x:v>
      </x:c>
      <x:c r="G446" s="14" t="str">
        <x:v>21:20</x:v>
      </x:c>
      <x:c r="H446" s="14" t="str">
        <x:v>21:35</x:v>
      </x:c>
      <x:c r="I446" s="14" t="str">
        <x:v>Genel</x:v>
      </x:c>
      <x:c r="J446" s="14" t="str">
        <x:v>Yanlış / Boş Analizi</x:v>
      </x:c>
      <x:c r="K446" s="14" t="str">
        <x:v>Günlük</x:v>
      </x:c>
      <x:c r="L446" s="14" t="str">
        <x:v>Bugünkü yanlış/boşları kaydet; çözümünü öğrenmeden kapatma. Hata türünü sınıflandır.</x:v>
      </x:c>
      <x:c r="M446" s="14" t="str">
        <x:v>Yanlış Defteri</x:v>
      </x:c>
      <x:c r="N446" s="14" t="str"/>
      <x:c r="O446" s="14" t="n">
        <x:v>0</x:v>
      </x:c>
      <x:c r="P446" s="14" t="str">
        <x:v>Hayır</x:v>
      </x:c>
      <x:c r="Q446" s="14" t="str">
        <x:v>Evet</x:v>
      </x:c>
      <x:c r="R446" s="14" t="str">
        <x:v>Planlandı</x:v>
      </x:c>
      <x:c r="S446" s="15" t="str"/>
      <x:c r="T446" s="14" t="str"/>
    </x:row>
    <x:row r="447">
      <x:c r="A447" s="14" t="n">
        <x:v>446</x:v>
      </x:c>
      <x:c r="B447" s="15" t="n">
        <x:v>46331</x:v>
      </x:c>
      <x:c r="C447" s="14" t="str">
        <x:v>Perşembe</x:v>
      </x:c>
      <x:c r="D447" s="14" t="str">
        <x:v>Okul Günü</x:v>
      </x:c>
      <x:c r="E447" s="14" t="str">
        <x:v>16:00 sonrası</x:v>
      </x:c>
      <x:c r="F447" s="14" t="str">
        <x:v>F1 - Temel Kurma</x:v>
      </x:c>
      <x:c r="G447" s="14" t="str">
        <x:v>21:35</x:v>
      </x:c>
      <x:c r="H447" s="14" t="str">
        <x:v>21:50</x:v>
      </x:c>
      <x:c r="I447" s="14" t="str">
        <x:v>Genel</x:v>
      </x:c>
      <x:c r="J447" s="14" t="str">
        <x:v>Aralıklı Hata Tekrarı</x:v>
      </x:c>
      <x:c r="K447" s="14" t="str">
        <x:v>+1 / +7 / +21</x:v>
      </x:c>
      <x:c r="L447" s="14" t="str">
        <x:v>Bugün vadesi gelen yanlış soruları tekrar çöz. Vadesi yoksa bu süre serbest/okuma olabilir.</x:v>
      </x:c>
      <x:c r="M447" s="14" t="str">
        <x:v>Yanlış Defteri</x:v>
      </x:c>
      <x:c r="N447" s="14" t="str"/>
      <x:c r="O447" s="14" t="n">
        <x:v>0</x:v>
      </x:c>
      <x:c r="P447" s="14" t="str">
        <x:v>Hayır</x:v>
      </x:c>
      <x:c r="Q447" s="14" t="str">
        <x:v>Koşullu</x:v>
      </x:c>
      <x:c r="R447" s="14" t="str">
        <x:v>Planlandı</x:v>
      </x:c>
      <x:c r="S447" s="15" t="str"/>
      <x:c r="T447" s="14" t="str">
        <x:v>Yanlışlar +1, +7 ve +21 gün aralıklarıyla tekrar edilir; hâlâ yanlışsa konu mastery durumu düşürülür.</x:v>
      </x:c>
    </x:row>
    <x:row r="448">
      <x:c r="A448" s="14" t="n">
        <x:v>447</x:v>
      </x:c>
      <x:c r="B448" s="15" t="n">
        <x:v>46331</x:v>
      </x:c>
      <x:c r="C448" s="14" t="str">
        <x:v>Perşembe</x:v>
      </x:c>
      <x:c r="D448" s="14" t="str">
        <x:v>Okul Günü</x:v>
      </x:c>
      <x:c r="E448" s="14" t="str">
        <x:v>16:00 sonrası</x:v>
      </x:c>
      <x:c r="F448" s="14" t="str">
        <x:v>F1 - Temel Kurma</x:v>
      </x:c>
      <x:c r="G448" s="14" t="str">
        <x:v>21:50</x:v>
      </x:c>
      <x:c r="H448" s="14" t="str">
        <x:v>22:00</x:v>
      </x:c>
      <x:c r="I448" s="14" t="str">
        <x:v>Genel</x:v>
      </x:c>
      <x:c r="J448" s="14" t="str">
        <x:v>Uyku Hazırlığı</x:v>
      </x:c>
      <x:c r="K448" s="14" t="str"/>
      <x:c r="L448" s="14" t="str">
        <x:v>22:00'de yatakta ve uyku.</x:v>
      </x:c>
      <x:c r="M448" s="14" t="str"/>
      <x:c r="N448" s="14" t="str"/>
      <x:c r="O448" s="14" t="n">
        <x:v>0</x:v>
      </x:c>
      <x:c r="P448" s="14" t="str">
        <x:v>Hayır</x:v>
      </x:c>
      <x:c r="Q448" s="14" t="str">
        <x:v>Hayır</x:v>
      </x:c>
      <x:c r="R448" s="14" t="str">
        <x:v>Planlandı</x:v>
      </x:c>
      <x:c r="S448" s="15" t="str"/>
      <x:c r="T448" s="14" t="str"/>
    </x:row>
    <x:row r="449">
      <x:c r="A449" s="14" t="n">
        <x:v>448</x:v>
      </x:c>
      <x:c r="B449" s="15" t="n">
        <x:v>46332</x:v>
      </x:c>
      <x:c r="C449" s="14" t="str">
        <x:v>Cuma</x:v>
      </x:c>
      <x:c r="D449" s="14" t="str">
        <x:v>Okul Günü</x:v>
      </x:c>
      <x:c r="E449" s="14" t="str">
        <x:v>16:00 sonrası</x:v>
      </x:c>
      <x:c r="F449" s="14" t="str">
        <x:v>F1 - Temel Kurma</x:v>
      </x:c>
      <x:c r="G449" s="14" t="str">
        <x:v>16:00</x:v>
      </x:c>
      <x:c r="H449" s="14" t="str">
        <x:v>16:25</x:v>
      </x:c>
      <x:c r="I449" s="14" t="str">
        <x:v>Genel</x:v>
      </x:c>
      <x:c r="J449" s="14" t="str">
        <x:v>Dinlenme</x:v>
      </x:c>
      <x:c r="K449" s="14" t="str"/>
      <x:c r="L449" s="14" t="str">
        <x:v>Eve geliş, atıştırma ve dinlenme.</x:v>
      </x:c>
      <x:c r="M449" s="14" t="str"/>
      <x:c r="N449" s="14" t="str"/>
      <x:c r="O449" s="14" t="n">
        <x:v>0</x:v>
      </x:c>
      <x:c r="P449" s="14" t="str">
        <x:v>Hayır</x:v>
      </x:c>
      <x:c r="Q449" s="14" t="str">
        <x:v>Hayır</x:v>
      </x:c>
      <x:c r="R449" s="14" t="str">
        <x:v>Planlandı</x:v>
      </x:c>
      <x:c r="S449" s="15" t="str"/>
      <x:c r="T449" s="14" t="str"/>
    </x:row>
    <x:row r="450">
      <x:c r="A450" s="14" t="n">
        <x:v>449</x:v>
      </x:c>
      <x:c r="B450" s="15" t="n">
        <x:v>46332</x:v>
      </x:c>
      <x:c r="C450" s="14" t="str">
        <x:v>Cuma</x:v>
      </x:c>
      <x:c r="D450" s="14" t="str">
        <x:v>Okul Günü</x:v>
      </x:c>
      <x:c r="E450" s="14" t="str">
        <x:v>16:00 sonrası</x:v>
      </x:c>
      <x:c r="F450" s="14" t="str">
        <x:v>F1 - Temel Kurma</x:v>
      </x:c>
      <x:c r="G450" s="14" t="str">
        <x:v>16:25</x:v>
      </x:c>
      <x:c r="H450" s="14" t="str">
        <x:v>17:05</x:v>
      </x:c>
      <x:c r="I450" s="14" t="str">
        <x:v>Matematik</x:v>
      </x:c>
      <x:c r="J450" s="14" t="str">
        <x:v>Konu / Tekrar</x:v>
      </x:c>
      <x:c r="K450" s="14" t="str">
        <x:v>Sıralama ve Basit Eşitsizlik Altyapısı</x:v>
      </x:c>
      <x:c r="L450" s="14" t="str">
        <x:v>Sıralama ve Basit Eşitsizlik Altyapısı — genel oynatma listesinden ilgili videoyu izle (2/2).</x:v>
      </x:c>
      <x:c r="M450" s="14" t="str">
        <x:v>Matematik Ana Oynatma Listesi</x:v>
      </x:c>
      <x:c r="N450" s="14" t="str">
        <x:v>https://www.youtube.com/watch?v=EuJ89QzqrAg&amp;list=PLicNtF7vp6fnfDqrRLH6H7fIbzYT4ct4F&amp;index=11</x:v>
      </x:c>
      <x:c r="O450" s="14" t="n">
        <x:v>0</x:v>
      </x:c>
      <x:c r="P450" s="14" t="str">
        <x:v>Hayır</x:v>
      </x:c>
      <x:c r="Q450" s="14" t="str">
        <x:v>Evet</x:v>
      </x:c>
      <x:c r="R450" s="14" t="str">
        <x:v>Planlandı</x:v>
      </x:c>
      <x:c r="S450" s="15" t="str"/>
      <x:c r="T450" s="14" t="str">
        <x:v>Yeni konu ancak plan sırasıyla açılır; LGS dışı ileri TYT içeriği zorunlu değildir.</x:v>
      </x:c>
    </x:row>
    <x:row r="451">
      <x:c r="A451" s="14" t="n">
        <x:v>450</x:v>
      </x:c>
      <x:c r="B451" s="15" t="n">
        <x:v>46332</x:v>
      </x:c>
      <x:c r="C451" s="14" t="str">
        <x:v>Cuma</x:v>
      </x:c>
      <x:c r="D451" s="14" t="str">
        <x:v>Okul Günü</x:v>
      </x:c>
      <x:c r="E451" s="14" t="str">
        <x:v>16:00 sonrası</x:v>
      </x:c>
      <x:c r="F451" s="14" t="str">
        <x:v>F1 - Temel Kurma</x:v>
      </x:c>
      <x:c r="G451" s="14" t="str">
        <x:v>17:10</x:v>
      </x:c>
      <x:c r="H451" s="14" t="str">
        <x:v>17:55</x:v>
      </x:c>
      <x:c r="I451" s="14" t="str">
        <x:v>Matematik</x:v>
      </x:c>
      <x:c r="J451" s="14" t="str">
        <x:v>Kitap / MEB / Mastery</x:v>
      </x:c>
      <x:c r="K451" s="14" t="str">
        <x:v>Sıralama ve Basit Eşitsizlik Altyapısı</x:v>
      </x:c>
      <x:c r="L451" s="14" t="str">
        <x:v>Sıralama ve Basit Eşitsizlik Altyapısı ile ilgili soru kitabından en az 20 soru / bugünkü test payını çöz. İlgili kitap konu bölümünü bu oturumda bitirmeyi hedefle; sonraki oturum MEB doğrulaması.</x:v>
      </x:c>
      <x:c r="M451" s="14" t="str">
        <x:v>MUBA 8. Sınıf Başlangıç Matematik (ISBN 9789756526972) (eşleşen bölüm) + MEB temel destek</x:v>
      </x:c>
      <x:c r="N451" s="14" t="str">
        <x:v>https://odsgm.meb.gov.tr/www/5-6-7-ve-9-sinif-duzeylerinde-calisma-sorulari-yayimlandi/icerik/775</x:v>
      </x:c>
      <x:c r="O451" s="14" t="n">
        <x:v>20</x:v>
      </x:c>
      <x:c r="P451" s="14" t="str">
        <x:v>İlk 20 soru</x:v>
      </x:c>
      <x:c r="Q451" s="14" t="str">
        <x:v>Evet</x:v>
      </x:c>
      <x:c r="R451" s="14" t="str">
        <x:v>Planlandı</x:v>
      </x:c>
      <x:c r="S451" s="15" t="str"/>
      <x:c r="T451" s="14" t="str">
        <x:v>Ayrı/rastgele matematik benchmark yoktur. Süreli ilk 20 soru o gün çalışılan konunun içindedir.</x:v>
      </x:c>
    </x:row>
    <x:row r="452">
      <x:c r="A452" s="14" t="n">
        <x:v>451</x:v>
      </x:c>
      <x:c r="B452" s="15" t="n">
        <x:v>46332</x:v>
      </x:c>
      <x:c r="C452" s="14" t="str">
        <x:v>Cuma</x:v>
      </x:c>
      <x:c r="D452" s="14" t="str">
        <x:v>Okul Günü</x:v>
      </x:c>
      <x:c r="E452" s="14" t="str">
        <x:v>16:00 sonrası</x:v>
      </x:c>
      <x:c r="F452" s="14" t="str">
        <x:v>F1 - Temel Kurma</x:v>
      </x:c>
      <x:c r="G452" s="14" t="str">
        <x:v>17:55</x:v>
      </x:c>
      <x:c r="H452" s="14" t="str">
        <x:v>18:25</x:v>
      </x:c>
      <x:c r="I452" s="14" t="str">
        <x:v>Genel</x:v>
      </x:c>
      <x:c r="J452" s="14" t="str">
        <x:v>Yemek / Serbest Zaman</x:v>
      </x:c>
      <x:c r="K452" s="14" t="str"/>
      <x:c r="L452" s="14" t="str">
        <x:v>Yemek, hareket ve dinlenme.</x:v>
      </x:c>
      <x:c r="M452" s="14" t="str"/>
      <x:c r="N452" s="14" t="str"/>
      <x:c r="O452" s="14" t="n">
        <x:v>0</x:v>
      </x:c>
      <x:c r="P452" s="14" t="str">
        <x:v>Hayır</x:v>
      </x:c>
      <x:c r="Q452" s="14" t="str">
        <x:v>Hayır</x:v>
      </x:c>
      <x:c r="R452" s="14" t="str">
        <x:v>Planlandı</x:v>
      </x:c>
      <x:c r="S452" s="15" t="str"/>
      <x:c r="T452" s="14" t="str"/>
    </x:row>
    <x:row r="453">
      <x:c r="A453" s="14" t="n">
        <x:v>452</x:v>
      </x:c>
      <x:c r="B453" s="15" t="n">
        <x:v>46332</x:v>
      </x:c>
      <x:c r="C453" s="14" t="str">
        <x:v>Cuma</x:v>
      </x:c>
      <x:c r="D453" s="14" t="str">
        <x:v>Okul Günü</x:v>
      </x:c>
      <x:c r="E453" s="14" t="str">
        <x:v>16:00 sonrası</x:v>
      </x:c>
      <x:c r="F453" s="14" t="str">
        <x:v>F1 - Temel Kurma</x:v>
      </x:c>
      <x:c r="G453" s="14" t="str">
        <x:v>18:25</x:v>
      </x:c>
      <x:c r="H453" s="14" t="str">
        <x:v>18:55</x:v>
      </x:c>
      <x:c r="I453" s="14" t="str">
        <x:v>Türkçe</x:v>
      </x:c>
      <x:c r="J453" s="14" t="str">
        <x:v>Paragraf Rutini</x:v>
      </x:c>
      <x:c r="K453" s="14" t="str">
        <x:v>Paragraf</x:v>
      </x:c>
      <x:c r="L453" s="14" t="str">
        <x:v>En az 20 paragraf sorusu çöz; ilk 20 soruyu ileri sayımla ölç, D/Y/B + süre kaydet.</x:v>
      </x:c>
      <x:c r="M453" s="14" t="str">
        <x:v>Hız 8. Sınıf Türkçe Paragraf (ISBN 9786258394498)</x:v>
      </x:c>
      <x:c r="N453" s="14" t="str"/>
      <x:c r="O453" s="14" t="n">
        <x:v>20</x:v>
      </x:c>
      <x:c r="P453" s="14" t="str">
        <x:v>İlk 20 soru</x:v>
      </x:c>
      <x:c r="Q453" s="14" t="str">
        <x:v>Evet</x:v>
      </x:c>
      <x:c r="R453" s="14" t="str">
        <x:v>Planlandı</x:v>
      </x:c>
      <x:c r="S453" s="15" t="str"/>
      <x:c r="T453" s="14" t="str">
        <x:v>Geri sayım ve hedef süre yok.</x:v>
      </x:c>
    </x:row>
    <x:row r="454">
      <x:c r="A454" s="14" t="n">
        <x:v>453</x:v>
      </x:c>
      <x:c r="B454" s="15" t="n">
        <x:v>46332</x:v>
      </x:c>
      <x:c r="C454" s="14" t="str">
        <x:v>Cuma</x:v>
      </x:c>
      <x:c r="D454" s="14" t="str">
        <x:v>Okul Günü</x:v>
      </x:c>
      <x:c r="E454" s="14" t="str">
        <x:v>16:00 sonrası</x:v>
      </x:c>
      <x:c r="F454" s="14" t="str">
        <x:v>F1 - Temel Kurma</x:v>
      </x:c>
      <x:c r="G454" s="14" t="str">
        <x:v>19:00</x:v>
      </x:c>
      <x:c r="H454" s="14" t="str">
        <x:v>19:35</x:v>
      </x:c>
      <x:c r="I454" s="14" t="str">
        <x:v>Türkçe</x:v>
      </x:c>
      <x:c r="J454" s="14" t="str">
        <x:v>Konu / Tekrar</x:v>
      </x:c>
      <x:c r="K454" s="14" t="str">
        <x:v>Ad (İsim)</x:v>
      </x:c>
      <x:c r="L454" s="14" t="str">
        <x:v>Ad (İsim) — genel oynatma listesinden ilgili videoyu izle (2/2).</x:v>
      </x:c>
      <x:c r="M454" s="14" t="str">
        <x:v>Türkçe Ana Oynatma Listesi</x:v>
      </x:c>
      <x:c r="N454" s="14" t="str">
        <x:v>https://www.youtube.com/watch?v=VYsPntNKVdw&amp;list=PLIBjFaUoJJ91bz7QQEBlxNJNZka5YQRr6</x:v>
      </x:c>
      <x:c r="O454" s="14" t="n">
        <x:v>0</x:v>
      </x:c>
      <x:c r="P454" s="14" t="str">
        <x:v>Hayır</x:v>
      </x:c>
      <x:c r="Q454" s="14" t="str">
        <x:v>Evet</x:v>
      </x:c>
      <x:c r="R454" s="14" t="str">
        <x:v>Planlandı</x:v>
      </x:c>
      <x:c r="S454" s="15" t="str"/>
      <x:c r="T454" s="14" t="str">
        <x:v>TYT etiketli kaynak temelden başlamak için sabittir; LGS dışı gereksiz ayrıntı zorunlu değildir.</x:v>
      </x:c>
    </x:row>
    <x:row r="455">
      <x:c r="A455" s="14" t="n">
        <x:v>454</x:v>
      </x:c>
      <x:c r="B455" s="15" t="n">
        <x:v>46332</x:v>
      </x:c>
      <x:c r="C455" s="14" t="str">
        <x:v>Cuma</x:v>
      </x:c>
      <x:c r="D455" s="14" t="str">
        <x:v>Okul Günü</x:v>
      </x:c>
      <x:c r="E455" s="14" t="str">
        <x:v>16:00 sonrası</x:v>
      </x:c>
      <x:c r="F455" s="14" t="str">
        <x:v>F1 - Temel Kurma</x:v>
      </x:c>
      <x:c r="G455" s="14" t="str">
        <x:v>19:40</x:v>
      </x:c>
      <x:c r="H455" s="14" t="str">
        <x:v>20:10</x:v>
      </x:c>
      <x:c r="I455" s="14" t="str">
        <x:v>Türkçe</x:v>
      </x:c>
      <x:c r="J455" s="14" t="str">
        <x:v>Kitap / MEB / Mastery</x:v>
      </x:c>
      <x:c r="K455" s="14" t="str">
        <x:v>Ad (İsim)</x:v>
      </x:c>
      <x:c r="L455" s="14" t="str">
        <x:v>Ad (İsim) ile ilgili soru kitabından en az 10 soru / bugünkü test payını çöz. İlgili kitap konu bölümünü bu oturumda bitirmeyi hedefle; sonraki oturum MEB doğrulaması.</x:v>
      </x:c>
      <x:c r="M455" s="14" t="str">
        <x:v>Ankara 8. Sınıf Dil Bilgisi Güçlendiren (eşleşen bölüm) + MEB temel destek</x:v>
      </x:c>
      <x:c r="N455" s="14" t="str">
        <x:v>https://odsgm.meb.gov.tr/www/5-6-7-ve-9-sinif-duzeylerinde-calisma-sorulari-yayimlandi/icerik/775</x:v>
      </x:c>
      <x:c r="O455" s="14" t="n">
        <x:v>10</x:v>
      </x:c>
      <x:c r="P455" s="14" t="str">
        <x:v>Hayır</x:v>
      </x:c>
      <x:c r="Q455" s="14" t="str">
        <x:v>Evet</x:v>
      </x:c>
      <x:c r="R455" s="14" t="str">
        <x:v>Planlandı</x:v>
      </x:c>
      <x:c r="S455" s="15" t="str"/>
      <x:c r="T455" s="14" t="str"/>
    </x:row>
    <x:row r="456">
      <x:c r="A456" s="14" t="n">
        <x:v>455</x:v>
      </x:c>
      <x:c r="B456" s="15" t="n">
        <x:v>46332</x:v>
      </x:c>
      <x:c r="C456" s="14" t="str">
        <x:v>Cuma</x:v>
      </x:c>
      <x:c r="D456" s="14" t="str">
        <x:v>Okul Günü</x:v>
      </x:c>
      <x:c r="E456" s="14" t="str">
        <x:v>16:00 sonrası</x:v>
      </x:c>
      <x:c r="F456" s="14" t="str">
        <x:v>F1 - Temel Kurma</x:v>
      </x:c>
      <x:c r="G456" s="14" t="str">
        <x:v>20:15</x:v>
      </x:c>
      <x:c r="H456" s="14" t="str">
        <x:v>20:50</x:v>
      </x:c>
      <x:c r="I456" s="14" t="str">
        <x:v>Fen</x:v>
      </x:c>
      <x:c r="J456" s="14" t="str">
        <x:v>Konu / Tekrar</x:v>
      </x:c>
      <x:c r="K456" s="14" t="str">
        <x:v>Mutasyon - Modifikasyon - Adaptasyon</x:v>
      </x:c>
      <x:c r="L456" s="14" t="str">
        <x:v>Mutasyon - Modifikasyon - Adaptasyon — MEB doğrulaması öncesi 5-10 dk aktif hatırlama; gerekiyorsa ilgili playlist videosuna kısa dönüş yap.</x:v>
      </x:c>
      <x:c r="M456" s="14" t="str">
        <x:v>Fen Soru Çözüm / Tekrar</x:v>
      </x:c>
      <x:c r="N456" s="14" t="str">
        <x:v>https://www.youtube.com/watch?v=pQXhWnDZ3vM&amp;list=PLrQm7mt99FRXcBnorCttd31HJEvg0En26&amp;index=23</x:v>
      </x:c>
      <x:c r="O456" s="14" t="n">
        <x:v>0</x:v>
      </x:c>
      <x:c r="P456" s="14" t="str">
        <x:v>Hayır</x:v>
      </x:c>
      <x:c r="Q456" s="14" t="str">
        <x:v>Evet</x:v>
      </x:c>
      <x:c r="R456" s="14" t="str">
        <x:v>Planlandı</x:v>
      </x:c>
      <x:c r="S456" s="15" t="str"/>
      <x:c r="T456" s="14" t="str"/>
    </x:row>
    <x:row r="457">
      <x:c r="A457" s="14" t="n">
        <x:v>456</x:v>
      </x:c>
      <x:c r="B457" s="15" t="n">
        <x:v>46332</x:v>
      </x:c>
      <x:c r="C457" s="14" t="str">
        <x:v>Cuma</x:v>
      </x:c>
      <x:c r="D457" s="14" t="str">
        <x:v>Okul Günü</x:v>
      </x:c>
      <x:c r="E457" s="14" t="str">
        <x:v>16:00 sonrası</x:v>
      </x:c>
      <x:c r="F457" s="14" t="str">
        <x:v>F1 - Temel Kurma</x:v>
      </x:c>
      <x:c r="G457" s="14" t="str">
        <x:v>20:55</x:v>
      </x:c>
      <x:c r="H457" s="14" t="str">
        <x:v>21:20</x:v>
      </x:c>
      <x:c r="I457" s="14" t="str">
        <x:v>Fen</x:v>
      </x:c>
      <x:c r="J457" s="14" t="str">
        <x:v>Kitap / MEB / Mastery</x:v>
      </x:c>
      <x:c r="K457" s="14" t="str">
        <x:v>Mutasyon - Modifikasyon - Adaptasyon</x:v>
      </x:c>
      <x:c r="L457" s="14" t="str">
        <x:v>Mutasyon - Modifikasyon - Adaptasyon için ilgili MEB sorularını TAMAMLA; D/Y/B kaydet. Bu oturum konu mastery gate'idir.</x:v>
      </x:c>
      <x:c r="M457" s="14" t="str">
        <x:v>MEB 8. Sınıf Fen Soruları</x:v>
      </x:c>
      <x:c r="N457" s="14" t="str">
        <x:v>https://odsgm.meb.gov.tr/www/8sinif-calisma-sorulari/icerik/1632</x:v>
      </x:c>
      <x:c r="O457" s="14" t="n">
        <x:v>0</x:v>
      </x:c>
      <x:c r="P457" s="14" t="str">
        <x:v>Hayır</x:v>
      </x:c>
      <x:c r="Q457" s="14" t="str">
        <x:v>Evet</x:v>
      </x:c>
      <x:c r="R457" s="14" t="str">
        <x:v>Planlandı</x:v>
      </x:c>
      <x:c r="S457" s="15" t="str"/>
      <x:c r="T457" s="14" t="str">
        <x:v>MEB sonucu Konu_Ustaligi sayfasına işlenir.</x:v>
      </x:c>
    </x:row>
    <x:row r="458">
      <x:c r="A458" s="14" t="n">
        <x:v>457</x:v>
      </x:c>
      <x:c r="B458" s="15" t="n">
        <x:v>46332</x:v>
      </x:c>
      <x:c r="C458" s="14" t="str">
        <x:v>Cuma</x:v>
      </x:c>
      <x:c r="D458" s="14" t="str">
        <x:v>Okul Günü</x:v>
      </x:c>
      <x:c r="E458" s="14" t="str">
        <x:v>16:00 sonrası</x:v>
      </x:c>
      <x:c r="F458" s="14" t="str">
        <x:v>F1 - Temel Kurma</x:v>
      </x:c>
      <x:c r="G458" s="14" t="str">
        <x:v>21:20</x:v>
      </x:c>
      <x:c r="H458" s="14" t="str">
        <x:v>21:35</x:v>
      </x:c>
      <x:c r="I458" s="14" t="str">
        <x:v>Genel</x:v>
      </x:c>
      <x:c r="J458" s="14" t="str">
        <x:v>Yanlış / Boş Analizi</x:v>
      </x:c>
      <x:c r="K458" s="14" t="str">
        <x:v>Günlük</x:v>
      </x:c>
      <x:c r="L458" s="14" t="str">
        <x:v>Bugünkü yanlış/boşları kaydet; çözümünü öğrenmeden kapatma. Hata türünü sınıflandır.</x:v>
      </x:c>
      <x:c r="M458" s="14" t="str">
        <x:v>Yanlış Defteri</x:v>
      </x:c>
      <x:c r="N458" s="14" t="str"/>
      <x:c r="O458" s="14" t="n">
        <x:v>0</x:v>
      </x:c>
      <x:c r="P458" s="14" t="str">
        <x:v>Hayır</x:v>
      </x:c>
      <x:c r="Q458" s="14" t="str">
        <x:v>Evet</x:v>
      </x:c>
      <x:c r="R458" s="14" t="str">
        <x:v>Planlandı</x:v>
      </x:c>
      <x:c r="S458" s="15" t="str"/>
      <x:c r="T458" s="14" t="str"/>
    </x:row>
    <x:row r="459">
      <x:c r="A459" s="14" t="n">
        <x:v>458</x:v>
      </x:c>
      <x:c r="B459" s="15" t="n">
        <x:v>46332</x:v>
      </x:c>
      <x:c r="C459" s="14" t="str">
        <x:v>Cuma</x:v>
      </x:c>
      <x:c r="D459" s="14" t="str">
        <x:v>Okul Günü</x:v>
      </x:c>
      <x:c r="E459" s="14" t="str">
        <x:v>16:00 sonrası</x:v>
      </x:c>
      <x:c r="F459" s="14" t="str">
        <x:v>F1 - Temel Kurma</x:v>
      </x:c>
      <x:c r="G459" s="14" t="str">
        <x:v>21:35</x:v>
      </x:c>
      <x:c r="H459" s="14" t="str">
        <x:v>21:50</x:v>
      </x:c>
      <x:c r="I459" s="14" t="str">
        <x:v>Genel</x:v>
      </x:c>
      <x:c r="J459" s="14" t="str">
        <x:v>Aralıklı Hata Tekrarı</x:v>
      </x:c>
      <x:c r="K459" s="14" t="str">
        <x:v>+1 / +7 / +21</x:v>
      </x:c>
      <x:c r="L459" s="14" t="str">
        <x:v>Bugün vadesi gelen yanlış soruları tekrar çöz. Vadesi yoksa bu süre serbest/okuma olabilir.</x:v>
      </x:c>
      <x:c r="M459" s="14" t="str">
        <x:v>Yanlış Defteri</x:v>
      </x:c>
      <x:c r="N459" s="14" t="str"/>
      <x:c r="O459" s="14" t="n">
        <x:v>0</x:v>
      </x:c>
      <x:c r="P459" s="14" t="str">
        <x:v>Hayır</x:v>
      </x:c>
      <x:c r="Q459" s="14" t="str">
        <x:v>Koşullu</x:v>
      </x:c>
      <x:c r="R459" s="14" t="str">
        <x:v>Planlandı</x:v>
      </x:c>
      <x:c r="S459" s="15" t="str"/>
      <x:c r="T459" s="14" t="str">
        <x:v>Yanlışlar +1, +7 ve +21 gün aralıklarıyla tekrar edilir; hâlâ yanlışsa konu mastery durumu düşürülür.</x:v>
      </x:c>
    </x:row>
    <x:row r="460">
      <x:c r="A460" s="14" t="n">
        <x:v>459</x:v>
      </x:c>
      <x:c r="B460" s="15" t="n">
        <x:v>46332</x:v>
      </x:c>
      <x:c r="C460" s="14" t="str">
        <x:v>Cuma</x:v>
      </x:c>
      <x:c r="D460" s="14" t="str">
        <x:v>Okul Günü</x:v>
      </x:c>
      <x:c r="E460" s="14" t="str">
        <x:v>16:00 sonrası</x:v>
      </x:c>
      <x:c r="F460" s="14" t="str">
        <x:v>F1 - Temel Kurma</x:v>
      </x:c>
      <x:c r="G460" s="14" t="str">
        <x:v>21:50</x:v>
      </x:c>
      <x:c r="H460" s="14" t="str">
        <x:v>22:00</x:v>
      </x:c>
      <x:c r="I460" s="14" t="str">
        <x:v>Genel</x:v>
      </x:c>
      <x:c r="J460" s="14" t="str">
        <x:v>Uyku Hazırlığı</x:v>
      </x:c>
      <x:c r="K460" s="14" t="str"/>
      <x:c r="L460" s="14" t="str">
        <x:v>22:00'de yatakta ve uyku.</x:v>
      </x:c>
      <x:c r="M460" s="14" t="str"/>
      <x:c r="N460" s="14" t="str"/>
      <x:c r="O460" s="14" t="n">
        <x:v>0</x:v>
      </x:c>
      <x:c r="P460" s="14" t="str">
        <x:v>Hayır</x:v>
      </x:c>
      <x:c r="Q460" s="14" t="str">
        <x:v>Hayır</x:v>
      </x:c>
      <x:c r="R460" s="14" t="str">
        <x:v>Planlandı</x:v>
      </x:c>
      <x:c r="S460" s="15" t="str"/>
      <x:c r="T460" s="14" t="str"/>
    </x:row>
    <x:row r="461">
      <x:c r="A461" s="14" t="n">
        <x:v>460</x:v>
      </x:c>
      <x:c r="B461" s="15" t="n">
        <x:v>46333</x:v>
      </x:c>
      <x:c r="C461" s="14" t="str">
        <x:v>Cumartesi</x:v>
      </x:c>
      <x:c r="D461" s="14" t="str">
        <x:v>Hafta Sonu</x:v>
      </x:c>
      <x:c r="E461" s="14" t="str">
        <x:v>Tam gün</x:v>
      </x:c>
      <x:c r="F461" s="14" t="str">
        <x:v>F1 - Temel Kurma</x:v>
      </x:c>
      <x:c r="G461" s="14" t="str">
        <x:v>09:30</x:v>
      </x:c>
      <x:c r="H461" s="14" t="str">
        <x:v>10:15</x:v>
      </x:c>
      <x:c r="I461" s="14" t="str">
        <x:v>Matematik</x:v>
      </x:c>
      <x:c r="J461" s="14" t="str">
        <x:v>Konu / Tekrar</x:v>
      </x:c>
      <x:c r="K461" s="14" t="str">
        <x:v>Sıralama ve Basit Eşitsizlik Altyapısı</x:v>
      </x:c>
      <x:c r="L461" s="14" t="str">
        <x:v>Sıralama ve Basit Eşitsizlik Altyapısı — MEB doğrulaması öncesi 5-10 dk aktif hatırlama; gerekiyorsa ilgili playlist videosuna kısa dönüş yap.</x:v>
      </x:c>
      <x:c r="M461" s="14" t="str">
        <x:v>Matematik Ana Oynatma Listesi</x:v>
      </x:c>
      <x:c r="N461" s="14" t="str">
        <x:v>https://www.youtube.com/watch?v=EuJ89QzqrAg&amp;list=PLicNtF7vp6fnfDqrRLH6H7fIbzYT4ct4F&amp;index=11</x:v>
      </x:c>
      <x:c r="O461" s="14" t="n">
        <x:v>0</x:v>
      </x:c>
      <x:c r="P461" s="14" t="str">
        <x:v>Hayır</x:v>
      </x:c>
      <x:c r="Q461" s="14" t="str">
        <x:v>Evet</x:v>
      </x:c>
      <x:c r="R461" s="14" t="str">
        <x:v>Planlandı</x:v>
      </x:c>
      <x:c r="S461" s="15" t="str"/>
      <x:c r="T461" s="14" t="str">
        <x:v>Yeni konu ancak plan sırasıyla açılır; LGS dışı ileri TYT içeriği zorunlu değildir.</x:v>
      </x:c>
    </x:row>
    <x:row r="462">
      <x:c r="A462" s="14" t="n">
        <x:v>461</x:v>
      </x:c>
      <x:c r="B462" s="15" t="n">
        <x:v>46333</x:v>
      </x:c>
      <x:c r="C462" s="14" t="str">
        <x:v>Cumartesi</x:v>
      </x:c>
      <x:c r="D462" s="14" t="str">
        <x:v>Hafta Sonu</x:v>
      </x:c>
      <x:c r="E462" s="14" t="str">
        <x:v>Tam gün</x:v>
      </x:c>
      <x:c r="F462" s="14" t="str">
        <x:v>F1 - Temel Kurma</x:v>
      </x:c>
      <x:c r="G462" s="14" t="str">
        <x:v>10:25</x:v>
      </x:c>
      <x:c r="H462" s="14" t="str">
        <x:v>11:15</x:v>
      </x:c>
      <x:c r="I462" s="14" t="str">
        <x:v>Matematik</x:v>
      </x:c>
      <x:c r="J462" s="14" t="str">
        <x:v>Kitap / MEB / Mastery</x:v>
      </x:c>
      <x:c r="K462" s="14" t="str">
        <x:v>Sıralama ve Basit Eşitsizlik Altyapısı</x:v>
      </x:c>
      <x:c r="L462" s="14" t="str">
        <x:v>Sıralama ve Basit Eşitsizlik Altyapısı için ilgili MEB sorularını TAMAMLA; D/Y/B kaydet. Bu oturum konu mastery gate'idir.</x:v>
      </x:c>
      <x:c r="M462" s="14" t="str">
        <x:v>MEB Resmî Soru Seti</x:v>
      </x:c>
      <x:c r="N462" s="14" t="str">
        <x:v>https://odsgm.meb.gov.tr/www/5-6-7-ve-9-sinif-duzeylerinde-calisma-sorulari-yayimlandi/icerik/775</x:v>
      </x:c>
      <x:c r="O462" s="14" t="n">
        <x:v>0</x:v>
      </x:c>
      <x:c r="P462" s="14" t="str">
        <x:v>Hayır</x:v>
      </x:c>
      <x:c r="Q462" s="14" t="str">
        <x:v>Evet</x:v>
      </x:c>
      <x:c r="R462" s="14" t="str">
        <x:v>Planlandı</x:v>
      </x:c>
      <x:c r="S462" s="15" t="str"/>
      <x:c r="T462" s="14" t="str">
        <x:v>MEB sonucu Konu_Ustaligi sayfasına işlenir.</x:v>
      </x:c>
    </x:row>
    <x:row r="463">
      <x:c r="A463" s="14" t="n">
        <x:v>462</x:v>
      </x:c>
      <x:c r="B463" s="15" t="n">
        <x:v>46333</x:v>
      </x:c>
      <x:c r="C463" s="14" t="str">
        <x:v>Cumartesi</x:v>
      </x:c>
      <x:c r="D463" s="14" t="str">
        <x:v>Hafta Sonu</x:v>
      </x:c>
      <x:c r="E463" s="14" t="str">
        <x:v>Tam gün</x:v>
      </x:c>
      <x:c r="F463" s="14" t="str">
        <x:v>F1 - Temel Kurma</x:v>
      </x:c>
      <x:c r="G463" s="14" t="str">
        <x:v>12:00</x:v>
      </x:c>
      <x:c r="H463" s="14" t="str">
        <x:v>14:00</x:v>
      </x:c>
      <x:c r="I463" s="14" t="str">
        <x:v>Genel</x:v>
      </x:c>
      <x:c r="J463" s="14" t="str">
        <x:v>Yemek / Serbest Zaman</x:v>
      </x:c>
      <x:c r="K463" s="14" t="str"/>
      <x:c r="L463" s="14" t="str">
        <x:v>Yemek, hareket ve dinlenme.</x:v>
      </x:c>
      <x:c r="M463" s="14" t="str"/>
      <x:c r="N463" s="14" t="str"/>
      <x:c r="O463" s="14" t="n">
        <x:v>0</x:v>
      </x:c>
      <x:c r="P463" s="14" t="str">
        <x:v>Hayır</x:v>
      </x:c>
      <x:c r="Q463" s="14" t="str">
        <x:v>Hayır</x:v>
      </x:c>
      <x:c r="R463" s="14" t="str">
        <x:v>Planlandı</x:v>
      </x:c>
      <x:c r="S463" s="15" t="str"/>
      <x:c r="T463" s="14" t="str"/>
    </x:row>
    <x:row r="464">
      <x:c r="A464" s="14" t="n">
        <x:v>463</x:v>
      </x:c>
      <x:c r="B464" s="15" t="n">
        <x:v>46333</x:v>
      </x:c>
      <x:c r="C464" s="14" t="str">
        <x:v>Cumartesi</x:v>
      </x:c>
      <x:c r="D464" s="14" t="str">
        <x:v>Hafta Sonu</x:v>
      </x:c>
      <x:c r="E464" s="14" t="str">
        <x:v>Tam gün</x:v>
      </x:c>
      <x:c r="F464" s="14" t="str">
        <x:v>F1 - Temel Kurma</x:v>
      </x:c>
      <x:c r="G464" s="14" t="str">
        <x:v>11:25</x:v>
      </x:c>
      <x:c r="H464" s="14" t="str">
        <x:v>11:55</x:v>
      </x:c>
      <x:c r="I464" s="14" t="str">
        <x:v>Türkçe</x:v>
      </x:c>
      <x:c r="J464" s="14" t="str">
        <x:v>Paragraf Rutini</x:v>
      </x:c>
      <x:c r="K464" s="14" t="str">
        <x:v>Paragraf</x:v>
      </x:c>
      <x:c r="L464" s="14" t="str">
        <x:v>En az 20 paragraf sorusu çöz; ilk 20 soruyu ileri sayımla ölç, D/Y/B + süre kaydet.</x:v>
      </x:c>
      <x:c r="M464" s="14" t="str">
        <x:v>Hız 8. Sınıf Türkçe Paragraf (ISBN 9786258394498)</x:v>
      </x:c>
      <x:c r="N464" s="14" t="str"/>
      <x:c r="O464" s="14" t="n">
        <x:v>20</x:v>
      </x:c>
      <x:c r="P464" s="14" t="str">
        <x:v>İlk 20 soru</x:v>
      </x:c>
      <x:c r="Q464" s="14" t="str">
        <x:v>Evet</x:v>
      </x:c>
      <x:c r="R464" s="14" t="str">
        <x:v>Planlandı</x:v>
      </x:c>
      <x:c r="S464" s="15" t="str"/>
      <x:c r="T464" s="14" t="str">
        <x:v>Geri sayım ve hedef süre yok.</x:v>
      </x:c>
    </x:row>
    <x:row r="465">
      <x:c r="A465" s="14" t="n">
        <x:v>464</x:v>
      </x:c>
      <x:c r="B465" s="15" t="n">
        <x:v>46333</x:v>
      </x:c>
      <x:c r="C465" s="14" t="str">
        <x:v>Cumartesi</x:v>
      </x:c>
      <x:c r="D465" s="14" t="str">
        <x:v>Hafta Sonu</x:v>
      </x:c>
      <x:c r="E465" s="14" t="str">
        <x:v>Tam gün</x:v>
      </x:c>
      <x:c r="F465" s="14" t="str">
        <x:v>F1 - Temel Kurma</x:v>
      </x:c>
      <x:c r="G465" s="14" t="str">
        <x:v>14:00</x:v>
      </x:c>
      <x:c r="H465" s="14" t="str">
        <x:v>14:40</x:v>
      </x:c>
      <x:c r="I465" s="14" t="str">
        <x:v>Türkçe</x:v>
      </x:c>
      <x:c r="J465" s="14" t="str">
        <x:v>Konu / Tekrar</x:v>
      </x:c>
      <x:c r="K465" s="14" t="str">
        <x:v>Ad (İsim)</x:v>
      </x:c>
      <x:c r="L465" s="14" t="str">
        <x:v>Ad (İsim) — MEB doğrulaması öncesi 5-10 dk aktif hatırlama; gerekiyorsa ilgili playlist videosuna kısa dönüş yap.</x:v>
      </x:c>
      <x:c r="M465" s="14" t="str">
        <x:v>Türkçe Ana Oynatma Listesi</x:v>
      </x:c>
      <x:c r="N465" s="14" t="str">
        <x:v>https://www.youtube.com/watch?v=VYsPntNKVdw&amp;list=PLIBjFaUoJJ91bz7QQEBlxNJNZka5YQRr6</x:v>
      </x:c>
      <x:c r="O465" s="14" t="n">
        <x:v>0</x:v>
      </x:c>
      <x:c r="P465" s="14" t="str">
        <x:v>Hayır</x:v>
      </x:c>
      <x:c r="Q465" s="14" t="str">
        <x:v>Evet</x:v>
      </x:c>
      <x:c r="R465" s="14" t="str">
        <x:v>Planlandı</x:v>
      </x:c>
      <x:c r="S465" s="15" t="str"/>
      <x:c r="T465" s="14" t="str">
        <x:v>TYT etiketli kaynak temelden başlamak için sabittir; LGS dışı gereksiz ayrıntı zorunlu değildir.</x:v>
      </x:c>
    </x:row>
    <x:row r="466">
      <x:c r="A466" s="14" t="n">
        <x:v>465</x:v>
      </x:c>
      <x:c r="B466" s="15" t="n">
        <x:v>46333</x:v>
      </x:c>
      <x:c r="C466" s="14" t="str">
        <x:v>Cumartesi</x:v>
      </x:c>
      <x:c r="D466" s="14" t="str">
        <x:v>Hafta Sonu</x:v>
      </x:c>
      <x:c r="E466" s="14" t="str">
        <x:v>Tam gün</x:v>
      </x:c>
      <x:c r="F466" s="14" t="str">
        <x:v>F1 - Temel Kurma</x:v>
      </x:c>
      <x:c r="G466" s="14" t="str">
        <x:v>14:50</x:v>
      </x:c>
      <x:c r="H466" s="14" t="str">
        <x:v>15:30</x:v>
      </x:c>
      <x:c r="I466" s="14" t="str">
        <x:v>Türkçe</x:v>
      </x:c>
      <x:c r="J466" s="14" t="str">
        <x:v>Kitap / MEB / Mastery</x:v>
      </x:c>
      <x:c r="K466" s="14" t="str">
        <x:v>Ad (İsim)</x:v>
      </x:c>
      <x:c r="L466" s="14" t="str">
        <x:v>Ad (İsim) için ilgili MEB sorularını TAMAMLA; D/Y/B kaydet. Bu oturum konu mastery gate'idir.</x:v>
      </x:c>
      <x:c r="M466" s="14" t="str">
        <x:v>MEB Resmî Soru Seti</x:v>
      </x:c>
      <x:c r="N466" s="14" t="str">
        <x:v>https://odsgm.meb.gov.tr/www/5-6-7-ve-9-sinif-duzeylerinde-calisma-sorulari-yayimlandi/icerik/775</x:v>
      </x:c>
      <x:c r="O466" s="14" t="n">
        <x:v>0</x:v>
      </x:c>
      <x:c r="P466" s="14" t="str">
        <x:v>Hayır</x:v>
      </x:c>
      <x:c r="Q466" s="14" t="str">
        <x:v>Evet</x:v>
      </x:c>
      <x:c r="R466" s="14" t="str">
        <x:v>Planlandı</x:v>
      </x:c>
      <x:c r="S466" s="15" t="str"/>
      <x:c r="T466" s="14" t="str">
        <x:v>MEB sonucu Konu_Ustaligi sayfasına işlenir.</x:v>
      </x:c>
    </x:row>
    <x:row r="467">
      <x:c r="A467" s="14" t="n">
        <x:v>466</x:v>
      </x:c>
      <x:c r="B467" s="15" t="n">
        <x:v>46333</x:v>
      </x:c>
      <x:c r="C467" s="14" t="str">
        <x:v>Cumartesi</x:v>
      </x:c>
      <x:c r="D467" s="14" t="str">
        <x:v>Hafta Sonu</x:v>
      </x:c>
      <x:c r="E467" s="14" t="str">
        <x:v>Tam gün</x:v>
      </x:c>
      <x:c r="F467" s="14" t="str">
        <x:v>F1 - Temel Kurma</x:v>
      </x:c>
      <x:c r="G467" s="14" t="str">
        <x:v>15:45</x:v>
      </x:c>
      <x:c r="H467" s="14" t="str">
        <x:v>16:25</x:v>
      </x:c>
      <x:c r="I467" s="14" t="str">
        <x:v>Din</x:v>
      </x:c>
      <x:c r="J467" s="14" t="str">
        <x:v>Konu / Tekrar</x:v>
      </x:c>
      <x:c r="K467" s="14" t="str">
        <x:v>Zekât ve Sadaka</x:v>
      </x:c>
      <x:c r="L467" s="14" t="str">
        <x:v>Zekât ve Sadaka — genel oynatma listesinden ilgili konu/soru çalışmasını yap.</x:v>
      </x:c>
      <x:c r="M467" s="14" t="str">
        <x:v>Din Genel Oynatma Listesi</x:v>
      </x:c>
      <x:c r="N467" s="14" t="str">
        <x:v>https://www.youtube.com/watch?v=wvdOE_75VnA&amp;list=PLbRoPq-Zu-SWXGUbVt4t4UWo-4VjsMUo-&amp;index=2</x:v>
      </x:c>
      <x:c r="O467" s="14" t="n">
        <x:v>0</x:v>
      </x:c>
      <x:c r="P467" s="14" t="str">
        <x:v>Hayır</x:v>
      </x:c>
      <x:c r="Q467" s="14" t="str">
        <x:v>Evet</x:v>
      </x:c>
      <x:c r="R467" s="14" t="str">
        <x:v>Planlandı</x:v>
      </x:c>
      <x:c r="S467" s="15" t="str"/>
      <x:c r="T467" s="14" t="str"/>
    </x:row>
    <x:row r="468">
      <x:c r="A468" s="14" t="n">
        <x:v>467</x:v>
      </x:c>
      <x:c r="B468" s="15" t="n">
        <x:v>46333</x:v>
      </x:c>
      <x:c r="C468" s="14" t="str">
        <x:v>Cumartesi</x:v>
      </x:c>
      <x:c r="D468" s="14" t="str">
        <x:v>Hafta Sonu</x:v>
      </x:c>
      <x:c r="E468" s="14" t="str">
        <x:v>Tam gün</x:v>
      </x:c>
      <x:c r="F468" s="14" t="str">
        <x:v>F1 - Temel Kurma</x:v>
      </x:c>
      <x:c r="G468" s="14" t="str">
        <x:v>16:35</x:v>
      </x:c>
      <x:c r="H468" s="14" t="str">
        <x:v>17:15</x:v>
      </x:c>
      <x:c r="I468" s="14" t="str">
        <x:v>Din</x:v>
      </x:c>
      <x:c r="J468" s="14" t="str">
        <x:v>Kitap / MEB / Mastery</x:v>
      </x:c>
      <x:c r="K468" s="14" t="str">
        <x:v>Zekât ve Sadaka</x:v>
      </x:c>
      <x:c r="L468" s="14" t="str">
        <x:v>Zekât ve Sadaka ile ilgili soru kitabından en az 15 soru / bugünkü test payını çöz.</x:v>
      </x:c>
      <x:c r="M468" s="14" t="str">
        <x:v>Hız 8. Sınıf Din Kültürü ve Ahlak Bilgisi</x:v>
      </x:c>
      <x:c r="N468" s="14" t="str">
        <x:v>https://www.youtube.com/watch?v=wvdOE_75VnA&amp;list=PLbRoPq-Zu-SWXGUbVt4t4UWo-4VjsMUo-&amp;index=2</x:v>
      </x:c>
      <x:c r="O468" s="14" t="n">
        <x:v>15</x:v>
      </x:c>
      <x:c r="P468" s="14" t="str">
        <x:v>Hayır</x:v>
      </x:c>
      <x:c r="Q468" s="14" t="str">
        <x:v>Evet</x:v>
      </x:c>
      <x:c r="R468" s="14" t="str">
        <x:v>Planlandı</x:v>
      </x:c>
      <x:c r="S468" s="15" t="str"/>
      <x:c r="T468" s="14" t="str"/>
    </x:row>
    <x:row r="469">
      <x:c r="A469" s="14" t="n">
        <x:v>468</x:v>
      </x:c>
      <x:c r="B469" s="15" t="n">
        <x:v>46333</x:v>
      </x:c>
      <x:c r="C469" s="14" t="str">
        <x:v>Cumartesi</x:v>
      </x:c>
      <x:c r="D469" s="14" t="str">
        <x:v>Hafta Sonu</x:v>
      </x:c>
      <x:c r="E469" s="14" t="str">
        <x:v>Tam gün</x:v>
      </x:c>
      <x:c r="F469" s="14" t="str">
        <x:v>F1 - Temel Kurma</x:v>
      </x:c>
      <x:c r="G469" s="14" t="str">
        <x:v>17:25</x:v>
      </x:c>
      <x:c r="H469" s="14" t="str">
        <x:v>17:55</x:v>
      </x:c>
      <x:c r="I469" s="14" t="str">
        <x:v>Fen</x:v>
      </x:c>
      <x:c r="J469" s="14" t="str">
        <x:v>Ek Fen Pekiştirme</x:v>
      </x:c>
      <x:c r="K469" s="14" t="str">
        <x:v>Biyoteknoloji</x:v>
      </x:c>
      <x:c r="L469" s="14" t="str">
        <x:v>Biyoteknoloji — Fen konu anlatım playlistinden ilgili videoyu izle.</x:v>
      </x:c>
      <x:c r="M469" s="14" t="str">
        <x:v>Fen Konu/Soru Oynatma Listesi</x:v>
      </x:c>
      <x:c r="N469" s="14" t="str">
        <x:v>https://www.youtube.com/watch?v=AHdk01aR4Ko&amp;list=PLrQm7mt99FRV_Oe9xFavWzFpCIl7_XiWj</x:v>
      </x:c>
      <x:c r="O469" s="14" t="n">
        <x:v>0</x:v>
      </x:c>
      <x:c r="P469" s="14" t="str">
        <x:v>Hayır</x:v>
      </x:c>
      <x:c r="Q469" s="14" t="str">
        <x:v>Evet</x:v>
      </x:c>
      <x:c r="R469" s="14" t="str">
        <x:v>Planlandı</x:v>
      </x:c>
      <x:c r="S469" s="15" t="str"/>
      <x:c r="T469" s="14" t="str">
        <x:v>Fen haftalık temas sıklığını artırmak için ek Cumartesi oturumu.</x:v>
      </x:c>
    </x:row>
    <x:row r="470">
      <x:c r="A470" s="14" t="n">
        <x:v>469</x:v>
      </x:c>
      <x:c r="B470" s="15" t="n">
        <x:v>46333</x:v>
      </x:c>
      <x:c r="C470" s="14" t="str">
        <x:v>Cumartesi</x:v>
      </x:c>
      <x:c r="D470" s="14" t="str">
        <x:v>Hafta Sonu</x:v>
      </x:c>
      <x:c r="E470" s="14" t="str">
        <x:v>Tam gün</x:v>
      </x:c>
      <x:c r="F470" s="14" t="str">
        <x:v>F1 - Temel Kurma</x:v>
      </x:c>
      <x:c r="G470" s="14" t="str">
        <x:v>17:55</x:v>
      </x:c>
      <x:c r="H470" s="14" t="str">
        <x:v>18:25</x:v>
      </x:c>
      <x:c r="I470" s="14" t="str">
        <x:v>Fen</x:v>
      </x:c>
      <x:c r="J470" s="14" t="str">
        <x:v>Ek Fen Kitap / MEB</x:v>
      </x:c>
      <x:c r="K470" s="14" t="str">
        <x:v>Biyoteknoloji</x:v>
      </x:c>
      <x:c r="L470" s="14" t="str">
        <x:v>Biyoteknoloji ile ilgili soru kitabından en az 15 soru / bugünkü test payını çöz.</x:v>
      </x:c>
      <x:c r="M470" s="14" t="str">
        <x:v>Hız 8. Sınıf Fen (ISBN 9786257514859); tamamlandıysa Mozaik 8. Sınıf Fen</x:v>
      </x:c>
      <x:c r="N470" s="14" t="str">
        <x:v>https://www.youtube.com/watch?v=AHdk01aR4Ko&amp;list=PLrQm7mt99FRV_Oe9xFavWzFpCIl7_XiWj</x:v>
      </x:c>
      <x:c r="O470" s="14" t="n">
        <x:v>15</x:v>
      </x:c>
      <x:c r="P470" s="14" t="str">
        <x:v>Hayır</x:v>
      </x:c>
      <x:c r="Q470" s="14" t="str">
        <x:v>Evet</x:v>
      </x:c>
      <x:c r="R470" s="14" t="str">
        <x:v>Planlandı</x:v>
      </x:c>
      <x:c r="S470" s="15" t="str"/>
      <x:c r="T470" s="14" t="str">
        <x:v>Fen için Hız → gerekiyorsa Mozaik; MEB doğrulaması konu bitiminde.</x:v>
      </x:c>
    </x:row>
    <x:row r="471">
      <x:c r="A471" s="14" t="n">
        <x:v>470</x:v>
      </x:c>
      <x:c r="B471" s="15" t="n">
        <x:v>46333</x:v>
      </x:c>
      <x:c r="C471" s="14" t="str">
        <x:v>Cumartesi</x:v>
      </x:c>
      <x:c r="D471" s="14" t="str">
        <x:v>Hafta Sonu</x:v>
      </x:c>
      <x:c r="E471" s="14" t="str">
        <x:v>Tam gün</x:v>
      </x:c>
      <x:c r="F471" s="14" t="str">
        <x:v>F1 - Temel Kurma</x:v>
      </x:c>
      <x:c r="G471" s="14" t="str">
        <x:v>18:25</x:v>
      </x:c>
      <x:c r="H471" s="14" t="str">
        <x:v>18:45</x:v>
      </x:c>
      <x:c r="I471" s="14" t="str">
        <x:v>Genel</x:v>
      </x:c>
      <x:c r="J471" s="14" t="str">
        <x:v>Yanlış / Boş Analizi</x:v>
      </x:c>
      <x:c r="K471" s="14" t="str">
        <x:v>Günlük</x:v>
      </x:c>
      <x:c r="L471" s="14" t="str">
        <x:v>Bugünkü yanlış/boşları kaydet; çözümünü öğrenmeden kapatma. Hata türünü sınıflandır.</x:v>
      </x:c>
      <x:c r="M471" s="14" t="str">
        <x:v>Yanlış Defteri</x:v>
      </x:c>
      <x:c r="N471" s="14" t="str"/>
      <x:c r="O471" s="14" t="n">
        <x:v>0</x:v>
      </x:c>
      <x:c r="P471" s="14" t="str">
        <x:v>Hayır</x:v>
      </x:c>
      <x:c r="Q471" s="14" t="str">
        <x:v>Evet</x:v>
      </x:c>
      <x:c r="R471" s="14" t="str">
        <x:v>Planlandı</x:v>
      </x:c>
      <x:c r="S471" s="15" t="str"/>
      <x:c r="T471" s="14" t="str"/>
    </x:row>
    <x:row r="472">
      <x:c r="A472" s="14" t="n">
        <x:v>471</x:v>
      </x:c>
      <x:c r="B472" s="15" t="n">
        <x:v>46333</x:v>
      </x:c>
      <x:c r="C472" s="14" t="str">
        <x:v>Cumartesi</x:v>
      </x:c>
      <x:c r="D472" s="14" t="str">
        <x:v>Hafta Sonu</x:v>
      </x:c>
      <x:c r="E472" s="14" t="str">
        <x:v>Tam gün</x:v>
      </x:c>
      <x:c r="F472" s="14" t="str">
        <x:v>F1 - Temel Kurma</x:v>
      </x:c>
      <x:c r="G472" s="14" t="str">
        <x:v>18:45</x:v>
      </x:c>
      <x:c r="H472" s="14" t="str">
        <x:v>19:05</x:v>
      </x:c>
      <x:c r="I472" s="14" t="str">
        <x:v>Genel</x:v>
      </x:c>
      <x:c r="J472" s="14" t="str">
        <x:v>Aralıklı Hata Tekrarı</x:v>
      </x:c>
      <x:c r="K472" s="14" t="str">
        <x:v>+1 / +7 / +21</x:v>
      </x:c>
      <x:c r="L472" s="14" t="str">
        <x:v>Bugün vadesi gelen yanlış soruları tekrar çöz. Vadesi yoksa bu süre serbest/okuma olabilir.</x:v>
      </x:c>
      <x:c r="M472" s="14" t="str">
        <x:v>Yanlış Defteri</x:v>
      </x:c>
      <x:c r="N472" s="14" t="str"/>
      <x:c r="O472" s="14" t="n">
        <x:v>0</x:v>
      </x:c>
      <x:c r="P472" s="14" t="str">
        <x:v>Hayır</x:v>
      </x:c>
      <x:c r="Q472" s="14" t="str">
        <x:v>Koşullu</x:v>
      </x:c>
      <x:c r="R472" s="14" t="str">
        <x:v>Planlandı</x:v>
      </x:c>
      <x:c r="S472" s="15" t="str"/>
      <x:c r="T472" s="14" t="str">
        <x:v>Yanlışlar +1, +7 ve +21 gün aralıklarıyla tekrar edilir; hâlâ yanlışsa konu mastery durumu düşürülür.</x:v>
      </x:c>
    </x:row>
    <x:row r="473">
      <x:c r="A473" s="14" t="n">
        <x:v>472</x:v>
      </x:c>
      <x:c r="B473" s="15" t="n">
        <x:v>46333</x:v>
      </x:c>
      <x:c r="C473" s="14" t="str">
        <x:v>Cumartesi</x:v>
      </x:c>
      <x:c r="D473" s="14" t="str">
        <x:v>Hafta Sonu</x:v>
      </x:c>
      <x:c r="E473" s="14" t="str">
        <x:v>Tam gün</x:v>
      </x:c>
      <x:c r="F473" s="14" t="str">
        <x:v>F1 - Temel Kurma</x:v>
      </x:c>
      <x:c r="G473" s="14" t="str">
        <x:v>20:00</x:v>
      </x:c>
      <x:c r="H473" s="14" t="str">
        <x:v>20:30</x:v>
      </x:c>
      <x:c r="I473" s="14" t="str">
        <x:v>Okuma</x:v>
      </x:c>
      <x:c r="J473" s="14" t="str">
        <x:v>İsteğe Bağlı</x:v>
      </x:c>
      <x:c r="K473" s="14" t="str">
        <x:v>Serbest Kitap</x:v>
      </x:c>
      <x:c r="L473" s="14" t="str">
        <x:v>Zorunlu çalışmalar bittiyse isteğe bağlı kitap oku.</x:v>
      </x:c>
      <x:c r="M473" s="14" t="str">
        <x:v>Serbest Kitap</x:v>
      </x:c>
      <x:c r="N473" s="14" t="str"/>
      <x:c r="O473" s="14" t="n">
        <x:v>0</x:v>
      </x:c>
      <x:c r="P473" s="14" t="str">
        <x:v>İsteğe Bağlı</x:v>
      </x:c>
      <x:c r="Q473" s="14" t="str">
        <x:v>Hayır</x:v>
      </x:c>
      <x:c r="R473" s="14" t="str">
        <x:v>Planlandı</x:v>
      </x:c>
      <x:c r="S473" s="15" t="str"/>
      <x:c r="T473" s="14" t="str">
        <x:v>Minimum süre yok.</x:v>
      </x:c>
    </x:row>
    <x:row r="474">
      <x:c r="A474" s="14" t="n">
        <x:v>473</x:v>
      </x:c>
      <x:c r="B474" s="15" t="n">
        <x:v>46333</x:v>
      </x:c>
      <x:c r="C474" s="14" t="str">
        <x:v>Cumartesi</x:v>
      </x:c>
      <x:c r="D474" s="14" t="str">
        <x:v>Hafta Sonu</x:v>
      </x:c>
      <x:c r="E474" s="14" t="str">
        <x:v>Tam gün</x:v>
      </x:c>
      <x:c r="F474" s="14" t="str">
        <x:v>F1 - Temel Kurma</x:v>
      </x:c>
      <x:c r="G474" s="14" t="str">
        <x:v>21:50</x:v>
      </x:c>
      <x:c r="H474" s="14" t="str">
        <x:v>22:00</x:v>
      </x:c>
      <x:c r="I474" s="14" t="str">
        <x:v>Genel</x:v>
      </x:c>
      <x:c r="J474" s="14" t="str">
        <x:v>Uyku Hazırlığı</x:v>
      </x:c>
      <x:c r="K474" s="14" t="str"/>
      <x:c r="L474" s="14" t="str">
        <x:v>22:00'de yatakta ve uyku.</x:v>
      </x:c>
      <x:c r="M474" s="14" t="str"/>
      <x:c r="N474" s="14" t="str"/>
      <x:c r="O474" s="14" t="n">
        <x:v>0</x:v>
      </x:c>
      <x:c r="P474" s="14" t="str">
        <x:v>Hayır</x:v>
      </x:c>
      <x:c r="Q474" s="14" t="str">
        <x:v>Hayır</x:v>
      </x:c>
      <x:c r="R474" s="14" t="str">
        <x:v>Planlandı</x:v>
      </x:c>
      <x:c r="S474" s="15" t="str"/>
      <x:c r="T474" s="14" t="str"/>
    </x:row>
    <x:row r="475">
      <x:c r="A475" s="14" t="n">
        <x:v>474</x:v>
      </x:c>
      <x:c r="B475" s="15" t="n">
        <x:v>46334</x:v>
      </x:c>
      <x:c r="C475" s="14" t="str">
        <x:v>Pazar</x:v>
      </x:c>
      <x:c r="D475" s="14" t="str">
        <x:v>Hafta Sonu</x:v>
      </x:c>
      <x:c r="E475" s="14" t="str">
        <x:v>Tam gün</x:v>
      </x:c>
      <x:c r="F475" s="14" t="str">
        <x:v>F1 - Temel Kurma</x:v>
      </x:c>
      <x:c r="G475" s="14" t="str">
        <x:v>09:30</x:v>
      </x:c>
      <x:c r="H475" s="14" t="str">
        <x:v>10:15</x:v>
      </x:c>
      <x:c r="I475" s="14" t="str">
        <x:v>Matematik</x:v>
      </x:c>
      <x:c r="J475" s="14" t="str">
        <x:v>Konu / Tekrar</x:v>
      </x:c>
      <x:c r="K475" s="14" t="str">
        <x:v>Mutlak Değer ve Sayı Doğrusu</x:v>
      </x:c>
      <x:c r="L475" s="14" t="str">
        <x:v>Mutlak Değer ve Sayı Doğrusu — genel oynatma listesinden ilgili videoyu izle (1/2).</x:v>
      </x:c>
      <x:c r="M475" s="14" t="str">
        <x:v>Matematik Ana Oynatma Listesi</x:v>
      </x:c>
      <x:c r="N475" s="14" t="str">
        <x:v>https://www.youtube.com/watch?v=EuJ89QzqrAg&amp;list=PLicNtF7vp6fnfDqrRLH6H7fIbzYT4ct4F&amp;index=11</x:v>
      </x:c>
      <x:c r="O475" s="14" t="n">
        <x:v>0</x:v>
      </x:c>
      <x:c r="P475" s="14" t="str">
        <x:v>Hayır</x:v>
      </x:c>
      <x:c r="Q475" s="14" t="str">
        <x:v>Evet</x:v>
      </x:c>
      <x:c r="R475" s="14" t="str">
        <x:v>Planlandı</x:v>
      </x:c>
      <x:c r="S475" s="15" t="str"/>
      <x:c r="T475" s="14" t="str">
        <x:v>Yeni konu ancak plan sırasıyla açılır; LGS dışı ileri TYT içeriği zorunlu değildir.</x:v>
      </x:c>
    </x:row>
    <x:row r="476">
      <x:c r="A476" s="14" t="n">
        <x:v>475</x:v>
      </x:c>
      <x:c r="B476" s="15" t="n">
        <x:v>46334</x:v>
      </x:c>
      <x:c r="C476" s="14" t="str">
        <x:v>Pazar</x:v>
      </x:c>
      <x:c r="D476" s="14" t="str">
        <x:v>Hafta Sonu</x:v>
      </x:c>
      <x:c r="E476" s="14" t="str">
        <x:v>Tam gün</x:v>
      </x:c>
      <x:c r="F476" s="14" t="str">
        <x:v>F1 - Temel Kurma</x:v>
      </x:c>
      <x:c r="G476" s="14" t="str">
        <x:v>10:25</x:v>
      </x:c>
      <x:c r="H476" s="14" t="str">
        <x:v>11:15</x:v>
      </x:c>
      <x:c r="I476" s="14" t="str">
        <x:v>Matematik</x:v>
      </x:c>
      <x:c r="J476" s="14" t="str">
        <x:v>Kitap / MEB / Mastery</x:v>
      </x:c>
      <x:c r="K476" s="14" t="str">
        <x:v>Mutlak Değer ve Sayı Doğrusu</x:v>
      </x:c>
      <x:c r="L476" s="14" t="str">
        <x:v>Mutlak Değer ve Sayı Doğrusu ile ilgili soru kitabından en az 20 soru / bugünkü test payını çöz.</x:v>
      </x:c>
      <x:c r="M476" s="14" t="str">
        <x:v>MUBA 8. Sınıf Başlangıç Matematik (ISBN 9789756526972) (eşleşen bölüm) + MEB temel destek</x:v>
      </x:c>
      <x:c r="N476" s="14" t="str">
        <x:v>https://odsgm.meb.gov.tr/www/5-6-7-ve-9-sinif-duzeylerinde-calisma-sorulari-yayimlandi/icerik/775</x:v>
      </x:c>
      <x:c r="O476" s="14" t="n">
        <x:v>20</x:v>
      </x:c>
      <x:c r="P476" s="14" t="str">
        <x:v>İlk 20 soru</x:v>
      </x:c>
      <x:c r="Q476" s="14" t="str">
        <x:v>Evet</x:v>
      </x:c>
      <x:c r="R476" s="14" t="str">
        <x:v>Planlandı</x:v>
      </x:c>
      <x:c r="S476" s="15" t="str"/>
      <x:c r="T476" s="14" t="str">
        <x:v>Ayrı/rastgele matematik benchmark yoktur. Süreli ilk 20 soru o gün çalışılan konunun içindedir.</x:v>
      </x:c>
    </x:row>
    <x:row r="477">
      <x:c r="A477" s="14" t="n">
        <x:v>476</x:v>
      </x:c>
      <x:c r="B477" s="15" t="n">
        <x:v>46334</x:v>
      </x:c>
      <x:c r="C477" s="14" t="str">
        <x:v>Pazar</x:v>
      </x:c>
      <x:c r="D477" s="14" t="str">
        <x:v>Hafta Sonu</x:v>
      </x:c>
      <x:c r="E477" s="14" t="str">
        <x:v>Tam gün</x:v>
      </x:c>
      <x:c r="F477" s="14" t="str">
        <x:v>F1 - Temel Kurma</x:v>
      </x:c>
      <x:c r="G477" s="14" t="str">
        <x:v>12:00</x:v>
      </x:c>
      <x:c r="H477" s="14" t="str">
        <x:v>14:00</x:v>
      </x:c>
      <x:c r="I477" s="14" t="str">
        <x:v>Genel</x:v>
      </x:c>
      <x:c r="J477" s="14" t="str">
        <x:v>Yemek / Serbest Zaman</x:v>
      </x:c>
      <x:c r="K477" s="14" t="str"/>
      <x:c r="L477" s="14" t="str">
        <x:v>Yemek, hareket ve dinlenme.</x:v>
      </x:c>
      <x:c r="M477" s="14" t="str"/>
      <x:c r="N477" s="14" t="str"/>
      <x:c r="O477" s="14" t="n">
        <x:v>0</x:v>
      </x:c>
      <x:c r="P477" s="14" t="str">
        <x:v>Hayır</x:v>
      </x:c>
      <x:c r="Q477" s="14" t="str">
        <x:v>Hayır</x:v>
      </x:c>
      <x:c r="R477" s="14" t="str">
        <x:v>Planlandı</x:v>
      </x:c>
      <x:c r="S477" s="15" t="str"/>
      <x:c r="T477" s="14" t="str"/>
    </x:row>
    <x:row r="478">
      <x:c r="A478" s="14" t="n">
        <x:v>477</x:v>
      </x:c>
      <x:c r="B478" s="15" t="n">
        <x:v>46334</x:v>
      </x:c>
      <x:c r="C478" s="14" t="str">
        <x:v>Pazar</x:v>
      </x:c>
      <x:c r="D478" s="14" t="str">
        <x:v>Hafta Sonu</x:v>
      </x:c>
      <x:c r="E478" s="14" t="str">
        <x:v>Tam gün</x:v>
      </x:c>
      <x:c r="F478" s="14" t="str">
        <x:v>F1 - Temel Kurma</x:v>
      </x:c>
      <x:c r="G478" s="14" t="str">
        <x:v>11:25</x:v>
      </x:c>
      <x:c r="H478" s="14" t="str">
        <x:v>11:55</x:v>
      </x:c>
      <x:c r="I478" s="14" t="str">
        <x:v>Türkçe</x:v>
      </x:c>
      <x:c r="J478" s="14" t="str">
        <x:v>Paragraf Rutini</x:v>
      </x:c>
      <x:c r="K478" s="14" t="str">
        <x:v>Paragraf</x:v>
      </x:c>
      <x:c r="L478" s="14" t="str">
        <x:v>En az 20 paragraf sorusu çöz; ilk 20 soruyu ileri sayımla ölç, D/Y/B + süre kaydet.</x:v>
      </x:c>
      <x:c r="M478" s="14" t="str">
        <x:v>Hız 8. Sınıf Türkçe Paragraf (ISBN 9786258394498)</x:v>
      </x:c>
      <x:c r="N478" s="14" t="str"/>
      <x:c r="O478" s="14" t="n">
        <x:v>20</x:v>
      </x:c>
      <x:c r="P478" s="14" t="str">
        <x:v>İlk 20 soru</x:v>
      </x:c>
      <x:c r="Q478" s="14" t="str">
        <x:v>Evet</x:v>
      </x:c>
      <x:c r="R478" s="14" t="str">
        <x:v>Planlandı</x:v>
      </x:c>
      <x:c r="S478" s="15" t="str"/>
      <x:c r="T478" s="14" t="str">
        <x:v>Geri sayım ve hedef süre yok.</x:v>
      </x:c>
    </x:row>
    <x:row r="479">
      <x:c r="A479" s="14" t="n">
        <x:v>478</x:v>
      </x:c>
      <x:c r="B479" s="15" t="n">
        <x:v>46334</x:v>
      </x:c>
      <x:c r="C479" s="14" t="str">
        <x:v>Pazar</x:v>
      </x:c>
      <x:c r="D479" s="14" t="str">
        <x:v>Hafta Sonu</x:v>
      </x:c>
      <x:c r="E479" s="14" t="str">
        <x:v>Tam gün</x:v>
      </x:c>
      <x:c r="F479" s="14" t="str">
        <x:v>F1 - Temel Kurma</x:v>
      </x:c>
      <x:c r="G479" s="14" t="str">
        <x:v>14:00</x:v>
      </x:c>
      <x:c r="H479" s="14" t="str">
        <x:v>14:40</x:v>
      </x:c>
      <x:c r="I479" s="14" t="str">
        <x:v>Türkçe</x:v>
      </x:c>
      <x:c r="J479" s="14" t="str">
        <x:v>Konu / Tekrar</x:v>
      </x:c>
      <x:c r="K479" s="14" t="str">
        <x:v>Ad Tamlamaları</x:v>
      </x:c>
      <x:c r="L479" s="14" t="str">
        <x:v>Ad Tamlamaları — genel oynatma listesinden ilgili videoyu izle (1/3).</x:v>
      </x:c>
      <x:c r="M479" s="14" t="str">
        <x:v>Türkçe Ana Oynatma Listesi</x:v>
      </x:c>
      <x:c r="N479" s="14" t="str">
        <x:v>https://www.youtube.com/watch?v=VYsPntNKVdw&amp;list=PLIBjFaUoJJ91bz7QQEBlxNJNZka5YQRr6</x:v>
      </x:c>
      <x:c r="O479" s="14" t="n">
        <x:v>0</x:v>
      </x:c>
      <x:c r="P479" s="14" t="str">
        <x:v>Hayır</x:v>
      </x:c>
      <x:c r="Q479" s="14" t="str">
        <x:v>Evet</x:v>
      </x:c>
      <x:c r="R479" s="14" t="str">
        <x:v>Planlandı</x:v>
      </x:c>
      <x:c r="S479" s="15" t="str"/>
      <x:c r="T479" s="14" t="str">
        <x:v>TYT etiketli kaynak temelden başlamak için sabittir; LGS dışı gereksiz ayrıntı zorunlu değildir.</x:v>
      </x:c>
    </x:row>
    <x:row r="480">
      <x:c r="A480" s="14" t="n">
        <x:v>479</x:v>
      </x:c>
      <x:c r="B480" s="15" t="n">
        <x:v>46334</x:v>
      </x:c>
      <x:c r="C480" s="14" t="str">
        <x:v>Pazar</x:v>
      </x:c>
      <x:c r="D480" s="14" t="str">
        <x:v>Hafta Sonu</x:v>
      </x:c>
      <x:c r="E480" s="14" t="str">
        <x:v>Tam gün</x:v>
      </x:c>
      <x:c r="F480" s="14" t="str">
        <x:v>F1 - Temel Kurma</x:v>
      </x:c>
      <x:c r="G480" s="14" t="str">
        <x:v>14:50</x:v>
      </x:c>
      <x:c r="H480" s="14" t="str">
        <x:v>15:30</x:v>
      </x:c>
      <x:c r="I480" s="14" t="str">
        <x:v>Türkçe</x:v>
      </x:c>
      <x:c r="J480" s="14" t="str">
        <x:v>Kitap / MEB / Mastery</x:v>
      </x:c>
      <x:c r="K480" s="14" t="str">
        <x:v>Ad Tamlamaları</x:v>
      </x:c>
      <x:c r="L480" s="14" t="str">
        <x:v>Ad Tamlamaları ile ilgili soru kitabından en az 10 soru / bugünkü test payını çöz.</x:v>
      </x:c>
      <x:c r="M480" s="14" t="str">
        <x:v>Ankara 8. Sınıf Dil Bilgisi Güçlendiren (eşleşen bölüm) + MEB temel destek</x:v>
      </x:c>
      <x:c r="N480" s="14" t="str">
        <x:v>https://odsgm.meb.gov.tr/www/5-6-7-ve-9-sinif-duzeylerinde-calisma-sorulari-yayimlandi/icerik/775</x:v>
      </x:c>
      <x:c r="O480" s="14" t="n">
        <x:v>10</x:v>
      </x:c>
      <x:c r="P480" s="14" t="str">
        <x:v>Hayır</x:v>
      </x:c>
      <x:c r="Q480" s="14" t="str">
        <x:v>Evet</x:v>
      </x:c>
      <x:c r="R480" s="14" t="str">
        <x:v>Planlandı</x:v>
      </x:c>
      <x:c r="S480" s="15" t="str"/>
      <x:c r="T480" s="14" t="str"/>
    </x:row>
    <x:row r="481">
      <x:c r="A481" s="14" t="n">
        <x:v>480</x:v>
      </x:c>
      <x:c r="B481" s="15" t="n">
        <x:v>46334</x:v>
      </x:c>
      <x:c r="C481" s="14" t="str">
        <x:v>Pazar</x:v>
      </x:c>
      <x:c r="D481" s="14" t="str">
        <x:v>Hafta Sonu</x:v>
      </x:c>
      <x:c r="E481" s="14" t="str">
        <x:v>Tam gün</x:v>
      </x:c>
      <x:c r="F481" s="14" t="str">
        <x:v>F1 - Temel Kurma</x:v>
      </x:c>
      <x:c r="G481" s="14" t="str">
        <x:v>15:45</x:v>
      </x:c>
      <x:c r="H481" s="14" t="str">
        <x:v>16:25</x:v>
      </x:c>
      <x:c r="I481" s="14" t="str">
        <x:v>İnkılap</x:v>
      </x:c>
      <x:c r="J481" s="14" t="str">
        <x:v>Konu / Tekrar</x:v>
      </x:c>
      <x:c r="K481" s="14" t="str">
        <x:v>I. Dünya Savaşı ve Osmanlı Devleti</x:v>
      </x:c>
      <x:c r="L481" s="14" t="str">
        <x:v>I. Dünya Savaşı ve Osmanlı Devleti — genel oynatma listesinden ilgili konu/soru çalışmasını yap.</x:v>
      </x:c>
      <x:c r="M481" s="14" t="str">
        <x:v>İnkılap Genel Oynatma Listesi</x:v>
      </x:c>
      <x:c r="N481" s="14" t="str">
        <x:v>https://www.youtube.com/watch?v=MltIX0oKpYU&amp;list=PLsAsBPsriHNbXit4Ra3iuBrk1ZHZWxsOR&amp;index=78</x:v>
      </x:c>
      <x:c r="O481" s="14" t="n">
        <x:v>0</x:v>
      </x:c>
      <x:c r="P481" s="14" t="str">
        <x:v>Hayır</x:v>
      </x:c>
      <x:c r="Q481" s="14" t="str">
        <x:v>Evet</x:v>
      </x:c>
      <x:c r="R481" s="14" t="str">
        <x:v>Planlandı</x:v>
      </x:c>
      <x:c r="S481" s="15" t="str"/>
      <x:c r="T481" s="14" t="str">
        <x:v>İnkılapta okul yazılısı videoları zorunlu değildir.</x:v>
      </x:c>
    </x:row>
    <x:row r="482">
      <x:c r="A482" s="14" t="n">
        <x:v>481</x:v>
      </x:c>
      <x:c r="B482" s="15" t="n">
        <x:v>46334</x:v>
      </x:c>
      <x:c r="C482" s="14" t="str">
        <x:v>Pazar</x:v>
      </x:c>
      <x:c r="D482" s="14" t="str">
        <x:v>Hafta Sonu</x:v>
      </x:c>
      <x:c r="E482" s="14" t="str">
        <x:v>Tam gün</x:v>
      </x:c>
      <x:c r="F482" s="14" t="str">
        <x:v>F1 - Temel Kurma</x:v>
      </x:c>
      <x:c r="G482" s="14" t="str">
        <x:v>16:35</x:v>
      </x:c>
      <x:c r="H482" s="14" t="str">
        <x:v>17:15</x:v>
      </x:c>
      <x:c r="I482" s="14" t="str">
        <x:v>İnkılap</x:v>
      </x:c>
      <x:c r="J482" s="14" t="str">
        <x:v>Kitap / MEB / Mastery</x:v>
      </x:c>
      <x:c r="K482" s="14" t="str">
        <x:v>I. Dünya Savaşı ve Osmanlı Devleti</x:v>
      </x:c>
      <x:c r="L482" s="14" t="str">
        <x:v>I. Dünya Savaşı ve Osmanlı Devleti ile ilgili soru kitabından en az 15 soru / bugünkü test payını çöz.</x:v>
      </x:c>
      <x:c r="M482" s="14" t="str">
        <x:v>Hız 8. Sınıf T.C. İnkılap Tarihi ve Atatürkçülük</x:v>
      </x:c>
      <x:c r="N482" s="14" t="str">
        <x:v>https://www.youtube.com/watch?v=MltIX0oKpYU&amp;list=PLsAsBPsriHNbXit4Ra3iuBrk1ZHZWxsOR&amp;index=78</x:v>
      </x:c>
      <x:c r="O482" s="14" t="n">
        <x:v>15</x:v>
      </x:c>
      <x:c r="P482" s="14" t="str">
        <x:v>Hayır</x:v>
      </x:c>
      <x:c r="Q482" s="14" t="str">
        <x:v>Evet</x:v>
      </x:c>
      <x:c r="R482" s="14" t="str">
        <x:v>Planlandı</x:v>
      </x:c>
      <x:c r="S482" s="15" t="str"/>
      <x:c r="T482" s="14" t="str"/>
    </x:row>
    <x:row r="483">
      <x:c r="A483" s="14" t="n">
        <x:v>482</x:v>
      </x:c>
      <x:c r="B483" s="15" t="n">
        <x:v>46334</x:v>
      </x:c>
      <x:c r="C483" s="14" t="str">
        <x:v>Pazar</x:v>
      </x:c>
      <x:c r="D483" s="14" t="str">
        <x:v>Hafta Sonu</x:v>
      </x:c>
      <x:c r="E483" s="14" t="str">
        <x:v>Tam gün</x:v>
      </x:c>
      <x:c r="F483" s="14" t="str">
        <x:v>F1 - Temel Kurma</x:v>
      </x:c>
      <x:c r="G483" s="14" t="str">
        <x:v>17:25</x:v>
      </x:c>
      <x:c r="H483" s="14" t="str">
        <x:v>18:25</x:v>
      </x:c>
      <x:c r="I483" s="14" t="str">
        <x:v>Genel</x:v>
      </x:c>
      <x:c r="J483" s="14" t="str">
        <x:v>Kaynak Tamamlama</x:v>
      </x:c>
      <x:c r="K483" s="14" t="str">
        <x:v>En Geride Kalan Kaynak</x:v>
      </x:c>
      <x:c r="L483" s="14" t="str">
        <x:v>Kaynak_Ilerleme sayfasında hedef yüzdesinin en gerisinde kalan ZORUNLU soru kaynağına 60 dk ayır. Öğrenilmemiş konudan ileri gitme.</x:v>
      </x:c>
      <x:c r="M483" s="14" t="str">
        <x:v>Kaynak İlerleme</x:v>
      </x:c>
      <x:c r="N483" s="14" t="str"/>
      <x:c r="O483" s="14" t="n">
        <x:v>0</x:v>
      </x:c>
      <x:c r="P483" s="14" t="str">
        <x:v>Hayır</x:v>
      </x:c>
      <x:c r="Q483" s="14" t="str">
        <x:v>Evet</x:v>
      </x:c>
      <x:c r="R483" s="14" t="str">
        <x:v>Planlandı</x:v>
      </x:c>
      <x:c r="S483" s="15" t="str"/>
      <x:c r="T483" s="14" t="str">
        <x:v>Amaç 13.04.2027'de zorunlu soru kitapları + ilgili MEB setlerini %100 tamamlamak.</x:v>
      </x:c>
    </x:row>
    <x:row r="484">
      <x:c r="A484" s="14" t="n">
        <x:v>483</x:v>
      </x:c>
      <x:c r="B484" s="15" t="n">
        <x:v>46334</x:v>
      </x:c>
      <x:c r="C484" s="14" t="str">
        <x:v>Pazar</x:v>
      </x:c>
      <x:c r="D484" s="14" t="str">
        <x:v>Hafta Sonu</x:v>
      </x:c>
      <x:c r="E484" s="14" t="str">
        <x:v>Tam gün</x:v>
      </x:c>
      <x:c r="F484" s="14" t="str">
        <x:v>F1 - Temel Kurma</x:v>
      </x:c>
      <x:c r="G484" s="14" t="str">
        <x:v>18:25</x:v>
      </x:c>
      <x:c r="H484" s="14" t="str">
        <x:v>18:45</x:v>
      </x:c>
      <x:c r="I484" s="14" t="str">
        <x:v>Genel</x:v>
      </x:c>
      <x:c r="J484" s="14" t="str">
        <x:v>Yanlış / Boş Analizi</x:v>
      </x:c>
      <x:c r="K484" s="14" t="str">
        <x:v>Günlük</x:v>
      </x:c>
      <x:c r="L484" s="14" t="str">
        <x:v>Bugünkü yanlış/boşları kaydet; çözümünü öğrenmeden kapatma. Hata türünü sınıflandır.</x:v>
      </x:c>
      <x:c r="M484" s="14" t="str">
        <x:v>Yanlış Defteri</x:v>
      </x:c>
      <x:c r="N484" s="14" t="str"/>
      <x:c r="O484" s="14" t="n">
        <x:v>0</x:v>
      </x:c>
      <x:c r="P484" s="14" t="str">
        <x:v>Hayır</x:v>
      </x:c>
      <x:c r="Q484" s="14" t="str">
        <x:v>Evet</x:v>
      </x:c>
      <x:c r="R484" s="14" t="str">
        <x:v>Planlandı</x:v>
      </x:c>
      <x:c r="S484" s="15" t="str"/>
      <x:c r="T484" s="14" t="str"/>
    </x:row>
    <x:row r="485">
      <x:c r="A485" s="14" t="n">
        <x:v>484</x:v>
      </x:c>
      <x:c r="B485" s="15" t="n">
        <x:v>46334</x:v>
      </x:c>
      <x:c r="C485" s="14" t="str">
        <x:v>Pazar</x:v>
      </x:c>
      <x:c r="D485" s="14" t="str">
        <x:v>Hafta Sonu</x:v>
      </x:c>
      <x:c r="E485" s="14" t="str">
        <x:v>Tam gün</x:v>
      </x:c>
      <x:c r="F485" s="14" t="str">
        <x:v>F1 - Temel Kurma</x:v>
      </x:c>
      <x:c r="G485" s="14" t="str">
        <x:v>18:45</x:v>
      </x:c>
      <x:c r="H485" s="14" t="str">
        <x:v>19:05</x:v>
      </x:c>
      <x:c r="I485" s="14" t="str">
        <x:v>Genel</x:v>
      </x:c>
      <x:c r="J485" s="14" t="str">
        <x:v>Aralıklı Hata Tekrarı</x:v>
      </x:c>
      <x:c r="K485" s="14" t="str">
        <x:v>+1 / +7 / +21</x:v>
      </x:c>
      <x:c r="L485" s="14" t="str">
        <x:v>Bugün vadesi gelen yanlış soruları tekrar çöz. Vadesi yoksa bu süre serbest/okuma olabilir.</x:v>
      </x:c>
      <x:c r="M485" s="14" t="str">
        <x:v>Yanlış Defteri</x:v>
      </x:c>
      <x:c r="N485" s="14" t="str"/>
      <x:c r="O485" s="14" t="n">
        <x:v>0</x:v>
      </x:c>
      <x:c r="P485" s="14" t="str">
        <x:v>Hayır</x:v>
      </x:c>
      <x:c r="Q485" s="14" t="str">
        <x:v>Koşullu</x:v>
      </x:c>
      <x:c r="R485" s="14" t="str">
        <x:v>Planlandı</x:v>
      </x:c>
      <x:c r="S485" s="15" t="str"/>
      <x:c r="T485" s="14" t="str">
        <x:v>Yanlışlar +1, +7 ve +21 gün aralıklarıyla tekrar edilir; hâlâ yanlışsa konu mastery durumu düşürülür.</x:v>
      </x:c>
    </x:row>
    <x:row r="486">
      <x:c r="A486" s="14" t="n">
        <x:v>485</x:v>
      </x:c>
      <x:c r="B486" s="15" t="n">
        <x:v>46334</x:v>
      </x:c>
      <x:c r="C486" s="14" t="str">
        <x:v>Pazar</x:v>
      </x:c>
      <x:c r="D486" s="14" t="str">
        <x:v>Hafta Sonu</x:v>
      </x:c>
      <x:c r="E486" s="14" t="str">
        <x:v>Tam gün</x:v>
      </x:c>
      <x:c r="F486" s="14" t="str">
        <x:v>F1 - Temel Kurma</x:v>
      </x:c>
      <x:c r="G486" s="14" t="str">
        <x:v>20:00</x:v>
      </x:c>
      <x:c r="H486" s="14" t="str">
        <x:v>20:30</x:v>
      </x:c>
      <x:c r="I486" s="14" t="str">
        <x:v>Okuma</x:v>
      </x:c>
      <x:c r="J486" s="14" t="str">
        <x:v>İsteğe Bağlı</x:v>
      </x:c>
      <x:c r="K486" s="14" t="str">
        <x:v>Serbest Kitap</x:v>
      </x:c>
      <x:c r="L486" s="14" t="str">
        <x:v>Zorunlu çalışmalar bittiyse isteğe bağlı kitap oku.</x:v>
      </x:c>
      <x:c r="M486" s="14" t="str">
        <x:v>Serbest Kitap</x:v>
      </x:c>
      <x:c r="N486" s="14" t="str"/>
      <x:c r="O486" s="14" t="n">
        <x:v>0</x:v>
      </x:c>
      <x:c r="P486" s="14" t="str">
        <x:v>İsteğe Bağlı</x:v>
      </x:c>
      <x:c r="Q486" s="14" t="str">
        <x:v>Hayır</x:v>
      </x:c>
      <x:c r="R486" s="14" t="str">
        <x:v>Planlandı</x:v>
      </x:c>
      <x:c r="S486" s="15" t="str"/>
      <x:c r="T486" s="14" t="str">
        <x:v>Minimum süre yok.</x:v>
      </x:c>
    </x:row>
    <x:row r="487">
      <x:c r="A487" s="14" t="n">
        <x:v>486</x:v>
      </x:c>
      <x:c r="B487" s="15" t="n">
        <x:v>46334</x:v>
      </x:c>
      <x:c r="C487" s="14" t="str">
        <x:v>Pazar</x:v>
      </x:c>
      <x:c r="D487" s="14" t="str">
        <x:v>Hafta Sonu</x:v>
      </x:c>
      <x:c r="E487" s="14" t="str">
        <x:v>Tam gün</x:v>
      </x:c>
      <x:c r="F487" s="14" t="str">
        <x:v>F1 - Temel Kurma</x:v>
      </x:c>
      <x:c r="G487" s="14" t="str">
        <x:v>21:50</x:v>
      </x:c>
      <x:c r="H487" s="14" t="str">
        <x:v>22:00</x:v>
      </x:c>
      <x:c r="I487" s="14" t="str">
        <x:v>Genel</x:v>
      </x:c>
      <x:c r="J487" s="14" t="str">
        <x:v>Uyku Hazırlığı</x:v>
      </x:c>
      <x:c r="K487" s="14" t="str"/>
      <x:c r="L487" s="14" t="str">
        <x:v>22:00'de yatakta ve uyku.</x:v>
      </x:c>
      <x:c r="M487" s="14" t="str"/>
      <x:c r="N487" s="14" t="str"/>
      <x:c r="O487" s="14" t="n">
        <x:v>0</x:v>
      </x:c>
      <x:c r="P487" s="14" t="str">
        <x:v>Hayır</x:v>
      </x:c>
      <x:c r="Q487" s="14" t="str">
        <x:v>Hayır</x:v>
      </x:c>
      <x:c r="R487" s="14" t="str">
        <x:v>Planlandı</x:v>
      </x:c>
      <x:c r="S487" s="15" t="str"/>
      <x:c r="T487" s="14" t="str"/>
    </x:row>
    <x:row r="488">
      <x:c r="A488" s="14" t="n">
        <x:v>487</x:v>
      </x:c>
      <x:c r="B488" s="15" t="n">
        <x:v>46335</x:v>
      </x:c>
      <x:c r="C488" s="14" t="str">
        <x:v>Pazartesi</x:v>
      </x:c>
      <x:c r="D488" s="14" t="str">
        <x:v>Okul Günü</x:v>
      </x:c>
      <x:c r="E488" s="14" t="str">
        <x:v>16:00 sonrası</x:v>
      </x:c>
      <x:c r="F488" s="14" t="str">
        <x:v>F1 - Temel Kurma</x:v>
      </x:c>
      <x:c r="G488" s="14" t="str">
        <x:v>16:00</x:v>
      </x:c>
      <x:c r="H488" s="14" t="str">
        <x:v>16:25</x:v>
      </x:c>
      <x:c r="I488" s="14" t="str">
        <x:v>Genel</x:v>
      </x:c>
      <x:c r="J488" s="14" t="str">
        <x:v>Dinlenme</x:v>
      </x:c>
      <x:c r="K488" s="14" t="str"/>
      <x:c r="L488" s="14" t="str">
        <x:v>Eve geliş, atıştırma ve dinlenme.</x:v>
      </x:c>
      <x:c r="M488" s="14" t="str"/>
      <x:c r="N488" s="14" t="str"/>
      <x:c r="O488" s="14" t="n">
        <x:v>0</x:v>
      </x:c>
      <x:c r="P488" s="14" t="str">
        <x:v>Hayır</x:v>
      </x:c>
      <x:c r="Q488" s="14" t="str">
        <x:v>Hayır</x:v>
      </x:c>
      <x:c r="R488" s="14" t="str">
        <x:v>Planlandı</x:v>
      </x:c>
      <x:c r="S488" s="15" t="str"/>
      <x:c r="T488" s="14" t="str"/>
    </x:row>
    <x:row r="489">
      <x:c r="A489" s="14" t="n">
        <x:v>488</x:v>
      </x:c>
      <x:c r="B489" s="15" t="n">
        <x:v>46335</x:v>
      </x:c>
      <x:c r="C489" s="14" t="str">
        <x:v>Pazartesi</x:v>
      </x:c>
      <x:c r="D489" s="14" t="str">
        <x:v>Okul Günü</x:v>
      </x:c>
      <x:c r="E489" s="14" t="str">
        <x:v>16:00 sonrası</x:v>
      </x:c>
      <x:c r="F489" s="14" t="str">
        <x:v>F1 - Temel Kurma</x:v>
      </x:c>
      <x:c r="G489" s="14" t="str">
        <x:v>16:25</x:v>
      </x:c>
      <x:c r="H489" s="14" t="str">
        <x:v>17:05</x:v>
      </x:c>
      <x:c r="I489" s="14" t="str">
        <x:v>Matematik</x:v>
      </x:c>
      <x:c r="J489" s="14" t="str">
        <x:v>Konu / Tekrar</x:v>
      </x:c>
      <x:c r="K489" s="14" t="str">
        <x:v>Mutlak Değer ve Sayı Doğrusu</x:v>
      </x:c>
      <x:c r="L489" s="14" t="str">
        <x:v>Mutlak Değer ve Sayı Doğrusu — genel oynatma listesinden ilgili videoyu izle (2/2).</x:v>
      </x:c>
      <x:c r="M489" s="14" t="str">
        <x:v>Matematik Ana Oynatma Listesi</x:v>
      </x:c>
      <x:c r="N489" s="14" t="str">
        <x:v>https://www.youtube.com/watch?v=EuJ89QzqrAg&amp;list=PLicNtF7vp6fnfDqrRLH6H7fIbzYT4ct4F&amp;index=11</x:v>
      </x:c>
      <x:c r="O489" s="14" t="n">
        <x:v>0</x:v>
      </x:c>
      <x:c r="P489" s="14" t="str">
        <x:v>Hayır</x:v>
      </x:c>
      <x:c r="Q489" s="14" t="str">
        <x:v>Evet</x:v>
      </x:c>
      <x:c r="R489" s="14" t="str">
        <x:v>Planlandı</x:v>
      </x:c>
      <x:c r="S489" s="15" t="str"/>
      <x:c r="T489" s="14" t="str">
        <x:v>Yeni konu ancak plan sırasıyla açılır; LGS dışı ileri TYT içeriği zorunlu değildir.</x:v>
      </x:c>
    </x:row>
    <x:row r="490">
      <x:c r="A490" s="14" t="n">
        <x:v>489</x:v>
      </x:c>
      <x:c r="B490" s="15" t="n">
        <x:v>46335</x:v>
      </x:c>
      <x:c r="C490" s="14" t="str">
        <x:v>Pazartesi</x:v>
      </x:c>
      <x:c r="D490" s="14" t="str">
        <x:v>Okul Günü</x:v>
      </x:c>
      <x:c r="E490" s="14" t="str">
        <x:v>16:00 sonrası</x:v>
      </x:c>
      <x:c r="F490" s="14" t="str">
        <x:v>F1 - Temel Kurma</x:v>
      </x:c>
      <x:c r="G490" s="14" t="str">
        <x:v>17:10</x:v>
      </x:c>
      <x:c r="H490" s="14" t="str">
        <x:v>17:55</x:v>
      </x:c>
      <x:c r="I490" s="14" t="str">
        <x:v>Matematik</x:v>
      </x:c>
      <x:c r="J490" s="14" t="str">
        <x:v>Kitap / MEB / Mastery</x:v>
      </x:c>
      <x:c r="K490" s="14" t="str">
        <x:v>Mutlak Değer ve Sayı Doğrusu</x:v>
      </x:c>
      <x:c r="L490" s="14" t="str">
        <x:v>Mutlak Değer ve Sayı Doğrusu ile ilgili soru kitabından en az 20 soru / bugünkü test payını çöz. İlgili kitap konu bölümünü bu oturumda bitirmeyi hedefle; sonraki oturum MEB doğrulaması.</x:v>
      </x:c>
      <x:c r="M490" s="14" t="str">
        <x:v>MUBA 8. Sınıf Başlangıç Matematik (ISBN 9789756526972) (eşleşen bölüm) + MEB temel destek</x:v>
      </x:c>
      <x:c r="N490" s="14" t="str">
        <x:v>https://odsgm.meb.gov.tr/www/5-6-7-ve-9-sinif-duzeylerinde-calisma-sorulari-yayimlandi/icerik/775</x:v>
      </x:c>
      <x:c r="O490" s="14" t="n">
        <x:v>20</x:v>
      </x:c>
      <x:c r="P490" s="14" t="str">
        <x:v>İlk 20 soru</x:v>
      </x:c>
      <x:c r="Q490" s="14" t="str">
        <x:v>Evet</x:v>
      </x:c>
      <x:c r="R490" s="14" t="str">
        <x:v>Planlandı</x:v>
      </x:c>
      <x:c r="S490" s="15" t="str"/>
      <x:c r="T490" s="14" t="str">
        <x:v>Ayrı/rastgele matematik benchmark yoktur. Süreli ilk 20 soru o gün çalışılan konunun içindedir.</x:v>
      </x:c>
    </x:row>
    <x:row r="491">
      <x:c r="A491" s="14" t="n">
        <x:v>490</x:v>
      </x:c>
      <x:c r="B491" s="15" t="n">
        <x:v>46335</x:v>
      </x:c>
      <x:c r="C491" s="14" t="str">
        <x:v>Pazartesi</x:v>
      </x:c>
      <x:c r="D491" s="14" t="str">
        <x:v>Okul Günü</x:v>
      </x:c>
      <x:c r="E491" s="14" t="str">
        <x:v>16:00 sonrası</x:v>
      </x:c>
      <x:c r="F491" s="14" t="str">
        <x:v>F1 - Temel Kurma</x:v>
      </x:c>
      <x:c r="G491" s="14" t="str">
        <x:v>17:55</x:v>
      </x:c>
      <x:c r="H491" s="14" t="str">
        <x:v>18:25</x:v>
      </x:c>
      <x:c r="I491" s="14" t="str">
        <x:v>Genel</x:v>
      </x:c>
      <x:c r="J491" s="14" t="str">
        <x:v>Yemek / Serbest Zaman</x:v>
      </x:c>
      <x:c r="K491" s="14" t="str"/>
      <x:c r="L491" s="14" t="str">
        <x:v>Yemek, hareket ve dinlenme.</x:v>
      </x:c>
      <x:c r="M491" s="14" t="str"/>
      <x:c r="N491" s="14" t="str"/>
      <x:c r="O491" s="14" t="n">
        <x:v>0</x:v>
      </x:c>
      <x:c r="P491" s="14" t="str">
        <x:v>Hayır</x:v>
      </x:c>
      <x:c r="Q491" s="14" t="str">
        <x:v>Hayır</x:v>
      </x:c>
      <x:c r="R491" s="14" t="str">
        <x:v>Planlandı</x:v>
      </x:c>
      <x:c r="S491" s="15" t="str"/>
      <x:c r="T491" s="14" t="str"/>
    </x:row>
    <x:row r="492">
      <x:c r="A492" s="14" t="n">
        <x:v>491</x:v>
      </x:c>
      <x:c r="B492" s="15" t="n">
        <x:v>46335</x:v>
      </x:c>
      <x:c r="C492" s="14" t="str">
        <x:v>Pazartesi</x:v>
      </x:c>
      <x:c r="D492" s="14" t="str">
        <x:v>Okul Günü</x:v>
      </x:c>
      <x:c r="E492" s="14" t="str">
        <x:v>16:00 sonrası</x:v>
      </x:c>
      <x:c r="F492" s="14" t="str">
        <x:v>F1 - Temel Kurma</x:v>
      </x:c>
      <x:c r="G492" s="14" t="str">
        <x:v>18:25</x:v>
      </x:c>
      <x:c r="H492" s="14" t="str">
        <x:v>18:55</x:v>
      </x:c>
      <x:c r="I492" s="14" t="str">
        <x:v>Türkçe</x:v>
      </x:c>
      <x:c r="J492" s="14" t="str">
        <x:v>Paragraf Rutini</x:v>
      </x:c>
      <x:c r="K492" s="14" t="str">
        <x:v>Paragraf</x:v>
      </x:c>
      <x:c r="L492" s="14" t="str">
        <x:v>En az 20 paragraf sorusu çöz; ilk 20 soruyu ileri sayımla ölç, D/Y/B + süre kaydet.</x:v>
      </x:c>
      <x:c r="M492" s="14" t="str">
        <x:v>Hız 8. Sınıf Türkçe Paragraf (ISBN 9786258394498)</x:v>
      </x:c>
      <x:c r="N492" s="14" t="str"/>
      <x:c r="O492" s="14" t="n">
        <x:v>20</x:v>
      </x:c>
      <x:c r="P492" s="14" t="str">
        <x:v>İlk 20 soru</x:v>
      </x:c>
      <x:c r="Q492" s="14" t="str">
        <x:v>Evet</x:v>
      </x:c>
      <x:c r="R492" s="14" t="str">
        <x:v>Planlandı</x:v>
      </x:c>
      <x:c r="S492" s="15" t="str"/>
      <x:c r="T492" s="14" t="str">
        <x:v>Geri sayım ve hedef süre yok.</x:v>
      </x:c>
    </x:row>
    <x:row r="493">
      <x:c r="A493" s="14" t="n">
        <x:v>492</x:v>
      </x:c>
      <x:c r="B493" s="15" t="n">
        <x:v>46335</x:v>
      </x:c>
      <x:c r="C493" s="14" t="str">
        <x:v>Pazartesi</x:v>
      </x:c>
      <x:c r="D493" s="14" t="str">
        <x:v>Okul Günü</x:v>
      </x:c>
      <x:c r="E493" s="14" t="str">
        <x:v>16:00 sonrası</x:v>
      </x:c>
      <x:c r="F493" s="14" t="str">
        <x:v>F1 - Temel Kurma</x:v>
      </x:c>
      <x:c r="G493" s="14" t="str">
        <x:v>19:00</x:v>
      </x:c>
      <x:c r="H493" s="14" t="str">
        <x:v>19:35</x:v>
      </x:c>
      <x:c r="I493" s="14" t="str">
        <x:v>Türkçe</x:v>
      </x:c>
      <x:c r="J493" s="14" t="str">
        <x:v>Konu / Tekrar</x:v>
      </x:c>
      <x:c r="K493" s="14" t="str">
        <x:v>Ad Tamlamaları</x:v>
      </x:c>
      <x:c r="L493" s="14" t="str">
        <x:v>Ad Tamlamaları — genel oynatma listesinden ilgili videoyu izle (2/3).</x:v>
      </x:c>
      <x:c r="M493" s="14" t="str">
        <x:v>Türkçe Ana Oynatma Listesi</x:v>
      </x:c>
      <x:c r="N493" s="14" t="str">
        <x:v>https://www.youtube.com/watch?v=VYsPntNKVdw&amp;list=PLIBjFaUoJJ91bz7QQEBlxNJNZka5YQRr6</x:v>
      </x:c>
      <x:c r="O493" s="14" t="n">
        <x:v>0</x:v>
      </x:c>
      <x:c r="P493" s="14" t="str">
        <x:v>Hayır</x:v>
      </x:c>
      <x:c r="Q493" s="14" t="str">
        <x:v>Evet</x:v>
      </x:c>
      <x:c r="R493" s="14" t="str">
        <x:v>Planlandı</x:v>
      </x:c>
      <x:c r="S493" s="15" t="str"/>
      <x:c r="T493" s="14" t="str">
        <x:v>TYT etiketli kaynak temelden başlamak için sabittir; LGS dışı gereksiz ayrıntı zorunlu değildir.</x:v>
      </x:c>
    </x:row>
    <x:row r="494">
      <x:c r="A494" s="14" t="n">
        <x:v>493</x:v>
      </x:c>
      <x:c r="B494" s="15" t="n">
        <x:v>46335</x:v>
      </x:c>
      <x:c r="C494" s="14" t="str">
        <x:v>Pazartesi</x:v>
      </x:c>
      <x:c r="D494" s="14" t="str">
        <x:v>Okul Günü</x:v>
      </x:c>
      <x:c r="E494" s="14" t="str">
        <x:v>16:00 sonrası</x:v>
      </x:c>
      <x:c r="F494" s="14" t="str">
        <x:v>F1 - Temel Kurma</x:v>
      </x:c>
      <x:c r="G494" s="14" t="str">
        <x:v>19:40</x:v>
      </x:c>
      <x:c r="H494" s="14" t="str">
        <x:v>20:10</x:v>
      </x:c>
      <x:c r="I494" s="14" t="str">
        <x:v>Türkçe</x:v>
      </x:c>
      <x:c r="J494" s="14" t="str">
        <x:v>Kitap / MEB / Mastery</x:v>
      </x:c>
      <x:c r="K494" s="14" t="str">
        <x:v>Ad Tamlamaları</x:v>
      </x:c>
      <x:c r="L494" s="14" t="str">
        <x:v>Ad Tamlamaları ile ilgili soru kitabından en az 10 soru / bugünkü test payını çöz.</x:v>
      </x:c>
      <x:c r="M494" s="14" t="str">
        <x:v>Ankara 8. Sınıf Dil Bilgisi Güçlendiren (eşleşen bölüm) + MEB temel destek</x:v>
      </x:c>
      <x:c r="N494" s="14" t="str">
        <x:v>https://odsgm.meb.gov.tr/www/5-6-7-ve-9-sinif-duzeylerinde-calisma-sorulari-yayimlandi/icerik/775</x:v>
      </x:c>
      <x:c r="O494" s="14" t="n">
        <x:v>10</x:v>
      </x:c>
      <x:c r="P494" s="14" t="str">
        <x:v>Hayır</x:v>
      </x:c>
      <x:c r="Q494" s="14" t="str">
        <x:v>Evet</x:v>
      </x:c>
      <x:c r="R494" s="14" t="str">
        <x:v>Planlandı</x:v>
      </x:c>
      <x:c r="S494" s="15" t="str"/>
      <x:c r="T494" s="14" t="str"/>
    </x:row>
    <x:row r="495">
      <x:c r="A495" s="14" t="n">
        <x:v>494</x:v>
      </x:c>
      <x:c r="B495" s="15" t="n">
        <x:v>46335</x:v>
      </x:c>
      <x:c r="C495" s="14" t="str">
        <x:v>Pazartesi</x:v>
      </x:c>
      <x:c r="D495" s="14" t="str">
        <x:v>Okul Günü</x:v>
      </x:c>
      <x:c r="E495" s="14" t="str">
        <x:v>16:00 sonrası</x:v>
      </x:c>
      <x:c r="F495" s="14" t="str">
        <x:v>F1 - Temel Kurma</x:v>
      </x:c>
      <x:c r="G495" s="14" t="str">
        <x:v>20:15</x:v>
      </x:c>
      <x:c r="H495" s="14" t="str">
        <x:v>20:50</x:v>
      </x:c>
      <x:c r="I495" s="14" t="str">
        <x:v>İngilizce</x:v>
      </x:c>
      <x:c r="J495" s="14" t="str">
        <x:v>Konu / Tekrar</x:v>
      </x:c>
      <x:c r="K495" s="14" t="str">
        <x:v>Unit 3 - In The Kitchen</x:v>
      </x:c>
      <x:c r="L495" s="14" t="str">
        <x:v>Unit 3 - In The Kitchen — Reading çalışmasını playlistten yap.</x:v>
      </x:c>
      <x:c r="M495" s="14" t="str">
        <x:v>İngilizce Genel Oynatma Listesi</x:v>
      </x:c>
      <x:c r="N495" s="14" t="str">
        <x:v>https://www.youtube.com/watch?v=FaY3dFjZbns&amp;list=PLSgpQDrUSYp94WgE9pzpHiOG5FwxnZBrr</x:v>
      </x:c>
      <x:c r="O495" s="14" t="n">
        <x:v>0</x:v>
      </x:c>
      <x:c r="P495" s="14" t="str">
        <x:v>Hayır</x:v>
      </x:c>
      <x:c r="Q495" s="14" t="str">
        <x:v>Evet</x:v>
      </x:c>
      <x:c r="R495" s="14" t="str">
        <x:v>Planlandı</x:v>
      </x:c>
      <x:c r="S495" s="15" t="str"/>
      <x:c r="T495" s="14" t="str"/>
    </x:row>
    <x:row r="496">
      <x:c r="A496" s="14" t="n">
        <x:v>495</x:v>
      </x:c>
      <x:c r="B496" s="15" t="n">
        <x:v>46335</x:v>
      </x:c>
      <x:c r="C496" s="14" t="str">
        <x:v>Pazartesi</x:v>
      </x:c>
      <x:c r="D496" s="14" t="str">
        <x:v>Okul Günü</x:v>
      </x:c>
      <x:c r="E496" s="14" t="str">
        <x:v>16:00 sonrası</x:v>
      </x:c>
      <x:c r="F496" s="14" t="str">
        <x:v>F1 - Temel Kurma</x:v>
      </x:c>
      <x:c r="G496" s="14" t="str">
        <x:v>20:55</x:v>
      </x:c>
      <x:c r="H496" s="14" t="str">
        <x:v>21:20</x:v>
      </x:c>
      <x:c r="I496" s="14" t="str">
        <x:v>İngilizce</x:v>
      </x:c>
      <x:c r="J496" s="14" t="str">
        <x:v>Kitap / MEB / Mastery</x:v>
      </x:c>
      <x:c r="K496" s="14" t="str">
        <x:v>Unit 3 - In The Kitchen</x:v>
      </x:c>
      <x:c r="L496" s="14" t="str">
        <x:v>Unit 3 - In The Kitchen ile ilgili soru kitabından en az 15 soru / bugünkü test payını çöz.</x:v>
      </x:c>
      <x:c r="M496" s="14" t="str">
        <x:v>More &amp; More 8 Worksheets Notebook</x:v>
      </x:c>
      <x:c r="N496" s="14" t="str">
        <x:v>https://www.youtube.com/watch?v=FaY3dFjZbns&amp;list=PLSgpQDrUSYp94WgE9pzpHiOG5FwxnZBrr</x:v>
      </x:c>
      <x:c r="O496" s="14" t="n">
        <x:v>15</x:v>
      </x:c>
      <x:c r="P496" s="14" t="str">
        <x:v>Hayır</x:v>
      </x:c>
      <x:c r="Q496" s="14" t="str">
        <x:v>Evet</x:v>
      </x:c>
      <x:c r="R496" s="14" t="str">
        <x:v>Planlandı</x:v>
      </x:c>
      <x:c r="S496" s="15" t="str"/>
      <x:c r="T496" s="14" t="str"/>
    </x:row>
    <x:row r="497">
      <x:c r="A497" s="14" t="n">
        <x:v>496</x:v>
      </x:c>
      <x:c r="B497" s="15" t="n">
        <x:v>46335</x:v>
      </x:c>
      <x:c r="C497" s="14" t="str">
        <x:v>Pazartesi</x:v>
      </x:c>
      <x:c r="D497" s="14" t="str">
        <x:v>Okul Günü</x:v>
      </x:c>
      <x:c r="E497" s="14" t="str">
        <x:v>16:00 sonrası</x:v>
      </x:c>
      <x:c r="F497" s="14" t="str">
        <x:v>F1 - Temel Kurma</x:v>
      </x:c>
      <x:c r="G497" s="14" t="str">
        <x:v>21:20</x:v>
      </x:c>
      <x:c r="H497" s="14" t="str">
        <x:v>21:35</x:v>
      </x:c>
      <x:c r="I497" s="14" t="str">
        <x:v>Genel</x:v>
      </x:c>
      <x:c r="J497" s="14" t="str">
        <x:v>Yanlış / Boş Analizi</x:v>
      </x:c>
      <x:c r="K497" s="14" t="str">
        <x:v>Günlük</x:v>
      </x:c>
      <x:c r="L497" s="14" t="str">
        <x:v>Bugünkü yanlış/boşları kaydet; çözümünü öğrenmeden kapatma. Hata türünü sınıflandır.</x:v>
      </x:c>
      <x:c r="M497" s="14" t="str">
        <x:v>Yanlış Defteri</x:v>
      </x:c>
      <x:c r="N497" s="14" t="str"/>
      <x:c r="O497" s="14" t="n">
        <x:v>0</x:v>
      </x:c>
      <x:c r="P497" s="14" t="str">
        <x:v>Hayır</x:v>
      </x:c>
      <x:c r="Q497" s="14" t="str">
        <x:v>Evet</x:v>
      </x:c>
      <x:c r="R497" s="14" t="str">
        <x:v>Planlandı</x:v>
      </x:c>
      <x:c r="S497" s="15" t="str"/>
      <x:c r="T497" s="14" t="str"/>
    </x:row>
    <x:row r="498">
      <x:c r="A498" s="14" t="n">
        <x:v>497</x:v>
      </x:c>
      <x:c r="B498" s="15" t="n">
        <x:v>46335</x:v>
      </x:c>
      <x:c r="C498" s="14" t="str">
        <x:v>Pazartesi</x:v>
      </x:c>
      <x:c r="D498" s="14" t="str">
        <x:v>Okul Günü</x:v>
      </x:c>
      <x:c r="E498" s="14" t="str">
        <x:v>16:00 sonrası</x:v>
      </x:c>
      <x:c r="F498" s="14" t="str">
        <x:v>F1 - Temel Kurma</x:v>
      </x:c>
      <x:c r="G498" s="14" t="str">
        <x:v>21:35</x:v>
      </x:c>
      <x:c r="H498" s="14" t="str">
        <x:v>21:50</x:v>
      </x:c>
      <x:c r="I498" s="14" t="str">
        <x:v>Genel</x:v>
      </x:c>
      <x:c r="J498" s="14" t="str">
        <x:v>Aralıklı Hata Tekrarı</x:v>
      </x:c>
      <x:c r="K498" s="14" t="str">
        <x:v>+1 / +7 / +21</x:v>
      </x:c>
      <x:c r="L498" s="14" t="str">
        <x:v>Bugün vadesi gelen yanlış soruları tekrar çöz. Vadesi yoksa bu süre serbest/okuma olabilir.</x:v>
      </x:c>
      <x:c r="M498" s="14" t="str">
        <x:v>Yanlış Defteri</x:v>
      </x:c>
      <x:c r="N498" s="14" t="str"/>
      <x:c r="O498" s="14" t="n">
        <x:v>0</x:v>
      </x:c>
      <x:c r="P498" s="14" t="str">
        <x:v>Hayır</x:v>
      </x:c>
      <x:c r="Q498" s="14" t="str">
        <x:v>Koşullu</x:v>
      </x:c>
      <x:c r="R498" s="14" t="str">
        <x:v>Planlandı</x:v>
      </x:c>
      <x:c r="S498" s="15" t="str"/>
      <x:c r="T498" s="14" t="str">
        <x:v>Yanlışlar +1, +7 ve +21 gün aralıklarıyla tekrar edilir; hâlâ yanlışsa konu mastery durumu düşürülür.</x:v>
      </x:c>
    </x:row>
    <x:row r="499">
      <x:c r="A499" s="14" t="n">
        <x:v>498</x:v>
      </x:c>
      <x:c r="B499" s="15" t="n">
        <x:v>46335</x:v>
      </x:c>
      <x:c r="C499" s="14" t="str">
        <x:v>Pazartesi</x:v>
      </x:c>
      <x:c r="D499" s="14" t="str">
        <x:v>Okul Günü</x:v>
      </x:c>
      <x:c r="E499" s="14" t="str">
        <x:v>16:00 sonrası</x:v>
      </x:c>
      <x:c r="F499" s="14" t="str">
        <x:v>F1 - Temel Kurma</x:v>
      </x:c>
      <x:c r="G499" s="14" t="str">
        <x:v>21:50</x:v>
      </x:c>
      <x:c r="H499" s="14" t="str">
        <x:v>22:00</x:v>
      </x:c>
      <x:c r="I499" s="14" t="str">
        <x:v>Genel</x:v>
      </x:c>
      <x:c r="J499" s="14" t="str">
        <x:v>Uyku Hazırlığı</x:v>
      </x:c>
      <x:c r="K499" s="14" t="str"/>
      <x:c r="L499" s="14" t="str">
        <x:v>22:00'de yatakta ve uyku.</x:v>
      </x:c>
      <x:c r="M499" s="14" t="str"/>
      <x:c r="N499" s="14" t="str"/>
      <x:c r="O499" s="14" t="n">
        <x:v>0</x:v>
      </x:c>
      <x:c r="P499" s="14" t="str">
        <x:v>Hayır</x:v>
      </x:c>
      <x:c r="Q499" s="14" t="str">
        <x:v>Hayır</x:v>
      </x:c>
      <x:c r="R499" s="14" t="str">
        <x:v>Planlandı</x:v>
      </x:c>
      <x:c r="S499" s="15" t="str"/>
      <x:c r="T499" s="14" t="str"/>
    </x:row>
    <x:row r="500">
      <x:c r="A500" s="14" t="n">
        <x:v>499</x:v>
      </x:c>
      <x:c r="B500" s="15" t="n">
        <x:v>46336</x:v>
      </x:c>
      <x:c r="C500" s="14" t="str">
        <x:v>Salı</x:v>
      </x:c>
      <x:c r="D500" s="14" t="str">
        <x:v>Okul Günü</x:v>
      </x:c>
      <x:c r="E500" s="14" t="str">
        <x:v>16:00 sonrası</x:v>
      </x:c>
      <x:c r="F500" s="14" t="str">
        <x:v>F1 - Temel Kurma</x:v>
      </x:c>
      <x:c r="G500" s="14" t="str">
        <x:v>16:00</x:v>
      </x:c>
      <x:c r="H500" s="14" t="str">
        <x:v>16:25</x:v>
      </x:c>
      <x:c r="I500" s="14" t="str">
        <x:v>Genel</x:v>
      </x:c>
      <x:c r="J500" s="14" t="str">
        <x:v>Dinlenme</x:v>
      </x:c>
      <x:c r="K500" s="14" t="str"/>
      <x:c r="L500" s="14" t="str">
        <x:v>Eve geliş, atıştırma ve dinlenme.</x:v>
      </x:c>
      <x:c r="M500" s="14" t="str"/>
      <x:c r="N500" s="14" t="str"/>
      <x:c r="O500" s="14" t="n">
        <x:v>0</x:v>
      </x:c>
      <x:c r="P500" s="14" t="str">
        <x:v>Hayır</x:v>
      </x:c>
      <x:c r="Q500" s="14" t="str">
        <x:v>Hayır</x:v>
      </x:c>
      <x:c r="R500" s="14" t="str">
        <x:v>Planlandı</x:v>
      </x:c>
      <x:c r="S500" s="15" t="str"/>
      <x:c r="T500" s="14" t="str"/>
    </x:row>
    <x:row r="501">
      <x:c r="A501" s="14" t="n">
        <x:v>500</x:v>
      </x:c>
      <x:c r="B501" s="15" t="n">
        <x:v>46336</x:v>
      </x:c>
      <x:c r="C501" s="14" t="str">
        <x:v>Salı</x:v>
      </x:c>
      <x:c r="D501" s="14" t="str">
        <x:v>Okul Günü</x:v>
      </x:c>
      <x:c r="E501" s="14" t="str">
        <x:v>16:00 sonrası</x:v>
      </x:c>
      <x:c r="F501" s="14" t="str">
        <x:v>F1 - Temel Kurma</x:v>
      </x:c>
      <x:c r="G501" s="14" t="str">
        <x:v>16:25</x:v>
      </x:c>
      <x:c r="H501" s="14" t="str">
        <x:v>17:05</x:v>
      </x:c>
      <x:c r="I501" s="14" t="str">
        <x:v>Matematik</x:v>
      </x:c>
      <x:c r="J501" s="14" t="str">
        <x:v>Konu / Tekrar</x:v>
      </x:c>
      <x:c r="K501" s="14" t="str">
        <x:v>Mutlak Değer ve Sayı Doğrusu</x:v>
      </x:c>
      <x:c r="L501" s="14" t="str">
        <x:v>Mutlak Değer ve Sayı Doğrusu — MEB doğrulaması öncesi 5-10 dk aktif hatırlama; gerekiyorsa ilgili playlist videosuna kısa dönüş yap.</x:v>
      </x:c>
      <x:c r="M501" s="14" t="str">
        <x:v>Matematik Ana Oynatma Listesi</x:v>
      </x:c>
      <x:c r="N501" s="14" t="str">
        <x:v>https://www.youtube.com/watch?v=EuJ89QzqrAg&amp;list=PLicNtF7vp6fnfDqrRLH6H7fIbzYT4ct4F&amp;index=11</x:v>
      </x:c>
      <x:c r="O501" s="14" t="n">
        <x:v>0</x:v>
      </x:c>
      <x:c r="P501" s="14" t="str">
        <x:v>Hayır</x:v>
      </x:c>
      <x:c r="Q501" s="14" t="str">
        <x:v>Evet</x:v>
      </x:c>
      <x:c r="R501" s="14" t="str">
        <x:v>Planlandı</x:v>
      </x:c>
      <x:c r="S501" s="15" t="str"/>
      <x:c r="T501" s="14" t="str">
        <x:v>Yeni konu ancak plan sırasıyla açılır; LGS dışı ileri TYT içeriği zorunlu değildir.</x:v>
      </x:c>
    </x:row>
    <x:row r="502">
      <x:c r="A502" s="14" t="n">
        <x:v>501</x:v>
      </x:c>
      <x:c r="B502" s="15" t="n">
        <x:v>46336</x:v>
      </x:c>
      <x:c r="C502" s="14" t="str">
        <x:v>Salı</x:v>
      </x:c>
      <x:c r="D502" s="14" t="str">
        <x:v>Okul Günü</x:v>
      </x:c>
      <x:c r="E502" s="14" t="str">
        <x:v>16:00 sonrası</x:v>
      </x:c>
      <x:c r="F502" s="14" t="str">
        <x:v>F1 - Temel Kurma</x:v>
      </x:c>
      <x:c r="G502" s="14" t="str">
        <x:v>17:10</x:v>
      </x:c>
      <x:c r="H502" s="14" t="str">
        <x:v>17:55</x:v>
      </x:c>
      <x:c r="I502" s="14" t="str">
        <x:v>Matematik</x:v>
      </x:c>
      <x:c r="J502" s="14" t="str">
        <x:v>Kitap / MEB / Mastery</x:v>
      </x:c>
      <x:c r="K502" s="14" t="str">
        <x:v>Mutlak Değer ve Sayı Doğrusu</x:v>
      </x:c>
      <x:c r="L502" s="14" t="str">
        <x:v>Mutlak Değer ve Sayı Doğrusu için ilgili MEB sorularını TAMAMLA; D/Y/B kaydet. Bu oturum konu mastery gate'idir.</x:v>
      </x:c>
      <x:c r="M502" s="14" t="str">
        <x:v>MEB Resmî Soru Seti</x:v>
      </x:c>
      <x:c r="N502" s="14" t="str">
        <x:v>https://odsgm.meb.gov.tr/www/5-6-7-ve-9-sinif-duzeylerinde-calisma-sorulari-yayimlandi/icerik/775</x:v>
      </x:c>
      <x:c r="O502" s="14" t="n">
        <x:v>0</x:v>
      </x:c>
      <x:c r="P502" s="14" t="str">
        <x:v>Hayır</x:v>
      </x:c>
      <x:c r="Q502" s="14" t="str">
        <x:v>Evet</x:v>
      </x:c>
      <x:c r="R502" s="14" t="str">
        <x:v>Planlandı</x:v>
      </x:c>
      <x:c r="S502" s="15" t="str"/>
      <x:c r="T502" s="14" t="str">
        <x:v>MEB sonucu Konu_Ustaligi sayfasına işlenir.</x:v>
      </x:c>
    </x:row>
    <x:row r="503">
      <x:c r="A503" s="14" t="n">
        <x:v>502</x:v>
      </x:c>
      <x:c r="B503" s="15" t="n">
        <x:v>46336</x:v>
      </x:c>
      <x:c r="C503" s="14" t="str">
        <x:v>Salı</x:v>
      </x:c>
      <x:c r="D503" s="14" t="str">
        <x:v>Okul Günü</x:v>
      </x:c>
      <x:c r="E503" s="14" t="str">
        <x:v>16:00 sonrası</x:v>
      </x:c>
      <x:c r="F503" s="14" t="str">
        <x:v>F1 - Temel Kurma</x:v>
      </x:c>
      <x:c r="G503" s="14" t="str">
        <x:v>17:55</x:v>
      </x:c>
      <x:c r="H503" s="14" t="str">
        <x:v>18:25</x:v>
      </x:c>
      <x:c r="I503" s="14" t="str">
        <x:v>Genel</x:v>
      </x:c>
      <x:c r="J503" s="14" t="str">
        <x:v>Yemek / Serbest Zaman</x:v>
      </x:c>
      <x:c r="K503" s="14" t="str"/>
      <x:c r="L503" s="14" t="str">
        <x:v>Yemek, hareket ve dinlenme.</x:v>
      </x:c>
      <x:c r="M503" s="14" t="str"/>
      <x:c r="N503" s="14" t="str"/>
      <x:c r="O503" s="14" t="n">
        <x:v>0</x:v>
      </x:c>
      <x:c r="P503" s="14" t="str">
        <x:v>Hayır</x:v>
      </x:c>
      <x:c r="Q503" s="14" t="str">
        <x:v>Hayır</x:v>
      </x:c>
      <x:c r="R503" s="14" t="str">
        <x:v>Planlandı</x:v>
      </x:c>
      <x:c r="S503" s="15" t="str"/>
      <x:c r="T503" s="14" t="str"/>
    </x:row>
    <x:row r="504">
      <x:c r="A504" s="14" t="n">
        <x:v>503</x:v>
      </x:c>
      <x:c r="B504" s="15" t="n">
        <x:v>46336</x:v>
      </x:c>
      <x:c r="C504" s="14" t="str">
        <x:v>Salı</x:v>
      </x:c>
      <x:c r="D504" s="14" t="str">
        <x:v>Okul Günü</x:v>
      </x:c>
      <x:c r="E504" s="14" t="str">
        <x:v>16:00 sonrası</x:v>
      </x:c>
      <x:c r="F504" s="14" t="str">
        <x:v>F1 - Temel Kurma</x:v>
      </x:c>
      <x:c r="G504" s="14" t="str">
        <x:v>18:25</x:v>
      </x:c>
      <x:c r="H504" s="14" t="str">
        <x:v>18:55</x:v>
      </x:c>
      <x:c r="I504" s="14" t="str">
        <x:v>Türkçe</x:v>
      </x:c>
      <x:c r="J504" s="14" t="str">
        <x:v>Paragraf Rutini</x:v>
      </x:c>
      <x:c r="K504" s="14" t="str">
        <x:v>Paragraf</x:v>
      </x:c>
      <x:c r="L504" s="14" t="str">
        <x:v>En az 20 paragraf sorusu çöz; ilk 20 soruyu ileri sayımla ölç, D/Y/B + süre kaydet.</x:v>
      </x:c>
      <x:c r="M504" s="14" t="str">
        <x:v>Hız 8. Sınıf Türkçe Paragraf (ISBN 9786258394498)</x:v>
      </x:c>
      <x:c r="N504" s="14" t="str"/>
      <x:c r="O504" s="14" t="n">
        <x:v>20</x:v>
      </x:c>
      <x:c r="P504" s="14" t="str">
        <x:v>İlk 20 soru</x:v>
      </x:c>
      <x:c r="Q504" s="14" t="str">
        <x:v>Evet</x:v>
      </x:c>
      <x:c r="R504" s="14" t="str">
        <x:v>Planlandı</x:v>
      </x:c>
      <x:c r="S504" s="15" t="str"/>
      <x:c r="T504" s="14" t="str">
        <x:v>Geri sayım ve hedef süre yok.</x:v>
      </x:c>
    </x:row>
    <x:row r="505">
      <x:c r="A505" s="14" t="n">
        <x:v>504</x:v>
      </x:c>
      <x:c r="B505" s="15" t="n">
        <x:v>46336</x:v>
      </x:c>
      <x:c r="C505" s="14" t="str">
        <x:v>Salı</x:v>
      </x:c>
      <x:c r="D505" s="14" t="str">
        <x:v>Okul Günü</x:v>
      </x:c>
      <x:c r="E505" s="14" t="str">
        <x:v>16:00 sonrası</x:v>
      </x:c>
      <x:c r="F505" s="14" t="str">
        <x:v>F1 - Temel Kurma</x:v>
      </x:c>
      <x:c r="G505" s="14" t="str">
        <x:v>19:00</x:v>
      </x:c>
      <x:c r="H505" s="14" t="str">
        <x:v>19:35</x:v>
      </x:c>
      <x:c r="I505" s="14" t="str">
        <x:v>Türkçe</x:v>
      </x:c>
      <x:c r="J505" s="14" t="str">
        <x:v>Konu / Tekrar</x:v>
      </x:c>
      <x:c r="K505" s="14" t="str">
        <x:v>Ad Tamlamaları</x:v>
      </x:c>
      <x:c r="L505" s="14" t="str">
        <x:v>Ad Tamlamaları — genel oynatma listesinden ilgili videoyu izle (3/3).</x:v>
      </x:c>
      <x:c r="M505" s="14" t="str">
        <x:v>Türkçe Ana Oynatma Listesi</x:v>
      </x:c>
      <x:c r="N505" s="14" t="str">
        <x:v>https://www.youtube.com/watch?v=VYsPntNKVdw&amp;list=PLIBjFaUoJJ91bz7QQEBlxNJNZka5YQRr6</x:v>
      </x:c>
      <x:c r="O505" s="14" t="n">
        <x:v>0</x:v>
      </x:c>
      <x:c r="P505" s="14" t="str">
        <x:v>Hayır</x:v>
      </x:c>
      <x:c r="Q505" s="14" t="str">
        <x:v>Evet</x:v>
      </x:c>
      <x:c r="R505" s="14" t="str">
        <x:v>Planlandı</x:v>
      </x:c>
      <x:c r="S505" s="15" t="str"/>
      <x:c r="T505" s="14" t="str">
        <x:v>TYT etiketli kaynak temelden başlamak için sabittir; LGS dışı gereksiz ayrıntı zorunlu değildir.</x:v>
      </x:c>
    </x:row>
    <x:row r="506">
      <x:c r="A506" s="14" t="n">
        <x:v>505</x:v>
      </x:c>
      <x:c r="B506" s="15" t="n">
        <x:v>46336</x:v>
      </x:c>
      <x:c r="C506" s="14" t="str">
        <x:v>Salı</x:v>
      </x:c>
      <x:c r="D506" s="14" t="str">
        <x:v>Okul Günü</x:v>
      </x:c>
      <x:c r="E506" s="14" t="str">
        <x:v>16:00 sonrası</x:v>
      </x:c>
      <x:c r="F506" s="14" t="str">
        <x:v>F1 - Temel Kurma</x:v>
      </x:c>
      <x:c r="G506" s="14" t="str">
        <x:v>19:40</x:v>
      </x:c>
      <x:c r="H506" s="14" t="str">
        <x:v>20:10</x:v>
      </x:c>
      <x:c r="I506" s="14" t="str">
        <x:v>Türkçe</x:v>
      </x:c>
      <x:c r="J506" s="14" t="str">
        <x:v>Kitap / MEB / Mastery</x:v>
      </x:c>
      <x:c r="K506" s="14" t="str">
        <x:v>Ad Tamlamaları</x:v>
      </x:c>
      <x:c r="L506" s="14" t="str">
        <x:v>Ad Tamlamaları ile ilgili soru kitabından en az 10 soru / bugünkü test payını çöz. İlgili kitap konu bölümünü bu oturumda bitirmeyi hedefle; sonraki oturum MEB doğrulaması.</x:v>
      </x:c>
      <x:c r="M506" s="14" t="str">
        <x:v>Ankara 8. Sınıf Dil Bilgisi Güçlendiren (eşleşen bölüm) + MEB temel destek</x:v>
      </x:c>
      <x:c r="N506" s="14" t="str">
        <x:v>https://odsgm.meb.gov.tr/www/5-6-7-ve-9-sinif-duzeylerinde-calisma-sorulari-yayimlandi/icerik/775</x:v>
      </x:c>
      <x:c r="O506" s="14" t="n">
        <x:v>10</x:v>
      </x:c>
      <x:c r="P506" s="14" t="str">
        <x:v>Hayır</x:v>
      </x:c>
      <x:c r="Q506" s="14" t="str">
        <x:v>Evet</x:v>
      </x:c>
      <x:c r="R506" s="14" t="str">
        <x:v>Planlandı</x:v>
      </x:c>
      <x:c r="S506" s="15" t="str"/>
      <x:c r="T506" s="14" t="str"/>
    </x:row>
    <x:row r="507">
      <x:c r="A507" s="14" t="n">
        <x:v>506</x:v>
      </x:c>
      <x:c r="B507" s="15" t="n">
        <x:v>46336</x:v>
      </x:c>
      <x:c r="C507" s="14" t="str">
        <x:v>Salı</x:v>
      </x:c>
      <x:c r="D507" s="14" t="str">
        <x:v>Okul Günü</x:v>
      </x:c>
      <x:c r="E507" s="14" t="str">
        <x:v>16:00 sonrası</x:v>
      </x:c>
      <x:c r="F507" s="14" t="str">
        <x:v>F1 - Temel Kurma</x:v>
      </x:c>
      <x:c r="G507" s="14" t="str">
        <x:v>20:15</x:v>
      </x:c>
      <x:c r="H507" s="14" t="str">
        <x:v>20:50</x:v>
      </x:c>
      <x:c r="I507" s="14" t="str">
        <x:v>Fen</x:v>
      </x:c>
      <x:c r="J507" s="14" t="str">
        <x:v>Konu / Tekrar</x:v>
      </x:c>
      <x:c r="K507" s="14" t="str">
        <x:v>Biyoteknoloji</x:v>
      </x:c>
      <x:c r="L507" s="14" t="str">
        <x:v>Biyoteknoloji — Fen soru çözüm playlistinden ilgili videoyu izle.</x:v>
      </x:c>
      <x:c r="M507" s="14" t="str">
        <x:v>Fen Soru Çözüm / Tekrar</x:v>
      </x:c>
      <x:c r="N507" s="14" t="str">
        <x:v>https://www.youtube.com/watch?v=pQXhWnDZ3vM&amp;list=PLrQm7mt99FRXcBnorCttd31HJEvg0En26&amp;index=23</x:v>
      </x:c>
      <x:c r="O507" s="14" t="n">
        <x:v>0</x:v>
      </x:c>
      <x:c r="P507" s="14" t="str">
        <x:v>Hayır</x:v>
      </x:c>
      <x:c r="Q507" s="14" t="str">
        <x:v>Evet</x:v>
      </x:c>
      <x:c r="R507" s="14" t="str">
        <x:v>Planlandı</x:v>
      </x:c>
      <x:c r="S507" s="15" t="str"/>
      <x:c r="T507" s="14" t="str"/>
    </x:row>
    <x:row r="508">
      <x:c r="A508" s="14" t="n">
        <x:v>507</x:v>
      </x:c>
      <x:c r="B508" s="15" t="n">
        <x:v>46336</x:v>
      </x:c>
      <x:c r="C508" s="14" t="str">
        <x:v>Salı</x:v>
      </x:c>
      <x:c r="D508" s="14" t="str">
        <x:v>Okul Günü</x:v>
      </x:c>
      <x:c r="E508" s="14" t="str">
        <x:v>16:00 sonrası</x:v>
      </x:c>
      <x:c r="F508" s="14" t="str">
        <x:v>F1 - Temel Kurma</x:v>
      </x:c>
      <x:c r="G508" s="14" t="str">
        <x:v>20:55</x:v>
      </x:c>
      <x:c r="H508" s="14" t="str">
        <x:v>21:20</x:v>
      </x:c>
      <x:c r="I508" s="14" t="str">
        <x:v>Fen</x:v>
      </x:c>
      <x:c r="J508" s="14" t="str">
        <x:v>Kitap / MEB / Mastery</x:v>
      </x:c>
      <x:c r="K508" s="14" t="str">
        <x:v>Biyoteknoloji</x:v>
      </x:c>
      <x:c r="L508" s="14" t="str">
        <x:v>Biyoteknoloji ile ilgili soru kitabından en az 15 soru / bugünkü test payını çöz.</x:v>
      </x:c>
      <x:c r="M508" s="14" t="str">
        <x:v>Hız 8. Sınıf Fen (ISBN 9786257514859); tamamlandıysa Mozaik 8. Sınıf Fen</x:v>
      </x:c>
      <x:c r="N508" s="14" t="str">
        <x:v>https://www.youtube.com/watch?v=pQXhWnDZ3vM&amp;list=PLrQm7mt99FRXcBnorCttd31HJEvg0En26&amp;index=23</x:v>
      </x:c>
      <x:c r="O508" s="14" t="n">
        <x:v>15</x:v>
      </x:c>
      <x:c r="P508" s="14" t="str">
        <x:v>Hayır</x:v>
      </x:c>
      <x:c r="Q508" s="14" t="str">
        <x:v>Evet</x:v>
      </x:c>
      <x:c r="R508" s="14" t="str">
        <x:v>Planlandı</x:v>
      </x:c>
      <x:c r="S508" s="15" t="str"/>
      <x:c r="T508" s="14" t="str"/>
    </x:row>
    <x:row r="509">
      <x:c r="A509" s="14" t="n">
        <x:v>508</x:v>
      </x:c>
      <x:c r="B509" s="15" t="n">
        <x:v>46336</x:v>
      </x:c>
      <x:c r="C509" s="14" t="str">
        <x:v>Salı</x:v>
      </x:c>
      <x:c r="D509" s="14" t="str">
        <x:v>Okul Günü</x:v>
      </x:c>
      <x:c r="E509" s="14" t="str">
        <x:v>16:00 sonrası</x:v>
      </x:c>
      <x:c r="F509" s="14" t="str">
        <x:v>F1 - Temel Kurma</x:v>
      </x:c>
      <x:c r="G509" s="14" t="str">
        <x:v>21:20</x:v>
      </x:c>
      <x:c r="H509" s="14" t="str">
        <x:v>21:35</x:v>
      </x:c>
      <x:c r="I509" s="14" t="str">
        <x:v>Genel</x:v>
      </x:c>
      <x:c r="J509" s="14" t="str">
        <x:v>Yanlış / Boş Analizi</x:v>
      </x:c>
      <x:c r="K509" s="14" t="str">
        <x:v>Günlük</x:v>
      </x:c>
      <x:c r="L509" s="14" t="str">
        <x:v>Bugünkü yanlış/boşları kaydet; çözümünü öğrenmeden kapatma. Hata türünü sınıflandır.</x:v>
      </x:c>
      <x:c r="M509" s="14" t="str">
        <x:v>Yanlış Defteri</x:v>
      </x:c>
      <x:c r="N509" s="14" t="str"/>
      <x:c r="O509" s="14" t="n">
        <x:v>0</x:v>
      </x:c>
      <x:c r="P509" s="14" t="str">
        <x:v>Hayır</x:v>
      </x:c>
      <x:c r="Q509" s="14" t="str">
        <x:v>Evet</x:v>
      </x:c>
      <x:c r="R509" s="14" t="str">
        <x:v>Planlandı</x:v>
      </x:c>
      <x:c r="S509" s="15" t="str"/>
      <x:c r="T509" s="14" t="str"/>
    </x:row>
    <x:row r="510">
      <x:c r="A510" s="14" t="n">
        <x:v>509</x:v>
      </x:c>
      <x:c r="B510" s="15" t="n">
        <x:v>46336</x:v>
      </x:c>
      <x:c r="C510" s="14" t="str">
        <x:v>Salı</x:v>
      </x:c>
      <x:c r="D510" s="14" t="str">
        <x:v>Okul Günü</x:v>
      </x:c>
      <x:c r="E510" s="14" t="str">
        <x:v>16:00 sonrası</x:v>
      </x:c>
      <x:c r="F510" s="14" t="str">
        <x:v>F1 - Temel Kurma</x:v>
      </x:c>
      <x:c r="G510" s="14" t="str">
        <x:v>21:35</x:v>
      </x:c>
      <x:c r="H510" s="14" t="str">
        <x:v>21:50</x:v>
      </x:c>
      <x:c r="I510" s="14" t="str">
        <x:v>Genel</x:v>
      </x:c>
      <x:c r="J510" s="14" t="str">
        <x:v>Aralıklı Hata Tekrarı</x:v>
      </x:c>
      <x:c r="K510" s="14" t="str">
        <x:v>+1 / +7 / +21</x:v>
      </x:c>
      <x:c r="L510" s="14" t="str">
        <x:v>Bugün vadesi gelen yanlış soruları tekrar çöz. Vadesi yoksa bu süre serbest/okuma olabilir.</x:v>
      </x:c>
      <x:c r="M510" s="14" t="str">
        <x:v>Yanlış Defteri</x:v>
      </x:c>
      <x:c r="N510" s="14" t="str"/>
      <x:c r="O510" s="14" t="n">
        <x:v>0</x:v>
      </x:c>
      <x:c r="P510" s="14" t="str">
        <x:v>Hayır</x:v>
      </x:c>
      <x:c r="Q510" s="14" t="str">
        <x:v>Koşullu</x:v>
      </x:c>
      <x:c r="R510" s="14" t="str">
        <x:v>Planlandı</x:v>
      </x:c>
      <x:c r="S510" s="15" t="str"/>
      <x:c r="T510" s="14" t="str">
        <x:v>Yanlışlar +1, +7 ve +21 gün aralıklarıyla tekrar edilir; hâlâ yanlışsa konu mastery durumu düşürülür.</x:v>
      </x:c>
    </x:row>
    <x:row r="511">
      <x:c r="A511" s="14" t="n">
        <x:v>510</x:v>
      </x:c>
      <x:c r="B511" s="15" t="n">
        <x:v>46336</x:v>
      </x:c>
      <x:c r="C511" s="14" t="str">
        <x:v>Salı</x:v>
      </x:c>
      <x:c r="D511" s="14" t="str">
        <x:v>Okul Günü</x:v>
      </x:c>
      <x:c r="E511" s="14" t="str">
        <x:v>16:00 sonrası</x:v>
      </x:c>
      <x:c r="F511" s="14" t="str">
        <x:v>F1 - Temel Kurma</x:v>
      </x:c>
      <x:c r="G511" s="14" t="str">
        <x:v>21:50</x:v>
      </x:c>
      <x:c r="H511" s="14" t="str">
        <x:v>22:00</x:v>
      </x:c>
      <x:c r="I511" s="14" t="str">
        <x:v>Genel</x:v>
      </x:c>
      <x:c r="J511" s="14" t="str">
        <x:v>Uyku Hazırlığı</x:v>
      </x:c>
      <x:c r="K511" s="14" t="str"/>
      <x:c r="L511" s="14" t="str">
        <x:v>22:00'de yatakta ve uyku.</x:v>
      </x:c>
      <x:c r="M511" s="14" t="str"/>
      <x:c r="N511" s="14" t="str"/>
      <x:c r="O511" s="14" t="n">
        <x:v>0</x:v>
      </x:c>
      <x:c r="P511" s="14" t="str">
        <x:v>Hayır</x:v>
      </x:c>
      <x:c r="Q511" s="14" t="str">
        <x:v>Hayır</x:v>
      </x:c>
      <x:c r="R511" s="14" t="str">
        <x:v>Planlandı</x:v>
      </x:c>
      <x:c r="S511" s="15" t="str"/>
      <x:c r="T511" s="14" t="str"/>
    </x:row>
    <x:row r="512">
      <x:c r="A512" s="14" t="n">
        <x:v>511</x:v>
      </x:c>
      <x:c r="B512" s="15" t="n">
        <x:v>46337</x:v>
      </x:c>
      <x:c r="C512" s="14" t="str">
        <x:v>Çarşamba</x:v>
      </x:c>
      <x:c r="D512" s="14" t="str">
        <x:v>Okul Günü</x:v>
      </x:c>
      <x:c r="E512" s="14" t="str">
        <x:v>16:00 sonrası</x:v>
      </x:c>
      <x:c r="F512" s="14" t="str">
        <x:v>F1 - Temel Kurma</x:v>
      </x:c>
      <x:c r="G512" s="14" t="str">
        <x:v>16:00</x:v>
      </x:c>
      <x:c r="H512" s="14" t="str">
        <x:v>16:25</x:v>
      </x:c>
      <x:c r="I512" s="14" t="str">
        <x:v>Genel</x:v>
      </x:c>
      <x:c r="J512" s="14" t="str">
        <x:v>Dinlenme</x:v>
      </x:c>
      <x:c r="K512" s="14" t="str"/>
      <x:c r="L512" s="14" t="str">
        <x:v>Eve geliş, atıştırma ve dinlenme.</x:v>
      </x:c>
      <x:c r="M512" s="14" t="str"/>
      <x:c r="N512" s="14" t="str"/>
      <x:c r="O512" s="14" t="n">
        <x:v>0</x:v>
      </x:c>
      <x:c r="P512" s="14" t="str">
        <x:v>Hayır</x:v>
      </x:c>
      <x:c r="Q512" s="14" t="str">
        <x:v>Hayır</x:v>
      </x:c>
      <x:c r="R512" s="14" t="str">
        <x:v>Planlandı</x:v>
      </x:c>
      <x:c r="S512" s="15" t="str"/>
      <x:c r="T512" s="14" t="str"/>
    </x:row>
    <x:row r="513">
      <x:c r="A513" s="14" t="n">
        <x:v>512</x:v>
      </x:c>
      <x:c r="B513" s="15" t="n">
        <x:v>46337</x:v>
      </x:c>
      <x:c r="C513" s="14" t="str">
        <x:v>Çarşamba</x:v>
      </x:c>
      <x:c r="D513" s="14" t="str">
        <x:v>Okul Günü</x:v>
      </x:c>
      <x:c r="E513" s="14" t="str">
        <x:v>16:00 sonrası</x:v>
      </x:c>
      <x:c r="F513" s="14" t="str">
        <x:v>F1 - Temel Kurma</x:v>
      </x:c>
      <x:c r="G513" s="14" t="str">
        <x:v>16:25</x:v>
      </x:c>
      <x:c r="H513" s="14" t="str">
        <x:v>17:05</x:v>
      </x:c>
      <x:c r="I513" s="14" t="str">
        <x:v>Matematik</x:v>
      </x:c>
      <x:c r="J513" s="14" t="str">
        <x:v>Konu / Tekrar</x:v>
      </x:c>
      <x:c r="K513" s="14" t="str">
        <x:v>Üslü Sayılar ve Bilimsel Gösterim Altyapısı</x:v>
      </x:c>
      <x:c r="L513" s="14" t="str">
        <x:v>Üslü Sayılar ve Bilimsel Gösterim Altyapısı — genel oynatma listesinden ilgili videoyu izle (1/4).</x:v>
      </x:c>
      <x:c r="M513" s="14" t="str">
        <x:v>Matematik Ana Oynatma Listesi</x:v>
      </x:c>
      <x:c r="N513" s="14" t="str">
        <x:v>https://www.youtube.com/watch?v=EuJ89QzqrAg&amp;list=PLicNtF7vp6fnfDqrRLH6H7fIbzYT4ct4F&amp;index=11</x:v>
      </x:c>
      <x:c r="O513" s="14" t="n">
        <x:v>0</x:v>
      </x:c>
      <x:c r="P513" s="14" t="str">
        <x:v>Hayır</x:v>
      </x:c>
      <x:c r="Q513" s="14" t="str">
        <x:v>Evet</x:v>
      </x:c>
      <x:c r="R513" s="14" t="str">
        <x:v>Planlandı</x:v>
      </x:c>
      <x:c r="S513" s="15" t="str"/>
      <x:c r="T513" s="14" t="str">
        <x:v>Yeni konu ancak plan sırasıyla açılır; LGS dışı ileri TYT içeriği zorunlu değildir.</x:v>
      </x:c>
    </x:row>
    <x:row r="514">
      <x:c r="A514" s="14" t="n">
        <x:v>513</x:v>
      </x:c>
      <x:c r="B514" s="15" t="n">
        <x:v>46337</x:v>
      </x:c>
      <x:c r="C514" s="14" t="str">
        <x:v>Çarşamba</x:v>
      </x:c>
      <x:c r="D514" s="14" t="str">
        <x:v>Okul Günü</x:v>
      </x:c>
      <x:c r="E514" s="14" t="str">
        <x:v>16:00 sonrası</x:v>
      </x:c>
      <x:c r="F514" s="14" t="str">
        <x:v>F1 - Temel Kurma</x:v>
      </x:c>
      <x:c r="G514" s="14" t="str">
        <x:v>17:10</x:v>
      </x:c>
      <x:c r="H514" s="14" t="str">
        <x:v>17:55</x:v>
      </x:c>
      <x:c r="I514" s="14" t="str">
        <x:v>Matematik</x:v>
      </x:c>
      <x:c r="J514" s="14" t="str">
        <x:v>Kitap / MEB / Mastery</x:v>
      </x:c>
      <x:c r="K514" s="14" t="str">
        <x:v>Üslü Sayılar ve Bilimsel Gösterim Altyapısı</x:v>
      </x:c>
      <x:c r="L514" s="14" t="str">
        <x:v>Üslü Sayılar ve Bilimsel Gösterim Altyapısı ile ilgili soru kitabından en az 20 soru / bugünkü test payını çöz.</x:v>
      </x:c>
      <x:c r="M514" s="14" t="str">
        <x:v>MUBA 8. Sınıf Başlangıç Matematik (ISBN 9789756526972) (eşleşen bölüm) + MEB temel destek</x:v>
      </x:c>
      <x:c r="N514" s="14" t="str">
        <x:v>https://odsgm.meb.gov.tr/www/5-6-7-ve-9-sinif-duzeylerinde-calisma-sorulari-yayimlandi/icerik/775</x:v>
      </x:c>
      <x:c r="O514" s="14" t="n">
        <x:v>20</x:v>
      </x:c>
      <x:c r="P514" s="14" t="str">
        <x:v>İlk 20 soru</x:v>
      </x:c>
      <x:c r="Q514" s="14" t="str">
        <x:v>Evet</x:v>
      </x:c>
      <x:c r="R514" s="14" t="str">
        <x:v>Planlandı</x:v>
      </x:c>
      <x:c r="S514" s="15" t="str"/>
      <x:c r="T514" s="14" t="str">
        <x:v>Ayrı/rastgele matematik benchmark yoktur. Süreli ilk 20 soru o gün çalışılan konunun içindedir.</x:v>
      </x:c>
    </x:row>
    <x:row r="515">
      <x:c r="A515" s="14" t="n">
        <x:v>514</x:v>
      </x:c>
      <x:c r="B515" s="15" t="n">
        <x:v>46337</x:v>
      </x:c>
      <x:c r="C515" s="14" t="str">
        <x:v>Çarşamba</x:v>
      </x:c>
      <x:c r="D515" s="14" t="str">
        <x:v>Okul Günü</x:v>
      </x:c>
      <x:c r="E515" s="14" t="str">
        <x:v>16:00 sonrası</x:v>
      </x:c>
      <x:c r="F515" s="14" t="str">
        <x:v>F1 - Temel Kurma</x:v>
      </x:c>
      <x:c r="G515" s="14" t="str">
        <x:v>17:55</x:v>
      </x:c>
      <x:c r="H515" s="14" t="str">
        <x:v>18:25</x:v>
      </x:c>
      <x:c r="I515" s="14" t="str">
        <x:v>Genel</x:v>
      </x:c>
      <x:c r="J515" s="14" t="str">
        <x:v>Yemek / Serbest Zaman</x:v>
      </x:c>
      <x:c r="K515" s="14" t="str"/>
      <x:c r="L515" s="14" t="str">
        <x:v>Yemek, hareket ve dinlenme.</x:v>
      </x:c>
      <x:c r="M515" s="14" t="str"/>
      <x:c r="N515" s="14" t="str"/>
      <x:c r="O515" s="14" t="n">
        <x:v>0</x:v>
      </x:c>
      <x:c r="P515" s="14" t="str">
        <x:v>Hayır</x:v>
      </x:c>
      <x:c r="Q515" s="14" t="str">
        <x:v>Hayır</x:v>
      </x:c>
      <x:c r="R515" s="14" t="str">
        <x:v>Planlandı</x:v>
      </x:c>
      <x:c r="S515" s="15" t="str"/>
      <x:c r="T515" s="14" t="str"/>
    </x:row>
    <x:row r="516">
      <x:c r="A516" s="14" t="n">
        <x:v>515</x:v>
      </x:c>
      <x:c r="B516" s="15" t="n">
        <x:v>46337</x:v>
      </x:c>
      <x:c r="C516" s="14" t="str">
        <x:v>Çarşamba</x:v>
      </x:c>
      <x:c r="D516" s="14" t="str">
        <x:v>Okul Günü</x:v>
      </x:c>
      <x:c r="E516" s="14" t="str">
        <x:v>16:00 sonrası</x:v>
      </x:c>
      <x:c r="F516" s="14" t="str">
        <x:v>F1 - Temel Kurma</x:v>
      </x:c>
      <x:c r="G516" s="14" t="str">
        <x:v>18:25</x:v>
      </x:c>
      <x:c r="H516" s="14" t="str">
        <x:v>18:55</x:v>
      </x:c>
      <x:c r="I516" s="14" t="str">
        <x:v>Türkçe</x:v>
      </x:c>
      <x:c r="J516" s="14" t="str">
        <x:v>Paragraf Rutini</x:v>
      </x:c>
      <x:c r="K516" s="14" t="str">
        <x:v>Paragraf</x:v>
      </x:c>
      <x:c r="L516" s="14" t="str">
        <x:v>En az 20 paragraf sorusu çöz; ilk 20 soruyu ileri sayımla ölç, D/Y/B + süre kaydet.</x:v>
      </x:c>
      <x:c r="M516" s="14" t="str">
        <x:v>Hız 8. Sınıf Türkçe Paragraf (ISBN 9786258394498)</x:v>
      </x:c>
      <x:c r="N516" s="14" t="str"/>
      <x:c r="O516" s="14" t="n">
        <x:v>20</x:v>
      </x:c>
      <x:c r="P516" s="14" t="str">
        <x:v>İlk 20 soru</x:v>
      </x:c>
      <x:c r="Q516" s="14" t="str">
        <x:v>Evet</x:v>
      </x:c>
      <x:c r="R516" s="14" t="str">
        <x:v>Planlandı</x:v>
      </x:c>
      <x:c r="S516" s="15" t="str"/>
      <x:c r="T516" s="14" t="str">
        <x:v>Geri sayım ve hedef süre yok.</x:v>
      </x:c>
    </x:row>
    <x:row r="517">
      <x:c r="A517" s="14" t="n">
        <x:v>516</x:v>
      </x:c>
      <x:c r="B517" s="15" t="n">
        <x:v>46337</x:v>
      </x:c>
      <x:c r="C517" s="14" t="str">
        <x:v>Çarşamba</x:v>
      </x:c>
      <x:c r="D517" s="14" t="str">
        <x:v>Okul Günü</x:v>
      </x:c>
      <x:c r="E517" s="14" t="str">
        <x:v>16:00 sonrası</x:v>
      </x:c>
      <x:c r="F517" s="14" t="str">
        <x:v>F1 - Temel Kurma</x:v>
      </x:c>
      <x:c r="G517" s="14" t="str">
        <x:v>19:00</x:v>
      </x:c>
      <x:c r="H517" s="14" t="str">
        <x:v>19:35</x:v>
      </x:c>
      <x:c r="I517" s="14" t="str">
        <x:v>Türkçe</x:v>
      </x:c>
      <x:c r="J517" s="14" t="str">
        <x:v>Konu / Tekrar</x:v>
      </x:c>
      <x:c r="K517" s="14" t="str">
        <x:v>Ad Tamlamaları</x:v>
      </x:c>
      <x:c r="L517" s="14" t="str">
        <x:v>Ad Tamlamaları — MEB doğrulaması öncesi 5-10 dk aktif hatırlama; gerekiyorsa ilgili playlist videosuna kısa dönüş yap.</x:v>
      </x:c>
      <x:c r="M517" s="14" t="str">
        <x:v>Türkçe Ana Oynatma Listesi</x:v>
      </x:c>
      <x:c r="N517" s="14" t="str">
        <x:v>https://www.youtube.com/watch?v=VYsPntNKVdw&amp;list=PLIBjFaUoJJ91bz7QQEBlxNJNZka5YQRr6</x:v>
      </x:c>
      <x:c r="O517" s="14" t="n">
        <x:v>0</x:v>
      </x:c>
      <x:c r="P517" s="14" t="str">
        <x:v>Hayır</x:v>
      </x:c>
      <x:c r="Q517" s="14" t="str">
        <x:v>Evet</x:v>
      </x:c>
      <x:c r="R517" s="14" t="str">
        <x:v>Planlandı</x:v>
      </x:c>
      <x:c r="S517" s="15" t="str"/>
      <x:c r="T517" s="14" t="str">
        <x:v>TYT etiketli kaynak temelden başlamak için sabittir; LGS dışı gereksiz ayrıntı zorunlu değildir.</x:v>
      </x:c>
    </x:row>
    <x:row r="518">
      <x:c r="A518" s="14" t="n">
        <x:v>517</x:v>
      </x:c>
      <x:c r="B518" s="15" t="n">
        <x:v>46337</x:v>
      </x:c>
      <x:c r="C518" s="14" t="str">
        <x:v>Çarşamba</x:v>
      </x:c>
      <x:c r="D518" s="14" t="str">
        <x:v>Okul Günü</x:v>
      </x:c>
      <x:c r="E518" s="14" t="str">
        <x:v>16:00 sonrası</x:v>
      </x:c>
      <x:c r="F518" s="14" t="str">
        <x:v>F1 - Temel Kurma</x:v>
      </x:c>
      <x:c r="G518" s="14" t="str">
        <x:v>19:40</x:v>
      </x:c>
      <x:c r="H518" s="14" t="str">
        <x:v>20:10</x:v>
      </x:c>
      <x:c r="I518" s="14" t="str">
        <x:v>Türkçe</x:v>
      </x:c>
      <x:c r="J518" s="14" t="str">
        <x:v>Kitap / MEB / Mastery</x:v>
      </x:c>
      <x:c r="K518" s="14" t="str">
        <x:v>Ad Tamlamaları</x:v>
      </x:c>
      <x:c r="L518" s="14" t="str">
        <x:v>Ad Tamlamaları için ilgili MEB sorularını TAMAMLA; D/Y/B kaydet. Bu oturum konu mastery gate'idir.</x:v>
      </x:c>
      <x:c r="M518" s="14" t="str">
        <x:v>MEB Resmî Soru Seti</x:v>
      </x:c>
      <x:c r="N518" s="14" t="str">
        <x:v>https://odsgm.meb.gov.tr/www/5-6-7-ve-9-sinif-duzeylerinde-calisma-sorulari-yayimlandi/icerik/775</x:v>
      </x:c>
      <x:c r="O518" s="14" t="n">
        <x:v>0</x:v>
      </x:c>
      <x:c r="P518" s="14" t="str">
        <x:v>Hayır</x:v>
      </x:c>
      <x:c r="Q518" s="14" t="str">
        <x:v>Evet</x:v>
      </x:c>
      <x:c r="R518" s="14" t="str">
        <x:v>Planlandı</x:v>
      </x:c>
      <x:c r="S518" s="15" t="str"/>
      <x:c r="T518" s="14" t="str">
        <x:v>MEB sonucu Konu_Ustaligi sayfasına işlenir.</x:v>
      </x:c>
    </x:row>
    <x:row r="519">
      <x:c r="A519" s="14" t="n">
        <x:v>518</x:v>
      </x:c>
      <x:c r="B519" s="15" t="n">
        <x:v>46337</x:v>
      </x:c>
      <x:c r="C519" s="14" t="str">
        <x:v>Çarşamba</x:v>
      </x:c>
      <x:c r="D519" s="14" t="str">
        <x:v>Okul Günü</x:v>
      </x:c>
      <x:c r="E519" s="14" t="str">
        <x:v>16:00 sonrası</x:v>
      </x:c>
      <x:c r="F519" s="14" t="str">
        <x:v>F1 - Temel Kurma</x:v>
      </x:c>
      <x:c r="G519" s="14" t="str">
        <x:v>20:15</x:v>
      </x:c>
      <x:c r="H519" s="14" t="str">
        <x:v>20:50</x:v>
      </x:c>
      <x:c r="I519" s="14" t="str">
        <x:v>Din</x:v>
      </x:c>
      <x:c r="J519" s="14" t="str">
        <x:v>Konu / Tekrar</x:v>
      </x:c>
      <x:c r="K519" s="14" t="str">
        <x:v>Zekât ve Sadaka</x:v>
      </x:c>
      <x:c r="L519" s="14" t="str">
        <x:v>Zekât ve Sadaka — genel oynatma listesinden ilgili konu/soru çalışmasını yap.</x:v>
      </x:c>
      <x:c r="M519" s="14" t="str">
        <x:v>Din Genel Oynatma Listesi</x:v>
      </x:c>
      <x:c r="N519" s="14" t="str">
        <x:v>https://www.youtube.com/watch?v=wvdOE_75VnA&amp;list=PLbRoPq-Zu-SWXGUbVt4t4UWo-4VjsMUo-&amp;index=2</x:v>
      </x:c>
      <x:c r="O519" s="14" t="n">
        <x:v>0</x:v>
      </x:c>
      <x:c r="P519" s="14" t="str">
        <x:v>Hayır</x:v>
      </x:c>
      <x:c r="Q519" s="14" t="str">
        <x:v>Evet</x:v>
      </x:c>
      <x:c r="R519" s="14" t="str">
        <x:v>Planlandı</x:v>
      </x:c>
      <x:c r="S519" s="15" t="str"/>
      <x:c r="T519" s="14" t="str"/>
    </x:row>
    <x:row r="520">
      <x:c r="A520" s="14" t="n">
        <x:v>519</x:v>
      </x:c>
      <x:c r="B520" s="15" t="n">
        <x:v>46337</x:v>
      </x:c>
      <x:c r="C520" s="14" t="str">
        <x:v>Çarşamba</x:v>
      </x:c>
      <x:c r="D520" s="14" t="str">
        <x:v>Okul Günü</x:v>
      </x:c>
      <x:c r="E520" s="14" t="str">
        <x:v>16:00 sonrası</x:v>
      </x:c>
      <x:c r="F520" s="14" t="str">
        <x:v>F1 - Temel Kurma</x:v>
      </x:c>
      <x:c r="G520" s="14" t="str">
        <x:v>20:55</x:v>
      </x:c>
      <x:c r="H520" s="14" t="str">
        <x:v>21:20</x:v>
      </x:c>
      <x:c r="I520" s="14" t="str">
        <x:v>Din</x:v>
      </x:c>
      <x:c r="J520" s="14" t="str">
        <x:v>Kitap / MEB / Mastery</x:v>
      </x:c>
      <x:c r="K520" s="14" t="str">
        <x:v>Zekât ve Sadaka</x:v>
      </x:c>
      <x:c r="L520" s="14" t="str">
        <x:v>Zekât ve Sadaka ile ilgili soru kitabından en az 15 soru / bugünkü test payını çöz.</x:v>
      </x:c>
      <x:c r="M520" s="14" t="str">
        <x:v>Hız 8. Sınıf Din Kültürü ve Ahlak Bilgisi</x:v>
      </x:c>
      <x:c r="N520" s="14" t="str">
        <x:v>https://www.youtube.com/watch?v=wvdOE_75VnA&amp;list=PLbRoPq-Zu-SWXGUbVt4t4UWo-4VjsMUo-&amp;index=2</x:v>
      </x:c>
      <x:c r="O520" s="14" t="n">
        <x:v>15</x:v>
      </x:c>
      <x:c r="P520" s="14" t="str">
        <x:v>Hayır</x:v>
      </x:c>
      <x:c r="Q520" s="14" t="str">
        <x:v>Evet</x:v>
      </x:c>
      <x:c r="R520" s="14" t="str">
        <x:v>Planlandı</x:v>
      </x:c>
      <x:c r="S520" s="15" t="str"/>
      <x:c r="T520" s="14" t="str"/>
    </x:row>
    <x:row r="521">
      <x:c r="A521" s="14" t="n">
        <x:v>520</x:v>
      </x:c>
      <x:c r="B521" s="15" t="n">
        <x:v>46337</x:v>
      </x:c>
      <x:c r="C521" s="14" t="str">
        <x:v>Çarşamba</x:v>
      </x:c>
      <x:c r="D521" s="14" t="str">
        <x:v>Okul Günü</x:v>
      </x:c>
      <x:c r="E521" s="14" t="str">
        <x:v>16:00 sonrası</x:v>
      </x:c>
      <x:c r="F521" s="14" t="str">
        <x:v>F1 - Temel Kurma</x:v>
      </x:c>
      <x:c r="G521" s="14" t="str">
        <x:v>21:20</x:v>
      </x:c>
      <x:c r="H521" s="14" t="str">
        <x:v>21:35</x:v>
      </x:c>
      <x:c r="I521" s="14" t="str">
        <x:v>Genel</x:v>
      </x:c>
      <x:c r="J521" s="14" t="str">
        <x:v>Yanlış / Boş Analizi</x:v>
      </x:c>
      <x:c r="K521" s="14" t="str">
        <x:v>Günlük</x:v>
      </x:c>
      <x:c r="L521" s="14" t="str">
        <x:v>Bugünkü yanlış/boşları kaydet; çözümünü öğrenmeden kapatma. Hata türünü sınıflandır.</x:v>
      </x:c>
      <x:c r="M521" s="14" t="str">
        <x:v>Yanlış Defteri</x:v>
      </x:c>
      <x:c r="N521" s="14" t="str"/>
      <x:c r="O521" s="14" t="n">
        <x:v>0</x:v>
      </x:c>
      <x:c r="P521" s="14" t="str">
        <x:v>Hayır</x:v>
      </x:c>
      <x:c r="Q521" s="14" t="str">
        <x:v>Evet</x:v>
      </x:c>
      <x:c r="R521" s="14" t="str">
        <x:v>Planlandı</x:v>
      </x:c>
      <x:c r="S521" s="15" t="str"/>
      <x:c r="T521" s="14" t="str"/>
    </x:row>
    <x:row r="522">
      <x:c r="A522" s="14" t="n">
        <x:v>521</x:v>
      </x:c>
      <x:c r="B522" s="15" t="n">
        <x:v>46337</x:v>
      </x:c>
      <x:c r="C522" s="14" t="str">
        <x:v>Çarşamba</x:v>
      </x:c>
      <x:c r="D522" s="14" t="str">
        <x:v>Okul Günü</x:v>
      </x:c>
      <x:c r="E522" s="14" t="str">
        <x:v>16:00 sonrası</x:v>
      </x:c>
      <x:c r="F522" s="14" t="str">
        <x:v>F1 - Temel Kurma</x:v>
      </x:c>
      <x:c r="G522" s="14" t="str">
        <x:v>21:35</x:v>
      </x:c>
      <x:c r="H522" s="14" t="str">
        <x:v>21:50</x:v>
      </x:c>
      <x:c r="I522" s="14" t="str">
        <x:v>Genel</x:v>
      </x:c>
      <x:c r="J522" s="14" t="str">
        <x:v>Aralıklı Hata Tekrarı</x:v>
      </x:c>
      <x:c r="K522" s="14" t="str">
        <x:v>+1 / +7 / +21</x:v>
      </x:c>
      <x:c r="L522" s="14" t="str">
        <x:v>Bugün vadesi gelen yanlış soruları tekrar çöz. Vadesi yoksa bu süre serbest/okuma olabilir.</x:v>
      </x:c>
      <x:c r="M522" s="14" t="str">
        <x:v>Yanlış Defteri</x:v>
      </x:c>
      <x:c r="N522" s="14" t="str"/>
      <x:c r="O522" s="14" t="n">
        <x:v>0</x:v>
      </x:c>
      <x:c r="P522" s="14" t="str">
        <x:v>Hayır</x:v>
      </x:c>
      <x:c r="Q522" s="14" t="str">
        <x:v>Koşullu</x:v>
      </x:c>
      <x:c r="R522" s="14" t="str">
        <x:v>Planlandı</x:v>
      </x:c>
      <x:c r="S522" s="15" t="str"/>
      <x:c r="T522" s="14" t="str">
        <x:v>Yanlışlar +1, +7 ve +21 gün aralıklarıyla tekrar edilir; hâlâ yanlışsa konu mastery durumu düşürülür.</x:v>
      </x:c>
    </x:row>
    <x:row r="523">
      <x:c r="A523" s="14" t="n">
        <x:v>522</x:v>
      </x:c>
      <x:c r="B523" s="15" t="n">
        <x:v>46337</x:v>
      </x:c>
      <x:c r="C523" s="14" t="str">
        <x:v>Çarşamba</x:v>
      </x:c>
      <x:c r="D523" s="14" t="str">
        <x:v>Okul Günü</x:v>
      </x:c>
      <x:c r="E523" s="14" t="str">
        <x:v>16:00 sonrası</x:v>
      </x:c>
      <x:c r="F523" s="14" t="str">
        <x:v>F1 - Temel Kurma</x:v>
      </x:c>
      <x:c r="G523" s="14" t="str">
        <x:v>21:50</x:v>
      </x:c>
      <x:c r="H523" s="14" t="str">
        <x:v>22:00</x:v>
      </x:c>
      <x:c r="I523" s="14" t="str">
        <x:v>Genel</x:v>
      </x:c>
      <x:c r="J523" s="14" t="str">
        <x:v>Uyku Hazırlığı</x:v>
      </x:c>
      <x:c r="K523" s="14" t="str"/>
      <x:c r="L523" s="14" t="str">
        <x:v>22:00'de yatakta ve uyku.</x:v>
      </x:c>
      <x:c r="M523" s="14" t="str"/>
      <x:c r="N523" s="14" t="str"/>
      <x:c r="O523" s="14" t="n">
        <x:v>0</x:v>
      </x:c>
      <x:c r="P523" s="14" t="str">
        <x:v>Hayır</x:v>
      </x:c>
      <x:c r="Q523" s="14" t="str">
        <x:v>Hayır</x:v>
      </x:c>
      <x:c r="R523" s="14" t="str">
        <x:v>Planlandı</x:v>
      </x:c>
      <x:c r="S523" s="15" t="str"/>
      <x:c r="T523" s="14" t="str"/>
    </x:row>
    <x:row r="524">
      <x:c r="A524" s="14" t="n">
        <x:v>523</x:v>
      </x:c>
      <x:c r="B524" s="15" t="n">
        <x:v>46338</x:v>
      </x:c>
      <x:c r="C524" s="14" t="str">
        <x:v>Perşembe</x:v>
      </x:c>
      <x:c r="D524" s="14" t="str">
        <x:v>Okul Günü</x:v>
      </x:c>
      <x:c r="E524" s="14" t="str">
        <x:v>16:00 sonrası</x:v>
      </x:c>
      <x:c r="F524" s="14" t="str">
        <x:v>F1 - Temel Kurma</x:v>
      </x:c>
      <x:c r="G524" s="14" t="str">
        <x:v>16:00</x:v>
      </x:c>
      <x:c r="H524" s="14" t="str">
        <x:v>16:25</x:v>
      </x:c>
      <x:c r="I524" s="14" t="str">
        <x:v>Genel</x:v>
      </x:c>
      <x:c r="J524" s="14" t="str">
        <x:v>Dinlenme</x:v>
      </x:c>
      <x:c r="K524" s="14" t="str"/>
      <x:c r="L524" s="14" t="str">
        <x:v>Eve geliş, atıştırma ve dinlenme.</x:v>
      </x:c>
      <x:c r="M524" s="14" t="str"/>
      <x:c r="N524" s="14" t="str"/>
      <x:c r="O524" s="14" t="n">
        <x:v>0</x:v>
      </x:c>
      <x:c r="P524" s="14" t="str">
        <x:v>Hayır</x:v>
      </x:c>
      <x:c r="Q524" s="14" t="str">
        <x:v>Hayır</x:v>
      </x:c>
      <x:c r="R524" s="14" t="str">
        <x:v>Planlandı</x:v>
      </x:c>
      <x:c r="S524" s="15" t="str"/>
      <x:c r="T524" s="14" t="str"/>
    </x:row>
    <x:row r="525">
      <x:c r="A525" s="14" t="n">
        <x:v>524</x:v>
      </x:c>
      <x:c r="B525" s="15" t="n">
        <x:v>46338</x:v>
      </x:c>
      <x:c r="C525" s="14" t="str">
        <x:v>Perşembe</x:v>
      </x:c>
      <x:c r="D525" s="14" t="str">
        <x:v>Okul Günü</x:v>
      </x:c>
      <x:c r="E525" s="14" t="str">
        <x:v>16:00 sonrası</x:v>
      </x:c>
      <x:c r="F525" s="14" t="str">
        <x:v>F1 - Temel Kurma</x:v>
      </x:c>
      <x:c r="G525" s="14" t="str">
        <x:v>16:25</x:v>
      </x:c>
      <x:c r="H525" s="14" t="str">
        <x:v>17:05</x:v>
      </x:c>
      <x:c r="I525" s="14" t="str">
        <x:v>Matematik</x:v>
      </x:c>
      <x:c r="J525" s="14" t="str">
        <x:v>Konu / Tekrar</x:v>
      </x:c>
      <x:c r="K525" s="14" t="str">
        <x:v>Üslü Sayılar ve Bilimsel Gösterim Altyapısı</x:v>
      </x:c>
      <x:c r="L525" s="14" t="str">
        <x:v>Üslü Sayılar ve Bilimsel Gösterim Altyapısı — genel oynatma listesinden ilgili videoyu izle (2/4).</x:v>
      </x:c>
      <x:c r="M525" s="14" t="str">
        <x:v>Matematik Ana Oynatma Listesi</x:v>
      </x:c>
      <x:c r="N525" s="14" t="str">
        <x:v>https://www.youtube.com/watch?v=EuJ89QzqrAg&amp;list=PLicNtF7vp6fnfDqrRLH6H7fIbzYT4ct4F&amp;index=11</x:v>
      </x:c>
      <x:c r="O525" s="14" t="n">
        <x:v>0</x:v>
      </x:c>
      <x:c r="P525" s="14" t="str">
        <x:v>Hayır</x:v>
      </x:c>
      <x:c r="Q525" s="14" t="str">
        <x:v>Evet</x:v>
      </x:c>
      <x:c r="R525" s="14" t="str">
        <x:v>Planlandı</x:v>
      </x:c>
      <x:c r="S525" s="15" t="str"/>
      <x:c r="T525" s="14" t="str">
        <x:v>Yeni konu ancak plan sırasıyla açılır; LGS dışı ileri TYT içeriği zorunlu değildir.</x:v>
      </x:c>
    </x:row>
    <x:row r="526">
      <x:c r="A526" s="14" t="n">
        <x:v>525</x:v>
      </x:c>
      <x:c r="B526" s="15" t="n">
        <x:v>46338</x:v>
      </x:c>
      <x:c r="C526" s="14" t="str">
        <x:v>Perşembe</x:v>
      </x:c>
      <x:c r="D526" s="14" t="str">
        <x:v>Okul Günü</x:v>
      </x:c>
      <x:c r="E526" s="14" t="str">
        <x:v>16:00 sonrası</x:v>
      </x:c>
      <x:c r="F526" s="14" t="str">
        <x:v>F1 - Temel Kurma</x:v>
      </x:c>
      <x:c r="G526" s="14" t="str">
        <x:v>17:10</x:v>
      </x:c>
      <x:c r="H526" s="14" t="str">
        <x:v>17:55</x:v>
      </x:c>
      <x:c r="I526" s="14" t="str">
        <x:v>Matematik</x:v>
      </x:c>
      <x:c r="J526" s="14" t="str">
        <x:v>Kitap / MEB / Mastery</x:v>
      </x:c>
      <x:c r="K526" s="14" t="str">
        <x:v>Üslü Sayılar ve Bilimsel Gösterim Altyapısı</x:v>
      </x:c>
      <x:c r="L526" s="14" t="str">
        <x:v>Üslü Sayılar ve Bilimsel Gösterim Altyapısı ile ilgili soru kitabından en az 20 soru / bugünkü test payını çöz.</x:v>
      </x:c>
      <x:c r="M526" s="14" t="str">
        <x:v>MUBA 8. Sınıf Başlangıç Matematik (ISBN 9789756526972) (eşleşen bölüm) + MEB temel destek</x:v>
      </x:c>
      <x:c r="N526" s="14" t="str">
        <x:v>https://odsgm.meb.gov.tr/www/5-6-7-ve-9-sinif-duzeylerinde-calisma-sorulari-yayimlandi/icerik/775</x:v>
      </x:c>
      <x:c r="O526" s="14" t="n">
        <x:v>20</x:v>
      </x:c>
      <x:c r="P526" s="14" t="str">
        <x:v>İlk 20 soru</x:v>
      </x:c>
      <x:c r="Q526" s="14" t="str">
        <x:v>Evet</x:v>
      </x:c>
      <x:c r="R526" s="14" t="str">
        <x:v>Planlandı</x:v>
      </x:c>
      <x:c r="S526" s="15" t="str"/>
      <x:c r="T526" s="14" t="str">
        <x:v>Ayrı/rastgele matematik benchmark yoktur. Süreli ilk 20 soru o gün çalışılan konunun içindedir.</x:v>
      </x:c>
    </x:row>
    <x:row r="527">
      <x:c r="A527" s="14" t="n">
        <x:v>526</x:v>
      </x:c>
      <x:c r="B527" s="15" t="n">
        <x:v>46338</x:v>
      </x:c>
      <x:c r="C527" s="14" t="str">
        <x:v>Perşembe</x:v>
      </x:c>
      <x:c r="D527" s="14" t="str">
        <x:v>Okul Günü</x:v>
      </x:c>
      <x:c r="E527" s="14" t="str">
        <x:v>16:00 sonrası</x:v>
      </x:c>
      <x:c r="F527" s="14" t="str">
        <x:v>F1 - Temel Kurma</x:v>
      </x:c>
      <x:c r="G527" s="14" t="str">
        <x:v>17:55</x:v>
      </x:c>
      <x:c r="H527" s="14" t="str">
        <x:v>18:25</x:v>
      </x:c>
      <x:c r="I527" s="14" t="str">
        <x:v>Genel</x:v>
      </x:c>
      <x:c r="J527" s="14" t="str">
        <x:v>Yemek / Serbest Zaman</x:v>
      </x:c>
      <x:c r="K527" s="14" t="str"/>
      <x:c r="L527" s="14" t="str">
        <x:v>Yemek, hareket ve dinlenme.</x:v>
      </x:c>
      <x:c r="M527" s="14" t="str"/>
      <x:c r="N527" s="14" t="str"/>
      <x:c r="O527" s="14" t="n">
        <x:v>0</x:v>
      </x:c>
      <x:c r="P527" s="14" t="str">
        <x:v>Hayır</x:v>
      </x:c>
      <x:c r="Q527" s="14" t="str">
        <x:v>Hayır</x:v>
      </x:c>
      <x:c r="R527" s="14" t="str">
        <x:v>Planlandı</x:v>
      </x:c>
      <x:c r="S527" s="15" t="str"/>
      <x:c r="T527" s="14" t="str"/>
    </x:row>
    <x:row r="528">
      <x:c r="A528" s="14" t="n">
        <x:v>527</x:v>
      </x:c>
      <x:c r="B528" s="15" t="n">
        <x:v>46338</x:v>
      </x:c>
      <x:c r="C528" s="14" t="str">
        <x:v>Perşembe</x:v>
      </x:c>
      <x:c r="D528" s="14" t="str">
        <x:v>Okul Günü</x:v>
      </x:c>
      <x:c r="E528" s="14" t="str">
        <x:v>16:00 sonrası</x:v>
      </x:c>
      <x:c r="F528" s="14" t="str">
        <x:v>F1 - Temel Kurma</x:v>
      </x:c>
      <x:c r="G528" s="14" t="str">
        <x:v>18:25</x:v>
      </x:c>
      <x:c r="H528" s="14" t="str">
        <x:v>18:55</x:v>
      </x:c>
      <x:c r="I528" s="14" t="str">
        <x:v>Türkçe</x:v>
      </x:c>
      <x:c r="J528" s="14" t="str">
        <x:v>Paragraf Rutini</x:v>
      </x:c>
      <x:c r="K528" s="14" t="str">
        <x:v>Paragraf</x:v>
      </x:c>
      <x:c r="L528" s="14" t="str">
        <x:v>En az 20 paragraf sorusu çöz; ilk 20 soruyu ileri sayımla ölç, D/Y/B + süre kaydet.</x:v>
      </x:c>
      <x:c r="M528" s="14" t="str">
        <x:v>Hız 8. Sınıf Türkçe Paragraf (ISBN 9786258394498)</x:v>
      </x:c>
      <x:c r="N528" s="14" t="str"/>
      <x:c r="O528" s="14" t="n">
        <x:v>20</x:v>
      </x:c>
      <x:c r="P528" s="14" t="str">
        <x:v>İlk 20 soru</x:v>
      </x:c>
      <x:c r="Q528" s="14" t="str">
        <x:v>Evet</x:v>
      </x:c>
      <x:c r="R528" s="14" t="str">
        <x:v>Planlandı</x:v>
      </x:c>
      <x:c r="S528" s="15" t="str"/>
      <x:c r="T528" s="14" t="str">
        <x:v>Geri sayım ve hedef süre yok.</x:v>
      </x:c>
    </x:row>
    <x:row r="529">
      <x:c r="A529" s="14" t="n">
        <x:v>528</x:v>
      </x:c>
      <x:c r="B529" s="15" t="n">
        <x:v>46338</x:v>
      </x:c>
      <x:c r="C529" s="14" t="str">
        <x:v>Perşembe</x:v>
      </x:c>
      <x:c r="D529" s="14" t="str">
        <x:v>Okul Günü</x:v>
      </x:c>
      <x:c r="E529" s="14" t="str">
        <x:v>16:00 sonrası</x:v>
      </x:c>
      <x:c r="F529" s="14" t="str">
        <x:v>F1 - Temel Kurma</x:v>
      </x:c>
      <x:c r="G529" s="14" t="str">
        <x:v>19:00</x:v>
      </x:c>
      <x:c r="H529" s="14" t="str">
        <x:v>19:35</x:v>
      </x:c>
      <x:c r="I529" s="14" t="str">
        <x:v>Türkçe</x:v>
      </x:c>
      <x:c r="J529" s="14" t="str">
        <x:v>Konu / Tekrar</x:v>
      </x:c>
      <x:c r="K529" s="14" t="str">
        <x:v>Zamirler</x:v>
      </x:c>
      <x:c r="L529" s="14" t="str">
        <x:v>Zamirler — genel oynatma listesinden ilgili videoyu izle (1/3).</x:v>
      </x:c>
      <x:c r="M529" s="14" t="str">
        <x:v>Türkçe Ana Oynatma Listesi</x:v>
      </x:c>
      <x:c r="N529" s="14" t="str">
        <x:v>https://www.youtube.com/watch?v=VYsPntNKVdw&amp;list=PLIBjFaUoJJ91bz7QQEBlxNJNZka5YQRr6</x:v>
      </x:c>
      <x:c r="O529" s="14" t="n">
        <x:v>0</x:v>
      </x:c>
      <x:c r="P529" s="14" t="str">
        <x:v>Hayır</x:v>
      </x:c>
      <x:c r="Q529" s="14" t="str">
        <x:v>Evet</x:v>
      </x:c>
      <x:c r="R529" s="14" t="str">
        <x:v>Planlandı</x:v>
      </x:c>
      <x:c r="S529" s="15" t="str"/>
      <x:c r="T529" s="14" t="str">
        <x:v>TYT etiketli kaynak temelden başlamak için sabittir; LGS dışı gereksiz ayrıntı zorunlu değildir.</x:v>
      </x:c>
    </x:row>
    <x:row r="530">
      <x:c r="A530" s="14" t="n">
        <x:v>529</x:v>
      </x:c>
      <x:c r="B530" s="15" t="n">
        <x:v>46338</x:v>
      </x:c>
      <x:c r="C530" s="14" t="str">
        <x:v>Perşembe</x:v>
      </x:c>
      <x:c r="D530" s="14" t="str">
        <x:v>Okul Günü</x:v>
      </x:c>
      <x:c r="E530" s="14" t="str">
        <x:v>16:00 sonrası</x:v>
      </x:c>
      <x:c r="F530" s="14" t="str">
        <x:v>F1 - Temel Kurma</x:v>
      </x:c>
      <x:c r="G530" s="14" t="str">
        <x:v>19:40</x:v>
      </x:c>
      <x:c r="H530" s="14" t="str">
        <x:v>20:10</x:v>
      </x:c>
      <x:c r="I530" s="14" t="str">
        <x:v>Türkçe</x:v>
      </x:c>
      <x:c r="J530" s="14" t="str">
        <x:v>Kitap / MEB / Mastery</x:v>
      </x:c>
      <x:c r="K530" s="14" t="str">
        <x:v>Zamirler</x:v>
      </x:c>
      <x:c r="L530" s="14" t="str">
        <x:v>Zamirler ile ilgili soru kitabından en az 10 soru / bugünkü test payını çöz.</x:v>
      </x:c>
      <x:c r="M530" s="14" t="str">
        <x:v>Ankara 8. Sınıf Dil Bilgisi Güçlendiren (eşleşen bölüm) + MEB temel destek</x:v>
      </x:c>
      <x:c r="N530" s="14" t="str">
        <x:v>https://odsgm.meb.gov.tr/www/5-6-7-ve-9-sinif-duzeylerinde-calisma-sorulari-yayimlandi/icerik/775</x:v>
      </x:c>
      <x:c r="O530" s="14" t="n">
        <x:v>10</x:v>
      </x:c>
      <x:c r="P530" s="14" t="str">
        <x:v>Hayır</x:v>
      </x:c>
      <x:c r="Q530" s="14" t="str">
        <x:v>Evet</x:v>
      </x:c>
      <x:c r="R530" s="14" t="str">
        <x:v>Planlandı</x:v>
      </x:c>
      <x:c r="S530" s="15" t="str"/>
      <x:c r="T530" s="14" t="str"/>
    </x:row>
    <x:row r="531">
      <x:c r="A531" s="14" t="n">
        <x:v>530</x:v>
      </x:c>
      <x:c r="B531" s="15" t="n">
        <x:v>46338</x:v>
      </x:c>
      <x:c r="C531" s="14" t="str">
        <x:v>Perşembe</x:v>
      </x:c>
      <x:c r="D531" s="14" t="str">
        <x:v>Okul Günü</x:v>
      </x:c>
      <x:c r="E531" s="14" t="str">
        <x:v>16:00 sonrası</x:v>
      </x:c>
      <x:c r="F531" s="14" t="str">
        <x:v>F1 - Temel Kurma</x:v>
      </x:c>
      <x:c r="G531" s="14" t="str">
        <x:v>20:15</x:v>
      </x:c>
      <x:c r="H531" s="14" t="str">
        <x:v>20:50</x:v>
      </x:c>
      <x:c r="I531" s="14" t="str">
        <x:v>İnkılap</x:v>
      </x:c>
      <x:c r="J531" s="14" t="str">
        <x:v>Konu / Tekrar</x:v>
      </x:c>
      <x:c r="K531" s="14" t="str">
        <x:v>I. Dünya Savaşı ve Osmanlı Devleti</x:v>
      </x:c>
      <x:c r="L531" s="14" t="str">
        <x:v>I. Dünya Savaşı ve Osmanlı Devleti — genel oynatma listesinden ilgili konu/soru çalışmasını yap.</x:v>
      </x:c>
      <x:c r="M531" s="14" t="str">
        <x:v>İnkılap Genel Oynatma Listesi</x:v>
      </x:c>
      <x:c r="N531" s="14" t="str">
        <x:v>https://www.youtube.com/watch?v=MltIX0oKpYU&amp;list=PLsAsBPsriHNbXit4Ra3iuBrk1ZHZWxsOR&amp;index=78</x:v>
      </x:c>
      <x:c r="O531" s="14" t="n">
        <x:v>0</x:v>
      </x:c>
      <x:c r="P531" s="14" t="str">
        <x:v>Hayır</x:v>
      </x:c>
      <x:c r="Q531" s="14" t="str">
        <x:v>Evet</x:v>
      </x:c>
      <x:c r="R531" s="14" t="str">
        <x:v>Planlandı</x:v>
      </x:c>
      <x:c r="S531" s="15" t="str"/>
      <x:c r="T531" s="14" t="str">
        <x:v>İnkılapta okul yazılısı videoları zorunlu değildir.</x:v>
      </x:c>
    </x:row>
    <x:row r="532">
      <x:c r="A532" s="14" t="n">
        <x:v>531</x:v>
      </x:c>
      <x:c r="B532" s="15" t="n">
        <x:v>46338</x:v>
      </x:c>
      <x:c r="C532" s="14" t="str">
        <x:v>Perşembe</x:v>
      </x:c>
      <x:c r="D532" s="14" t="str">
        <x:v>Okul Günü</x:v>
      </x:c>
      <x:c r="E532" s="14" t="str">
        <x:v>16:00 sonrası</x:v>
      </x:c>
      <x:c r="F532" s="14" t="str">
        <x:v>F1 - Temel Kurma</x:v>
      </x:c>
      <x:c r="G532" s="14" t="str">
        <x:v>20:55</x:v>
      </x:c>
      <x:c r="H532" s="14" t="str">
        <x:v>21:20</x:v>
      </x:c>
      <x:c r="I532" s="14" t="str">
        <x:v>İnkılap</x:v>
      </x:c>
      <x:c r="J532" s="14" t="str">
        <x:v>Kitap / MEB / Mastery</x:v>
      </x:c>
      <x:c r="K532" s="14" t="str">
        <x:v>I. Dünya Savaşı ve Osmanlı Devleti</x:v>
      </x:c>
      <x:c r="L532" s="14" t="str">
        <x:v>I. Dünya Savaşı ve Osmanlı Devleti ile ilgili soru kitabından en az 15 soru / bugünkü test payını çöz.</x:v>
      </x:c>
      <x:c r="M532" s="14" t="str">
        <x:v>Hız 8. Sınıf T.C. İnkılap Tarihi ve Atatürkçülük</x:v>
      </x:c>
      <x:c r="N532" s="14" t="str">
        <x:v>https://www.youtube.com/watch?v=MltIX0oKpYU&amp;list=PLsAsBPsriHNbXit4Ra3iuBrk1ZHZWxsOR&amp;index=78</x:v>
      </x:c>
      <x:c r="O532" s="14" t="n">
        <x:v>15</x:v>
      </x:c>
      <x:c r="P532" s="14" t="str">
        <x:v>Hayır</x:v>
      </x:c>
      <x:c r="Q532" s="14" t="str">
        <x:v>Evet</x:v>
      </x:c>
      <x:c r="R532" s="14" t="str">
        <x:v>Planlandı</x:v>
      </x:c>
      <x:c r="S532" s="15" t="str"/>
      <x:c r="T532" s="14" t="str"/>
    </x:row>
    <x:row r="533">
      <x:c r="A533" s="14" t="n">
        <x:v>532</x:v>
      </x:c>
      <x:c r="B533" s="15" t="n">
        <x:v>46338</x:v>
      </x:c>
      <x:c r="C533" s="14" t="str">
        <x:v>Perşembe</x:v>
      </x:c>
      <x:c r="D533" s="14" t="str">
        <x:v>Okul Günü</x:v>
      </x:c>
      <x:c r="E533" s="14" t="str">
        <x:v>16:00 sonrası</x:v>
      </x:c>
      <x:c r="F533" s="14" t="str">
        <x:v>F1 - Temel Kurma</x:v>
      </x:c>
      <x:c r="G533" s="14" t="str">
        <x:v>21:20</x:v>
      </x:c>
      <x:c r="H533" s="14" t="str">
        <x:v>21:35</x:v>
      </x:c>
      <x:c r="I533" s="14" t="str">
        <x:v>Genel</x:v>
      </x:c>
      <x:c r="J533" s="14" t="str">
        <x:v>Yanlış / Boş Analizi</x:v>
      </x:c>
      <x:c r="K533" s="14" t="str">
        <x:v>Günlük</x:v>
      </x:c>
      <x:c r="L533" s="14" t="str">
        <x:v>Bugünkü yanlış/boşları kaydet; çözümünü öğrenmeden kapatma. Hata türünü sınıflandır.</x:v>
      </x:c>
      <x:c r="M533" s="14" t="str">
        <x:v>Yanlış Defteri</x:v>
      </x:c>
      <x:c r="N533" s="14" t="str"/>
      <x:c r="O533" s="14" t="n">
        <x:v>0</x:v>
      </x:c>
      <x:c r="P533" s="14" t="str">
        <x:v>Hayır</x:v>
      </x:c>
      <x:c r="Q533" s="14" t="str">
        <x:v>Evet</x:v>
      </x:c>
      <x:c r="R533" s="14" t="str">
        <x:v>Planlandı</x:v>
      </x:c>
      <x:c r="S533" s="15" t="str"/>
      <x:c r="T533" s="14" t="str"/>
    </x:row>
    <x:row r="534">
      <x:c r="A534" s="14" t="n">
        <x:v>533</x:v>
      </x:c>
      <x:c r="B534" s="15" t="n">
        <x:v>46338</x:v>
      </x:c>
      <x:c r="C534" s="14" t="str">
        <x:v>Perşembe</x:v>
      </x:c>
      <x:c r="D534" s="14" t="str">
        <x:v>Okul Günü</x:v>
      </x:c>
      <x:c r="E534" s="14" t="str">
        <x:v>16:00 sonrası</x:v>
      </x:c>
      <x:c r="F534" s="14" t="str">
        <x:v>F1 - Temel Kurma</x:v>
      </x:c>
      <x:c r="G534" s="14" t="str">
        <x:v>21:35</x:v>
      </x:c>
      <x:c r="H534" s="14" t="str">
        <x:v>21:50</x:v>
      </x:c>
      <x:c r="I534" s="14" t="str">
        <x:v>Genel</x:v>
      </x:c>
      <x:c r="J534" s="14" t="str">
        <x:v>Aralıklı Hata Tekrarı</x:v>
      </x:c>
      <x:c r="K534" s="14" t="str">
        <x:v>+1 / +7 / +21</x:v>
      </x:c>
      <x:c r="L534" s="14" t="str">
        <x:v>Bugün vadesi gelen yanlış soruları tekrar çöz. Vadesi yoksa bu süre serbest/okuma olabilir.</x:v>
      </x:c>
      <x:c r="M534" s="14" t="str">
        <x:v>Yanlış Defteri</x:v>
      </x:c>
      <x:c r="N534" s="14" t="str"/>
      <x:c r="O534" s="14" t="n">
        <x:v>0</x:v>
      </x:c>
      <x:c r="P534" s="14" t="str">
        <x:v>Hayır</x:v>
      </x:c>
      <x:c r="Q534" s="14" t="str">
        <x:v>Koşullu</x:v>
      </x:c>
      <x:c r="R534" s="14" t="str">
        <x:v>Planlandı</x:v>
      </x:c>
      <x:c r="S534" s="15" t="str"/>
      <x:c r="T534" s="14" t="str">
        <x:v>Yanlışlar +1, +7 ve +21 gün aralıklarıyla tekrar edilir; hâlâ yanlışsa konu mastery durumu düşürülür.</x:v>
      </x:c>
    </x:row>
    <x:row r="535">
      <x:c r="A535" s="14" t="n">
        <x:v>534</x:v>
      </x:c>
      <x:c r="B535" s="15" t="n">
        <x:v>46338</x:v>
      </x:c>
      <x:c r="C535" s="14" t="str">
        <x:v>Perşembe</x:v>
      </x:c>
      <x:c r="D535" s="14" t="str">
        <x:v>Okul Günü</x:v>
      </x:c>
      <x:c r="E535" s="14" t="str">
        <x:v>16:00 sonrası</x:v>
      </x:c>
      <x:c r="F535" s="14" t="str">
        <x:v>F1 - Temel Kurma</x:v>
      </x:c>
      <x:c r="G535" s="14" t="str">
        <x:v>21:50</x:v>
      </x:c>
      <x:c r="H535" s="14" t="str">
        <x:v>22:00</x:v>
      </x:c>
      <x:c r="I535" s="14" t="str">
        <x:v>Genel</x:v>
      </x:c>
      <x:c r="J535" s="14" t="str">
        <x:v>Uyku Hazırlığı</x:v>
      </x:c>
      <x:c r="K535" s="14" t="str"/>
      <x:c r="L535" s="14" t="str">
        <x:v>22:00'de yatakta ve uyku.</x:v>
      </x:c>
      <x:c r="M535" s="14" t="str"/>
      <x:c r="N535" s="14" t="str"/>
      <x:c r="O535" s="14" t="n">
        <x:v>0</x:v>
      </x:c>
      <x:c r="P535" s="14" t="str">
        <x:v>Hayır</x:v>
      </x:c>
      <x:c r="Q535" s="14" t="str">
        <x:v>Hayır</x:v>
      </x:c>
      <x:c r="R535" s="14" t="str">
        <x:v>Planlandı</x:v>
      </x:c>
      <x:c r="S535" s="15" t="str"/>
      <x:c r="T535" s="14" t="str"/>
    </x:row>
    <x:row r="536">
      <x:c r="A536" s="14" t="n">
        <x:v>535</x:v>
      </x:c>
      <x:c r="B536" s="15" t="n">
        <x:v>46339</x:v>
      </x:c>
      <x:c r="C536" s="14" t="str">
        <x:v>Cuma</x:v>
      </x:c>
      <x:c r="D536" s="14" t="str">
        <x:v>Okul Günü</x:v>
      </x:c>
      <x:c r="E536" s="14" t="str">
        <x:v>16:00 sonrası</x:v>
      </x:c>
      <x:c r="F536" s="14" t="str">
        <x:v>F1 - Temel Kurma</x:v>
      </x:c>
      <x:c r="G536" s="14" t="str">
        <x:v>16:00</x:v>
      </x:c>
      <x:c r="H536" s="14" t="str">
        <x:v>16:25</x:v>
      </x:c>
      <x:c r="I536" s="14" t="str">
        <x:v>Genel</x:v>
      </x:c>
      <x:c r="J536" s="14" t="str">
        <x:v>Dinlenme</x:v>
      </x:c>
      <x:c r="K536" s="14" t="str"/>
      <x:c r="L536" s="14" t="str">
        <x:v>Eve geliş, atıştırma ve dinlenme.</x:v>
      </x:c>
      <x:c r="M536" s="14" t="str"/>
      <x:c r="N536" s="14" t="str"/>
      <x:c r="O536" s="14" t="n">
        <x:v>0</x:v>
      </x:c>
      <x:c r="P536" s="14" t="str">
        <x:v>Hayır</x:v>
      </x:c>
      <x:c r="Q536" s="14" t="str">
        <x:v>Hayır</x:v>
      </x:c>
      <x:c r="R536" s="14" t="str">
        <x:v>Planlandı</x:v>
      </x:c>
      <x:c r="S536" s="15" t="str"/>
      <x:c r="T536" s="14" t="str"/>
    </x:row>
    <x:row r="537">
      <x:c r="A537" s="14" t="n">
        <x:v>536</x:v>
      </x:c>
      <x:c r="B537" s="15" t="n">
        <x:v>46339</x:v>
      </x:c>
      <x:c r="C537" s="14" t="str">
        <x:v>Cuma</x:v>
      </x:c>
      <x:c r="D537" s="14" t="str">
        <x:v>Okul Günü</x:v>
      </x:c>
      <x:c r="E537" s="14" t="str">
        <x:v>16:00 sonrası</x:v>
      </x:c>
      <x:c r="F537" s="14" t="str">
        <x:v>F1 - Temel Kurma</x:v>
      </x:c>
      <x:c r="G537" s="14" t="str">
        <x:v>16:25</x:v>
      </x:c>
      <x:c r="H537" s="14" t="str">
        <x:v>17:05</x:v>
      </x:c>
      <x:c r="I537" s="14" t="str">
        <x:v>Matematik</x:v>
      </x:c>
      <x:c r="J537" s="14" t="str">
        <x:v>Konu / Tekrar</x:v>
      </x:c>
      <x:c r="K537" s="14" t="str">
        <x:v>Üslü Sayılar ve Bilimsel Gösterim Altyapısı</x:v>
      </x:c>
      <x:c r="L537" s="14" t="str">
        <x:v>Üslü Sayılar ve Bilimsel Gösterim Altyapısı — genel oynatma listesinden ilgili videoyu izle (3/4).</x:v>
      </x:c>
      <x:c r="M537" s="14" t="str">
        <x:v>Matematik Ana Oynatma Listesi</x:v>
      </x:c>
      <x:c r="N537" s="14" t="str">
        <x:v>https://www.youtube.com/watch?v=EuJ89QzqrAg&amp;list=PLicNtF7vp6fnfDqrRLH6H7fIbzYT4ct4F&amp;index=11</x:v>
      </x:c>
      <x:c r="O537" s="14" t="n">
        <x:v>0</x:v>
      </x:c>
      <x:c r="P537" s="14" t="str">
        <x:v>Hayır</x:v>
      </x:c>
      <x:c r="Q537" s="14" t="str">
        <x:v>Evet</x:v>
      </x:c>
      <x:c r="R537" s="14" t="str">
        <x:v>Planlandı</x:v>
      </x:c>
      <x:c r="S537" s="15" t="str"/>
      <x:c r="T537" s="14" t="str">
        <x:v>Yeni konu ancak plan sırasıyla açılır; LGS dışı ileri TYT içeriği zorunlu değildir.</x:v>
      </x:c>
    </x:row>
    <x:row r="538">
      <x:c r="A538" s="14" t="n">
        <x:v>537</x:v>
      </x:c>
      <x:c r="B538" s="15" t="n">
        <x:v>46339</x:v>
      </x:c>
      <x:c r="C538" s="14" t="str">
        <x:v>Cuma</x:v>
      </x:c>
      <x:c r="D538" s="14" t="str">
        <x:v>Okul Günü</x:v>
      </x:c>
      <x:c r="E538" s="14" t="str">
        <x:v>16:00 sonrası</x:v>
      </x:c>
      <x:c r="F538" s="14" t="str">
        <x:v>F1 - Temel Kurma</x:v>
      </x:c>
      <x:c r="G538" s="14" t="str">
        <x:v>17:10</x:v>
      </x:c>
      <x:c r="H538" s="14" t="str">
        <x:v>17:55</x:v>
      </x:c>
      <x:c r="I538" s="14" t="str">
        <x:v>Matematik</x:v>
      </x:c>
      <x:c r="J538" s="14" t="str">
        <x:v>Kitap / MEB / Mastery</x:v>
      </x:c>
      <x:c r="K538" s="14" t="str">
        <x:v>Üslü Sayılar ve Bilimsel Gösterim Altyapısı</x:v>
      </x:c>
      <x:c r="L538" s="14" t="str">
        <x:v>Üslü Sayılar ve Bilimsel Gösterim Altyapısı ile ilgili soru kitabından en az 20 soru / bugünkü test payını çöz.</x:v>
      </x:c>
      <x:c r="M538" s="14" t="str">
        <x:v>MUBA 8. Sınıf Başlangıç Matematik (ISBN 9789756526972) (eşleşen bölüm) + MEB temel destek</x:v>
      </x:c>
      <x:c r="N538" s="14" t="str">
        <x:v>https://odsgm.meb.gov.tr/www/5-6-7-ve-9-sinif-duzeylerinde-calisma-sorulari-yayimlandi/icerik/775</x:v>
      </x:c>
      <x:c r="O538" s="14" t="n">
        <x:v>20</x:v>
      </x:c>
      <x:c r="P538" s="14" t="str">
        <x:v>İlk 20 soru</x:v>
      </x:c>
      <x:c r="Q538" s="14" t="str">
        <x:v>Evet</x:v>
      </x:c>
      <x:c r="R538" s="14" t="str">
        <x:v>Planlandı</x:v>
      </x:c>
      <x:c r="S538" s="15" t="str"/>
      <x:c r="T538" s="14" t="str">
        <x:v>Ayrı/rastgele matematik benchmark yoktur. Süreli ilk 20 soru o gün çalışılan konunun içindedir.</x:v>
      </x:c>
    </x:row>
    <x:row r="539">
      <x:c r="A539" s="14" t="n">
        <x:v>538</x:v>
      </x:c>
      <x:c r="B539" s="15" t="n">
        <x:v>46339</x:v>
      </x:c>
      <x:c r="C539" s="14" t="str">
        <x:v>Cuma</x:v>
      </x:c>
      <x:c r="D539" s="14" t="str">
        <x:v>Okul Günü</x:v>
      </x:c>
      <x:c r="E539" s="14" t="str">
        <x:v>16:00 sonrası</x:v>
      </x:c>
      <x:c r="F539" s="14" t="str">
        <x:v>F1 - Temel Kurma</x:v>
      </x:c>
      <x:c r="G539" s="14" t="str">
        <x:v>17:55</x:v>
      </x:c>
      <x:c r="H539" s="14" t="str">
        <x:v>18:25</x:v>
      </x:c>
      <x:c r="I539" s="14" t="str">
        <x:v>Genel</x:v>
      </x:c>
      <x:c r="J539" s="14" t="str">
        <x:v>Yemek / Serbest Zaman</x:v>
      </x:c>
      <x:c r="K539" s="14" t="str"/>
      <x:c r="L539" s="14" t="str">
        <x:v>Yemek, hareket ve dinlenme.</x:v>
      </x:c>
      <x:c r="M539" s="14" t="str"/>
      <x:c r="N539" s="14" t="str"/>
      <x:c r="O539" s="14" t="n">
        <x:v>0</x:v>
      </x:c>
      <x:c r="P539" s="14" t="str">
        <x:v>Hayır</x:v>
      </x:c>
      <x:c r="Q539" s="14" t="str">
        <x:v>Hayır</x:v>
      </x:c>
      <x:c r="R539" s="14" t="str">
        <x:v>Planlandı</x:v>
      </x:c>
      <x:c r="S539" s="15" t="str"/>
      <x:c r="T539" s="14" t="str"/>
    </x:row>
    <x:row r="540">
      <x:c r="A540" s="14" t="n">
        <x:v>539</x:v>
      </x:c>
      <x:c r="B540" s="15" t="n">
        <x:v>46339</x:v>
      </x:c>
      <x:c r="C540" s="14" t="str">
        <x:v>Cuma</x:v>
      </x:c>
      <x:c r="D540" s="14" t="str">
        <x:v>Okul Günü</x:v>
      </x:c>
      <x:c r="E540" s="14" t="str">
        <x:v>16:00 sonrası</x:v>
      </x:c>
      <x:c r="F540" s="14" t="str">
        <x:v>F1 - Temel Kurma</x:v>
      </x:c>
      <x:c r="G540" s="14" t="str">
        <x:v>18:25</x:v>
      </x:c>
      <x:c r="H540" s="14" t="str">
        <x:v>18:55</x:v>
      </x:c>
      <x:c r="I540" s="14" t="str">
        <x:v>Türkçe</x:v>
      </x:c>
      <x:c r="J540" s="14" t="str">
        <x:v>Paragraf Rutini</x:v>
      </x:c>
      <x:c r="K540" s="14" t="str">
        <x:v>Paragraf</x:v>
      </x:c>
      <x:c r="L540" s="14" t="str">
        <x:v>En az 20 paragraf sorusu çöz; ilk 20 soruyu ileri sayımla ölç, D/Y/B + süre kaydet.</x:v>
      </x:c>
      <x:c r="M540" s="14" t="str">
        <x:v>Hız 8. Sınıf Türkçe Paragraf (ISBN 9786258394498)</x:v>
      </x:c>
      <x:c r="N540" s="14" t="str"/>
      <x:c r="O540" s="14" t="n">
        <x:v>20</x:v>
      </x:c>
      <x:c r="P540" s="14" t="str">
        <x:v>İlk 20 soru</x:v>
      </x:c>
      <x:c r="Q540" s="14" t="str">
        <x:v>Evet</x:v>
      </x:c>
      <x:c r="R540" s="14" t="str">
        <x:v>Planlandı</x:v>
      </x:c>
      <x:c r="S540" s="15" t="str"/>
      <x:c r="T540" s="14" t="str">
        <x:v>Geri sayım ve hedef süre yok.</x:v>
      </x:c>
    </x:row>
    <x:row r="541">
      <x:c r="A541" s="14" t="n">
        <x:v>540</x:v>
      </x:c>
      <x:c r="B541" s="15" t="n">
        <x:v>46339</x:v>
      </x:c>
      <x:c r="C541" s="14" t="str">
        <x:v>Cuma</x:v>
      </x:c>
      <x:c r="D541" s="14" t="str">
        <x:v>Okul Günü</x:v>
      </x:c>
      <x:c r="E541" s="14" t="str">
        <x:v>16:00 sonrası</x:v>
      </x:c>
      <x:c r="F541" s="14" t="str">
        <x:v>F1 - Temel Kurma</x:v>
      </x:c>
      <x:c r="G541" s="14" t="str">
        <x:v>19:00</x:v>
      </x:c>
      <x:c r="H541" s="14" t="str">
        <x:v>19:35</x:v>
      </x:c>
      <x:c r="I541" s="14" t="str">
        <x:v>Türkçe</x:v>
      </x:c>
      <x:c r="J541" s="14" t="str">
        <x:v>Konu / Tekrar</x:v>
      </x:c>
      <x:c r="K541" s="14" t="str">
        <x:v>Zamirler</x:v>
      </x:c>
      <x:c r="L541" s="14" t="str">
        <x:v>Zamirler — genel oynatma listesinden ilgili videoyu izle (2/3).</x:v>
      </x:c>
      <x:c r="M541" s="14" t="str">
        <x:v>Türkçe Ana Oynatma Listesi</x:v>
      </x:c>
      <x:c r="N541" s="14" t="str">
        <x:v>https://www.youtube.com/watch?v=VYsPntNKVdw&amp;list=PLIBjFaUoJJ91bz7QQEBlxNJNZka5YQRr6</x:v>
      </x:c>
      <x:c r="O541" s="14" t="n">
        <x:v>0</x:v>
      </x:c>
      <x:c r="P541" s="14" t="str">
        <x:v>Hayır</x:v>
      </x:c>
      <x:c r="Q541" s="14" t="str">
        <x:v>Evet</x:v>
      </x:c>
      <x:c r="R541" s="14" t="str">
        <x:v>Planlandı</x:v>
      </x:c>
      <x:c r="S541" s="15" t="str"/>
      <x:c r="T541" s="14" t="str">
        <x:v>TYT etiketli kaynak temelden başlamak için sabittir; LGS dışı gereksiz ayrıntı zorunlu değildir.</x:v>
      </x:c>
    </x:row>
    <x:row r="542">
      <x:c r="A542" s="14" t="n">
        <x:v>541</x:v>
      </x:c>
      <x:c r="B542" s="15" t="n">
        <x:v>46339</x:v>
      </x:c>
      <x:c r="C542" s="14" t="str">
        <x:v>Cuma</x:v>
      </x:c>
      <x:c r="D542" s="14" t="str">
        <x:v>Okul Günü</x:v>
      </x:c>
      <x:c r="E542" s="14" t="str">
        <x:v>16:00 sonrası</x:v>
      </x:c>
      <x:c r="F542" s="14" t="str">
        <x:v>F1 - Temel Kurma</x:v>
      </x:c>
      <x:c r="G542" s="14" t="str">
        <x:v>19:40</x:v>
      </x:c>
      <x:c r="H542" s="14" t="str">
        <x:v>20:10</x:v>
      </x:c>
      <x:c r="I542" s="14" t="str">
        <x:v>Türkçe</x:v>
      </x:c>
      <x:c r="J542" s="14" t="str">
        <x:v>Kitap / MEB / Mastery</x:v>
      </x:c>
      <x:c r="K542" s="14" t="str">
        <x:v>Zamirler</x:v>
      </x:c>
      <x:c r="L542" s="14" t="str">
        <x:v>Zamirler ile ilgili soru kitabından en az 10 soru / bugünkü test payını çöz.</x:v>
      </x:c>
      <x:c r="M542" s="14" t="str">
        <x:v>Ankara 8. Sınıf Dil Bilgisi Güçlendiren (eşleşen bölüm) + MEB temel destek</x:v>
      </x:c>
      <x:c r="N542" s="14" t="str">
        <x:v>https://odsgm.meb.gov.tr/www/5-6-7-ve-9-sinif-duzeylerinde-calisma-sorulari-yayimlandi/icerik/775</x:v>
      </x:c>
      <x:c r="O542" s="14" t="n">
        <x:v>10</x:v>
      </x:c>
      <x:c r="P542" s="14" t="str">
        <x:v>Hayır</x:v>
      </x:c>
      <x:c r="Q542" s="14" t="str">
        <x:v>Evet</x:v>
      </x:c>
      <x:c r="R542" s="14" t="str">
        <x:v>Planlandı</x:v>
      </x:c>
      <x:c r="S542" s="15" t="str"/>
      <x:c r="T542" s="14" t="str"/>
    </x:row>
    <x:row r="543">
      <x:c r="A543" s="14" t="n">
        <x:v>542</x:v>
      </x:c>
      <x:c r="B543" s="15" t="n">
        <x:v>46339</x:v>
      </x:c>
      <x:c r="C543" s="14" t="str">
        <x:v>Cuma</x:v>
      </x:c>
      <x:c r="D543" s="14" t="str">
        <x:v>Okul Günü</x:v>
      </x:c>
      <x:c r="E543" s="14" t="str">
        <x:v>16:00 sonrası</x:v>
      </x:c>
      <x:c r="F543" s="14" t="str">
        <x:v>F1 - Temel Kurma</x:v>
      </x:c>
      <x:c r="G543" s="14" t="str">
        <x:v>20:15</x:v>
      </x:c>
      <x:c r="H543" s="14" t="str">
        <x:v>20:50</x:v>
      </x:c>
      <x:c r="I543" s="14" t="str">
        <x:v>İngilizce</x:v>
      </x:c>
      <x:c r="J543" s="14" t="str">
        <x:v>Konu / Tekrar</x:v>
      </x:c>
      <x:c r="K543" s="14" t="str">
        <x:v>Unit 3 - In The Kitchen</x:v>
      </x:c>
      <x:c r="L543" s="14" t="str">
        <x:v>Unit 3 - In The Kitchen — Worksheet çalışmasını playlistten yap.</x:v>
      </x:c>
      <x:c r="M543" s="14" t="str">
        <x:v>İngilizce Genel Oynatma Listesi</x:v>
      </x:c>
      <x:c r="N543" s="14" t="str">
        <x:v>https://www.youtube.com/watch?v=FaY3dFjZbns&amp;list=PLSgpQDrUSYp94WgE9pzpHiOG5FwxnZBrr</x:v>
      </x:c>
      <x:c r="O543" s="14" t="n">
        <x:v>0</x:v>
      </x:c>
      <x:c r="P543" s="14" t="str">
        <x:v>Hayır</x:v>
      </x:c>
      <x:c r="Q543" s="14" t="str">
        <x:v>Evet</x:v>
      </x:c>
      <x:c r="R543" s="14" t="str">
        <x:v>Planlandı</x:v>
      </x:c>
      <x:c r="S543" s="15" t="str"/>
      <x:c r="T543" s="14" t="str"/>
    </x:row>
    <x:row r="544">
      <x:c r="A544" s="14" t="n">
        <x:v>543</x:v>
      </x:c>
      <x:c r="B544" s="15" t="n">
        <x:v>46339</x:v>
      </x:c>
      <x:c r="C544" s="14" t="str">
        <x:v>Cuma</x:v>
      </x:c>
      <x:c r="D544" s="14" t="str">
        <x:v>Okul Günü</x:v>
      </x:c>
      <x:c r="E544" s="14" t="str">
        <x:v>16:00 sonrası</x:v>
      </x:c>
      <x:c r="F544" s="14" t="str">
        <x:v>F1 - Temel Kurma</x:v>
      </x:c>
      <x:c r="G544" s="14" t="str">
        <x:v>20:55</x:v>
      </x:c>
      <x:c r="H544" s="14" t="str">
        <x:v>21:20</x:v>
      </x:c>
      <x:c r="I544" s="14" t="str">
        <x:v>İngilizce</x:v>
      </x:c>
      <x:c r="J544" s="14" t="str">
        <x:v>Kitap / MEB / Mastery</x:v>
      </x:c>
      <x:c r="K544" s="14" t="str">
        <x:v>Unit 3 - In The Kitchen</x:v>
      </x:c>
      <x:c r="L544" s="14" t="str">
        <x:v>Unit 3 - In The Kitchen ile ilgili soru kitabından en az 15 soru / bugünkü test payını çöz.</x:v>
      </x:c>
      <x:c r="M544" s="14" t="str">
        <x:v>More &amp; More 8 Worksheets Notebook</x:v>
      </x:c>
      <x:c r="N544" s="14" t="str">
        <x:v>https://www.youtube.com/watch?v=FaY3dFjZbns&amp;list=PLSgpQDrUSYp94WgE9pzpHiOG5FwxnZBrr</x:v>
      </x:c>
      <x:c r="O544" s="14" t="n">
        <x:v>15</x:v>
      </x:c>
      <x:c r="P544" s="14" t="str">
        <x:v>Hayır</x:v>
      </x:c>
      <x:c r="Q544" s="14" t="str">
        <x:v>Evet</x:v>
      </x:c>
      <x:c r="R544" s="14" t="str">
        <x:v>Planlandı</x:v>
      </x:c>
      <x:c r="S544" s="15" t="str"/>
      <x:c r="T544" s="14" t="str"/>
    </x:row>
    <x:row r="545">
      <x:c r="A545" s="14" t="n">
        <x:v>544</x:v>
      </x:c>
      <x:c r="B545" s="15" t="n">
        <x:v>46339</x:v>
      </x:c>
      <x:c r="C545" s="14" t="str">
        <x:v>Cuma</x:v>
      </x:c>
      <x:c r="D545" s="14" t="str">
        <x:v>Okul Günü</x:v>
      </x:c>
      <x:c r="E545" s="14" t="str">
        <x:v>16:00 sonrası</x:v>
      </x:c>
      <x:c r="F545" s="14" t="str">
        <x:v>F1 - Temel Kurma</x:v>
      </x:c>
      <x:c r="G545" s="14" t="str">
        <x:v>21:20</x:v>
      </x:c>
      <x:c r="H545" s="14" t="str">
        <x:v>21:35</x:v>
      </x:c>
      <x:c r="I545" s="14" t="str">
        <x:v>Genel</x:v>
      </x:c>
      <x:c r="J545" s="14" t="str">
        <x:v>Yanlış / Boş Analizi</x:v>
      </x:c>
      <x:c r="K545" s="14" t="str">
        <x:v>Günlük</x:v>
      </x:c>
      <x:c r="L545" s="14" t="str">
        <x:v>Bugünkü yanlış/boşları kaydet; çözümünü öğrenmeden kapatma. Hata türünü sınıflandır.</x:v>
      </x:c>
      <x:c r="M545" s="14" t="str">
        <x:v>Yanlış Defteri</x:v>
      </x:c>
      <x:c r="N545" s="14" t="str"/>
      <x:c r="O545" s="14" t="n">
        <x:v>0</x:v>
      </x:c>
      <x:c r="P545" s="14" t="str">
        <x:v>Hayır</x:v>
      </x:c>
      <x:c r="Q545" s="14" t="str">
        <x:v>Evet</x:v>
      </x:c>
      <x:c r="R545" s="14" t="str">
        <x:v>Planlandı</x:v>
      </x:c>
      <x:c r="S545" s="15" t="str"/>
      <x:c r="T545" s="14" t="str"/>
    </x:row>
    <x:row r="546">
      <x:c r="A546" s="14" t="n">
        <x:v>545</x:v>
      </x:c>
      <x:c r="B546" s="15" t="n">
        <x:v>46339</x:v>
      </x:c>
      <x:c r="C546" s="14" t="str">
        <x:v>Cuma</x:v>
      </x:c>
      <x:c r="D546" s="14" t="str">
        <x:v>Okul Günü</x:v>
      </x:c>
      <x:c r="E546" s="14" t="str">
        <x:v>16:00 sonrası</x:v>
      </x:c>
      <x:c r="F546" s="14" t="str">
        <x:v>F1 - Temel Kurma</x:v>
      </x:c>
      <x:c r="G546" s="14" t="str">
        <x:v>21:35</x:v>
      </x:c>
      <x:c r="H546" s="14" t="str">
        <x:v>21:50</x:v>
      </x:c>
      <x:c r="I546" s="14" t="str">
        <x:v>Genel</x:v>
      </x:c>
      <x:c r="J546" s="14" t="str">
        <x:v>Aralıklı Hata Tekrarı</x:v>
      </x:c>
      <x:c r="K546" s="14" t="str">
        <x:v>+1 / +7 / +21</x:v>
      </x:c>
      <x:c r="L546" s="14" t="str">
        <x:v>Bugün vadesi gelen yanlış soruları tekrar çöz. Vadesi yoksa bu süre serbest/okuma olabilir.</x:v>
      </x:c>
      <x:c r="M546" s="14" t="str">
        <x:v>Yanlış Defteri</x:v>
      </x:c>
      <x:c r="N546" s="14" t="str"/>
      <x:c r="O546" s="14" t="n">
        <x:v>0</x:v>
      </x:c>
      <x:c r="P546" s="14" t="str">
        <x:v>Hayır</x:v>
      </x:c>
      <x:c r="Q546" s="14" t="str">
        <x:v>Koşullu</x:v>
      </x:c>
      <x:c r="R546" s="14" t="str">
        <x:v>Planlandı</x:v>
      </x:c>
      <x:c r="S546" s="15" t="str"/>
      <x:c r="T546" s="14" t="str">
        <x:v>Yanlışlar +1, +7 ve +21 gün aralıklarıyla tekrar edilir; hâlâ yanlışsa konu mastery durumu düşürülür.</x:v>
      </x:c>
    </x:row>
    <x:row r="547">
      <x:c r="A547" s="14" t="n">
        <x:v>546</x:v>
      </x:c>
      <x:c r="B547" s="15" t="n">
        <x:v>46339</x:v>
      </x:c>
      <x:c r="C547" s="14" t="str">
        <x:v>Cuma</x:v>
      </x:c>
      <x:c r="D547" s="14" t="str">
        <x:v>Okul Günü</x:v>
      </x:c>
      <x:c r="E547" s="14" t="str">
        <x:v>16:00 sonrası</x:v>
      </x:c>
      <x:c r="F547" s="14" t="str">
        <x:v>F1 - Temel Kurma</x:v>
      </x:c>
      <x:c r="G547" s="14" t="str">
        <x:v>21:50</x:v>
      </x:c>
      <x:c r="H547" s="14" t="str">
        <x:v>22:00</x:v>
      </x:c>
      <x:c r="I547" s="14" t="str">
        <x:v>Genel</x:v>
      </x:c>
      <x:c r="J547" s="14" t="str">
        <x:v>Uyku Hazırlığı</x:v>
      </x:c>
      <x:c r="K547" s="14" t="str"/>
      <x:c r="L547" s="14" t="str">
        <x:v>22:00'de yatakta ve uyku.</x:v>
      </x:c>
      <x:c r="M547" s="14" t="str"/>
      <x:c r="N547" s="14" t="str"/>
      <x:c r="O547" s="14" t="n">
        <x:v>0</x:v>
      </x:c>
      <x:c r="P547" s="14" t="str">
        <x:v>Hayır</x:v>
      </x:c>
      <x:c r="Q547" s="14" t="str">
        <x:v>Hayır</x:v>
      </x:c>
      <x:c r="R547" s="14" t="str">
        <x:v>Planlandı</x:v>
      </x:c>
      <x:c r="S547" s="15" t="str"/>
      <x:c r="T547" s="14" t="str"/>
    </x:row>
    <x:row r="548">
      <x:c r="A548" s="14" t="n">
        <x:v>547</x:v>
      </x:c>
      <x:c r="B548" s="15" t="n">
        <x:v>46340</x:v>
      </x:c>
      <x:c r="C548" s="14" t="str">
        <x:v>Cumartesi</x:v>
      </x:c>
      <x:c r="D548" s="14" t="str">
        <x:v>Hafta Sonu</x:v>
      </x:c>
      <x:c r="E548" s="14" t="str">
        <x:v>Tam gün</x:v>
      </x:c>
      <x:c r="F548" s="14" t="str">
        <x:v>F1 - Temel Kurma</x:v>
      </x:c>
      <x:c r="G548" s="14" t="str">
        <x:v>09:30</x:v>
      </x:c>
      <x:c r="H548" s="14" t="str">
        <x:v>10:15</x:v>
      </x:c>
      <x:c r="I548" s="14" t="str">
        <x:v>Matematik</x:v>
      </x:c>
      <x:c r="J548" s="14" t="str">
        <x:v>Konu / Tekrar</x:v>
      </x:c>
      <x:c r="K548" s="14" t="str">
        <x:v>Üslü Sayılar ve Bilimsel Gösterim Altyapısı</x:v>
      </x:c>
      <x:c r="L548" s="14" t="str">
        <x:v>Üslü Sayılar ve Bilimsel Gösterim Altyapısı — genel oynatma listesinden ilgili videoyu izle (4/4).</x:v>
      </x:c>
      <x:c r="M548" s="14" t="str">
        <x:v>Matematik Ana Oynatma Listesi</x:v>
      </x:c>
      <x:c r="N548" s="14" t="str">
        <x:v>https://www.youtube.com/watch?v=EuJ89QzqrAg&amp;list=PLicNtF7vp6fnfDqrRLH6H7fIbzYT4ct4F&amp;index=11</x:v>
      </x:c>
      <x:c r="O548" s="14" t="n">
        <x:v>0</x:v>
      </x:c>
      <x:c r="P548" s="14" t="str">
        <x:v>Hayır</x:v>
      </x:c>
      <x:c r="Q548" s="14" t="str">
        <x:v>Evet</x:v>
      </x:c>
      <x:c r="R548" s="14" t="str">
        <x:v>Planlandı</x:v>
      </x:c>
      <x:c r="S548" s="15" t="str"/>
      <x:c r="T548" s="14" t="str">
        <x:v>Yeni konu ancak plan sırasıyla açılır; LGS dışı ileri TYT içeriği zorunlu değildir.</x:v>
      </x:c>
    </x:row>
    <x:row r="549">
      <x:c r="A549" s="14" t="n">
        <x:v>548</x:v>
      </x:c>
      <x:c r="B549" s="15" t="n">
        <x:v>46340</x:v>
      </x:c>
      <x:c r="C549" s="14" t="str">
        <x:v>Cumartesi</x:v>
      </x:c>
      <x:c r="D549" s="14" t="str">
        <x:v>Hafta Sonu</x:v>
      </x:c>
      <x:c r="E549" s="14" t="str">
        <x:v>Tam gün</x:v>
      </x:c>
      <x:c r="F549" s="14" t="str">
        <x:v>F1 - Temel Kurma</x:v>
      </x:c>
      <x:c r="G549" s="14" t="str">
        <x:v>10:25</x:v>
      </x:c>
      <x:c r="H549" s="14" t="str">
        <x:v>11:15</x:v>
      </x:c>
      <x:c r="I549" s="14" t="str">
        <x:v>Matematik</x:v>
      </x:c>
      <x:c r="J549" s="14" t="str">
        <x:v>Kitap / MEB / Mastery</x:v>
      </x:c>
      <x:c r="K549" s="14" t="str">
        <x:v>Üslü Sayılar ve Bilimsel Gösterim Altyapısı</x:v>
      </x:c>
      <x:c r="L549" s="14" t="str">
        <x:v>Üslü Sayılar ve Bilimsel Gösterim Altyapısı ile ilgili soru kitabından en az 20 soru / bugünkü test payını çöz. İlgili kitap konu bölümünü bu oturumda bitirmeyi hedefle; sonraki oturum MEB doğrulaması.</x:v>
      </x:c>
      <x:c r="M549" s="14" t="str">
        <x:v>MUBA 8. Sınıf Başlangıç Matematik (ISBN 9789756526972) (eşleşen bölüm) + MEB temel destek</x:v>
      </x:c>
      <x:c r="N549" s="14" t="str">
        <x:v>https://odsgm.meb.gov.tr/www/5-6-7-ve-9-sinif-duzeylerinde-calisma-sorulari-yayimlandi/icerik/775</x:v>
      </x:c>
      <x:c r="O549" s="14" t="n">
        <x:v>20</x:v>
      </x:c>
      <x:c r="P549" s="14" t="str">
        <x:v>İlk 20 soru</x:v>
      </x:c>
      <x:c r="Q549" s="14" t="str">
        <x:v>Evet</x:v>
      </x:c>
      <x:c r="R549" s="14" t="str">
        <x:v>Planlandı</x:v>
      </x:c>
      <x:c r="S549" s="15" t="str"/>
      <x:c r="T549" s="14" t="str">
        <x:v>Ayrı/rastgele matematik benchmark yoktur. Süreli ilk 20 soru o gün çalışılan konunun içindedir.</x:v>
      </x:c>
    </x:row>
    <x:row r="550">
      <x:c r="A550" s="14" t="n">
        <x:v>549</x:v>
      </x:c>
      <x:c r="B550" s="15" t="n">
        <x:v>46340</x:v>
      </x:c>
      <x:c r="C550" s="14" t="str">
        <x:v>Cumartesi</x:v>
      </x:c>
      <x:c r="D550" s="14" t="str">
        <x:v>Hafta Sonu</x:v>
      </x:c>
      <x:c r="E550" s="14" t="str">
        <x:v>Tam gün</x:v>
      </x:c>
      <x:c r="F550" s="14" t="str">
        <x:v>F1 - Temel Kurma</x:v>
      </x:c>
      <x:c r="G550" s="14" t="str">
        <x:v>12:00</x:v>
      </x:c>
      <x:c r="H550" s="14" t="str">
        <x:v>14:00</x:v>
      </x:c>
      <x:c r="I550" s="14" t="str">
        <x:v>Genel</x:v>
      </x:c>
      <x:c r="J550" s="14" t="str">
        <x:v>Yemek / Serbest Zaman</x:v>
      </x:c>
      <x:c r="K550" s="14" t="str"/>
      <x:c r="L550" s="14" t="str">
        <x:v>Yemek, hareket ve dinlenme.</x:v>
      </x:c>
      <x:c r="M550" s="14" t="str"/>
      <x:c r="N550" s="14" t="str"/>
      <x:c r="O550" s="14" t="n">
        <x:v>0</x:v>
      </x:c>
      <x:c r="P550" s="14" t="str">
        <x:v>Hayır</x:v>
      </x:c>
      <x:c r="Q550" s="14" t="str">
        <x:v>Hayır</x:v>
      </x:c>
      <x:c r="R550" s="14" t="str">
        <x:v>Planlandı</x:v>
      </x:c>
      <x:c r="S550" s="15" t="str"/>
      <x:c r="T550" s="14" t="str"/>
    </x:row>
    <x:row r="551">
      <x:c r="A551" s="14" t="n">
        <x:v>550</x:v>
      </x:c>
      <x:c r="B551" s="15" t="n">
        <x:v>46340</x:v>
      </x:c>
      <x:c r="C551" s="14" t="str">
        <x:v>Cumartesi</x:v>
      </x:c>
      <x:c r="D551" s="14" t="str">
        <x:v>Hafta Sonu</x:v>
      </x:c>
      <x:c r="E551" s="14" t="str">
        <x:v>Tam gün</x:v>
      </x:c>
      <x:c r="F551" s="14" t="str">
        <x:v>F1 - Temel Kurma</x:v>
      </x:c>
      <x:c r="G551" s="14" t="str">
        <x:v>11:25</x:v>
      </x:c>
      <x:c r="H551" s="14" t="str">
        <x:v>11:55</x:v>
      </x:c>
      <x:c r="I551" s="14" t="str">
        <x:v>Türkçe</x:v>
      </x:c>
      <x:c r="J551" s="14" t="str">
        <x:v>Paragraf Rutini</x:v>
      </x:c>
      <x:c r="K551" s="14" t="str">
        <x:v>Paragraf</x:v>
      </x:c>
      <x:c r="L551" s="14" t="str">
        <x:v>En az 20 paragraf sorusu çöz; ilk 20 soruyu ileri sayımla ölç, D/Y/B + süre kaydet.</x:v>
      </x:c>
      <x:c r="M551" s="14" t="str">
        <x:v>Hız 8. Sınıf Türkçe Paragraf (ISBN 9786258394498)</x:v>
      </x:c>
      <x:c r="N551" s="14" t="str"/>
      <x:c r="O551" s="14" t="n">
        <x:v>20</x:v>
      </x:c>
      <x:c r="P551" s="14" t="str">
        <x:v>İlk 20 soru</x:v>
      </x:c>
      <x:c r="Q551" s="14" t="str">
        <x:v>Evet</x:v>
      </x:c>
      <x:c r="R551" s="14" t="str">
        <x:v>Planlandı</x:v>
      </x:c>
      <x:c r="S551" s="15" t="str"/>
      <x:c r="T551" s="14" t="str">
        <x:v>Geri sayım ve hedef süre yok.</x:v>
      </x:c>
    </x:row>
    <x:row r="552">
      <x:c r="A552" s="14" t="n">
        <x:v>551</x:v>
      </x:c>
      <x:c r="B552" s="15" t="n">
        <x:v>46340</x:v>
      </x:c>
      <x:c r="C552" s="14" t="str">
        <x:v>Cumartesi</x:v>
      </x:c>
      <x:c r="D552" s="14" t="str">
        <x:v>Hafta Sonu</x:v>
      </x:c>
      <x:c r="E552" s="14" t="str">
        <x:v>Tam gün</x:v>
      </x:c>
      <x:c r="F552" s="14" t="str">
        <x:v>F1 - Temel Kurma</x:v>
      </x:c>
      <x:c r="G552" s="14" t="str">
        <x:v>14:00</x:v>
      </x:c>
      <x:c r="H552" s="14" t="str">
        <x:v>14:40</x:v>
      </x:c>
      <x:c r="I552" s="14" t="str">
        <x:v>Türkçe</x:v>
      </x:c>
      <x:c r="J552" s="14" t="str">
        <x:v>Konu / Tekrar</x:v>
      </x:c>
      <x:c r="K552" s="14" t="str">
        <x:v>Zamirler</x:v>
      </x:c>
      <x:c r="L552" s="14" t="str">
        <x:v>Zamirler — genel oynatma listesinden ilgili videoyu izle (3/3).</x:v>
      </x:c>
      <x:c r="M552" s="14" t="str">
        <x:v>Türkçe Ana Oynatma Listesi</x:v>
      </x:c>
      <x:c r="N552" s="14" t="str">
        <x:v>https://www.youtube.com/watch?v=VYsPntNKVdw&amp;list=PLIBjFaUoJJ91bz7QQEBlxNJNZka5YQRr6</x:v>
      </x:c>
      <x:c r="O552" s="14" t="n">
        <x:v>0</x:v>
      </x:c>
      <x:c r="P552" s="14" t="str">
        <x:v>Hayır</x:v>
      </x:c>
      <x:c r="Q552" s="14" t="str">
        <x:v>Evet</x:v>
      </x:c>
      <x:c r="R552" s="14" t="str">
        <x:v>Planlandı</x:v>
      </x:c>
      <x:c r="S552" s="15" t="str"/>
      <x:c r="T552" s="14" t="str">
        <x:v>TYT etiketli kaynak temelden başlamak için sabittir; LGS dışı gereksiz ayrıntı zorunlu değildir.</x:v>
      </x:c>
    </x:row>
    <x:row r="553">
      <x:c r="A553" s="14" t="n">
        <x:v>552</x:v>
      </x:c>
      <x:c r="B553" s="15" t="n">
        <x:v>46340</x:v>
      </x:c>
      <x:c r="C553" s="14" t="str">
        <x:v>Cumartesi</x:v>
      </x:c>
      <x:c r="D553" s="14" t="str">
        <x:v>Hafta Sonu</x:v>
      </x:c>
      <x:c r="E553" s="14" t="str">
        <x:v>Tam gün</x:v>
      </x:c>
      <x:c r="F553" s="14" t="str">
        <x:v>F1 - Temel Kurma</x:v>
      </x:c>
      <x:c r="G553" s="14" t="str">
        <x:v>14:50</x:v>
      </x:c>
      <x:c r="H553" s="14" t="str">
        <x:v>15:30</x:v>
      </x:c>
      <x:c r="I553" s="14" t="str">
        <x:v>Türkçe</x:v>
      </x:c>
      <x:c r="J553" s="14" t="str">
        <x:v>Kitap / MEB / Mastery</x:v>
      </x:c>
      <x:c r="K553" s="14" t="str">
        <x:v>Zamirler</x:v>
      </x:c>
      <x:c r="L553" s="14" t="str">
        <x:v>Zamirler ile ilgili soru kitabından en az 10 soru / bugünkü test payını çöz. İlgili kitap konu bölümünü bu oturumda bitirmeyi hedefle; sonraki oturum MEB doğrulaması.</x:v>
      </x:c>
      <x:c r="M553" s="14" t="str">
        <x:v>Ankara 8. Sınıf Dil Bilgisi Güçlendiren (eşleşen bölüm) + MEB temel destek</x:v>
      </x:c>
      <x:c r="N553" s="14" t="str">
        <x:v>https://odsgm.meb.gov.tr/www/5-6-7-ve-9-sinif-duzeylerinde-calisma-sorulari-yayimlandi/icerik/775</x:v>
      </x:c>
      <x:c r="O553" s="14" t="n">
        <x:v>10</x:v>
      </x:c>
      <x:c r="P553" s="14" t="str">
        <x:v>Hayır</x:v>
      </x:c>
      <x:c r="Q553" s="14" t="str">
        <x:v>Evet</x:v>
      </x:c>
      <x:c r="R553" s="14" t="str">
        <x:v>Planlandı</x:v>
      </x:c>
      <x:c r="S553" s="15" t="str"/>
      <x:c r="T553" s="14" t="str"/>
    </x:row>
    <x:row r="554">
      <x:c r="A554" s="14" t="n">
        <x:v>553</x:v>
      </x:c>
      <x:c r="B554" s="15" t="n">
        <x:v>46340</x:v>
      </x:c>
      <x:c r="C554" s="14" t="str">
        <x:v>Cumartesi</x:v>
      </x:c>
      <x:c r="D554" s="14" t="str">
        <x:v>Hafta Sonu</x:v>
      </x:c>
      <x:c r="E554" s="14" t="str">
        <x:v>Tam gün</x:v>
      </x:c>
      <x:c r="F554" s="14" t="str">
        <x:v>F1 - Temel Kurma</x:v>
      </x:c>
      <x:c r="G554" s="14" t="str">
        <x:v>15:45</x:v>
      </x:c>
      <x:c r="H554" s="14" t="str">
        <x:v>16:25</x:v>
      </x:c>
      <x:c r="I554" s="14" t="str">
        <x:v>Fen</x:v>
      </x:c>
      <x:c r="J554" s="14" t="str">
        <x:v>Konu / Tekrar</x:v>
      </x:c>
      <x:c r="K554" s="14" t="str">
        <x:v>Biyoteknoloji</x:v>
      </x:c>
      <x:c r="L554" s="14" t="str">
        <x:v>Biyoteknoloji — MEB doğrulaması öncesi 5-10 dk aktif hatırlama; gerekiyorsa ilgili playlist videosuna kısa dönüş yap.</x:v>
      </x:c>
      <x:c r="M554" s="14" t="str">
        <x:v>Fen Soru Çözüm / Tekrar</x:v>
      </x:c>
      <x:c r="N554" s="14" t="str">
        <x:v>https://www.youtube.com/watch?v=pQXhWnDZ3vM&amp;list=PLrQm7mt99FRXcBnorCttd31HJEvg0En26&amp;index=23</x:v>
      </x:c>
      <x:c r="O554" s="14" t="n">
        <x:v>0</x:v>
      </x:c>
      <x:c r="P554" s="14" t="str">
        <x:v>Hayır</x:v>
      </x:c>
      <x:c r="Q554" s="14" t="str">
        <x:v>Evet</x:v>
      </x:c>
      <x:c r="R554" s="14" t="str">
        <x:v>Planlandı</x:v>
      </x:c>
      <x:c r="S554" s="15" t="str"/>
      <x:c r="T554" s="14" t="str"/>
    </x:row>
    <x:row r="555">
      <x:c r="A555" s="14" t="n">
        <x:v>554</x:v>
      </x:c>
      <x:c r="B555" s="15" t="n">
        <x:v>46340</x:v>
      </x:c>
      <x:c r="C555" s="14" t="str">
        <x:v>Cumartesi</x:v>
      </x:c>
      <x:c r="D555" s="14" t="str">
        <x:v>Hafta Sonu</x:v>
      </x:c>
      <x:c r="E555" s="14" t="str">
        <x:v>Tam gün</x:v>
      </x:c>
      <x:c r="F555" s="14" t="str">
        <x:v>F1 - Temel Kurma</x:v>
      </x:c>
      <x:c r="G555" s="14" t="str">
        <x:v>16:35</x:v>
      </x:c>
      <x:c r="H555" s="14" t="str">
        <x:v>17:15</x:v>
      </x:c>
      <x:c r="I555" s="14" t="str">
        <x:v>Fen</x:v>
      </x:c>
      <x:c r="J555" s="14" t="str">
        <x:v>Kitap / MEB / Mastery</x:v>
      </x:c>
      <x:c r="K555" s="14" t="str">
        <x:v>Biyoteknoloji</x:v>
      </x:c>
      <x:c r="L555" s="14" t="str">
        <x:v>Biyoteknoloji için ilgili MEB sorularını TAMAMLA; D/Y/B kaydet. Bu oturum konu mastery gate'idir.</x:v>
      </x:c>
      <x:c r="M555" s="14" t="str">
        <x:v>MEB 8. Sınıf Fen Soruları</x:v>
      </x:c>
      <x:c r="N555" s="14" t="str">
        <x:v>https://odsgm.meb.gov.tr/www/8sinif-calisma-sorulari/icerik/1632</x:v>
      </x:c>
      <x:c r="O555" s="14" t="n">
        <x:v>0</x:v>
      </x:c>
      <x:c r="P555" s="14" t="str">
        <x:v>Hayır</x:v>
      </x:c>
      <x:c r="Q555" s="14" t="str">
        <x:v>Evet</x:v>
      </x:c>
      <x:c r="R555" s="14" t="str">
        <x:v>Planlandı</x:v>
      </x:c>
      <x:c r="S555" s="15" t="str"/>
      <x:c r="T555" s="14" t="str">
        <x:v>MEB sonucu Konu_Ustaligi sayfasına işlenir.</x:v>
      </x:c>
    </x:row>
    <x:row r="556">
      <x:c r="A556" s="14" t="n">
        <x:v>555</x:v>
      </x:c>
      <x:c r="B556" s="15" t="n">
        <x:v>46340</x:v>
      </x:c>
      <x:c r="C556" s="14" t="str">
        <x:v>Cumartesi</x:v>
      </x:c>
      <x:c r="D556" s="14" t="str">
        <x:v>Hafta Sonu</x:v>
      </x:c>
      <x:c r="E556" s="14" t="str">
        <x:v>Tam gün</x:v>
      </x:c>
      <x:c r="F556" s="14" t="str">
        <x:v>F1 - Temel Kurma</x:v>
      </x:c>
      <x:c r="G556" s="14" t="str">
        <x:v>17:25</x:v>
      </x:c>
      <x:c r="H556" s="14" t="str">
        <x:v>17:55</x:v>
      </x:c>
      <x:c r="I556" s="14" t="str">
        <x:v>Fen</x:v>
      </x:c>
      <x:c r="J556" s="14" t="str">
        <x:v>Ek Fen Pekiştirme</x:v>
      </x:c>
      <x:c r="K556" s="14" t="str">
        <x:v>Katı Basıncı</x:v>
      </x:c>
      <x:c r="L556" s="14" t="str">
        <x:v>Katı Basıncı — Fen konu anlatım playlistinden ilgili videoyu izle.</x:v>
      </x:c>
      <x:c r="M556" s="14" t="str">
        <x:v>Fen Konu/Soru Oynatma Listesi</x:v>
      </x:c>
      <x:c r="N556" s="14" t="str">
        <x:v>https://www.youtube.com/watch?v=AHdk01aR4Ko&amp;list=PLrQm7mt99FRV_Oe9xFavWzFpCIl7_XiWj</x:v>
      </x:c>
      <x:c r="O556" s="14" t="n">
        <x:v>0</x:v>
      </x:c>
      <x:c r="P556" s="14" t="str">
        <x:v>Hayır</x:v>
      </x:c>
      <x:c r="Q556" s="14" t="str">
        <x:v>Evet</x:v>
      </x:c>
      <x:c r="R556" s="14" t="str">
        <x:v>Planlandı</x:v>
      </x:c>
      <x:c r="S556" s="15" t="str"/>
      <x:c r="T556" s="14" t="str">
        <x:v>Fen haftalık temas sıklığını artırmak için ek Cumartesi oturumu.</x:v>
      </x:c>
    </x:row>
    <x:row r="557">
      <x:c r="A557" s="14" t="n">
        <x:v>556</x:v>
      </x:c>
      <x:c r="B557" s="15" t="n">
        <x:v>46340</x:v>
      </x:c>
      <x:c r="C557" s="14" t="str">
        <x:v>Cumartesi</x:v>
      </x:c>
      <x:c r="D557" s="14" t="str">
        <x:v>Hafta Sonu</x:v>
      </x:c>
      <x:c r="E557" s="14" t="str">
        <x:v>Tam gün</x:v>
      </x:c>
      <x:c r="F557" s="14" t="str">
        <x:v>F1 - Temel Kurma</x:v>
      </x:c>
      <x:c r="G557" s="14" t="str">
        <x:v>17:55</x:v>
      </x:c>
      <x:c r="H557" s="14" t="str">
        <x:v>18:25</x:v>
      </x:c>
      <x:c r="I557" s="14" t="str">
        <x:v>Fen</x:v>
      </x:c>
      <x:c r="J557" s="14" t="str">
        <x:v>Ek Fen Kitap / MEB</x:v>
      </x:c>
      <x:c r="K557" s="14" t="str">
        <x:v>Katı Basıncı</x:v>
      </x:c>
      <x:c r="L557" s="14" t="str">
        <x:v>Katı Basıncı ile ilgili soru kitabından en az 15 soru / bugünkü test payını çöz.</x:v>
      </x:c>
      <x:c r="M557" s="14" t="str">
        <x:v>Hız 8. Sınıf Fen (ISBN 9786257514859); tamamlandıysa Mozaik 8. Sınıf Fen</x:v>
      </x:c>
      <x:c r="N557" s="14" t="str">
        <x:v>https://www.youtube.com/watch?v=AHdk01aR4Ko&amp;list=PLrQm7mt99FRV_Oe9xFavWzFpCIl7_XiWj</x:v>
      </x:c>
      <x:c r="O557" s="14" t="n">
        <x:v>15</x:v>
      </x:c>
      <x:c r="P557" s="14" t="str">
        <x:v>Hayır</x:v>
      </x:c>
      <x:c r="Q557" s="14" t="str">
        <x:v>Evet</x:v>
      </x:c>
      <x:c r="R557" s="14" t="str">
        <x:v>Planlandı</x:v>
      </x:c>
      <x:c r="S557" s="15" t="str"/>
      <x:c r="T557" s="14" t="str">
        <x:v>Fen için Hız → gerekiyorsa Mozaik; MEB doğrulaması konu bitiminde.</x:v>
      </x:c>
    </x:row>
    <x:row r="558">
      <x:c r="A558" s="14" t="n">
        <x:v>557</x:v>
      </x:c>
      <x:c r="B558" s="15" t="n">
        <x:v>46340</x:v>
      </x:c>
      <x:c r="C558" s="14" t="str">
        <x:v>Cumartesi</x:v>
      </x:c>
      <x:c r="D558" s="14" t="str">
        <x:v>Hafta Sonu</x:v>
      </x:c>
      <x:c r="E558" s="14" t="str">
        <x:v>Tam gün</x:v>
      </x:c>
      <x:c r="F558" s="14" t="str">
        <x:v>F1 - Temel Kurma</x:v>
      </x:c>
      <x:c r="G558" s="14" t="str">
        <x:v>18:25</x:v>
      </x:c>
      <x:c r="H558" s="14" t="str">
        <x:v>18:45</x:v>
      </x:c>
      <x:c r="I558" s="14" t="str">
        <x:v>Genel</x:v>
      </x:c>
      <x:c r="J558" s="14" t="str">
        <x:v>Yanlış / Boş Analizi</x:v>
      </x:c>
      <x:c r="K558" s="14" t="str">
        <x:v>Günlük</x:v>
      </x:c>
      <x:c r="L558" s="14" t="str">
        <x:v>Bugünkü yanlış/boşları kaydet; çözümünü öğrenmeden kapatma. Hata türünü sınıflandır.</x:v>
      </x:c>
      <x:c r="M558" s="14" t="str">
        <x:v>Yanlış Defteri</x:v>
      </x:c>
      <x:c r="N558" s="14" t="str"/>
      <x:c r="O558" s="14" t="n">
        <x:v>0</x:v>
      </x:c>
      <x:c r="P558" s="14" t="str">
        <x:v>Hayır</x:v>
      </x:c>
      <x:c r="Q558" s="14" t="str">
        <x:v>Evet</x:v>
      </x:c>
      <x:c r="R558" s="14" t="str">
        <x:v>Planlandı</x:v>
      </x:c>
      <x:c r="S558" s="15" t="str"/>
      <x:c r="T558" s="14" t="str"/>
    </x:row>
    <x:row r="559">
      <x:c r="A559" s="14" t="n">
        <x:v>558</x:v>
      </x:c>
      <x:c r="B559" s="15" t="n">
        <x:v>46340</x:v>
      </x:c>
      <x:c r="C559" s="14" t="str">
        <x:v>Cumartesi</x:v>
      </x:c>
      <x:c r="D559" s="14" t="str">
        <x:v>Hafta Sonu</x:v>
      </x:c>
      <x:c r="E559" s="14" t="str">
        <x:v>Tam gün</x:v>
      </x:c>
      <x:c r="F559" s="14" t="str">
        <x:v>F1 - Temel Kurma</x:v>
      </x:c>
      <x:c r="G559" s="14" t="str">
        <x:v>18:45</x:v>
      </x:c>
      <x:c r="H559" s="14" t="str">
        <x:v>19:05</x:v>
      </x:c>
      <x:c r="I559" s="14" t="str">
        <x:v>Genel</x:v>
      </x:c>
      <x:c r="J559" s="14" t="str">
        <x:v>Aralıklı Hata Tekrarı</x:v>
      </x:c>
      <x:c r="K559" s="14" t="str">
        <x:v>+1 / +7 / +21</x:v>
      </x:c>
      <x:c r="L559" s="14" t="str">
        <x:v>Bugün vadesi gelen yanlış soruları tekrar çöz. Vadesi yoksa bu süre serbest/okuma olabilir.</x:v>
      </x:c>
      <x:c r="M559" s="14" t="str">
        <x:v>Yanlış Defteri</x:v>
      </x:c>
      <x:c r="N559" s="14" t="str"/>
      <x:c r="O559" s="14" t="n">
        <x:v>0</x:v>
      </x:c>
      <x:c r="P559" s="14" t="str">
        <x:v>Hayır</x:v>
      </x:c>
      <x:c r="Q559" s="14" t="str">
        <x:v>Koşullu</x:v>
      </x:c>
      <x:c r="R559" s="14" t="str">
        <x:v>Planlandı</x:v>
      </x:c>
      <x:c r="S559" s="15" t="str"/>
      <x:c r="T559" s="14" t="str">
        <x:v>Yanlışlar +1, +7 ve +21 gün aralıklarıyla tekrar edilir; hâlâ yanlışsa konu mastery durumu düşürülür.</x:v>
      </x:c>
    </x:row>
    <x:row r="560">
      <x:c r="A560" s="14" t="n">
        <x:v>559</x:v>
      </x:c>
      <x:c r="B560" s="15" t="n">
        <x:v>46340</x:v>
      </x:c>
      <x:c r="C560" s="14" t="str">
        <x:v>Cumartesi</x:v>
      </x:c>
      <x:c r="D560" s="14" t="str">
        <x:v>Hafta Sonu</x:v>
      </x:c>
      <x:c r="E560" s="14" t="str">
        <x:v>Tam gün</x:v>
      </x:c>
      <x:c r="F560" s="14" t="str">
        <x:v>F1 - Temel Kurma</x:v>
      </x:c>
      <x:c r="G560" s="14" t="str">
        <x:v>20:00</x:v>
      </x:c>
      <x:c r="H560" s="14" t="str">
        <x:v>20:30</x:v>
      </x:c>
      <x:c r="I560" s="14" t="str">
        <x:v>Okuma</x:v>
      </x:c>
      <x:c r="J560" s="14" t="str">
        <x:v>İsteğe Bağlı</x:v>
      </x:c>
      <x:c r="K560" s="14" t="str">
        <x:v>Serbest Kitap</x:v>
      </x:c>
      <x:c r="L560" s="14" t="str">
        <x:v>Zorunlu çalışmalar bittiyse isteğe bağlı kitap oku.</x:v>
      </x:c>
      <x:c r="M560" s="14" t="str">
        <x:v>Serbest Kitap</x:v>
      </x:c>
      <x:c r="N560" s="14" t="str"/>
      <x:c r="O560" s="14" t="n">
        <x:v>0</x:v>
      </x:c>
      <x:c r="P560" s="14" t="str">
        <x:v>İsteğe Bağlı</x:v>
      </x:c>
      <x:c r="Q560" s="14" t="str">
        <x:v>Hayır</x:v>
      </x:c>
      <x:c r="R560" s="14" t="str">
        <x:v>Planlandı</x:v>
      </x:c>
      <x:c r="S560" s="15" t="str"/>
      <x:c r="T560" s="14" t="str">
        <x:v>Minimum süre yok.</x:v>
      </x:c>
    </x:row>
    <x:row r="561">
      <x:c r="A561" s="14" t="n">
        <x:v>560</x:v>
      </x:c>
      <x:c r="B561" s="15" t="n">
        <x:v>46340</x:v>
      </x:c>
      <x:c r="C561" s="14" t="str">
        <x:v>Cumartesi</x:v>
      </x:c>
      <x:c r="D561" s="14" t="str">
        <x:v>Hafta Sonu</x:v>
      </x:c>
      <x:c r="E561" s="14" t="str">
        <x:v>Tam gün</x:v>
      </x:c>
      <x:c r="F561" s="14" t="str">
        <x:v>F1 - Temel Kurma</x:v>
      </x:c>
      <x:c r="G561" s="14" t="str">
        <x:v>21:50</x:v>
      </x:c>
      <x:c r="H561" s="14" t="str">
        <x:v>22:00</x:v>
      </x:c>
      <x:c r="I561" s="14" t="str">
        <x:v>Genel</x:v>
      </x:c>
      <x:c r="J561" s="14" t="str">
        <x:v>Uyku Hazırlığı</x:v>
      </x:c>
      <x:c r="K561" s="14" t="str"/>
      <x:c r="L561" s="14" t="str">
        <x:v>22:00'de yatakta ve uyku.</x:v>
      </x:c>
      <x:c r="M561" s="14" t="str"/>
      <x:c r="N561" s="14" t="str"/>
      <x:c r="O561" s="14" t="n">
        <x:v>0</x:v>
      </x:c>
      <x:c r="P561" s="14" t="str">
        <x:v>Hayır</x:v>
      </x:c>
      <x:c r="Q561" s="14" t="str">
        <x:v>Hayır</x:v>
      </x:c>
      <x:c r="R561" s="14" t="str">
        <x:v>Planlandı</x:v>
      </x:c>
      <x:c r="S561" s="15" t="str"/>
      <x:c r="T561" s="14" t="str"/>
    </x:row>
    <x:row r="562">
      <x:c r="A562" s="14" t="n">
        <x:v>561</x:v>
      </x:c>
      <x:c r="B562" s="15" t="n">
        <x:v>46341</x:v>
      </x:c>
      <x:c r="C562" s="14" t="str">
        <x:v>Pazar</x:v>
      </x:c>
      <x:c r="D562" s="14" t="str">
        <x:v>Hafta Sonu</x:v>
      </x:c>
      <x:c r="E562" s="14" t="str">
        <x:v>Tam gün</x:v>
      </x:c>
      <x:c r="F562" s="14" t="str">
        <x:v>F1 - Temel Kurma</x:v>
      </x:c>
      <x:c r="G562" s="14" t="str">
        <x:v>09:30</x:v>
      </x:c>
      <x:c r="H562" s="14" t="str">
        <x:v>10:15</x:v>
      </x:c>
      <x:c r="I562" s="14" t="str">
        <x:v>Matematik</x:v>
      </x:c>
      <x:c r="J562" s="14" t="str">
        <x:v>Konu / Tekrar</x:v>
      </x:c>
      <x:c r="K562" s="14" t="str">
        <x:v>Üslü Sayılar ve Bilimsel Gösterim Altyapısı</x:v>
      </x:c>
      <x:c r="L562" s="14" t="str">
        <x:v>Üslü Sayılar ve Bilimsel Gösterim Altyapısı — MEB doğrulaması öncesi 5-10 dk aktif hatırlama; gerekiyorsa ilgili playlist videosuna kısa dönüş yap.</x:v>
      </x:c>
      <x:c r="M562" s="14" t="str">
        <x:v>Matematik Ana Oynatma Listesi</x:v>
      </x:c>
      <x:c r="N562" s="14" t="str">
        <x:v>https://www.youtube.com/watch?v=EuJ89QzqrAg&amp;list=PLicNtF7vp6fnfDqrRLH6H7fIbzYT4ct4F&amp;index=11</x:v>
      </x:c>
      <x:c r="O562" s="14" t="n">
        <x:v>0</x:v>
      </x:c>
      <x:c r="P562" s="14" t="str">
        <x:v>Hayır</x:v>
      </x:c>
      <x:c r="Q562" s="14" t="str">
        <x:v>Evet</x:v>
      </x:c>
      <x:c r="R562" s="14" t="str">
        <x:v>Planlandı</x:v>
      </x:c>
      <x:c r="S562" s="15" t="str"/>
      <x:c r="T562" s="14" t="str">
        <x:v>Yeni konu ancak plan sırasıyla açılır; LGS dışı ileri TYT içeriği zorunlu değildir.</x:v>
      </x:c>
    </x:row>
    <x:row r="563">
      <x:c r="A563" s="14" t="n">
        <x:v>562</x:v>
      </x:c>
      <x:c r="B563" s="15" t="n">
        <x:v>46341</x:v>
      </x:c>
      <x:c r="C563" s="14" t="str">
        <x:v>Pazar</x:v>
      </x:c>
      <x:c r="D563" s="14" t="str">
        <x:v>Hafta Sonu</x:v>
      </x:c>
      <x:c r="E563" s="14" t="str">
        <x:v>Tam gün</x:v>
      </x:c>
      <x:c r="F563" s="14" t="str">
        <x:v>F1 - Temel Kurma</x:v>
      </x:c>
      <x:c r="G563" s="14" t="str">
        <x:v>10:25</x:v>
      </x:c>
      <x:c r="H563" s="14" t="str">
        <x:v>11:15</x:v>
      </x:c>
      <x:c r="I563" s="14" t="str">
        <x:v>Matematik</x:v>
      </x:c>
      <x:c r="J563" s="14" t="str">
        <x:v>Kitap / MEB / Mastery</x:v>
      </x:c>
      <x:c r="K563" s="14" t="str">
        <x:v>Üslü Sayılar ve Bilimsel Gösterim Altyapısı</x:v>
      </x:c>
      <x:c r="L563" s="14" t="str">
        <x:v>Üslü Sayılar ve Bilimsel Gösterim Altyapısı için ilgili MEB sorularını TAMAMLA; D/Y/B kaydet. Bu oturum konu mastery gate'idir.</x:v>
      </x:c>
      <x:c r="M563" s="14" t="str">
        <x:v>MEB Resmî Soru Seti</x:v>
      </x:c>
      <x:c r="N563" s="14" t="str">
        <x:v>https://odsgm.meb.gov.tr/www/5-6-7-ve-9-sinif-duzeylerinde-calisma-sorulari-yayimlandi/icerik/775</x:v>
      </x:c>
      <x:c r="O563" s="14" t="n">
        <x:v>0</x:v>
      </x:c>
      <x:c r="P563" s="14" t="str">
        <x:v>Hayır</x:v>
      </x:c>
      <x:c r="Q563" s="14" t="str">
        <x:v>Evet</x:v>
      </x:c>
      <x:c r="R563" s="14" t="str">
        <x:v>Planlandı</x:v>
      </x:c>
      <x:c r="S563" s="15" t="str"/>
      <x:c r="T563" s="14" t="str">
        <x:v>MEB sonucu Konu_Ustaligi sayfasına işlenir.</x:v>
      </x:c>
    </x:row>
    <x:row r="564">
      <x:c r="A564" s="14" t="n">
        <x:v>563</x:v>
      </x:c>
      <x:c r="B564" s="15" t="n">
        <x:v>46341</x:v>
      </x:c>
      <x:c r="C564" s="14" t="str">
        <x:v>Pazar</x:v>
      </x:c>
      <x:c r="D564" s="14" t="str">
        <x:v>Hafta Sonu</x:v>
      </x:c>
      <x:c r="E564" s="14" t="str">
        <x:v>Tam gün</x:v>
      </x:c>
      <x:c r="F564" s="14" t="str">
        <x:v>F1 - Temel Kurma</x:v>
      </x:c>
      <x:c r="G564" s="14" t="str">
        <x:v>12:00</x:v>
      </x:c>
      <x:c r="H564" s="14" t="str">
        <x:v>14:00</x:v>
      </x:c>
      <x:c r="I564" s="14" t="str">
        <x:v>Genel</x:v>
      </x:c>
      <x:c r="J564" s="14" t="str">
        <x:v>Yemek / Serbest Zaman</x:v>
      </x:c>
      <x:c r="K564" s="14" t="str"/>
      <x:c r="L564" s="14" t="str">
        <x:v>Yemek, hareket ve dinlenme.</x:v>
      </x:c>
      <x:c r="M564" s="14" t="str"/>
      <x:c r="N564" s="14" t="str"/>
      <x:c r="O564" s="14" t="n">
        <x:v>0</x:v>
      </x:c>
      <x:c r="P564" s="14" t="str">
        <x:v>Hayır</x:v>
      </x:c>
      <x:c r="Q564" s="14" t="str">
        <x:v>Hayır</x:v>
      </x:c>
      <x:c r="R564" s="14" t="str">
        <x:v>Planlandı</x:v>
      </x:c>
      <x:c r="S564" s="15" t="str"/>
      <x:c r="T564" s="14" t="str"/>
    </x:row>
    <x:row r="565">
      <x:c r="A565" s="14" t="n">
        <x:v>564</x:v>
      </x:c>
      <x:c r="B565" s="15" t="n">
        <x:v>46341</x:v>
      </x:c>
      <x:c r="C565" s="14" t="str">
        <x:v>Pazar</x:v>
      </x:c>
      <x:c r="D565" s="14" t="str">
        <x:v>Hafta Sonu</x:v>
      </x:c>
      <x:c r="E565" s="14" t="str">
        <x:v>Tam gün</x:v>
      </x:c>
      <x:c r="F565" s="14" t="str">
        <x:v>F1 - Temel Kurma</x:v>
      </x:c>
      <x:c r="G565" s="14" t="str">
        <x:v>11:25</x:v>
      </x:c>
      <x:c r="H565" s="14" t="str">
        <x:v>11:55</x:v>
      </x:c>
      <x:c r="I565" s="14" t="str">
        <x:v>Türkçe</x:v>
      </x:c>
      <x:c r="J565" s="14" t="str">
        <x:v>Paragraf Rutini</x:v>
      </x:c>
      <x:c r="K565" s="14" t="str">
        <x:v>Paragraf</x:v>
      </x:c>
      <x:c r="L565" s="14" t="str">
        <x:v>En az 20 paragraf sorusu çöz; ilk 20 soruyu ileri sayımla ölç, D/Y/B + süre kaydet.</x:v>
      </x:c>
      <x:c r="M565" s="14" t="str">
        <x:v>Hız 8. Sınıf Türkçe Paragraf (ISBN 9786258394498)</x:v>
      </x:c>
      <x:c r="N565" s="14" t="str"/>
      <x:c r="O565" s="14" t="n">
        <x:v>20</x:v>
      </x:c>
      <x:c r="P565" s="14" t="str">
        <x:v>İlk 20 soru</x:v>
      </x:c>
      <x:c r="Q565" s="14" t="str">
        <x:v>Evet</x:v>
      </x:c>
      <x:c r="R565" s="14" t="str">
        <x:v>Planlandı</x:v>
      </x:c>
      <x:c r="S565" s="15" t="str"/>
      <x:c r="T565" s="14" t="str">
        <x:v>Geri sayım ve hedef süre yok.</x:v>
      </x:c>
    </x:row>
    <x:row r="566">
      <x:c r="A566" s="14" t="n">
        <x:v>565</x:v>
      </x:c>
      <x:c r="B566" s="15" t="n">
        <x:v>46341</x:v>
      </x:c>
      <x:c r="C566" s="14" t="str">
        <x:v>Pazar</x:v>
      </x:c>
      <x:c r="D566" s="14" t="str">
        <x:v>Hafta Sonu</x:v>
      </x:c>
      <x:c r="E566" s="14" t="str">
        <x:v>Tam gün</x:v>
      </x:c>
      <x:c r="F566" s="14" t="str">
        <x:v>F1 - Temel Kurma</x:v>
      </x:c>
      <x:c r="G566" s="14" t="str">
        <x:v>14:00</x:v>
      </x:c>
      <x:c r="H566" s="14" t="str">
        <x:v>14:40</x:v>
      </x:c>
      <x:c r="I566" s="14" t="str">
        <x:v>Türkçe</x:v>
      </x:c>
      <x:c r="J566" s="14" t="str">
        <x:v>Konu / Tekrar</x:v>
      </x:c>
      <x:c r="K566" s="14" t="str">
        <x:v>Zamirler</x:v>
      </x:c>
      <x:c r="L566" s="14" t="str">
        <x:v>Zamirler — MEB doğrulaması öncesi 5-10 dk aktif hatırlama; gerekiyorsa ilgili playlist videosuna kısa dönüş yap.</x:v>
      </x:c>
      <x:c r="M566" s="14" t="str">
        <x:v>Türkçe Ana Oynatma Listesi</x:v>
      </x:c>
      <x:c r="N566" s="14" t="str">
        <x:v>https://www.youtube.com/watch?v=VYsPntNKVdw&amp;list=PLIBjFaUoJJ91bz7QQEBlxNJNZka5YQRr6</x:v>
      </x:c>
      <x:c r="O566" s="14" t="n">
        <x:v>0</x:v>
      </x:c>
      <x:c r="P566" s="14" t="str">
        <x:v>Hayır</x:v>
      </x:c>
      <x:c r="Q566" s="14" t="str">
        <x:v>Evet</x:v>
      </x:c>
      <x:c r="R566" s="14" t="str">
        <x:v>Planlandı</x:v>
      </x:c>
      <x:c r="S566" s="15" t="str"/>
      <x:c r="T566" s="14" t="str">
        <x:v>TYT etiketli kaynak temelden başlamak için sabittir; LGS dışı gereksiz ayrıntı zorunlu değildir.</x:v>
      </x:c>
    </x:row>
    <x:row r="567">
      <x:c r="A567" s="14" t="n">
        <x:v>566</x:v>
      </x:c>
      <x:c r="B567" s="15" t="n">
        <x:v>46341</x:v>
      </x:c>
      <x:c r="C567" s="14" t="str">
        <x:v>Pazar</x:v>
      </x:c>
      <x:c r="D567" s="14" t="str">
        <x:v>Hafta Sonu</x:v>
      </x:c>
      <x:c r="E567" s="14" t="str">
        <x:v>Tam gün</x:v>
      </x:c>
      <x:c r="F567" s="14" t="str">
        <x:v>F1 - Temel Kurma</x:v>
      </x:c>
      <x:c r="G567" s="14" t="str">
        <x:v>14:50</x:v>
      </x:c>
      <x:c r="H567" s="14" t="str">
        <x:v>15:30</x:v>
      </x:c>
      <x:c r="I567" s="14" t="str">
        <x:v>Türkçe</x:v>
      </x:c>
      <x:c r="J567" s="14" t="str">
        <x:v>Kitap / MEB / Mastery</x:v>
      </x:c>
      <x:c r="K567" s="14" t="str">
        <x:v>Zamirler</x:v>
      </x:c>
      <x:c r="L567" s="14" t="str">
        <x:v>Zamirler için ilgili MEB sorularını TAMAMLA; D/Y/B kaydet. Bu oturum konu mastery gate'idir.</x:v>
      </x:c>
      <x:c r="M567" s="14" t="str">
        <x:v>MEB Resmî Soru Seti</x:v>
      </x:c>
      <x:c r="N567" s="14" t="str">
        <x:v>https://odsgm.meb.gov.tr/www/5-6-7-ve-9-sinif-duzeylerinde-calisma-sorulari-yayimlandi/icerik/775</x:v>
      </x:c>
      <x:c r="O567" s="14" t="n">
        <x:v>0</x:v>
      </x:c>
      <x:c r="P567" s="14" t="str">
        <x:v>Hayır</x:v>
      </x:c>
      <x:c r="Q567" s="14" t="str">
        <x:v>Evet</x:v>
      </x:c>
      <x:c r="R567" s="14" t="str">
        <x:v>Planlandı</x:v>
      </x:c>
      <x:c r="S567" s="15" t="str"/>
      <x:c r="T567" s="14" t="str">
        <x:v>MEB sonucu Konu_Ustaligi sayfasına işlenir.</x:v>
      </x:c>
    </x:row>
    <x:row r="568">
      <x:c r="A568" s="14" t="n">
        <x:v>567</x:v>
      </x:c>
      <x:c r="B568" s="15" t="n">
        <x:v>46341</x:v>
      </x:c>
      <x:c r="C568" s="14" t="str">
        <x:v>Pazar</x:v>
      </x:c>
      <x:c r="D568" s="14" t="str">
        <x:v>Hafta Sonu</x:v>
      </x:c>
      <x:c r="E568" s="14" t="str">
        <x:v>Tam gün</x:v>
      </x:c>
      <x:c r="F568" s="14" t="str">
        <x:v>F1 - Temel Kurma</x:v>
      </x:c>
      <x:c r="G568" s="14" t="str">
        <x:v>15:45</x:v>
      </x:c>
      <x:c r="H568" s="14" t="str">
        <x:v>16:25</x:v>
      </x:c>
      <x:c r="I568" s="14" t="str">
        <x:v>Din</x:v>
      </x:c>
      <x:c r="J568" s="14" t="str">
        <x:v>Konu / Tekrar</x:v>
      </x:c>
      <x:c r="K568" s="14" t="str">
        <x:v>Zekât ve Sadaka</x:v>
      </x:c>
      <x:c r="L568" s="14" t="str">
        <x:v>Zekât ve Sadaka — MEB doğrulaması öncesi 5-10 dk aktif hatırlama; gerekiyorsa ilgili playlist videosuna kısa dönüş yap.</x:v>
      </x:c>
      <x:c r="M568" s="14" t="str">
        <x:v>Din Genel Oynatma Listesi</x:v>
      </x:c>
      <x:c r="N568" s="14" t="str">
        <x:v>https://www.youtube.com/watch?v=wvdOE_75VnA&amp;list=PLbRoPq-Zu-SWXGUbVt4t4UWo-4VjsMUo-&amp;index=2</x:v>
      </x:c>
      <x:c r="O568" s="14" t="n">
        <x:v>0</x:v>
      </x:c>
      <x:c r="P568" s="14" t="str">
        <x:v>Hayır</x:v>
      </x:c>
      <x:c r="Q568" s="14" t="str">
        <x:v>Evet</x:v>
      </x:c>
      <x:c r="R568" s="14" t="str">
        <x:v>Planlandı</x:v>
      </x:c>
      <x:c r="S568" s="15" t="str"/>
      <x:c r="T568" s="14" t="str"/>
    </x:row>
    <x:row r="569">
      <x:c r="A569" s="14" t="n">
        <x:v>568</x:v>
      </x:c>
      <x:c r="B569" s="15" t="n">
        <x:v>46341</x:v>
      </x:c>
      <x:c r="C569" s="14" t="str">
        <x:v>Pazar</x:v>
      </x:c>
      <x:c r="D569" s="14" t="str">
        <x:v>Hafta Sonu</x:v>
      </x:c>
      <x:c r="E569" s="14" t="str">
        <x:v>Tam gün</x:v>
      </x:c>
      <x:c r="F569" s="14" t="str">
        <x:v>F1 - Temel Kurma</x:v>
      </x:c>
      <x:c r="G569" s="14" t="str">
        <x:v>16:35</x:v>
      </x:c>
      <x:c r="H569" s="14" t="str">
        <x:v>17:15</x:v>
      </x:c>
      <x:c r="I569" s="14" t="str">
        <x:v>Din</x:v>
      </x:c>
      <x:c r="J569" s="14" t="str">
        <x:v>Kitap / MEB / Mastery</x:v>
      </x:c>
      <x:c r="K569" s="14" t="str">
        <x:v>Zekât ve Sadaka</x:v>
      </x:c>
      <x:c r="L569" s="14" t="str">
        <x:v>Zekât ve Sadaka için ilgili MEB sorularını TAMAMLA; D/Y/B kaydet. Bu oturum konu mastery gate'idir.</x:v>
      </x:c>
      <x:c r="M569" s="14" t="str">
        <x:v>MEB 8. Sınıf Din Soruları</x:v>
      </x:c>
      <x:c r="N569" s="14" t="str">
        <x:v>https://odsgm.meb.gov.tr/www/8sinif-calisma-sorulari/icerik/1632</x:v>
      </x:c>
      <x:c r="O569" s="14" t="n">
        <x:v>0</x:v>
      </x:c>
      <x:c r="P569" s="14" t="str">
        <x:v>Hayır</x:v>
      </x:c>
      <x:c r="Q569" s="14" t="str">
        <x:v>Evet</x:v>
      </x:c>
      <x:c r="R569" s="14" t="str">
        <x:v>Planlandı</x:v>
      </x:c>
      <x:c r="S569" s="15" t="str"/>
      <x:c r="T569" s="14" t="str">
        <x:v>MEB sonucu Konu_Ustaligi sayfasına işlenir.</x:v>
      </x:c>
    </x:row>
    <x:row r="570">
      <x:c r="A570" s="14" t="n">
        <x:v>569</x:v>
      </x:c>
      <x:c r="B570" s="15" t="n">
        <x:v>46341</x:v>
      </x:c>
      <x:c r="C570" s="14" t="str">
        <x:v>Pazar</x:v>
      </x:c>
      <x:c r="D570" s="14" t="str">
        <x:v>Hafta Sonu</x:v>
      </x:c>
      <x:c r="E570" s="14" t="str">
        <x:v>Tam gün</x:v>
      </x:c>
      <x:c r="F570" s="14" t="str">
        <x:v>F1 - Temel Kurma</x:v>
      </x:c>
      <x:c r="G570" s="14" t="str">
        <x:v>17:25</x:v>
      </x:c>
      <x:c r="H570" s="14" t="str">
        <x:v>18:25</x:v>
      </x:c>
      <x:c r="I570" s="14" t="str">
        <x:v>Genel</x:v>
      </x:c>
      <x:c r="J570" s="14" t="str">
        <x:v>Kaynak Tamamlama</x:v>
      </x:c>
      <x:c r="K570" s="14" t="str">
        <x:v>En Geride Kalan Kaynak</x:v>
      </x:c>
      <x:c r="L570" s="14" t="str">
        <x:v>Kaynak_Ilerleme sayfasında hedef yüzdesinin en gerisinde kalan ZORUNLU soru kaynağına 60 dk ayır. Öğrenilmemiş konudan ileri gitme.</x:v>
      </x:c>
      <x:c r="M570" s="14" t="str">
        <x:v>Kaynak İlerleme</x:v>
      </x:c>
      <x:c r="N570" s="14" t="str"/>
      <x:c r="O570" s="14" t="n">
        <x:v>0</x:v>
      </x:c>
      <x:c r="P570" s="14" t="str">
        <x:v>Hayır</x:v>
      </x:c>
      <x:c r="Q570" s="14" t="str">
        <x:v>Evet</x:v>
      </x:c>
      <x:c r="R570" s="14" t="str">
        <x:v>Planlandı</x:v>
      </x:c>
      <x:c r="S570" s="15" t="str"/>
      <x:c r="T570" s="14" t="str">
        <x:v>Amaç 13.04.2027'de zorunlu soru kitapları + ilgili MEB setlerini %100 tamamlamak.</x:v>
      </x:c>
    </x:row>
    <x:row r="571">
      <x:c r="A571" s="14" t="n">
        <x:v>570</x:v>
      </x:c>
      <x:c r="B571" s="15" t="n">
        <x:v>46341</x:v>
      </x:c>
      <x:c r="C571" s="14" t="str">
        <x:v>Pazar</x:v>
      </x:c>
      <x:c r="D571" s="14" t="str">
        <x:v>Hafta Sonu</x:v>
      </x:c>
      <x:c r="E571" s="14" t="str">
        <x:v>Tam gün</x:v>
      </x:c>
      <x:c r="F571" s="14" t="str">
        <x:v>F1 - Temel Kurma</x:v>
      </x:c>
      <x:c r="G571" s="14" t="str">
        <x:v>18:25</x:v>
      </x:c>
      <x:c r="H571" s="14" t="str">
        <x:v>18:45</x:v>
      </x:c>
      <x:c r="I571" s="14" t="str">
        <x:v>Genel</x:v>
      </x:c>
      <x:c r="J571" s="14" t="str">
        <x:v>Yanlış / Boş Analizi</x:v>
      </x:c>
      <x:c r="K571" s="14" t="str">
        <x:v>Günlük</x:v>
      </x:c>
      <x:c r="L571" s="14" t="str">
        <x:v>Bugünkü yanlış/boşları kaydet; çözümünü öğrenmeden kapatma. Hata türünü sınıflandır.</x:v>
      </x:c>
      <x:c r="M571" s="14" t="str">
        <x:v>Yanlış Defteri</x:v>
      </x:c>
      <x:c r="N571" s="14" t="str"/>
      <x:c r="O571" s="14" t="n">
        <x:v>0</x:v>
      </x:c>
      <x:c r="P571" s="14" t="str">
        <x:v>Hayır</x:v>
      </x:c>
      <x:c r="Q571" s="14" t="str">
        <x:v>Evet</x:v>
      </x:c>
      <x:c r="R571" s="14" t="str">
        <x:v>Planlandı</x:v>
      </x:c>
      <x:c r="S571" s="15" t="str"/>
      <x:c r="T571" s="14" t="str"/>
    </x:row>
    <x:row r="572">
      <x:c r="A572" s="14" t="n">
        <x:v>571</x:v>
      </x:c>
      <x:c r="B572" s="15" t="n">
        <x:v>46341</x:v>
      </x:c>
      <x:c r="C572" s="14" t="str">
        <x:v>Pazar</x:v>
      </x:c>
      <x:c r="D572" s="14" t="str">
        <x:v>Hafta Sonu</x:v>
      </x:c>
      <x:c r="E572" s="14" t="str">
        <x:v>Tam gün</x:v>
      </x:c>
      <x:c r="F572" s="14" t="str">
        <x:v>F1 - Temel Kurma</x:v>
      </x:c>
      <x:c r="G572" s="14" t="str">
        <x:v>18:45</x:v>
      </x:c>
      <x:c r="H572" s="14" t="str">
        <x:v>19:05</x:v>
      </x:c>
      <x:c r="I572" s="14" t="str">
        <x:v>Genel</x:v>
      </x:c>
      <x:c r="J572" s="14" t="str">
        <x:v>Aralıklı Hata Tekrarı</x:v>
      </x:c>
      <x:c r="K572" s="14" t="str">
        <x:v>+1 / +7 / +21</x:v>
      </x:c>
      <x:c r="L572" s="14" t="str">
        <x:v>Bugün vadesi gelen yanlış soruları tekrar çöz. Vadesi yoksa bu süre serbest/okuma olabilir.</x:v>
      </x:c>
      <x:c r="M572" s="14" t="str">
        <x:v>Yanlış Defteri</x:v>
      </x:c>
      <x:c r="N572" s="14" t="str"/>
      <x:c r="O572" s="14" t="n">
        <x:v>0</x:v>
      </x:c>
      <x:c r="P572" s="14" t="str">
        <x:v>Hayır</x:v>
      </x:c>
      <x:c r="Q572" s="14" t="str">
        <x:v>Koşullu</x:v>
      </x:c>
      <x:c r="R572" s="14" t="str">
        <x:v>Planlandı</x:v>
      </x:c>
      <x:c r="S572" s="15" t="str"/>
      <x:c r="T572" s="14" t="str">
        <x:v>Yanlışlar +1, +7 ve +21 gün aralıklarıyla tekrar edilir; hâlâ yanlışsa konu mastery durumu düşürülür.</x:v>
      </x:c>
    </x:row>
    <x:row r="573">
      <x:c r="A573" s="14" t="n">
        <x:v>572</x:v>
      </x:c>
      <x:c r="B573" s="15" t="n">
        <x:v>46341</x:v>
      </x:c>
      <x:c r="C573" s="14" t="str">
        <x:v>Pazar</x:v>
      </x:c>
      <x:c r="D573" s="14" t="str">
        <x:v>Hafta Sonu</x:v>
      </x:c>
      <x:c r="E573" s="14" t="str">
        <x:v>Tam gün</x:v>
      </x:c>
      <x:c r="F573" s="14" t="str">
        <x:v>F1 - Temel Kurma</x:v>
      </x:c>
      <x:c r="G573" s="14" t="str">
        <x:v>20:00</x:v>
      </x:c>
      <x:c r="H573" s="14" t="str">
        <x:v>20:30</x:v>
      </x:c>
      <x:c r="I573" s="14" t="str">
        <x:v>Okuma</x:v>
      </x:c>
      <x:c r="J573" s="14" t="str">
        <x:v>İsteğe Bağlı</x:v>
      </x:c>
      <x:c r="K573" s="14" t="str">
        <x:v>Serbest Kitap</x:v>
      </x:c>
      <x:c r="L573" s="14" t="str">
        <x:v>Zorunlu çalışmalar bittiyse isteğe bağlı kitap oku.</x:v>
      </x:c>
      <x:c r="M573" s="14" t="str">
        <x:v>Serbest Kitap</x:v>
      </x:c>
      <x:c r="N573" s="14" t="str"/>
      <x:c r="O573" s="14" t="n">
        <x:v>0</x:v>
      </x:c>
      <x:c r="P573" s="14" t="str">
        <x:v>İsteğe Bağlı</x:v>
      </x:c>
      <x:c r="Q573" s="14" t="str">
        <x:v>Hayır</x:v>
      </x:c>
      <x:c r="R573" s="14" t="str">
        <x:v>Planlandı</x:v>
      </x:c>
      <x:c r="S573" s="15" t="str"/>
      <x:c r="T573" s="14" t="str">
        <x:v>Minimum süre yok.</x:v>
      </x:c>
    </x:row>
    <x:row r="574">
      <x:c r="A574" s="14" t="n">
        <x:v>573</x:v>
      </x:c>
      <x:c r="B574" s="15" t="n">
        <x:v>46341</x:v>
      </x:c>
      <x:c r="C574" s="14" t="str">
        <x:v>Pazar</x:v>
      </x:c>
      <x:c r="D574" s="14" t="str">
        <x:v>Hafta Sonu</x:v>
      </x:c>
      <x:c r="E574" s="14" t="str">
        <x:v>Tam gün</x:v>
      </x:c>
      <x:c r="F574" s="14" t="str">
        <x:v>F1 - Temel Kurma</x:v>
      </x:c>
      <x:c r="G574" s="14" t="str">
        <x:v>21:50</x:v>
      </x:c>
      <x:c r="H574" s="14" t="str">
        <x:v>22:00</x:v>
      </x:c>
      <x:c r="I574" s="14" t="str">
        <x:v>Genel</x:v>
      </x:c>
      <x:c r="J574" s="14" t="str">
        <x:v>Uyku Hazırlığı</x:v>
      </x:c>
      <x:c r="K574" s="14" t="str"/>
      <x:c r="L574" s="14" t="str">
        <x:v>22:00'de yatakta ve uyku.</x:v>
      </x:c>
      <x:c r="M574" s="14" t="str"/>
      <x:c r="N574" s="14" t="str"/>
      <x:c r="O574" s="14" t="n">
        <x:v>0</x:v>
      </x:c>
      <x:c r="P574" s="14" t="str">
        <x:v>Hayır</x:v>
      </x:c>
      <x:c r="Q574" s="14" t="str">
        <x:v>Hayır</x:v>
      </x:c>
      <x:c r="R574" s="14" t="str">
        <x:v>Planlandı</x:v>
      </x:c>
      <x:c r="S574" s="15" t="str"/>
      <x:c r="T574" s="14" t="str"/>
    </x:row>
    <x:row r="575">
      <x:c r="A575" s="14" t="n">
        <x:v>574</x:v>
      </x:c>
      <x:c r="B575" s="15" t="n">
        <x:v>46342</x:v>
      </x:c>
      <x:c r="C575" s="14" t="str">
        <x:v>Pazartesi</x:v>
      </x:c>
      <x:c r="D575" s="14" t="str">
        <x:v>Okul Tatili</x:v>
      </x:c>
      <x:c r="E575" s="14" t="str">
        <x:v>MEB 1. Dönem Ara Tatili</x:v>
      </x:c>
      <x:c r="F575" s="14" t="str">
        <x:v>F1 - Temel Kurma</x:v>
      </x:c>
      <x:c r="G575" s="14" t="str">
        <x:v>09:30</x:v>
      </x:c>
      <x:c r="H575" s="14" t="str">
        <x:v>10:15</x:v>
      </x:c>
      <x:c r="I575" s="14" t="str">
        <x:v>Matematik</x:v>
      </x:c>
      <x:c r="J575" s="14" t="str">
        <x:v>Konu / Tekrar</x:v>
      </x:c>
      <x:c r="K575" s="14" t="str">
        <x:v>Köklü Sayılar Altyapısı</x:v>
      </x:c>
      <x:c r="L575" s="14" t="str">
        <x:v>Köklü Sayılar Altyapısı — genel oynatma listesinden ilgili videoyu izle (1/5).</x:v>
      </x:c>
      <x:c r="M575" s="14" t="str">
        <x:v>Matematik Ana Oynatma Listesi</x:v>
      </x:c>
      <x:c r="N575" s="14" t="str">
        <x:v>https://www.youtube.com/watch?v=EuJ89QzqrAg&amp;list=PLicNtF7vp6fnfDqrRLH6H7fIbzYT4ct4F&amp;index=11</x:v>
      </x:c>
      <x:c r="O575" s="14" t="n">
        <x:v>0</x:v>
      </x:c>
      <x:c r="P575" s="14" t="str">
        <x:v>Hayır</x:v>
      </x:c>
      <x:c r="Q575" s="14" t="str">
        <x:v>Evet</x:v>
      </x:c>
      <x:c r="R575" s="14" t="str">
        <x:v>Planlandı</x:v>
      </x:c>
      <x:c r="S575" s="15" t="str"/>
      <x:c r="T575" s="14" t="str">
        <x:v>Yeni konu ancak plan sırasıyla açılır; LGS dışı ileri TYT içeriği zorunlu değildir.</x:v>
      </x:c>
    </x:row>
    <x:row r="576">
      <x:c r="A576" s="14" t="n">
        <x:v>575</x:v>
      </x:c>
      <x:c r="B576" s="15" t="n">
        <x:v>46342</x:v>
      </x:c>
      <x:c r="C576" s="14" t="str">
        <x:v>Pazartesi</x:v>
      </x:c>
      <x:c r="D576" s="14" t="str">
        <x:v>Okul Tatili</x:v>
      </x:c>
      <x:c r="E576" s="14" t="str">
        <x:v>MEB 1. Dönem Ara Tatili</x:v>
      </x:c>
      <x:c r="F576" s="14" t="str">
        <x:v>F1 - Temel Kurma</x:v>
      </x:c>
      <x:c r="G576" s="14" t="str">
        <x:v>10:25</x:v>
      </x:c>
      <x:c r="H576" s="14" t="str">
        <x:v>11:15</x:v>
      </x:c>
      <x:c r="I576" s="14" t="str">
        <x:v>Matematik</x:v>
      </x:c>
      <x:c r="J576" s="14" t="str">
        <x:v>Kitap / MEB / Mastery</x:v>
      </x:c>
      <x:c r="K576" s="14" t="str">
        <x:v>Köklü Sayılar Altyapısı</x:v>
      </x:c>
      <x:c r="L576" s="14" t="str">
        <x:v>Köklü Sayılar Altyapısı ile ilgili soru kitabından en az 20 soru / bugünkü test payını çöz.</x:v>
      </x:c>
      <x:c r="M576" s="14" t="str">
        <x:v>MUBA 8. Sınıf Başlangıç Matematik (ISBN 9789756526972) (eşleşen bölüm) + MEB temel destek</x:v>
      </x:c>
      <x:c r="N576" s="14" t="str">
        <x:v>https://odsgm.meb.gov.tr/www/5-6-7-ve-9-sinif-duzeylerinde-calisma-sorulari-yayimlandi/icerik/775</x:v>
      </x:c>
      <x:c r="O576" s="14" t="n">
        <x:v>20</x:v>
      </x:c>
      <x:c r="P576" s="14" t="str">
        <x:v>İlk 20 soru</x:v>
      </x:c>
      <x:c r="Q576" s="14" t="str">
        <x:v>Evet</x:v>
      </x:c>
      <x:c r="R576" s="14" t="str">
        <x:v>Planlandı</x:v>
      </x:c>
      <x:c r="S576" s="15" t="str"/>
      <x:c r="T576" s="14" t="str">
        <x:v>Ayrı/rastgele matematik benchmark yoktur. Süreli ilk 20 soru o gün çalışılan konunun içindedir.</x:v>
      </x:c>
    </x:row>
    <x:row r="577">
      <x:c r="A577" s="14" t="n">
        <x:v>576</x:v>
      </x:c>
      <x:c r="B577" s="15" t="n">
        <x:v>46342</x:v>
      </x:c>
      <x:c r="C577" s="14" t="str">
        <x:v>Pazartesi</x:v>
      </x:c>
      <x:c r="D577" s="14" t="str">
        <x:v>Okul Tatili</x:v>
      </x:c>
      <x:c r="E577" s="14" t="str">
        <x:v>MEB 1. Dönem Ara Tatili</x:v>
      </x:c>
      <x:c r="F577" s="14" t="str">
        <x:v>F1 - Temel Kurma</x:v>
      </x:c>
      <x:c r="G577" s="14" t="str">
        <x:v>12:00</x:v>
      </x:c>
      <x:c r="H577" s="14" t="str">
        <x:v>14:00</x:v>
      </x:c>
      <x:c r="I577" s="14" t="str">
        <x:v>Genel</x:v>
      </x:c>
      <x:c r="J577" s="14" t="str">
        <x:v>Yemek / Serbest Zaman</x:v>
      </x:c>
      <x:c r="K577" s="14" t="str"/>
      <x:c r="L577" s="14" t="str">
        <x:v>Yemek, hareket ve dinlenme.</x:v>
      </x:c>
      <x:c r="M577" s="14" t="str"/>
      <x:c r="N577" s="14" t="str"/>
      <x:c r="O577" s="14" t="n">
        <x:v>0</x:v>
      </x:c>
      <x:c r="P577" s="14" t="str">
        <x:v>Hayır</x:v>
      </x:c>
      <x:c r="Q577" s="14" t="str">
        <x:v>Hayır</x:v>
      </x:c>
      <x:c r="R577" s="14" t="str">
        <x:v>Planlandı</x:v>
      </x:c>
      <x:c r="S577" s="15" t="str"/>
      <x:c r="T577" s="14" t="str"/>
    </x:row>
    <x:row r="578">
      <x:c r="A578" s="14" t="n">
        <x:v>577</x:v>
      </x:c>
      <x:c r="B578" s="15" t="n">
        <x:v>46342</x:v>
      </x:c>
      <x:c r="C578" s="14" t="str">
        <x:v>Pazartesi</x:v>
      </x:c>
      <x:c r="D578" s="14" t="str">
        <x:v>Okul Tatili</x:v>
      </x:c>
      <x:c r="E578" s="14" t="str">
        <x:v>MEB 1. Dönem Ara Tatili</x:v>
      </x:c>
      <x:c r="F578" s="14" t="str">
        <x:v>F1 - Temel Kurma</x:v>
      </x:c>
      <x:c r="G578" s="14" t="str">
        <x:v>11:25</x:v>
      </x:c>
      <x:c r="H578" s="14" t="str">
        <x:v>11:55</x:v>
      </x:c>
      <x:c r="I578" s="14" t="str">
        <x:v>Türkçe</x:v>
      </x:c>
      <x:c r="J578" s="14" t="str">
        <x:v>Paragraf Rutini</x:v>
      </x:c>
      <x:c r="K578" s="14" t="str">
        <x:v>Paragraf</x:v>
      </x:c>
      <x:c r="L578" s="14" t="str">
        <x:v>En az 20 paragraf sorusu çöz; ilk 20 soruyu ileri sayımla ölç, D/Y/B + süre kaydet.</x:v>
      </x:c>
      <x:c r="M578" s="14" t="str">
        <x:v>Hız 8. Sınıf Türkçe Paragraf (ISBN 9786258394498)</x:v>
      </x:c>
      <x:c r="N578" s="14" t="str"/>
      <x:c r="O578" s="14" t="n">
        <x:v>20</x:v>
      </x:c>
      <x:c r="P578" s="14" t="str">
        <x:v>İlk 20 soru</x:v>
      </x:c>
      <x:c r="Q578" s="14" t="str">
        <x:v>Evet</x:v>
      </x:c>
      <x:c r="R578" s="14" t="str">
        <x:v>Planlandı</x:v>
      </x:c>
      <x:c r="S578" s="15" t="str"/>
      <x:c r="T578" s="14" t="str">
        <x:v>Geri sayım ve hedef süre yok.</x:v>
      </x:c>
    </x:row>
    <x:row r="579">
      <x:c r="A579" s="14" t="n">
        <x:v>578</x:v>
      </x:c>
      <x:c r="B579" s="15" t="n">
        <x:v>46342</x:v>
      </x:c>
      <x:c r="C579" s="14" t="str">
        <x:v>Pazartesi</x:v>
      </x:c>
      <x:c r="D579" s="14" t="str">
        <x:v>Okul Tatili</x:v>
      </x:c>
      <x:c r="E579" s="14" t="str">
        <x:v>MEB 1. Dönem Ara Tatili</x:v>
      </x:c>
      <x:c r="F579" s="14" t="str">
        <x:v>F1 - Temel Kurma</x:v>
      </x:c>
      <x:c r="G579" s="14" t="str">
        <x:v>14:00</x:v>
      </x:c>
      <x:c r="H579" s="14" t="str">
        <x:v>14:40</x:v>
      </x:c>
      <x:c r="I579" s="14" t="str">
        <x:v>Türkçe</x:v>
      </x:c>
      <x:c r="J579" s="14" t="str">
        <x:v>Konu / Tekrar</x:v>
      </x:c>
      <x:c r="K579" s="14" t="str">
        <x:v>Sıfatlar</x:v>
      </x:c>
      <x:c r="L579" s="14" t="str">
        <x:v>Sıfatlar — genel oynatma listesinden ilgili videoyu izle (1/3).</x:v>
      </x:c>
      <x:c r="M579" s="14" t="str">
        <x:v>Türkçe Ana Oynatma Listesi</x:v>
      </x:c>
      <x:c r="N579" s="14" t="str">
        <x:v>https://www.youtube.com/watch?v=VYsPntNKVdw&amp;list=PLIBjFaUoJJ91bz7QQEBlxNJNZka5YQRr6</x:v>
      </x:c>
      <x:c r="O579" s="14" t="n">
        <x:v>0</x:v>
      </x:c>
      <x:c r="P579" s="14" t="str">
        <x:v>Hayır</x:v>
      </x:c>
      <x:c r="Q579" s="14" t="str">
        <x:v>Evet</x:v>
      </x:c>
      <x:c r="R579" s="14" t="str">
        <x:v>Planlandı</x:v>
      </x:c>
      <x:c r="S579" s="15" t="str"/>
      <x:c r="T579" s="14" t="str">
        <x:v>TYT etiketli kaynak temelden başlamak için sabittir; LGS dışı gereksiz ayrıntı zorunlu değildir.</x:v>
      </x:c>
    </x:row>
    <x:row r="580">
      <x:c r="A580" s="14" t="n">
        <x:v>579</x:v>
      </x:c>
      <x:c r="B580" s="15" t="n">
        <x:v>46342</x:v>
      </x:c>
      <x:c r="C580" s="14" t="str">
        <x:v>Pazartesi</x:v>
      </x:c>
      <x:c r="D580" s="14" t="str">
        <x:v>Okul Tatili</x:v>
      </x:c>
      <x:c r="E580" s="14" t="str">
        <x:v>MEB 1. Dönem Ara Tatili</x:v>
      </x:c>
      <x:c r="F580" s="14" t="str">
        <x:v>F1 - Temel Kurma</x:v>
      </x:c>
      <x:c r="G580" s="14" t="str">
        <x:v>14:50</x:v>
      </x:c>
      <x:c r="H580" s="14" t="str">
        <x:v>15:30</x:v>
      </x:c>
      <x:c r="I580" s="14" t="str">
        <x:v>Türkçe</x:v>
      </x:c>
      <x:c r="J580" s="14" t="str">
        <x:v>Kitap / MEB / Mastery</x:v>
      </x:c>
      <x:c r="K580" s="14" t="str">
        <x:v>Sıfatlar</x:v>
      </x:c>
      <x:c r="L580" s="14" t="str">
        <x:v>Sıfatlar ile ilgili soru kitabından en az 10 soru / bugünkü test payını çöz.</x:v>
      </x:c>
      <x:c r="M580" s="14" t="str">
        <x:v>Ankara 8. Sınıf Dil Bilgisi Güçlendiren (eşleşen bölüm) + MEB temel destek</x:v>
      </x:c>
      <x:c r="N580" s="14" t="str">
        <x:v>https://odsgm.meb.gov.tr/www/5-6-7-ve-9-sinif-duzeylerinde-calisma-sorulari-yayimlandi/icerik/775</x:v>
      </x:c>
      <x:c r="O580" s="14" t="n">
        <x:v>10</x:v>
      </x:c>
      <x:c r="P580" s="14" t="str">
        <x:v>Hayır</x:v>
      </x:c>
      <x:c r="Q580" s="14" t="str">
        <x:v>Evet</x:v>
      </x:c>
      <x:c r="R580" s="14" t="str">
        <x:v>Planlandı</x:v>
      </x:c>
      <x:c r="S580" s="15" t="str"/>
      <x:c r="T580" s="14" t="str"/>
    </x:row>
    <x:row r="581">
      <x:c r="A581" s="14" t="n">
        <x:v>580</x:v>
      </x:c>
      <x:c r="B581" s="15" t="n">
        <x:v>46342</x:v>
      </x:c>
      <x:c r="C581" s="14" t="str">
        <x:v>Pazartesi</x:v>
      </x:c>
      <x:c r="D581" s="14" t="str">
        <x:v>Okul Tatili</x:v>
      </x:c>
      <x:c r="E581" s="14" t="str">
        <x:v>MEB 1. Dönem Ara Tatili</x:v>
      </x:c>
      <x:c r="F581" s="14" t="str">
        <x:v>F1 - Temel Kurma</x:v>
      </x:c>
      <x:c r="G581" s="14" t="str">
        <x:v>15:45</x:v>
      </x:c>
      <x:c r="H581" s="14" t="str">
        <x:v>16:25</x:v>
      </x:c>
      <x:c r="I581" s="14" t="str">
        <x:v>İnkılap</x:v>
      </x:c>
      <x:c r="J581" s="14" t="str">
        <x:v>Konu / Tekrar</x:v>
      </x:c>
      <x:c r="K581" s="14" t="str">
        <x:v>I. Dünya Savaşı ve Osmanlı Devleti</x:v>
      </x:c>
      <x:c r="L581" s="14" t="str">
        <x:v>I. Dünya Savaşı ve Osmanlı Devleti — MEB doğrulaması öncesi 5-10 dk aktif hatırlama; gerekiyorsa ilgili playlist videosuna kısa dönüş yap.</x:v>
      </x:c>
      <x:c r="M581" s="14" t="str">
        <x:v>İnkılap Genel Oynatma Listesi</x:v>
      </x:c>
      <x:c r="N581" s="14" t="str">
        <x:v>https://www.youtube.com/watch?v=MltIX0oKpYU&amp;list=PLsAsBPsriHNbXit4Ra3iuBrk1ZHZWxsOR&amp;index=78</x:v>
      </x:c>
      <x:c r="O581" s="14" t="n">
        <x:v>0</x:v>
      </x:c>
      <x:c r="P581" s="14" t="str">
        <x:v>Hayır</x:v>
      </x:c>
      <x:c r="Q581" s="14" t="str">
        <x:v>Evet</x:v>
      </x:c>
      <x:c r="R581" s="14" t="str">
        <x:v>Planlandı</x:v>
      </x:c>
      <x:c r="S581" s="15" t="str"/>
      <x:c r="T581" s="14" t="str">
        <x:v>İnkılapta okul yazılısı videoları zorunlu değildir.</x:v>
      </x:c>
    </x:row>
    <x:row r="582">
      <x:c r="A582" s="14" t="n">
        <x:v>581</x:v>
      </x:c>
      <x:c r="B582" s="15" t="n">
        <x:v>46342</x:v>
      </x:c>
      <x:c r="C582" s="14" t="str">
        <x:v>Pazartesi</x:v>
      </x:c>
      <x:c r="D582" s="14" t="str">
        <x:v>Okul Tatili</x:v>
      </x:c>
      <x:c r="E582" s="14" t="str">
        <x:v>MEB 1. Dönem Ara Tatili</x:v>
      </x:c>
      <x:c r="F582" s="14" t="str">
        <x:v>F1 - Temel Kurma</x:v>
      </x:c>
      <x:c r="G582" s="14" t="str">
        <x:v>16:35</x:v>
      </x:c>
      <x:c r="H582" s="14" t="str">
        <x:v>17:15</x:v>
      </x:c>
      <x:c r="I582" s="14" t="str">
        <x:v>İnkılap</x:v>
      </x:c>
      <x:c r="J582" s="14" t="str">
        <x:v>Kitap / MEB / Mastery</x:v>
      </x:c>
      <x:c r="K582" s="14" t="str">
        <x:v>I. Dünya Savaşı ve Osmanlı Devleti</x:v>
      </x:c>
      <x:c r="L582" s="14" t="str">
        <x:v>I. Dünya Savaşı ve Osmanlı Devleti için ilgili MEB sorularını TAMAMLA; D/Y/B kaydet. Bu oturum konu mastery gate'idir.</x:v>
      </x:c>
      <x:c r="M582" s="14" t="str">
        <x:v>MEB 8. Sınıf İnkılap Soruları</x:v>
      </x:c>
      <x:c r="N582" s="14" t="str">
        <x:v>https://odsgm.meb.gov.tr/www/8sinif-calisma-sorulari/icerik/1632</x:v>
      </x:c>
      <x:c r="O582" s="14" t="n">
        <x:v>0</x:v>
      </x:c>
      <x:c r="P582" s="14" t="str">
        <x:v>Hayır</x:v>
      </x:c>
      <x:c r="Q582" s="14" t="str">
        <x:v>Evet</x:v>
      </x:c>
      <x:c r="R582" s="14" t="str">
        <x:v>Planlandı</x:v>
      </x:c>
      <x:c r="S582" s="15" t="str"/>
      <x:c r="T582" s="14" t="str">
        <x:v>MEB sonucu Konu_Ustaligi sayfasına işlenir.</x:v>
      </x:c>
    </x:row>
    <x:row r="583">
      <x:c r="A583" s="14" t="n">
        <x:v>582</x:v>
      </x:c>
      <x:c r="B583" s="15" t="n">
        <x:v>46342</x:v>
      </x:c>
      <x:c r="C583" s="14" t="str">
        <x:v>Pazartesi</x:v>
      </x:c>
      <x:c r="D583" s="14" t="str">
        <x:v>Okul Tatili</x:v>
      </x:c>
      <x:c r="E583" s="14" t="str">
        <x:v>MEB 1. Dönem Ara Tatili</x:v>
      </x:c>
      <x:c r="F583" s="14" t="str">
        <x:v>F1 - Temel Kurma</x:v>
      </x:c>
      <x:c r="G583" s="14" t="str">
        <x:v>18:25</x:v>
      </x:c>
      <x:c r="H583" s="14" t="str">
        <x:v>18:45</x:v>
      </x:c>
      <x:c r="I583" s="14" t="str">
        <x:v>Genel</x:v>
      </x:c>
      <x:c r="J583" s="14" t="str">
        <x:v>Yanlış / Boş Analizi</x:v>
      </x:c>
      <x:c r="K583" s="14" t="str">
        <x:v>Günlük</x:v>
      </x:c>
      <x:c r="L583" s="14" t="str">
        <x:v>Bugünkü yanlış/boşları kaydet; çözümünü öğrenmeden kapatma. Hata türünü sınıflandır.</x:v>
      </x:c>
      <x:c r="M583" s="14" t="str">
        <x:v>Yanlış Defteri</x:v>
      </x:c>
      <x:c r="N583" s="14" t="str"/>
      <x:c r="O583" s="14" t="n">
        <x:v>0</x:v>
      </x:c>
      <x:c r="P583" s="14" t="str">
        <x:v>Hayır</x:v>
      </x:c>
      <x:c r="Q583" s="14" t="str">
        <x:v>Evet</x:v>
      </x:c>
      <x:c r="R583" s="14" t="str">
        <x:v>Planlandı</x:v>
      </x:c>
      <x:c r="S583" s="15" t="str"/>
      <x:c r="T583" s="14" t="str"/>
    </x:row>
    <x:row r="584">
      <x:c r="A584" s="14" t="n">
        <x:v>583</x:v>
      </x:c>
      <x:c r="B584" s="15" t="n">
        <x:v>46342</x:v>
      </x:c>
      <x:c r="C584" s="14" t="str">
        <x:v>Pazartesi</x:v>
      </x:c>
      <x:c r="D584" s="14" t="str">
        <x:v>Okul Tatili</x:v>
      </x:c>
      <x:c r="E584" s="14" t="str">
        <x:v>MEB 1. Dönem Ara Tatili</x:v>
      </x:c>
      <x:c r="F584" s="14" t="str">
        <x:v>F1 - Temel Kurma</x:v>
      </x:c>
      <x:c r="G584" s="14" t="str">
        <x:v>18:45</x:v>
      </x:c>
      <x:c r="H584" s="14" t="str">
        <x:v>19:05</x:v>
      </x:c>
      <x:c r="I584" s="14" t="str">
        <x:v>Genel</x:v>
      </x:c>
      <x:c r="J584" s="14" t="str">
        <x:v>Aralıklı Hata Tekrarı</x:v>
      </x:c>
      <x:c r="K584" s="14" t="str">
        <x:v>+1 / +7 / +21</x:v>
      </x:c>
      <x:c r="L584" s="14" t="str">
        <x:v>Bugün vadesi gelen yanlış soruları tekrar çöz. Vadesi yoksa bu süre serbest/okuma olabilir.</x:v>
      </x:c>
      <x:c r="M584" s="14" t="str">
        <x:v>Yanlış Defteri</x:v>
      </x:c>
      <x:c r="N584" s="14" t="str"/>
      <x:c r="O584" s="14" t="n">
        <x:v>0</x:v>
      </x:c>
      <x:c r="P584" s="14" t="str">
        <x:v>Hayır</x:v>
      </x:c>
      <x:c r="Q584" s="14" t="str">
        <x:v>Koşullu</x:v>
      </x:c>
      <x:c r="R584" s="14" t="str">
        <x:v>Planlandı</x:v>
      </x:c>
      <x:c r="S584" s="15" t="str"/>
      <x:c r="T584" s="14" t="str">
        <x:v>Yanlışlar +1, +7 ve +21 gün aralıklarıyla tekrar edilir; hâlâ yanlışsa konu mastery durumu düşürülür.</x:v>
      </x:c>
    </x:row>
    <x:row r="585">
      <x:c r="A585" s="14" t="n">
        <x:v>584</x:v>
      </x:c>
      <x:c r="B585" s="15" t="n">
        <x:v>46342</x:v>
      </x:c>
      <x:c r="C585" s="14" t="str">
        <x:v>Pazartesi</x:v>
      </x:c>
      <x:c r="D585" s="14" t="str">
        <x:v>Okul Tatili</x:v>
      </x:c>
      <x:c r="E585" s="14" t="str">
        <x:v>MEB 1. Dönem Ara Tatili</x:v>
      </x:c>
      <x:c r="F585" s="14" t="str">
        <x:v>F1 - Temel Kurma</x:v>
      </x:c>
      <x:c r="G585" s="14" t="str">
        <x:v>20:00</x:v>
      </x:c>
      <x:c r="H585" s="14" t="str">
        <x:v>20:30</x:v>
      </x:c>
      <x:c r="I585" s="14" t="str">
        <x:v>Okuma</x:v>
      </x:c>
      <x:c r="J585" s="14" t="str">
        <x:v>İsteğe Bağlı</x:v>
      </x:c>
      <x:c r="K585" s="14" t="str">
        <x:v>Serbest Kitap</x:v>
      </x:c>
      <x:c r="L585" s="14" t="str">
        <x:v>Zorunlu çalışmalar bittiyse isteğe bağlı kitap oku.</x:v>
      </x:c>
      <x:c r="M585" s="14" t="str">
        <x:v>Serbest Kitap</x:v>
      </x:c>
      <x:c r="N585" s="14" t="str"/>
      <x:c r="O585" s="14" t="n">
        <x:v>0</x:v>
      </x:c>
      <x:c r="P585" s="14" t="str">
        <x:v>İsteğe Bağlı</x:v>
      </x:c>
      <x:c r="Q585" s="14" t="str">
        <x:v>Hayır</x:v>
      </x:c>
      <x:c r="R585" s="14" t="str">
        <x:v>Planlandı</x:v>
      </x:c>
      <x:c r="S585" s="15" t="str"/>
      <x:c r="T585" s="14" t="str">
        <x:v>Minimum süre yok.</x:v>
      </x:c>
    </x:row>
    <x:row r="586">
      <x:c r="A586" s="14" t="n">
        <x:v>585</x:v>
      </x:c>
      <x:c r="B586" s="15" t="n">
        <x:v>46342</x:v>
      </x:c>
      <x:c r="C586" s="14" t="str">
        <x:v>Pazartesi</x:v>
      </x:c>
      <x:c r="D586" s="14" t="str">
        <x:v>Okul Tatili</x:v>
      </x:c>
      <x:c r="E586" s="14" t="str">
        <x:v>MEB 1. Dönem Ara Tatili</x:v>
      </x:c>
      <x:c r="F586" s="14" t="str">
        <x:v>F1 - Temel Kurma</x:v>
      </x:c>
      <x:c r="G586" s="14" t="str">
        <x:v>21:50</x:v>
      </x:c>
      <x:c r="H586" s="14" t="str">
        <x:v>22:00</x:v>
      </x:c>
      <x:c r="I586" s="14" t="str">
        <x:v>Genel</x:v>
      </x:c>
      <x:c r="J586" s="14" t="str">
        <x:v>Uyku Hazırlığı</x:v>
      </x:c>
      <x:c r="K586" s="14" t="str"/>
      <x:c r="L586" s="14" t="str">
        <x:v>22:00'de yatakta ve uyku.</x:v>
      </x:c>
      <x:c r="M586" s="14" t="str"/>
      <x:c r="N586" s="14" t="str"/>
      <x:c r="O586" s="14" t="n">
        <x:v>0</x:v>
      </x:c>
      <x:c r="P586" s="14" t="str">
        <x:v>Hayır</x:v>
      </x:c>
      <x:c r="Q586" s="14" t="str">
        <x:v>Hayır</x:v>
      </x:c>
      <x:c r="R586" s="14" t="str">
        <x:v>Planlandı</x:v>
      </x:c>
      <x:c r="S586" s="15" t="str"/>
      <x:c r="T586" s="14" t="str"/>
    </x:row>
    <x:row r="587">
      <x:c r="A587" s="14" t="n">
        <x:v>586</x:v>
      </x:c>
      <x:c r="B587" s="15" t="n">
        <x:v>46343</x:v>
      </x:c>
      <x:c r="C587" s="14" t="str">
        <x:v>Salı</x:v>
      </x:c>
      <x:c r="D587" s="14" t="str">
        <x:v>Okul Tatili</x:v>
      </x:c>
      <x:c r="E587" s="14" t="str">
        <x:v>MEB 1. Dönem Ara Tatili</x:v>
      </x:c>
      <x:c r="F587" s="14" t="str">
        <x:v>F1 - Temel Kurma</x:v>
      </x:c>
      <x:c r="G587" s="14" t="str">
        <x:v>09:30</x:v>
      </x:c>
      <x:c r="H587" s="14" t="str">
        <x:v>10:15</x:v>
      </x:c>
      <x:c r="I587" s="14" t="str">
        <x:v>Matematik</x:v>
      </x:c>
      <x:c r="J587" s="14" t="str">
        <x:v>Konu / Tekrar</x:v>
      </x:c>
      <x:c r="K587" s="14" t="str">
        <x:v>Köklü Sayılar Altyapısı</x:v>
      </x:c>
      <x:c r="L587" s="14" t="str">
        <x:v>Köklü Sayılar Altyapısı — genel oynatma listesinden ilgili videoyu izle (2/5).</x:v>
      </x:c>
      <x:c r="M587" s="14" t="str">
        <x:v>Matematik Ana Oynatma Listesi</x:v>
      </x:c>
      <x:c r="N587" s="14" t="str">
        <x:v>https://www.youtube.com/watch?v=EuJ89QzqrAg&amp;list=PLicNtF7vp6fnfDqrRLH6H7fIbzYT4ct4F&amp;index=11</x:v>
      </x:c>
      <x:c r="O587" s="14" t="n">
        <x:v>0</x:v>
      </x:c>
      <x:c r="P587" s="14" t="str">
        <x:v>Hayır</x:v>
      </x:c>
      <x:c r="Q587" s="14" t="str">
        <x:v>Evet</x:v>
      </x:c>
      <x:c r="R587" s="14" t="str">
        <x:v>Planlandı</x:v>
      </x:c>
      <x:c r="S587" s="15" t="str"/>
      <x:c r="T587" s="14" t="str">
        <x:v>Yeni konu ancak plan sırasıyla açılır; LGS dışı ileri TYT içeriği zorunlu değildir.</x:v>
      </x:c>
    </x:row>
    <x:row r="588">
      <x:c r="A588" s="14" t="n">
        <x:v>587</x:v>
      </x:c>
      <x:c r="B588" s="15" t="n">
        <x:v>46343</x:v>
      </x:c>
      <x:c r="C588" s="14" t="str">
        <x:v>Salı</x:v>
      </x:c>
      <x:c r="D588" s="14" t="str">
        <x:v>Okul Tatili</x:v>
      </x:c>
      <x:c r="E588" s="14" t="str">
        <x:v>MEB 1. Dönem Ara Tatili</x:v>
      </x:c>
      <x:c r="F588" s="14" t="str">
        <x:v>F1 - Temel Kurma</x:v>
      </x:c>
      <x:c r="G588" s="14" t="str">
        <x:v>10:25</x:v>
      </x:c>
      <x:c r="H588" s="14" t="str">
        <x:v>11:15</x:v>
      </x:c>
      <x:c r="I588" s="14" t="str">
        <x:v>Matematik</x:v>
      </x:c>
      <x:c r="J588" s="14" t="str">
        <x:v>Kitap / MEB / Mastery</x:v>
      </x:c>
      <x:c r="K588" s="14" t="str">
        <x:v>Köklü Sayılar Altyapısı</x:v>
      </x:c>
      <x:c r="L588" s="14" t="str">
        <x:v>Köklü Sayılar Altyapısı ile ilgili soru kitabından en az 20 soru / bugünkü test payını çöz.</x:v>
      </x:c>
      <x:c r="M588" s="14" t="str">
        <x:v>MUBA 8. Sınıf Başlangıç Matematik (ISBN 9789756526972) (eşleşen bölüm) + MEB temel destek</x:v>
      </x:c>
      <x:c r="N588" s="14" t="str">
        <x:v>https://odsgm.meb.gov.tr/www/5-6-7-ve-9-sinif-duzeylerinde-calisma-sorulari-yayimlandi/icerik/775</x:v>
      </x:c>
      <x:c r="O588" s="14" t="n">
        <x:v>20</x:v>
      </x:c>
      <x:c r="P588" s="14" t="str">
        <x:v>İlk 20 soru</x:v>
      </x:c>
      <x:c r="Q588" s="14" t="str">
        <x:v>Evet</x:v>
      </x:c>
      <x:c r="R588" s="14" t="str">
        <x:v>Planlandı</x:v>
      </x:c>
      <x:c r="S588" s="15" t="str"/>
      <x:c r="T588" s="14" t="str">
        <x:v>Ayrı/rastgele matematik benchmark yoktur. Süreli ilk 20 soru o gün çalışılan konunun içindedir.</x:v>
      </x:c>
    </x:row>
    <x:row r="589">
      <x:c r="A589" s="14" t="n">
        <x:v>588</x:v>
      </x:c>
      <x:c r="B589" s="15" t="n">
        <x:v>46343</x:v>
      </x:c>
      <x:c r="C589" s="14" t="str">
        <x:v>Salı</x:v>
      </x:c>
      <x:c r="D589" s="14" t="str">
        <x:v>Okul Tatili</x:v>
      </x:c>
      <x:c r="E589" s="14" t="str">
        <x:v>MEB 1. Dönem Ara Tatili</x:v>
      </x:c>
      <x:c r="F589" s="14" t="str">
        <x:v>F1 - Temel Kurma</x:v>
      </x:c>
      <x:c r="G589" s="14" t="str">
        <x:v>12:00</x:v>
      </x:c>
      <x:c r="H589" s="14" t="str">
        <x:v>14:00</x:v>
      </x:c>
      <x:c r="I589" s="14" t="str">
        <x:v>Genel</x:v>
      </x:c>
      <x:c r="J589" s="14" t="str">
        <x:v>Yemek / Serbest Zaman</x:v>
      </x:c>
      <x:c r="K589" s="14" t="str"/>
      <x:c r="L589" s="14" t="str">
        <x:v>Yemek, hareket ve dinlenme.</x:v>
      </x:c>
      <x:c r="M589" s="14" t="str"/>
      <x:c r="N589" s="14" t="str"/>
      <x:c r="O589" s="14" t="n">
        <x:v>0</x:v>
      </x:c>
      <x:c r="P589" s="14" t="str">
        <x:v>Hayır</x:v>
      </x:c>
      <x:c r="Q589" s="14" t="str">
        <x:v>Hayır</x:v>
      </x:c>
      <x:c r="R589" s="14" t="str">
        <x:v>Planlandı</x:v>
      </x:c>
      <x:c r="S589" s="15" t="str"/>
      <x:c r="T589" s="14" t="str"/>
    </x:row>
    <x:row r="590">
      <x:c r="A590" s="14" t="n">
        <x:v>589</x:v>
      </x:c>
      <x:c r="B590" s="15" t="n">
        <x:v>46343</x:v>
      </x:c>
      <x:c r="C590" s="14" t="str">
        <x:v>Salı</x:v>
      </x:c>
      <x:c r="D590" s="14" t="str">
        <x:v>Okul Tatili</x:v>
      </x:c>
      <x:c r="E590" s="14" t="str">
        <x:v>MEB 1. Dönem Ara Tatili</x:v>
      </x:c>
      <x:c r="F590" s="14" t="str">
        <x:v>F1 - Temel Kurma</x:v>
      </x:c>
      <x:c r="G590" s="14" t="str">
        <x:v>11:25</x:v>
      </x:c>
      <x:c r="H590" s="14" t="str">
        <x:v>11:55</x:v>
      </x:c>
      <x:c r="I590" s="14" t="str">
        <x:v>Türkçe</x:v>
      </x:c>
      <x:c r="J590" s="14" t="str">
        <x:v>Paragraf Rutini</x:v>
      </x:c>
      <x:c r="K590" s="14" t="str">
        <x:v>Paragraf</x:v>
      </x:c>
      <x:c r="L590" s="14" t="str">
        <x:v>En az 20 paragraf sorusu çöz; ilk 20 soruyu ileri sayımla ölç, D/Y/B + süre kaydet.</x:v>
      </x:c>
      <x:c r="M590" s="14" t="str">
        <x:v>Hız 8. Sınıf Türkçe Paragraf (ISBN 9786258394498)</x:v>
      </x:c>
      <x:c r="N590" s="14" t="str"/>
      <x:c r="O590" s="14" t="n">
        <x:v>20</x:v>
      </x:c>
      <x:c r="P590" s="14" t="str">
        <x:v>İlk 20 soru</x:v>
      </x:c>
      <x:c r="Q590" s="14" t="str">
        <x:v>Evet</x:v>
      </x:c>
      <x:c r="R590" s="14" t="str">
        <x:v>Planlandı</x:v>
      </x:c>
      <x:c r="S590" s="15" t="str"/>
      <x:c r="T590" s="14" t="str">
        <x:v>Geri sayım ve hedef süre yok.</x:v>
      </x:c>
    </x:row>
    <x:row r="591">
      <x:c r="A591" s="14" t="n">
        <x:v>590</x:v>
      </x:c>
      <x:c r="B591" s="15" t="n">
        <x:v>46343</x:v>
      </x:c>
      <x:c r="C591" s="14" t="str">
        <x:v>Salı</x:v>
      </x:c>
      <x:c r="D591" s="14" t="str">
        <x:v>Okul Tatili</x:v>
      </x:c>
      <x:c r="E591" s="14" t="str">
        <x:v>MEB 1. Dönem Ara Tatili</x:v>
      </x:c>
      <x:c r="F591" s="14" t="str">
        <x:v>F1 - Temel Kurma</x:v>
      </x:c>
      <x:c r="G591" s="14" t="str">
        <x:v>14:00</x:v>
      </x:c>
      <x:c r="H591" s="14" t="str">
        <x:v>14:40</x:v>
      </x:c>
      <x:c r="I591" s="14" t="str">
        <x:v>Türkçe</x:v>
      </x:c>
      <x:c r="J591" s="14" t="str">
        <x:v>Konu / Tekrar</x:v>
      </x:c>
      <x:c r="K591" s="14" t="str">
        <x:v>Sıfatlar</x:v>
      </x:c>
      <x:c r="L591" s="14" t="str">
        <x:v>Sıfatlar — genel oynatma listesinden ilgili videoyu izle (2/3).</x:v>
      </x:c>
      <x:c r="M591" s="14" t="str">
        <x:v>Türkçe Ana Oynatma Listesi</x:v>
      </x:c>
      <x:c r="N591" s="14" t="str">
        <x:v>https://www.youtube.com/watch?v=VYsPntNKVdw&amp;list=PLIBjFaUoJJ91bz7QQEBlxNJNZka5YQRr6</x:v>
      </x:c>
      <x:c r="O591" s="14" t="n">
        <x:v>0</x:v>
      </x:c>
      <x:c r="P591" s="14" t="str">
        <x:v>Hayır</x:v>
      </x:c>
      <x:c r="Q591" s="14" t="str">
        <x:v>Evet</x:v>
      </x:c>
      <x:c r="R591" s="14" t="str">
        <x:v>Planlandı</x:v>
      </x:c>
      <x:c r="S591" s="15" t="str"/>
      <x:c r="T591" s="14" t="str">
        <x:v>TYT etiketli kaynak temelden başlamak için sabittir; LGS dışı gereksiz ayrıntı zorunlu değildir.</x:v>
      </x:c>
    </x:row>
    <x:row r="592">
      <x:c r="A592" s="14" t="n">
        <x:v>591</x:v>
      </x:c>
      <x:c r="B592" s="15" t="n">
        <x:v>46343</x:v>
      </x:c>
      <x:c r="C592" s="14" t="str">
        <x:v>Salı</x:v>
      </x:c>
      <x:c r="D592" s="14" t="str">
        <x:v>Okul Tatili</x:v>
      </x:c>
      <x:c r="E592" s="14" t="str">
        <x:v>MEB 1. Dönem Ara Tatili</x:v>
      </x:c>
      <x:c r="F592" s="14" t="str">
        <x:v>F1 - Temel Kurma</x:v>
      </x:c>
      <x:c r="G592" s="14" t="str">
        <x:v>14:50</x:v>
      </x:c>
      <x:c r="H592" s="14" t="str">
        <x:v>15:30</x:v>
      </x:c>
      <x:c r="I592" s="14" t="str">
        <x:v>Türkçe</x:v>
      </x:c>
      <x:c r="J592" s="14" t="str">
        <x:v>Kitap / MEB / Mastery</x:v>
      </x:c>
      <x:c r="K592" s="14" t="str">
        <x:v>Sıfatlar</x:v>
      </x:c>
      <x:c r="L592" s="14" t="str">
        <x:v>Sıfatlar ile ilgili soru kitabından en az 10 soru / bugünkü test payını çöz.</x:v>
      </x:c>
      <x:c r="M592" s="14" t="str">
        <x:v>Ankara 8. Sınıf Dil Bilgisi Güçlendiren (eşleşen bölüm) + MEB temel destek</x:v>
      </x:c>
      <x:c r="N592" s="14" t="str">
        <x:v>https://odsgm.meb.gov.tr/www/5-6-7-ve-9-sinif-duzeylerinde-calisma-sorulari-yayimlandi/icerik/775</x:v>
      </x:c>
      <x:c r="O592" s="14" t="n">
        <x:v>10</x:v>
      </x:c>
      <x:c r="P592" s="14" t="str">
        <x:v>Hayır</x:v>
      </x:c>
      <x:c r="Q592" s="14" t="str">
        <x:v>Evet</x:v>
      </x:c>
      <x:c r="R592" s="14" t="str">
        <x:v>Planlandı</x:v>
      </x:c>
      <x:c r="S592" s="15" t="str"/>
      <x:c r="T592" s="14" t="str"/>
    </x:row>
    <x:row r="593">
      <x:c r="A593" s="14" t="n">
        <x:v>592</x:v>
      </x:c>
      <x:c r="B593" s="15" t="n">
        <x:v>46343</x:v>
      </x:c>
      <x:c r="C593" s="14" t="str">
        <x:v>Salı</x:v>
      </x:c>
      <x:c r="D593" s="14" t="str">
        <x:v>Okul Tatili</x:v>
      </x:c>
      <x:c r="E593" s="14" t="str">
        <x:v>MEB 1. Dönem Ara Tatili</x:v>
      </x:c>
      <x:c r="F593" s="14" t="str">
        <x:v>F1 - Temel Kurma</x:v>
      </x:c>
      <x:c r="G593" s="14" t="str">
        <x:v>15:45</x:v>
      </x:c>
      <x:c r="H593" s="14" t="str">
        <x:v>16:25</x:v>
      </x:c>
      <x:c r="I593" s="14" t="str">
        <x:v>İngilizce</x:v>
      </x:c>
      <x:c r="J593" s="14" t="str">
        <x:v>Konu / Tekrar</x:v>
      </x:c>
      <x:c r="K593" s="14" t="str">
        <x:v>Unit 3 - In The Kitchen</x:v>
      </x:c>
      <x:c r="L593" s="14" t="str">
        <x:v>Unit 3 - In The Kitchen — MEB doğrulaması öncesi 5-10 dk aktif hatırlama; gerekiyorsa ilgili playlist videosuna kısa dönüş yap.</x:v>
      </x:c>
      <x:c r="M593" s="14" t="str">
        <x:v>İngilizce Genel Oynatma Listesi</x:v>
      </x:c>
      <x:c r="N593" s="14" t="str">
        <x:v>https://www.youtube.com/watch?v=FaY3dFjZbns&amp;list=PLSgpQDrUSYp94WgE9pzpHiOG5FwxnZBrr</x:v>
      </x:c>
      <x:c r="O593" s="14" t="n">
        <x:v>0</x:v>
      </x:c>
      <x:c r="P593" s="14" t="str">
        <x:v>Hayır</x:v>
      </x:c>
      <x:c r="Q593" s="14" t="str">
        <x:v>Evet</x:v>
      </x:c>
      <x:c r="R593" s="14" t="str">
        <x:v>Planlandı</x:v>
      </x:c>
      <x:c r="S593" s="15" t="str"/>
      <x:c r="T593" s="14" t="str"/>
    </x:row>
    <x:row r="594">
      <x:c r="A594" s="14" t="n">
        <x:v>593</x:v>
      </x:c>
      <x:c r="B594" s="15" t="n">
        <x:v>46343</x:v>
      </x:c>
      <x:c r="C594" s="14" t="str">
        <x:v>Salı</x:v>
      </x:c>
      <x:c r="D594" s="14" t="str">
        <x:v>Okul Tatili</x:v>
      </x:c>
      <x:c r="E594" s="14" t="str">
        <x:v>MEB 1. Dönem Ara Tatili</x:v>
      </x:c>
      <x:c r="F594" s="14" t="str">
        <x:v>F1 - Temel Kurma</x:v>
      </x:c>
      <x:c r="G594" s="14" t="str">
        <x:v>16:35</x:v>
      </x:c>
      <x:c r="H594" s="14" t="str">
        <x:v>17:15</x:v>
      </x:c>
      <x:c r="I594" s="14" t="str">
        <x:v>İngilizce</x:v>
      </x:c>
      <x:c r="J594" s="14" t="str">
        <x:v>Kitap / MEB / Mastery</x:v>
      </x:c>
      <x:c r="K594" s="14" t="str">
        <x:v>Unit 3 - In The Kitchen</x:v>
      </x:c>
      <x:c r="L594" s="14" t="str">
        <x:v>Unit 3 - In The Kitchen için ilgili MEB sorularını TAMAMLA; D/Y/B kaydet. Bu oturum konu mastery gate'idir.</x:v>
      </x:c>
      <x:c r="M594" s="14" t="str">
        <x:v>MEB 8. Sınıf İngilizce Soruları</x:v>
      </x:c>
      <x:c r="N594" s="14" t="str">
        <x:v>https://odsgm.meb.gov.tr/www/8sinif-calisma-sorulari/icerik/1632</x:v>
      </x:c>
      <x:c r="O594" s="14" t="n">
        <x:v>0</x:v>
      </x:c>
      <x:c r="P594" s="14" t="str">
        <x:v>Hayır</x:v>
      </x:c>
      <x:c r="Q594" s="14" t="str">
        <x:v>Evet</x:v>
      </x:c>
      <x:c r="R594" s="14" t="str">
        <x:v>Planlandı</x:v>
      </x:c>
      <x:c r="S594" s="15" t="str"/>
      <x:c r="T594" s="14" t="str">
        <x:v>MEB sonucu Konu_Ustaligi sayfasına işlenir.</x:v>
      </x:c>
    </x:row>
    <x:row r="595">
      <x:c r="A595" s="14" t="n">
        <x:v>594</x:v>
      </x:c>
      <x:c r="B595" s="15" t="n">
        <x:v>46343</x:v>
      </x:c>
      <x:c r="C595" s="14" t="str">
        <x:v>Salı</x:v>
      </x:c>
      <x:c r="D595" s="14" t="str">
        <x:v>Okul Tatili</x:v>
      </x:c>
      <x:c r="E595" s="14" t="str">
        <x:v>MEB 1. Dönem Ara Tatili</x:v>
      </x:c>
      <x:c r="F595" s="14" t="str">
        <x:v>F1 - Temel Kurma</x:v>
      </x:c>
      <x:c r="G595" s="14" t="str">
        <x:v>18:25</x:v>
      </x:c>
      <x:c r="H595" s="14" t="str">
        <x:v>18:45</x:v>
      </x:c>
      <x:c r="I595" s="14" t="str">
        <x:v>Genel</x:v>
      </x:c>
      <x:c r="J595" s="14" t="str">
        <x:v>Yanlış / Boş Analizi</x:v>
      </x:c>
      <x:c r="K595" s="14" t="str">
        <x:v>Günlük</x:v>
      </x:c>
      <x:c r="L595" s="14" t="str">
        <x:v>Bugünkü yanlış/boşları kaydet; çözümünü öğrenmeden kapatma. Hata türünü sınıflandır.</x:v>
      </x:c>
      <x:c r="M595" s="14" t="str">
        <x:v>Yanlış Defteri</x:v>
      </x:c>
      <x:c r="N595" s="14" t="str"/>
      <x:c r="O595" s="14" t="n">
        <x:v>0</x:v>
      </x:c>
      <x:c r="P595" s="14" t="str">
        <x:v>Hayır</x:v>
      </x:c>
      <x:c r="Q595" s="14" t="str">
        <x:v>Evet</x:v>
      </x:c>
      <x:c r="R595" s="14" t="str">
        <x:v>Planlandı</x:v>
      </x:c>
      <x:c r="S595" s="15" t="str"/>
      <x:c r="T595" s="14" t="str"/>
    </x:row>
    <x:row r="596">
      <x:c r="A596" s="14" t="n">
        <x:v>595</x:v>
      </x:c>
      <x:c r="B596" s="15" t="n">
        <x:v>46343</x:v>
      </x:c>
      <x:c r="C596" s="14" t="str">
        <x:v>Salı</x:v>
      </x:c>
      <x:c r="D596" s="14" t="str">
        <x:v>Okul Tatili</x:v>
      </x:c>
      <x:c r="E596" s="14" t="str">
        <x:v>MEB 1. Dönem Ara Tatili</x:v>
      </x:c>
      <x:c r="F596" s="14" t="str">
        <x:v>F1 - Temel Kurma</x:v>
      </x:c>
      <x:c r="G596" s="14" t="str">
        <x:v>18:45</x:v>
      </x:c>
      <x:c r="H596" s="14" t="str">
        <x:v>19:05</x:v>
      </x:c>
      <x:c r="I596" s="14" t="str">
        <x:v>Genel</x:v>
      </x:c>
      <x:c r="J596" s="14" t="str">
        <x:v>Aralıklı Hata Tekrarı</x:v>
      </x:c>
      <x:c r="K596" s="14" t="str">
        <x:v>+1 / +7 / +21</x:v>
      </x:c>
      <x:c r="L596" s="14" t="str">
        <x:v>Bugün vadesi gelen yanlış soruları tekrar çöz. Vadesi yoksa bu süre serbest/okuma olabilir.</x:v>
      </x:c>
      <x:c r="M596" s="14" t="str">
        <x:v>Yanlış Defteri</x:v>
      </x:c>
      <x:c r="N596" s="14" t="str"/>
      <x:c r="O596" s="14" t="n">
        <x:v>0</x:v>
      </x:c>
      <x:c r="P596" s="14" t="str">
        <x:v>Hayır</x:v>
      </x:c>
      <x:c r="Q596" s="14" t="str">
        <x:v>Koşullu</x:v>
      </x:c>
      <x:c r="R596" s="14" t="str">
        <x:v>Planlandı</x:v>
      </x:c>
      <x:c r="S596" s="15" t="str"/>
      <x:c r="T596" s="14" t="str">
        <x:v>Yanlışlar +1, +7 ve +21 gün aralıklarıyla tekrar edilir; hâlâ yanlışsa konu mastery durumu düşürülür.</x:v>
      </x:c>
    </x:row>
    <x:row r="597">
      <x:c r="A597" s="14" t="n">
        <x:v>596</x:v>
      </x:c>
      <x:c r="B597" s="15" t="n">
        <x:v>46343</x:v>
      </x:c>
      <x:c r="C597" s="14" t="str">
        <x:v>Salı</x:v>
      </x:c>
      <x:c r="D597" s="14" t="str">
        <x:v>Okul Tatili</x:v>
      </x:c>
      <x:c r="E597" s="14" t="str">
        <x:v>MEB 1. Dönem Ara Tatili</x:v>
      </x:c>
      <x:c r="F597" s="14" t="str">
        <x:v>F1 - Temel Kurma</x:v>
      </x:c>
      <x:c r="G597" s="14" t="str">
        <x:v>20:00</x:v>
      </x:c>
      <x:c r="H597" s="14" t="str">
        <x:v>20:30</x:v>
      </x:c>
      <x:c r="I597" s="14" t="str">
        <x:v>Okuma</x:v>
      </x:c>
      <x:c r="J597" s="14" t="str">
        <x:v>İsteğe Bağlı</x:v>
      </x:c>
      <x:c r="K597" s="14" t="str">
        <x:v>Serbest Kitap</x:v>
      </x:c>
      <x:c r="L597" s="14" t="str">
        <x:v>Zorunlu çalışmalar bittiyse isteğe bağlı kitap oku.</x:v>
      </x:c>
      <x:c r="M597" s="14" t="str">
        <x:v>Serbest Kitap</x:v>
      </x:c>
      <x:c r="N597" s="14" t="str"/>
      <x:c r="O597" s="14" t="n">
        <x:v>0</x:v>
      </x:c>
      <x:c r="P597" s="14" t="str">
        <x:v>İsteğe Bağlı</x:v>
      </x:c>
      <x:c r="Q597" s="14" t="str">
        <x:v>Hayır</x:v>
      </x:c>
      <x:c r="R597" s="14" t="str">
        <x:v>Planlandı</x:v>
      </x:c>
      <x:c r="S597" s="15" t="str"/>
      <x:c r="T597" s="14" t="str">
        <x:v>Minimum süre yok.</x:v>
      </x:c>
    </x:row>
    <x:row r="598">
      <x:c r="A598" s="14" t="n">
        <x:v>597</x:v>
      </x:c>
      <x:c r="B598" s="15" t="n">
        <x:v>46343</x:v>
      </x:c>
      <x:c r="C598" s="14" t="str">
        <x:v>Salı</x:v>
      </x:c>
      <x:c r="D598" s="14" t="str">
        <x:v>Okul Tatili</x:v>
      </x:c>
      <x:c r="E598" s="14" t="str">
        <x:v>MEB 1. Dönem Ara Tatili</x:v>
      </x:c>
      <x:c r="F598" s="14" t="str">
        <x:v>F1 - Temel Kurma</x:v>
      </x:c>
      <x:c r="G598" s="14" t="str">
        <x:v>21:50</x:v>
      </x:c>
      <x:c r="H598" s="14" t="str">
        <x:v>22:00</x:v>
      </x:c>
      <x:c r="I598" s="14" t="str">
        <x:v>Genel</x:v>
      </x:c>
      <x:c r="J598" s="14" t="str">
        <x:v>Uyku Hazırlığı</x:v>
      </x:c>
      <x:c r="K598" s="14" t="str"/>
      <x:c r="L598" s="14" t="str">
        <x:v>22:00'de yatakta ve uyku.</x:v>
      </x:c>
      <x:c r="M598" s="14" t="str"/>
      <x:c r="N598" s="14" t="str"/>
      <x:c r="O598" s="14" t="n">
        <x:v>0</x:v>
      </x:c>
      <x:c r="P598" s="14" t="str">
        <x:v>Hayır</x:v>
      </x:c>
      <x:c r="Q598" s="14" t="str">
        <x:v>Hayır</x:v>
      </x:c>
      <x:c r="R598" s="14" t="str">
        <x:v>Planlandı</x:v>
      </x:c>
      <x:c r="S598" s="15" t="str"/>
      <x:c r="T598" s="14" t="str"/>
    </x:row>
    <x:row r="599">
      <x:c r="A599" s="14" t="n">
        <x:v>598</x:v>
      </x:c>
      <x:c r="B599" s="15" t="n">
        <x:v>46344</x:v>
      </x:c>
      <x:c r="C599" s="14" t="str">
        <x:v>Çarşamba</x:v>
      </x:c>
      <x:c r="D599" s="14" t="str">
        <x:v>Okul Tatili</x:v>
      </x:c>
      <x:c r="E599" s="14" t="str">
        <x:v>MEB 1. Dönem Ara Tatili</x:v>
      </x:c>
      <x:c r="F599" s="14" t="str">
        <x:v>F1 - Temel Kurma</x:v>
      </x:c>
      <x:c r="G599" s="14" t="str">
        <x:v>09:30</x:v>
      </x:c>
      <x:c r="H599" s="14" t="str">
        <x:v>10:15</x:v>
      </x:c>
      <x:c r="I599" s="14" t="str">
        <x:v>Matematik</x:v>
      </x:c>
      <x:c r="J599" s="14" t="str">
        <x:v>Konu / Tekrar</x:v>
      </x:c>
      <x:c r="K599" s="14" t="str">
        <x:v>Köklü Sayılar Altyapısı</x:v>
      </x:c>
      <x:c r="L599" s="14" t="str">
        <x:v>Köklü Sayılar Altyapısı — genel oynatma listesinden ilgili videoyu izle (3/5).</x:v>
      </x:c>
      <x:c r="M599" s="14" t="str">
        <x:v>Matematik Ana Oynatma Listesi</x:v>
      </x:c>
      <x:c r="N599" s="14" t="str">
        <x:v>https://www.youtube.com/watch?v=EuJ89QzqrAg&amp;list=PLicNtF7vp6fnfDqrRLH6H7fIbzYT4ct4F&amp;index=11</x:v>
      </x:c>
      <x:c r="O599" s="14" t="n">
        <x:v>0</x:v>
      </x:c>
      <x:c r="P599" s="14" t="str">
        <x:v>Hayır</x:v>
      </x:c>
      <x:c r="Q599" s="14" t="str">
        <x:v>Evet</x:v>
      </x:c>
      <x:c r="R599" s="14" t="str">
        <x:v>Planlandı</x:v>
      </x:c>
      <x:c r="S599" s="15" t="str"/>
      <x:c r="T599" s="14" t="str">
        <x:v>Yeni konu ancak plan sırasıyla açılır; LGS dışı ileri TYT içeriği zorunlu değildir.</x:v>
      </x:c>
    </x:row>
    <x:row r="600">
      <x:c r="A600" s="14" t="n">
        <x:v>599</x:v>
      </x:c>
      <x:c r="B600" s="15" t="n">
        <x:v>46344</x:v>
      </x:c>
      <x:c r="C600" s="14" t="str">
        <x:v>Çarşamba</x:v>
      </x:c>
      <x:c r="D600" s="14" t="str">
        <x:v>Okul Tatili</x:v>
      </x:c>
      <x:c r="E600" s="14" t="str">
        <x:v>MEB 1. Dönem Ara Tatili</x:v>
      </x:c>
      <x:c r="F600" s="14" t="str">
        <x:v>F1 - Temel Kurma</x:v>
      </x:c>
      <x:c r="G600" s="14" t="str">
        <x:v>10:25</x:v>
      </x:c>
      <x:c r="H600" s="14" t="str">
        <x:v>11:15</x:v>
      </x:c>
      <x:c r="I600" s="14" t="str">
        <x:v>Matematik</x:v>
      </x:c>
      <x:c r="J600" s="14" t="str">
        <x:v>Kitap / MEB / Mastery</x:v>
      </x:c>
      <x:c r="K600" s="14" t="str">
        <x:v>Köklü Sayılar Altyapısı</x:v>
      </x:c>
      <x:c r="L600" s="14" t="str">
        <x:v>Köklü Sayılar Altyapısı ile ilgili soru kitabından en az 20 soru / bugünkü test payını çöz.</x:v>
      </x:c>
      <x:c r="M600" s="14" t="str">
        <x:v>MUBA 8. Sınıf Başlangıç Matematik (ISBN 9789756526972) (eşleşen bölüm) + MEB temel destek</x:v>
      </x:c>
      <x:c r="N600" s="14" t="str">
        <x:v>https://odsgm.meb.gov.tr/www/5-6-7-ve-9-sinif-duzeylerinde-calisma-sorulari-yayimlandi/icerik/775</x:v>
      </x:c>
      <x:c r="O600" s="14" t="n">
        <x:v>20</x:v>
      </x:c>
      <x:c r="P600" s="14" t="str">
        <x:v>İlk 20 soru</x:v>
      </x:c>
      <x:c r="Q600" s="14" t="str">
        <x:v>Evet</x:v>
      </x:c>
      <x:c r="R600" s="14" t="str">
        <x:v>Planlandı</x:v>
      </x:c>
      <x:c r="S600" s="15" t="str"/>
      <x:c r="T600" s="14" t="str">
        <x:v>Ayrı/rastgele matematik benchmark yoktur. Süreli ilk 20 soru o gün çalışılan konunun içindedir.</x:v>
      </x:c>
    </x:row>
    <x:row r="601">
      <x:c r="A601" s="14" t="n">
        <x:v>600</x:v>
      </x:c>
      <x:c r="B601" s="15" t="n">
        <x:v>46344</x:v>
      </x:c>
      <x:c r="C601" s="14" t="str">
        <x:v>Çarşamba</x:v>
      </x:c>
      <x:c r="D601" s="14" t="str">
        <x:v>Okul Tatili</x:v>
      </x:c>
      <x:c r="E601" s="14" t="str">
        <x:v>MEB 1. Dönem Ara Tatili</x:v>
      </x:c>
      <x:c r="F601" s="14" t="str">
        <x:v>F1 - Temel Kurma</x:v>
      </x:c>
      <x:c r="G601" s="14" t="str">
        <x:v>12:00</x:v>
      </x:c>
      <x:c r="H601" s="14" t="str">
        <x:v>14:00</x:v>
      </x:c>
      <x:c r="I601" s="14" t="str">
        <x:v>Genel</x:v>
      </x:c>
      <x:c r="J601" s="14" t="str">
        <x:v>Yemek / Serbest Zaman</x:v>
      </x:c>
      <x:c r="K601" s="14" t="str"/>
      <x:c r="L601" s="14" t="str">
        <x:v>Yemek, hareket ve dinlenme.</x:v>
      </x:c>
      <x:c r="M601" s="14" t="str"/>
      <x:c r="N601" s="14" t="str"/>
      <x:c r="O601" s="14" t="n">
        <x:v>0</x:v>
      </x:c>
      <x:c r="P601" s="14" t="str">
        <x:v>Hayır</x:v>
      </x:c>
      <x:c r="Q601" s="14" t="str">
        <x:v>Hayır</x:v>
      </x:c>
      <x:c r="R601" s="14" t="str">
        <x:v>Planlandı</x:v>
      </x:c>
      <x:c r="S601" s="15" t="str"/>
      <x:c r="T601" s="14" t="str"/>
    </x:row>
    <x:row r="602">
      <x:c r="A602" s="14" t="n">
        <x:v>601</x:v>
      </x:c>
      <x:c r="B602" s="15" t="n">
        <x:v>46344</x:v>
      </x:c>
      <x:c r="C602" s="14" t="str">
        <x:v>Çarşamba</x:v>
      </x:c>
      <x:c r="D602" s="14" t="str">
        <x:v>Okul Tatili</x:v>
      </x:c>
      <x:c r="E602" s="14" t="str">
        <x:v>MEB 1. Dönem Ara Tatili</x:v>
      </x:c>
      <x:c r="F602" s="14" t="str">
        <x:v>F1 - Temel Kurma</x:v>
      </x:c>
      <x:c r="G602" s="14" t="str">
        <x:v>11:25</x:v>
      </x:c>
      <x:c r="H602" s="14" t="str">
        <x:v>11:55</x:v>
      </x:c>
      <x:c r="I602" s="14" t="str">
        <x:v>Türkçe</x:v>
      </x:c>
      <x:c r="J602" s="14" t="str">
        <x:v>Paragraf Rutini</x:v>
      </x:c>
      <x:c r="K602" s="14" t="str">
        <x:v>Paragraf</x:v>
      </x:c>
      <x:c r="L602" s="14" t="str">
        <x:v>En az 20 paragraf sorusu çöz; ilk 20 soruyu ileri sayımla ölç, D/Y/B + süre kaydet.</x:v>
      </x:c>
      <x:c r="M602" s="14" t="str">
        <x:v>Hız 8. Sınıf Türkçe Paragraf (ISBN 9786258394498)</x:v>
      </x:c>
      <x:c r="N602" s="14" t="str"/>
      <x:c r="O602" s="14" t="n">
        <x:v>20</x:v>
      </x:c>
      <x:c r="P602" s="14" t="str">
        <x:v>İlk 20 soru</x:v>
      </x:c>
      <x:c r="Q602" s="14" t="str">
        <x:v>Evet</x:v>
      </x:c>
      <x:c r="R602" s="14" t="str">
        <x:v>Planlandı</x:v>
      </x:c>
      <x:c r="S602" s="15" t="str"/>
      <x:c r="T602" s="14" t="str">
        <x:v>Geri sayım ve hedef süre yok.</x:v>
      </x:c>
    </x:row>
    <x:row r="603">
      <x:c r="A603" s="14" t="n">
        <x:v>602</x:v>
      </x:c>
      <x:c r="B603" s="15" t="n">
        <x:v>46344</x:v>
      </x:c>
      <x:c r="C603" s="14" t="str">
        <x:v>Çarşamba</x:v>
      </x:c>
      <x:c r="D603" s="14" t="str">
        <x:v>Okul Tatili</x:v>
      </x:c>
      <x:c r="E603" s="14" t="str">
        <x:v>MEB 1. Dönem Ara Tatili</x:v>
      </x:c>
      <x:c r="F603" s="14" t="str">
        <x:v>F1 - Temel Kurma</x:v>
      </x:c>
      <x:c r="G603" s="14" t="str">
        <x:v>14:00</x:v>
      </x:c>
      <x:c r="H603" s="14" t="str">
        <x:v>14:40</x:v>
      </x:c>
      <x:c r="I603" s="14" t="str">
        <x:v>Türkçe</x:v>
      </x:c>
      <x:c r="J603" s="14" t="str">
        <x:v>Konu / Tekrar</x:v>
      </x:c>
      <x:c r="K603" s="14" t="str">
        <x:v>Sıfatlar</x:v>
      </x:c>
      <x:c r="L603" s="14" t="str">
        <x:v>Sıfatlar — genel oynatma listesinden ilgili videoyu izle (3/3).</x:v>
      </x:c>
      <x:c r="M603" s="14" t="str">
        <x:v>Türkçe Ana Oynatma Listesi</x:v>
      </x:c>
      <x:c r="N603" s="14" t="str">
        <x:v>https://www.youtube.com/watch?v=VYsPntNKVdw&amp;list=PLIBjFaUoJJ91bz7QQEBlxNJNZka5YQRr6</x:v>
      </x:c>
      <x:c r="O603" s="14" t="n">
        <x:v>0</x:v>
      </x:c>
      <x:c r="P603" s="14" t="str">
        <x:v>Hayır</x:v>
      </x:c>
      <x:c r="Q603" s="14" t="str">
        <x:v>Evet</x:v>
      </x:c>
      <x:c r="R603" s="14" t="str">
        <x:v>Planlandı</x:v>
      </x:c>
      <x:c r="S603" s="15" t="str"/>
      <x:c r="T603" s="14" t="str">
        <x:v>TYT etiketli kaynak temelden başlamak için sabittir; LGS dışı gereksiz ayrıntı zorunlu değildir.</x:v>
      </x:c>
    </x:row>
    <x:row r="604">
      <x:c r="A604" s="14" t="n">
        <x:v>603</x:v>
      </x:c>
      <x:c r="B604" s="15" t="n">
        <x:v>46344</x:v>
      </x:c>
      <x:c r="C604" s="14" t="str">
        <x:v>Çarşamba</x:v>
      </x:c>
      <x:c r="D604" s="14" t="str">
        <x:v>Okul Tatili</x:v>
      </x:c>
      <x:c r="E604" s="14" t="str">
        <x:v>MEB 1. Dönem Ara Tatili</x:v>
      </x:c>
      <x:c r="F604" s="14" t="str">
        <x:v>F1 - Temel Kurma</x:v>
      </x:c>
      <x:c r="G604" s="14" t="str">
        <x:v>14:50</x:v>
      </x:c>
      <x:c r="H604" s="14" t="str">
        <x:v>15:30</x:v>
      </x:c>
      <x:c r="I604" s="14" t="str">
        <x:v>Türkçe</x:v>
      </x:c>
      <x:c r="J604" s="14" t="str">
        <x:v>Kitap / MEB / Mastery</x:v>
      </x:c>
      <x:c r="K604" s="14" t="str">
        <x:v>Sıfatlar</x:v>
      </x:c>
      <x:c r="L604" s="14" t="str">
        <x:v>Sıfatlar ile ilgili soru kitabından en az 10 soru / bugünkü test payını çöz. İlgili kitap konu bölümünü bu oturumda bitirmeyi hedefle; sonraki oturum MEB doğrulaması.</x:v>
      </x:c>
      <x:c r="M604" s="14" t="str">
        <x:v>Ankara 8. Sınıf Dil Bilgisi Güçlendiren (eşleşen bölüm) + MEB temel destek</x:v>
      </x:c>
      <x:c r="N604" s="14" t="str">
        <x:v>https://odsgm.meb.gov.tr/www/5-6-7-ve-9-sinif-duzeylerinde-calisma-sorulari-yayimlandi/icerik/775</x:v>
      </x:c>
      <x:c r="O604" s="14" t="n">
        <x:v>10</x:v>
      </x:c>
      <x:c r="P604" s="14" t="str">
        <x:v>Hayır</x:v>
      </x:c>
      <x:c r="Q604" s="14" t="str">
        <x:v>Evet</x:v>
      </x:c>
      <x:c r="R604" s="14" t="str">
        <x:v>Planlandı</x:v>
      </x:c>
      <x:c r="S604" s="15" t="str"/>
      <x:c r="T604" s="14" t="str"/>
    </x:row>
    <x:row r="605">
      <x:c r="A605" s="14" t="n">
        <x:v>604</x:v>
      </x:c>
      <x:c r="B605" s="15" t="n">
        <x:v>46344</x:v>
      </x:c>
      <x:c r="C605" s="14" t="str">
        <x:v>Çarşamba</x:v>
      </x:c>
      <x:c r="D605" s="14" t="str">
        <x:v>Okul Tatili</x:v>
      </x:c>
      <x:c r="E605" s="14" t="str">
        <x:v>MEB 1. Dönem Ara Tatili</x:v>
      </x:c>
      <x:c r="F605" s="14" t="str">
        <x:v>F1 - Temel Kurma</x:v>
      </x:c>
      <x:c r="G605" s="14" t="str">
        <x:v>15:45</x:v>
      </x:c>
      <x:c r="H605" s="14" t="str">
        <x:v>16:25</x:v>
      </x:c>
      <x:c r="I605" s="14" t="str">
        <x:v>Fen</x:v>
      </x:c>
      <x:c r="J605" s="14" t="str">
        <x:v>Konu / Tekrar</x:v>
      </x:c>
      <x:c r="K605" s="14" t="str">
        <x:v>Katı Basıncı</x:v>
      </x:c>
      <x:c r="L605" s="14" t="str">
        <x:v>Katı Basıncı — Fen soru çözüm playlistinden ilgili videoyu izle.</x:v>
      </x:c>
      <x:c r="M605" s="14" t="str">
        <x:v>Fen Soru Çözüm / Tekrar</x:v>
      </x:c>
      <x:c r="N605" s="14" t="str">
        <x:v>https://www.youtube.com/watch?v=pQXhWnDZ3vM&amp;list=PLrQm7mt99FRXcBnorCttd31HJEvg0En26&amp;index=23</x:v>
      </x:c>
      <x:c r="O605" s="14" t="n">
        <x:v>0</x:v>
      </x:c>
      <x:c r="P605" s="14" t="str">
        <x:v>Hayır</x:v>
      </x:c>
      <x:c r="Q605" s="14" t="str">
        <x:v>Evet</x:v>
      </x:c>
      <x:c r="R605" s="14" t="str">
        <x:v>Planlandı</x:v>
      </x:c>
      <x:c r="S605" s="15" t="str"/>
      <x:c r="T605" s="14" t="str"/>
    </x:row>
    <x:row r="606">
      <x:c r="A606" s="14" t="n">
        <x:v>605</x:v>
      </x:c>
      <x:c r="B606" s="15" t="n">
        <x:v>46344</x:v>
      </x:c>
      <x:c r="C606" s="14" t="str">
        <x:v>Çarşamba</x:v>
      </x:c>
      <x:c r="D606" s="14" t="str">
        <x:v>Okul Tatili</x:v>
      </x:c>
      <x:c r="E606" s="14" t="str">
        <x:v>MEB 1. Dönem Ara Tatili</x:v>
      </x:c>
      <x:c r="F606" s="14" t="str">
        <x:v>F1 - Temel Kurma</x:v>
      </x:c>
      <x:c r="G606" s="14" t="str">
        <x:v>16:35</x:v>
      </x:c>
      <x:c r="H606" s="14" t="str">
        <x:v>17:15</x:v>
      </x:c>
      <x:c r="I606" s="14" t="str">
        <x:v>Fen</x:v>
      </x:c>
      <x:c r="J606" s="14" t="str">
        <x:v>Kitap / MEB / Mastery</x:v>
      </x:c>
      <x:c r="K606" s="14" t="str">
        <x:v>Katı Basıncı</x:v>
      </x:c>
      <x:c r="L606" s="14" t="str">
        <x:v>Katı Basıncı ile ilgili soru kitabından en az 15 soru / bugünkü test payını çöz.</x:v>
      </x:c>
      <x:c r="M606" s="14" t="str">
        <x:v>Hız 8. Sınıf Fen (ISBN 9786257514859); tamamlandıysa Mozaik 8. Sınıf Fen</x:v>
      </x:c>
      <x:c r="N606" s="14" t="str">
        <x:v>https://www.youtube.com/watch?v=pQXhWnDZ3vM&amp;list=PLrQm7mt99FRXcBnorCttd31HJEvg0En26&amp;index=23</x:v>
      </x:c>
      <x:c r="O606" s="14" t="n">
        <x:v>15</x:v>
      </x:c>
      <x:c r="P606" s="14" t="str">
        <x:v>Hayır</x:v>
      </x:c>
      <x:c r="Q606" s="14" t="str">
        <x:v>Evet</x:v>
      </x:c>
      <x:c r="R606" s="14" t="str">
        <x:v>Planlandı</x:v>
      </x:c>
      <x:c r="S606" s="15" t="str"/>
      <x:c r="T606" s="14" t="str"/>
    </x:row>
    <x:row r="607">
      <x:c r="A607" s="14" t="n">
        <x:v>606</x:v>
      </x:c>
      <x:c r="B607" s="15" t="n">
        <x:v>46344</x:v>
      </x:c>
      <x:c r="C607" s="14" t="str">
        <x:v>Çarşamba</x:v>
      </x:c>
      <x:c r="D607" s="14" t="str">
        <x:v>Okul Tatili</x:v>
      </x:c>
      <x:c r="E607" s="14" t="str">
        <x:v>MEB 1. Dönem Ara Tatili</x:v>
      </x:c>
      <x:c r="F607" s="14" t="str">
        <x:v>F1 - Temel Kurma</x:v>
      </x:c>
      <x:c r="G607" s="14" t="str">
        <x:v>18:25</x:v>
      </x:c>
      <x:c r="H607" s="14" t="str">
        <x:v>18:45</x:v>
      </x:c>
      <x:c r="I607" s="14" t="str">
        <x:v>Genel</x:v>
      </x:c>
      <x:c r="J607" s="14" t="str">
        <x:v>Yanlış / Boş Analizi</x:v>
      </x:c>
      <x:c r="K607" s="14" t="str">
        <x:v>Günlük</x:v>
      </x:c>
      <x:c r="L607" s="14" t="str">
        <x:v>Bugünkü yanlış/boşları kaydet; çözümünü öğrenmeden kapatma. Hata türünü sınıflandır.</x:v>
      </x:c>
      <x:c r="M607" s="14" t="str">
        <x:v>Yanlış Defteri</x:v>
      </x:c>
      <x:c r="N607" s="14" t="str"/>
      <x:c r="O607" s="14" t="n">
        <x:v>0</x:v>
      </x:c>
      <x:c r="P607" s="14" t="str">
        <x:v>Hayır</x:v>
      </x:c>
      <x:c r="Q607" s="14" t="str">
        <x:v>Evet</x:v>
      </x:c>
      <x:c r="R607" s="14" t="str">
        <x:v>Planlandı</x:v>
      </x:c>
      <x:c r="S607" s="15" t="str"/>
      <x:c r="T607" s="14" t="str"/>
    </x:row>
    <x:row r="608">
      <x:c r="A608" s="14" t="n">
        <x:v>607</x:v>
      </x:c>
      <x:c r="B608" s="15" t="n">
        <x:v>46344</x:v>
      </x:c>
      <x:c r="C608" s="14" t="str">
        <x:v>Çarşamba</x:v>
      </x:c>
      <x:c r="D608" s="14" t="str">
        <x:v>Okul Tatili</x:v>
      </x:c>
      <x:c r="E608" s="14" t="str">
        <x:v>MEB 1. Dönem Ara Tatili</x:v>
      </x:c>
      <x:c r="F608" s="14" t="str">
        <x:v>F1 - Temel Kurma</x:v>
      </x:c>
      <x:c r="G608" s="14" t="str">
        <x:v>18:45</x:v>
      </x:c>
      <x:c r="H608" s="14" t="str">
        <x:v>19:05</x:v>
      </x:c>
      <x:c r="I608" s="14" t="str">
        <x:v>Genel</x:v>
      </x:c>
      <x:c r="J608" s="14" t="str">
        <x:v>Aralıklı Hata Tekrarı</x:v>
      </x:c>
      <x:c r="K608" s="14" t="str">
        <x:v>+1 / +7 / +21</x:v>
      </x:c>
      <x:c r="L608" s="14" t="str">
        <x:v>Bugün vadesi gelen yanlış soruları tekrar çöz. Vadesi yoksa bu süre serbest/okuma olabilir.</x:v>
      </x:c>
      <x:c r="M608" s="14" t="str">
        <x:v>Yanlış Defteri</x:v>
      </x:c>
      <x:c r="N608" s="14" t="str"/>
      <x:c r="O608" s="14" t="n">
        <x:v>0</x:v>
      </x:c>
      <x:c r="P608" s="14" t="str">
        <x:v>Hayır</x:v>
      </x:c>
      <x:c r="Q608" s="14" t="str">
        <x:v>Koşullu</x:v>
      </x:c>
      <x:c r="R608" s="14" t="str">
        <x:v>Planlandı</x:v>
      </x:c>
      <x:c r="S608" s="15" t="str"/>
      <x:c r="T608" s="14" t="str">
        <x:v>Yanlışlar +1, +7 ve +21 gün aralıklarıyla tekrar edilir; hâlâ yanlışsa konu mastery durumu düşürülür.</x:v>
      </x:c>
    </x:row>
    <x:row r="609">
      <x:c r="A609" s="14" t="n">
        <x:v>608</x:v>
      </x:c>
      <x:c r="B609" s="15" t="n">
        <x:v>46344</x:v>
      </x:c>
      <x:c r="C609" s="14" t="str">
        <x:v>Çarşamba</x:v>
      </x:c>
      <x:c r="D609" s="14" t="str">
        <x:v>Okul Tatili</x:v>
      </x:c>
      <x:c r="E609" s="14" t="str">
        <x:v>MEB 1. Dönem Ara Tatili</x:v>
      </x:c>
      <x:c r="F609" s="14" t="str">
        <x:v>F1 - Temel Kurma</x:v>
      </x:c>
      <x:c r="G609" s="14" t="str">
        <x:v>20:00</x:v>
      </x:c>
      <x:c r="H609" s="14" t="str">
        <x:v>20:30</x:v>
      </x:c>
      <x:c r="I609" s="14" t="str">
        <x:v>Okuma</x:v>
      </x:c>
      <x:c r="J609" s="14" t="str">
        <x:v>İsteğe Bağlı</x:v>
      </x:c>
      <x:c r="K609" s="14" t="str">
        <x:v>Serbest Kitap</x:v>
      </x:c>
      <x:c r="L609" s="14" t="str">
        <x:v>Zorunlu çalışmalar bittiyse isteğe bağlı kitap oku.</x:v>
      </x:c>
      <x:c r="M609" s="14" t="str">
        <x:v>Serbest Kitap</x:v>
      </x:c>
      <x:c r="N609" s="14" t="str"/>
      <x:c r="O609" s="14" t="n">
        <x:v>0</x:v>
      </x:c>
      <x:c r="P609" s="14" t="str">
        <x:v>İsteğe Bağlı</x:v>
      </x:c>
      <x:c r="Q609" s="14" t="str">
        <x:v>Hayır</x:v>
      </x:c>
      <x:c r="R609" s="14" t="str">
        <x:v>Planlandı</x:v>
      </x:c>
      <x:c r="S609" s="15" t="str"/>
      <x:c r="T609" s="14" t="str">
        <x:v>Minimum süre yok.</x:v>
      </x:c>
    </x:row>
    <x:row r="610">
      <x:c r="A610" s="14" t="n">
        <x:v>609</x:v>
      </x:c>
      <x:c r="B610" s="15" t="n">
        <x:v>46344</x:v>
      </x:c>
      <x:c r="C610" s="14" t="str">
        <x:v>Çarşamba</x:v>
      </x:c>
      <x:c r="D610" s="14" t="str">
        <x:v>Okul Tatili</x:v>
      </x:c>
      <x:c r="E610" s="14" t="str">
        <x:v>MEB 1. Dönem Ara Tatili</x:v>
      </x:c>
      <x:c r="F610" s="14" t="str">
        <x:v>F1 - Temel Kurma</x:v>
      </x:c>
      <x:c r="G610" s="14" t="str">
        <x:v>21:50</x:v>
      </x:c>
      <x:c r="H610" s="14" t="str">
        <x:v>22:00</x:v>
      </x:c>
      <x:c r="I610" s="14" t="str">
        <x:v>Genel</x:v>
      </x:c>
      <x:c r="J610" s="14" t="str">
        <x:v>Uyku Hazırlığı</x:v>
      </x:c>
      <x:c r="K610" s="14" t="str"/>
      <x:c r="L610" s="14" t="str">
        <x:v>22:00'de yatakta ve uyku.</x:v>
      </x:c>
      <x:c r="M610" s="14" t="str"/>
      <x:c r="N610" s="14" t="str"/>
      <x:c r="O610" s="14" t="n">
        <x:v>0</x:v>
      </x:c>
      <x:c r="P610" s="14" t="str">
        <x:v>Hayır</x:v>
      </x:c>
      <x:c r="Q610" s="14" t="str">
        <x:v>Hayır</x:v>
      </x:c>
      <x:c r="R610" s="14" t="str">
        <x:v>Planlandı</x:v>
      </x:c>
      <x:c r="S610" s="15" t="str"/>
      <x:c r="T610" s="14" t="str"/>
    </x:row>
    <x:row r="611">
      <x:c r="A611" s="14" t="n">
        <x:v>610</x:v>
      </x:c>
      <x:c r="B611" s="15" t="n">
        <x:v>46345</x:v>
      </x:c>
      <x:c r="C611" s="14" t="str">
        <x:v>Perşembe</x:v>
      </x:c>
      <x:c r="D611" s="14" t="str">
        <x:v>Okul Tatili</x:v>
      </x:c>
      <x:c r="E611" s="14" t="str">
        <x:v>MEB 1. Dönem Ara Tatili</x:v>
      </x:c>
      <x:c r="F611" s="14" t="str">
        <x:v>F1 - Temel Kurma</x:v>
      </x:c>
      <x:c r="G611" s="14" t="str">
        <x:v>09:30</x:v>
      </x:c>
      <x:c r="H611" s="14" t="str">
        <x:v>10:15</x:v>
      </x:c>
      <x:c r="I611" s="14" t="str">
        <x:v>Matematik</x:v>
      </x:c>
      <x:c r="J611" s="14" t="str">
        <x:v>Konu / Tekrar</x:v>
      </x:c>
      <x:c r="K611" s="14" t="str">
        <x:v>Köklü Sayılar Altyapısı</x:v>
      </x:c>
      <x:c r="L611" s="14" t="str">
        <x:v>Köklü Sayılar Altyapısı — genel oynatma listesinden ilgili videoyu izle (4/5).</x:v>
      </x:c>
      <x:c r="M611" s="14" t="str">
        <x:v>Matematik Ana Oynatma Listesi</x:v>
      </x:c>
      <x:c r="N611" s="14" t="str">
        <x:v>https://www.youtube.com/watch?v=EuJ89QzqrAg&amp;list=PLicNtF7vp6fnfDqrRLH6H7fIbzYT4ct4F&amp;index=11</x:v>
      </x:c>
      <x:c r="O611" s="14" t="n">
        <x:v>0</x:v>
      </x:c>
      <x:c r="P611" s="14" t="str">
        <x:v>Hayır</x:v>
      </x:c>
      <x:c r="Q611" s="14" t="str">
        <x:v>Evet</x:v>
      </x:c>
      <x:c r="R611" s="14" t="str">
        <x:v>Planlandı</x:v>
      </x:c>
      <x:c r="S611" s="15" t="str"/>
      <x:c r="T611" s="14" t="str">
        <x:v>Yeni konu ancak plan sırasıyla açılır; LGS dışı ileri TYT içeriği zorunlu değildir.</x:v>
      </x:c>
    </x:row>
    <x:row r="612">
      <x:c r="A612" s="14" t="n">
        <x:v>611</x:v>
      </x:c>
      <x:c r="B612" s="15" t="n">
        <x:v>46345</x:v>
      </x:c>
      <x:c r="C612" s="14" t="str">
        <x:v>Perşembe</x:v>
      </x:c>
      <x:c r="D612" s="14" t="str">
        <x:v>Okul Tatili</x:v>
      </x:c>
      <x:c r="E612" s="14" t="str">
        <x:v>MEB 1. Dönem Ara Tatili</x:v>
      </x:c>
      <x:c r="F612" s="14" t="str">
        <x:v>F1 - Temel Kurma</x:v>
      </x:c>
      <x:c r="G612" s="14" t="str">
        <x:v>10:25</x:v>
      </x:c>
      <x:c r="H612" s="14" t="str">
        <x:v>11:15</x:v>
      </x:c>
      <x:c r="I612" s="14" t="str">
        <x:v>Matematik</x:v>
      </x:c>
      <x:c r="J612" s="14" t="str">
        <x:v>Kitap / MEB / Mastery</x:v>
      </x:c>
      <x:c r="K612" s="14" t="str">
        <x:v>Köklü Sayılar Altyapısı</x:v>
      </x:c>
      <x:c r="L612" s="14" t="str">
        <x:v>Köklü Sayılar Altyapısı ile ilgili soru kitabından en az 20 soru / bugünkü test payını çöz.</x:v>
      </x:c>
      <x:c r="M612" s="14" t="str">
        <x:v>MUBA 8. Sınıf Başlangıç Matematik (ISBN 9789756526972) (eşleşen bölüm) + MEB temel destek</x:v>
      </x:c>
      <x:c r="N612" s="14" t="str">
        <x:v>https://odsgm.meb.gov.tr/www/5-6-7-ve-9-sinif-duzeylerinde-calisma-sorulari-yayimlandi/icerik/775</x:v>
      </x:c>
      <x:c r="O612" s="14" t="n">
        <x:v>20</x:v>
      </x:c>
      <x:c r="P612" s="14" t="str">
        <x:v>İlk 20 soru</x:v>
      </x:c>
      <x:c r="Q612" s="14" t="str">
        <x:v>Evet</x:v>
      </x:c>
      <x:c r="R612" s="14" t="str">
        <x:v>Planlandı</x:v>
      </x:c>
      <x:c r="S612" s="15" t="str"/>
      <x:c r="T612" s="14" t="str">
        <x:v>Ayrı/rastgele matematik benchmark yoktur. Süreli ilk 20 soru o gün çalışılan konunun içindedir.</x:v>
      </x:c>
    </x:row>
    <x:row r="613">
      <x:c r="A613" s="14" t="n">
        <x:v>612</x:v>
      </x:c>
      <x:c r="B613" s="15" t="n">
        <x:v>46345</x:v>
      </x:c>
      <x:c r="C613" s="14" t="str">
        <x:v>Perşembe</x:v>
      </x:c>
      <x:c r="D613" s="14" t="str">
        <x:v>Okul Tatili</x:v>
      </x:c>
      <x:c r="E613" s="14" t="str">
        <x:v>MEB 1. Dönem Ara Tatili</x:v>
      </x:c>
      <x:c r="F613" s="14" t="str">
        <x:v>F1 - Temel Kurma</x:v>
      </x:c>
      <x:c r="G613" s="14" t="str">
        <x:v>12:00</x:v>
      </x:c>
      <x:c r="H613" s="14" t="str">
        <x:v>14:00</x:v>
      </x:c>
      <x:c r="I613" s="14" t="str">
        <x:v>Genel</x:v>
      </x:c>
      <x:c r="J613" s="14" t="str">
        <x:v>Yemek / Serbest Zaman</x:v>
      </x:c>
      <x:c r="K613" s="14" t="str"/>
      <x:c r="L613" s="14" t="str">
        <x:v>Yemek, hareket ve dinlenme.</x:v>
      </x:c>
      <x:c r="M613" s="14" t="str"/>
      <x:c r="N613" s="14" t="str"/>
      <x:c r="O613" s="14" t="n">
        <x:v>0</x:v>
      </x:c>
      <x:c r="P613" s="14" t="str">
        <x:v>Hayır</x:v>
      </x:c>
      <x:c r="Q613" s="14" t="str">
        <x:v>Hayır</x:v>
      </x:c>
      <x:c r="R613" s="14" t="str">
        <x:v>Planlandı</x:v>
      </x:c>
      <x:c r="S613" s="15" t="str"/>
      <x:c r="T613" s="14" t="str"/>
    </x:row>
    <x:row r="614">
      <x:c r="A614" s="14" t="n">
        <x:v>613</x:v>
      </x:c>
      <x:c r="B614" s="15" t="n">
        <x:v>46345</x:v>
      </x:c>
      <x:c r="C614" s="14" t="str">
        <x:v>Perşembe</x:v>
      </x:c>
      <x:c r="D614" s="14" t="str">
        <x:v>Okul Tatili</x:v>
      </x:c>
      <x:c r="E614" s="14" t="str">
        <x:v>MEB 1. Dönem Ara Tatili</x:v>
      </x:c>
      <x:c r="F614" s="14" t="str">
        <x:v>F1 - Temel Kurma</x:v>
      </x:c>
      <x:c r="G614" s="14" t="str">
        <x:v>11:25</x:v>
      </x:c>
      <x:c r="H614" s="14" t="str">
        <x:v>11:55</x:v>
      </x:c>
      <x:c r="I614" s="14" t="str">
        <x:v>Türkçe</x:v>
      </x:c>
      <x:c r="J614" s="14" t="str">
        <x:v>Paragraf Rutini</x:v>
      </x:c>
      <x:c r="K614" s="14" t="str">
        <x:v>Paragraf</x:v>
      </x:c>
      <x:c r="L614" s="14" t="str">
        <x:v>En az 20 paragraf sorusu çöz; ilk 20 soruyu ileri sayımla ölç, D/Y/B + süre kaydet.</x:v>
      </x:c>
      <x:c r="M614" s="14" t="str">
        <x:v>Hız 8. Sınıf Türkçe Paragraf (ISBN 9786258394498)</x:v>
      </x:c>
      <x:c r="N614" s="14" t="str"/>
      <x:c r="O614" s="14" t="n">
        <x:v>20</x:v>
      </x:c>
      <x:c r="P614" s="14" t="str">
        <x:v>İlk 20 soru</x:v>
      </x:c>
      <x:c r="Q614" s="14" t="str">
        <x:v>Evet</x:v>
      </x:c>
      <x:c r="R614" s="14" t="str">
        <x:v>Planlandı</x:v>
      </x:c>
      <x:c r="S614" s="15" t="str"/>
      <x:c r="T614" s="14" t="str">
        <x:v>Geri sayım ve hedef süre yok.</x:v>
      </x:c>
    </x:row>
    <x:row r="615">
      <x:c r="A615" s="14" t="n">
        <x:v>614</x:v>
      </x:c>
      <x:c r="B615" s="15" t="n">
        <x:v>46345</x:v>
      </x:c>
      <x:c r="C615" s="14" t="str">
        <x:v>Perşembe</x:v>
      </x:c>
      <x:c r="D615" s="14" t="str">
        <x:v>Okul Tatili</x:v>
      </x:c>
      <x:c r="E615" s="14" t="str">
        <x:v>MEB 1. Dönem Ara Tatili</x:v>
      </x:c>
      <x:c r="F615" s="14" t="str">
        <x:v>F1 - Temel Kurma</x:v>
      </x:c>
      <x:c r="G615" s="14" t="str">
        <x:v>14:00</x:v>
      </x:c>
      <x:c r="H615" s="14" t="str">
        <x:v>14:40</x:v>
      </x:c>
      <x:c r="I615" s="14" t="str">
        <x:v>Türkçe</x:v>
      </x:c>
      <x:c r="J615" s="14" t="str">
        <x:v>Konu / Tekrar</x:v>
      </x:c>
      <x:c r="K615" s="14" t="str">
        <x:v>Sıfatlar</x:v>
      </x:c>
      <x:c r="L615" s="14" t="str">
        <x:v>Sıfatlar — MEB doğrulaması öncesi 5-10 dk aktif hatırlama; gerekiyorsa ilgili playlist videosuna kısa dönüş yap.</x:v>
      </x:c>
      <x:c r="M615" s="14" t="str">
        <x:v>Türkçe Ana Oynatma Listesi</x:v>
      </x:c>
      <x:c r="N615" s="14" t="str">
        <x:v>https://www.youtube.com/watch?v=VYsPntNKVdw&amp;list=PLIBjFaUoJJ91bz7QQEBlxNJNZka5YQRr6</x:v>
      </x:c>
      <x:c r="O615" s="14" t="n">
        <x:v>0</x:v>
      </x:c>
      <x:c r="P615" s="14" t="str">
        <x:v>Hayır</x:v>
      </x:c>
      <x:c r="Q615" s="14" t="str">
        <x:v>Evet</x:v>
      </x:c>
      <x:c r="R615" s="14" t="str">
        <x:v>Planlandı</x:v>
      </x:c>
      <x:c r="S615" s="15" t="str"/>
      <x:c r="T615" s="14" t="str">
        <x:v>TYT etiketli kaynak temelden başlamak için sabittir; LGS dışı gereksiz ayrıntı zorunlu değildir.</x:v>
      </x:c>
    </x:row>
    <x:row r="616">
      <x:c r="A616" s="14" t="n">
        <x:v>615</x:v>
      </x:c>
      <x:c r="B616" s="15" t="n">
        <x:v>46345</x:v>
      </x:c>
      <x:c r="C616" s="14" t="str">
        <x:v>Perşembe</x:v>
      </x:c>
      <x:c r="D616" s="14" t="str">
        <x:v>Okul Tatili</x:v>
      </x:c>
      <x:c r="E616" s="14" t="str">
        <x:v>MEB 1. Dönem Ara Tatili</x:v>
      </x:c>
      <x:c r="F616" s="14" t="str">
        <x:v>F1 - Temel Kurma</x:v>
      </x:c>
      <x:c r="G616" s="14" t="str">
        <x:v>14:50</x:v>
      </x:c>
      <x:c r="H616" s="14" t="str">
        <x:v>15:30</x:v>
      </x:c>
      <x:c r="I616" s="14" t="str">
        <x:v>Türkçe</x:v>
      </x:c>
      <x:c r="J616" s="14" t="str">
        <x:v>Kitap / MEB / Mastery</x:v>
      </x:c>
      <x:c r="K616" s="14" t="str">
        <x:v>Sıfatlar</x:v>
      </x:c>
      <x:c r="L616" s="14" t="str">
        <x:v>Sıfatlar için ilgili MEB sorularını TAMAMLA; D/Y/B kaydet. Bu oturum konu mastery gate'idir.</x:v>
      </x:c>
      <x:c r="M616" s="14" t="str">
        <x:v>MEB Resmî Soru Seti</x:v>
      </x:c>
      <x:c r="N616" s="14" t="str">
        <x:v>https://odsgm.meb.gov.tr/www/5-6-7-ve-9-sinif-duzeylerinde-calisma-sorulari-yayimlandi/icerik/775</x:v>
      </x:c>
      <x:c r="O616" s="14" t="n">
        <x:v>0</x:v>
      </x:c>
      <x:c r="P616" s="14" t="str">
        <x:v>Hayır</x:v>
      </x:c>
      <x:c r="Q616" s="14" t="str">
        <x:v>Evet</x:v>
      </x:c>
      <x:c r="R616" s="14" t="str">
        <x:v>Planlandı</x:v>
      </x:c>
      <x:c r="S616" s="15" t="str"/>
      <x:c r="T616" s="14" t="str">
        <x:v>MEB sonucu Konu_Ustaligi sayfasına işlenir.</x:v>
      </x:c>
    </x:row>
    <x:row r="617">
      <x:c r="A617" s="14" t="n">
        <x:v>616</x:v>
      </x:c>
      <x:c r="B617" s="15" t="n">
        <x:v>46345</x:v>
      </x:c>
      <x:c r="C617" s="14" t="str">
        <x:v>Perşembe</x:v>
      </x:c>
      <x:c r="D617" s="14" t="str">
        <x:v>Okul Tatili</x:v>
      </x:c>
      <x:c r="E617" s="14" t="str">
        <x:v>MEB 1. Dönem Ara Tatili</x:v>
      </x:c>
      <x:c r="F617" s="14" t="str">
        <x:v>F1 - Temel Kurma</x:v>
      </x:c>
      <x:c r="G617" s="14" t="str">
        <x:v>15:45</x:v>
      </x:c>
      <x:c r="H617" s="14" t="str">
        <x:v>16:25</x:v>
      </x:c>
      <x:c r="I617" s="14" t="str">
        <x:v>Din</x:v>
      </x:c>
      <x:c r="J617" s="14" t="str">
        <x:v>Konu / Tekrar</x:v>
      </x:c>
      <x:c r="K617" s="14" t="str">
        <x:v>Hz. Şuayb ve Maun Suresi</x:v>
      </x:c>
      <x:c r="L617" s="14" t="str">
        <x:v>Hz. Şuayb ve Maun Suresi — genel oynatma listesinden ilgili konu/soru çalışmasını yap.</x:v>
      </x:c>
      <x:c r="M617" s="14" t="str">
        <x:v>Din Genel Oynatma Listesi</x:v>
      </x:c>
      <x:c r="N617" s="14" t="str">
        <x:v>https://www.youtube.com/watch?v=wvdOE_75VnA&amp;list=PLbRoPq-Zu-SWXGUbVt4t4UWo-4VjsMUo-&amp;index=2</x:v>
      </x:c>
      <x:c r="O617" s="14" t="n">
        <x:v>0</x:v>
      </x:c>
      <x:c r="P617" s="14" t="str">
        <x:v>Hayır</x:v>
      </x:c>
      <x:c r="Q617" s="14" t="str">
        <x:v>Evet</x:v>
      </x:c>
      <x:c r="R617" s="14" t="str">
        <x:v>Planlandı</x:v>
      </x:c>
      <x:c r="S617" s="15" t="str"/>
      <x:c r="T617" s="14" t="str"/>
    </x:row>
    <x:row r="618">
      <x:c r="A618" s="14" t="n">
        <x:v>617</x:v>
      </x:c>
      <x:c r="B618" s="15" t="n">
        <x:v>46345</x:v>
      </x:c>
      <x:c r="C618" s="14" t="str">
        <x:v>Perşembe</x:v>
      </x:c>
      <x:c r="D618" s="14" t="str">
        <x:v>Okul Tatili</x:v>
      </x:c>
      <x:c r="E618" s="14" t="str">
        <x:v>MEB 1. Dönem Ara Tatili</x:v>
      </x:c>
      <x:c r="F618" s="14" t="str">
        <x:v>F1 - Temel Kurma</x:v>
      </x:c>
      <x:c r="G618" s="14" t="str">
        <x:v>16:35</x:v>
      </x:c>
      <x:c r="H618" s="14" t="str">
        <x:v>17:15</x:v>
      </x:c>
      <x:c r="I618" s="14" t="str">
        <x:v>Din</x:v>
      </x:c>
      <x:c r="J618" s="14" t="str">
        <x:v>Kitap / MEB / Mastery</x:v>
      </x:c>
      <x:c r="K618" s="14" t="str">
        <x:v>Hz. Şuayb ve Maun Suresi</x:v>
      </x:c>
      <x:c r="L618" s="14" t="str">
        <x:v>Hz. Şuayb ve Maun Suresi ile ilgili soru kitabından en az 15 soru / bugünkü test payını çöz.</x:v>
      </x:c>
      <x:c r="M618" s="14" t="str">
        <x:v>Hız 8. Sınıf Din Kültürü ve Ahlak Bilgisi</x:v>
      </x:c>
      <x:c r="N618" s="14" t="str">
        <x:v>https://www.youtube.com/watch?v=wvdOE_75VnA&amp;list=PLbRoPq-Zu-SWXGUbVt4t4UWo-4VjsMUo-&amp;index=2</x:v>
      </x:c>
      <x:c r="O618" s="14" t="n">
        <x:v>15</x:v>
      </x:c>
      <x:c r="P618" s="14" t="str">
        <x:v>Hayır</x:v>
      </x:c>
      <x:c r="Q618" s="14" t="str">
        <x:v>Evet</x:v>
      </x:c>
      <x:c r="R618" s="14" t="str">
        <x:v>Planlandı</x:v>
      </x:c>
      <x:c r="S618" s="15" t="str"/>
      <x:c r="T618" s="14" t="str"/>
    </x:row>
    <x:row r="619">
      <x:c r="A619" s="14" t="n">
        <x:v>618</x:v>
      </x:c>
      <x:c r="B619" s="15" t="n">
        <x:v>46345</x:v>
      </x:c>
      <x:c r="C619" s="14" t="str">
        <x:v>Perşembe</x:v>
      </x:c>
      <x:c r="D619" s="14" t="str">
        <x:v>Okul Tatili</x:v>
      </x:c>
      <x:c r="E619" s="14" t="str">
        <x:v>MEB 1. Dönem Ara Tatili</x:v>
      </x:c>
      <x:c r="F619" s="14" t="str">
        <x:v>F1 - Temel Kurma</x:v>
      </x:c>
      <x:c r="G619" s="14" t="str">
        <x:v>18:25</x:v>
      </x:c>
      <x:c r="H619" s="14" t="str">
        <x:v>18:45</x:v>
      </x:c>
      <x:c r="I619" s="14" t="str">
        <x:v>Genel</x:v>
      </x:c>
      <x:c r="J619" s="14" t="str">
        <x:v>Yanlış / Boş Analizi</x:v>
      </x:c>
      <x:c r="K619" s="14" t="str">
        <x:v>Günlük</x:v>
      </x:c>
      <x:c r="L619" s="14" t="str">
        <x:v>Bugünkü yanlış/boşları kaydet; çözümünü öğrenmeden kapatma. Hata türünü sınıflandır.</x:v>
      </x:c>
      <x:c r="M619" s="14" t="str">
        <x:v>Yanlış Defteri</x:v>
      </x:c>
      <x:c r="N619" s="14" t="str"/>
      <x:c r="O619" s="14" t="n">
        <x:v>0</x:v>
      </x:c>
      <x:c r="P619" s="14" t="str">
        <x:v>Hayır</x:v>
      </x:c>
      <x:c r="Q619" s="14" t="str">
        <x:v>Evet</x:v>
      </x:c>
      <x:c r="R619" s="14" t="str">
        <x:v>Planlandı</x:v>
      </x:c>
      <x:c r="S619" s="15" t="str"/>
      <x:c r="T619" s="14" t="str"/>
    </x:row>
    <x:row r="620">
      <x:c r="A620" s="14" t="n">
        <x:v>619</x:v>
      </x:c>
      <x:c r="B620" s="15" t="n">
        <x:v>46345</x:v>
      </x:c>
      <x:c r="C620" s="14" t="str">
        <x:v>Perşembe</x:v>
      </x:c>
      <x:c r="D620" s="14" t="str">
        <x:v>Okul Tatili</x:v>
      </x:c>
      <x:c r="E620" s="14" t="str">
        <x:v>MEB 1. Dönem Ara Tatili</x:v>
      </x:c>
      <x:c r="F620" s="14" t="str">
        <x:v>F1 - Temel Kurma</x:v>
      </x:c>
      <x:c r="G620" s="14" t="str">
        <x:v>18:45</x:v>
      </x:c>
      <x:c r="H620" s="14" t="str">
        <x:v>19:05</x:v>
      </x:c>
      <x:c r="I620" s="14" t="str">
        <x:v>Genel</x:v>
      </x:c>
      <x:c r="J620" s="14" t="str">
        <x:v>Aralıklı Hata Tekrarı</x:v>
      </x:c>
      <x:c r="K620" s="14" t="str">
        <x:v>+1 / +7 / +21</x:v>
      </x:c>
      <x:c r="L620" s="14" t="str">
        <x:v>Bugün vadesi gelen yanlış soruları tekrar çöz. Vadesi yoksa bu süre serbest/okuma olabilir.</x:v>
      </x:c>
      <x:c r="M620" s="14" t="str">
        <x:v>Yanlış Defteri</x:v>
      </x:c>
      <x:c r="N620" s="14" t="str"/>
      <x:c r="O620" s="14" t="n">
        <x:v>0</x:v>
      </x:c>
      <x:c r="P620" s="14" t="str">
        <x:v>Hayır</x:v>
      </x:c>
      <x:c r="Q620" s="14" t="str">
        <x:v>Koşullu</x:v>
      </x:c>
      <x:c r="R620" s="14" t="str">
        <x:v>Planlandı</x:v>
      </x:c>
      <x:c r="S620" s="15" t="str"/>
      <x:c r="T620" s="14" t="str">
        <x:v>Yanlışlar +1, +7 ve +21 gün aralıklarıyla tekrar edilir; hâlâ yanlışsa konu mastery durumu düşürülür.</x:v>
      </x:c>
    </x:row>
    <x:row r="621">
      <x:c r="A621" s="14" t="n">
        <x:v>620</x:v>
      </x:c>
      <x:c r="B621" s="15" t="n">
        <x:v>46345</x:v>
      </x:c>
      <x:c r="C621" s="14" t="str">
        <x:v>Perşembe</x:v>
      </x:c>
      <x:c r="D621" s="14" t="str">
        <x:v>Okul Tatili</x:v>
      </x:c>
      <x:c r="E621" s="14" t="str">
        <x:v>MEB 1. Dönem Ara Tatili</x:v>
      </x:c>
      <x:c r="F621" s="14" t="str">
        <x:v>F1 - Temel Kurma</x:v>
      </x:c>
      <x:c r="G621" s="14" t="str">
        <x:v>20:00</x:v>
      </x:c>
      <x:c r="H621" s="14" t="str">
        <x:v>20:30</x:v>
      </x:c>
      <x:c r="I621" s="14" t="str">
        <x:v>Okuma</x:v>
      </x:c>
      <x:c r="J621" s="14" t="str">
        <x:v>İsteğe Bağlı</x:v>
      </x:c>
      <x:c r="K621" s="14" t="str">
        <x:v>Serbest Kitap</x:v>
      </x:c>
      <x:c r="L621" s="14" t="str">
        <x:v>Zorunlu çalışmalar bittiyse isteğe bağlı kitap oku.</x:v>
      </x:c>
      <x:c r="M621" s="14" t="str">
        <x:v>Serbest Kitap</x:v>
      </x:c>
      <x:c r="N621" s="14" t="str"/>
      <x:c r="O621" s="14" t="n">
        <x:v>0</x:v>
      </x:c>
      <x:c r="P621" s="14" t="str">
        <x:v>İsteğe Bağlı</x:v>
      </x:c>
      <x:c r="Q621" s="14" t="str">
        <x:v>Hayır</x:v>
      </x:c>
      <x:c r="R621" s="14" t="str">
        <x:v>Planlandı</x:v>
      </x:c>
      <x:c r="S621" s="15" t="str"/>
      <x:c r="T621" s="14" t="str">
        <x:v>Minimum süre yok.</x:v>
      </x:c>
    </x:row>
    <x:row r="622">
      <x:c r="A622" s="14" t="n">
        <x:v>621</x:v>
      </x:c>
      <x:c r="B622" s="15" t="n">
        <x:v>46345</x:v>
      </x:c>
      <x:c r="C622" s="14" t="str">
        <x:v>Perşembe</x:v>
      </x:c>
      <x:c r="D622" s="14" t="str">
        <x:v>Okul Tatili</x:v>
      </x:c>
      <x:c r="E622" s="14" t="str">
        <x:v>MEB 1. Dönem Ara Tatili</x:v>
      </x:c>
      <x:c r="F622" s="14" t="str">
        <x:v>F1 - Temel Kurma</x:v>
      </x:c>
      <x:c r="G622" s="14" t="str">
        <x:v>21:50</x:v>
      </x:c>
      <x:c r="H622" s="14" t="str">
        <x:v>22:00</x:v>
      </x:c>
      <x:c r="I622" s="14" t="str">
        <x:v>Genel</x:v>
      </x:c>
      <x:c r="J622" s="14" t="str">
        <x:v>Uyku Hazırlığı</x:v>
      </x:c>
      <x:c r="K622" s="14" t="str"/>
      <x:c r="L622" s="14" t="str">
        <x:v>22:00'de yatakta ve uyku.</x:v>
      </x:c>
      <x:c r="M622" s="14" t="str"/>
      <x:c r="N622" s="14" t="str"/>
      <x:c r="O622" s="14" t="n">
        <x:v>0</x:v>
      </x:c>
      <x:c r="P622" s="14" t="str">
        <x:v>Hayır</x:v>
      </x:c>
      <x:c r="Q622" s="14" t="str">
        <x:v>Hayır</x:v>
      </x:c>
      <x:c r="R622" s="14" t="str">
        <x:v>Planlandı</x:v>
      </x:c>
      <x:c r="S622" s="15" t="str"/>
      <x:c r="T622" s="14" t="str"/>
    </x:row>
    <x:row r="623">
      <x:c r="A623" s="14" t="n">
        <x:v>622</x:v>
      </x:c>
      <x:c r="B623" s="15" t="n">
        <x:v>46346</x:v>
      </x:c>
      <x:c r="C623" s="14" t="str">
        <x:v>Cuma</x:v>
      </x:c>
      <x:c r="D623" s="14" t="str">
        <x:v>Okul Tatili</x:v>
      </x:c>
      <x:c r="E623" s="14" t="str">
        <x:v>MEB 1. Dönem Ara Tatili</x:v>
      </x:c>
      <x:c r="F623" s="14" t="str">
        <x:v>F1 - Temel Kurma</x:v>
      </x:c>
      <x:c r="G623" s="14" t="str">
        <x:v>09:30</x:v>
      </x:c>
      <x:c r="H623" s="14" t="str">
        <x:v>10:15</x:v>
      </x:c>
      <x:c r="I623" s="14" t="str">
        <x:v>Matematik</x:v>
      </x:c>
      <x:c r="J623" s="14" t="str">
        <x:v>Konu / Tekrar</x:v>
      </x:c>
      <x:c r="K623" s="14" t="str">
        <x:v>Köklü Sayılar Altyapısı</x:v>
      </x:c>
      <x:c r="L623" s="14" t="str">
        <x:v>Köklü Sayılar Altyapısı — genel oynatma listesinden ilgili videoyu izle (5/5).</x:v>
      </x:c>
      <x:c r="M623" s="14" t="str">
        <x:v>Matematik Ana Oynatma Listesi</x:v>
      </x:c>
      <x:c r="N623" s="14" t="str">
        <x:v>https://www.youtube.com/watch?v=EuJ89QzqrAg&amp;list=PLicNtF7vp6fnfDqrRLH6H7fIbzYT4ct4F&amp;index=11</x:v>
      </x:c>
      <x:c r="O623" s="14" t="n">
        <x:v>0</x:v>
      </x:c>
      <x:c r="P623" s="14" t="str">
        <x:v>Hayır</x:v>
      </x:c>
      <x:c r="Q623" s="14" t="str">
        <x:v>Evet</x:v>
      </x:c>
      <x:c r="R623" s="14" t="str">
        <x:v>Planlandı</x:v>
      </x:c>
      <x:c r="S623" s="15" t="str"/>
      <x:c r="T623" s="14" t="str">
        <x:v>Yeni konu ancak plan sırasıyla açılır; LGS dışı ileri TYT içeriği zorunlu değildir.</x:v>
      </x:c>
    </x:row>
    <x:row r="624">
      <x:c r="A624" s="14" t="n">
        <x:v>623</x:v>
      </x:c>
      <x:c r="B624" s="15" t="n">
        <x:v>46346</x:v>
      </x:c>
      <x:c r="C624" s="14" t="str">
        <x:v>Cuma</x:v>
      </x:c>
      <x:c r="D624" s="14" t="str">
        <x:v>Okul Tatili</x:v>
      </x:c>
      <x:c r="E624" s="14" t="str">
        <x:v>MEB 1. Dönem Ara Tatili</x:v>
      </x:c>
      <x:c r="F624" s="14" t="str">
        <x:v>F1 - Temel Kurma</x:v>
      </x:c>
      <x:c r="G624" s="14" t="str">
        <x:v>10:25</x:v>
      </x:c>
      <x:c r="H624" s="14" t="str">
        <x:v>11:15</x:v>
      </x:c>
      <x:c r="I624" s="14" t="str">
        <x:v>Matematik</x:v>
      </x:c>
      <x:c r="J624" s="14" t="str">
        <x:v>Kitap / MEB / Mastery</x:v>
      </x:c>
      <x:c r="K624" s="14" t="str">
        <x:v>Köklü Sayılar Altyapısı</x:v>
      </x:c>
      <x:c r="L624" s="14" t="str">
        <x:v>Köklü Sayılar Altyapısı ile ilgili soru kitabından en az 20 soru / bugünkü test payını çöz. İlgili kitap konu bölümünü bu oturumda bitirmeyi hedefle; sonraki oturum MEB doğrulaması.</x:v>
      </x:c>
      <x:c r="M624" s="14" t="str">
        <x:v>MUBA 8. Sınıf Başlangıç Matematik (ISBN 9789756526972) (eşleşen bölüm) + MEB temel destek</x:v>
      </x:c>
      <x:c r="N624" s="14" t="str">
        <x:v>https://odsgm.meb.gov.tr/www/5-6-7-ve-9-sinif-duzeylerinde-calisma-sorulari-yayimlandi/icerik/775</x:v>
      </x:c>
      <x:c r="O624" s="14" t="n">
        <x:v>20</x:v>
      </x:c>
      <x:c r="P624" s="14" t="str">
        <x:v>İlk 20 soru</x:v>
      </x:c>
      <x:c r="Q624" s="14" t="str">
        <x:v>Evet</x:v>
      </x:c>
      <x:c r="R624" s="14" t="str">
        <x:v>Planlandı</x:v>
      </x:c>
      <x:c r="S624" s="15" t="str"/>
      <x:c r="T624" s="14" t="str">
        <x:v>Ayrı/rastgele matematik benchmark yoktur. Süreli ilk 20 soru o gün çalışılan konunun içindedir.</x:v>
      </x:c>
    </x:row>
    <x:row r="625">
      <x:c r="A625" s="14" t="n">
        <x:v>624</x:v>
      </x:c>
      <x:c r="B625" s="15" t="n">
        <x:v>46346</x:v>
      </x:c>
      <x:c r="C625" s="14" t="str">
        <x:v>Cuma</x:v>
      </x:c>
      <x:c r="D625" s="14" t="str">
        <x:v>Okul Tatili</x:v>
      </x:c>
      <x:c r="E625" s="14" t="str">
        <x:v>MEB 1. Dönem Ara Tatili</x:v>
      </x:c>
      <x:c r="F625" s="14" t="str">
        <x:v>F1 - Temel Kurma</x:v>
      </x:c>
      <x:c r="G625" s="14" t="str">
        <x:v>12:00</x:v>
      </x:c>
      <x:c r="H625" s="14" t="str">
        <x:v>14:00</x:v>
      </x:c>
      <x:c r="I625" s="14" t="str">
        <x:v>Genel</x:v>
      </x:c>
      <x:c r="J625" s="14" t="str">
        <x:v>Yemek / Serbest Zaman</x:v>
      </x:c>
      <x:c r="K625" s="14" t="str"/>
      <x:c r="L625" s="14" t="str">
        <x:v>Yemek, hareket ve dinlenme.</x:v>
      </x:c>
      <x:c r="M625" s="14" t="str"/>
      <x:c r="N625" s="14" t="str"/>
      <x:c r="O625" s="14" t="n">
        <x:v>0</x:v>
      </x:c>
      <x:c r="P625" s="14" t="str">
        <x:v>Hayır</x:v>
      </x:c>
      <x:c r="Q625" s="14" t="str">
        <x:v>Hayır</x:v>
      </x:c>
      <x:c r="R625" s="14" t="str">
        <x:v>Planlandı</x:v>
      </x:c>
      <x:c r="S625" s="15" t="str"/>
      <x:c r="T625" s="14" t="str"/>
    </x:row>
    <x:row r="626">
      <x:c r="A626" s="14" t="n">
        <x:v>625</x:v>
      </x:c>
      <x:c r="B626" s="15" t="n">
        <x:v>46346</x:v>
      </x:c>
      <x:c r="C626" s="14" t="str">
        <x:v>Cuma</x:v>
      </x:c>
      <x:c r="D626" s="14" t="str">
        <x:v>Okul Tatili</x:v>
      </x:c>
      <x:c r="E626" s="14" t="str">
        <x:v>MEB 1. Dönem Ara Tatili</x:v>
      </x:c>
      <x:c r="F626" s="14" t="str">
        <x:v>F1 - Temel Kurma</x:v>
      </x:c>
      <x:c r="G626" s="14" t="str">
        <x:v>11:25</x:v>
      </x:c>
      <x:c r="H626" s="14" t="str">
        <x:v>11:55</x:v>
      </x:c>
      <x:c r="I626" s="14" t="str">
        <x:v>Türkçe</x:v>
      </x:c>
      <x:c r="J626" s="14" t="str">
        <x:v>Paragraf Rutini</x:v>
      </x:c>
      <x:c r="K626" s="14" t="str">
        <x:v>Paragraf</x:v>
      </x:c>
      <x:c r="L626" s="14" t="str">
        <x:v>En az 20 paragraf sorusu çöz; ilk 20 soruyu ileri sayımla ölç, D/Y/B + süre kaydet.</x:v>
      </x:c>
      <x:c r="M626" s="14" t="str">
        <x:v>Hız 8. Sınıf Türkçe Paragraf (ISBN 9786258394498)</x:v>
      </x:c>
      <x:c r="N626" s="14" t="str"/>
      <x:c r="O626" s="14" t="n">
        <x:v>20</x:v>
      </x:c>
      <x:c r="P626" s="14" t="str">
        <x:v>İlk 20 soru</x:v>
      </x:c>
      <x:c r="Q626" s="14" t="str">
        <x:v>Evet</x:v>
      </x:c>
      <x:c r="R626" s="14" t="str">
        <x:v>Planlandı</x:v>
      </x:c>
      <x:c r="S626" s="15" t="str"/>
      <x:c r="T626" s="14" t="str">
        <x:v>Geri sayım ve hedef süre yok.</x:v>
      </x:c>
    </x:row>
    <x:row r="627">
      <x:c r="A627" s="14" t="n">
        <x:v>626</x:v>
      </x:c>
      <x:c r="B627" s="15" t="n">
        <x:v>46346</x:v>
      </x:c>
      <x:c r="C627" s="14" t="str">
        <x:v>Cuma</x:v>
      </x:c>
      <x:c r="D627" s="14" t="str">
        <x:v>Okul Tatili</x:v>
      </x:c>
      <x:c r="E627" s="14" t="str">
        <x:v>MEB 1. Dönem Ara Tatili</x:v>
      </x:c>
      <x:c r="F627" s="14" t="str">
        <x:v>F1 - Temel Kurma</x:v>
      </x:c>
      <x:c r="G627" s="14" t="str">
        <x:v>14:00</x:v>
      </x:c>
      <x:c r="H627" s="14" t="str">
        <x:v>14:40</x:v>
      </x:c>
      <x:c r="I627" s="14" t="str">
        <x:v>Türkçe</x:v>
      </x:c>
      <x:c r="J627" s="14" t="str">
        <x:v>Konu / Tekrar</x:v>
      </x:c>
      <x:c r="K627" s="14" t="str">
        <x:v>Zarflar</x:v>
      </x:c>
      <x:c r="L627" s="14" t="str">
        <x:v>Zarflar — genel oynatma listesinden ilgili videoyu izle (1/2).</x:v>
      </x:c>
      <x:c r="M627" s="14" t="str">
        <x:v>Türkçe Ana Oynatma Listesi</x:v>
      </x:c>
      <x:c r="N627" s="14" t="str">
        <x:v>https://www.youtube.com/watch?v=VYsPntNKVdw&amp;list=PLIBjFaUoJJ91bz7QQEBlxNJNZka5YQRr6</x:v>
      </x:c>
      <x:c r="O627" s="14" t="n">
        <x:v>0</x:v>
      </x:c>
      <x:c r="P627" s="14" t="str">
        <x:v>Hayır</x:v>
      </x:c>
      <x:c r="Q627" s="14" t="str">
        <x:v>Evet</x:v>
      </x:c>
      <x:c r="R627" s="14" t="str">
        <x:v>Planlandı</x:v>
      </x:c>
      <x:c r="S627" s="15" t="str"/>
      <x:c r="T627" s="14" t="str">
        <x:v>TYT etiketli kaynak temelden başlamak için sabittir; LGS dışı gereksiz ayrıntı zorunlu değildir.</x:v>
      </x:c>
    </x:row>
    <x:row r="628">
      <x:c r="A628" s="14" t="n">
        <x:v>627</x:v>
      </x:c>
      <x:c r="B628" s="15" t="n">
        <x:v>46346</x:v>
      </x:c>
      <x:c r="C628" s="14" t="str">
        <x:v>Cuma</x:v>
      </x:c>
      <x:c r="D628" s="14" t="str">
        <x:v>Okul Tatili</x:v>
      </x:c>
      <x:c r="E628" s="14" t="str">
        <x:v>MEB 1. Dönem Ara Tatili</x:v>
      </x:c>
      <x:c r="F628" s="14" t="str">
        <x:v>F1 - Temel Kurma</x:v>
      </x:c>
      <x:c r="G628" s="14" t="str">
        <x:v>14:50</x:v>
      </x:c>
      <x:c r="H628" s="14" t="str">
        <x:v>15:30</x:v>
      </x:c>
      <x:c r="I628" s="14" t="str">
        <x:v>Türkçe</x:v>
      </x:c>
      <x:c r="J628" s="14" t="str">
        <x:v>Kitap / MEB / Mastery</x:v>
      </x:c>
      <x:c r="K628" s="14" t="str">
        <x:v>Zarflar</x:v>
      </x:c>
      <x:c r="L628" s="14" t="str">
        <x:v>Zarflar ile ilgili soru kitabından en az 10 soru / bugünkü test payını çöz.</x:v>
      </x:c>
      <x:c r="M628" s="14" t="str">
        <x:v>Ankara 8. Sınıf Dil Bilgisi Güçlendiren (eşleşen bölüm) + MEB temel destek</x:v>
      </x:c>
      <x:c r="N628" s="14" t="str">
        <x:v>https://odsgm.meb.gov.tr/www/5-6-7-ve-9-sinif-duzeylerinde-calisma-sorulari-yayimlandi/icerik/775</x:v>
      </x:c>
      <x:c r="O628" s="14" t="n">
        <x:v>10</x:v>
      </x:c>
      <x:c r="P628" s="14" t="str">
        <x:v>Hayır</x:v>
      </x:c>
      <x:c r="Q628" s="14" t="str">
        <x:v>Evet</x:v>
      </x:c>
      <x:c r="R628" s="14" t="str">
        <x:v>Planlandı</x:v>
      </x:c>
      <x:c r="S628" s="15" t="str"/>
      <x:c r="T628" s="14" t="str"/>
    </x:row>
    <x:row r="629">
      <x:c r="A629" s="14" t="n">
        <x:v>628</x:v>
      </x:c>
      <x:c r="B629" s="15" t="n">
        <x:v>46346</x:v>
      </x:c>
      <x:c r="C629" s="14" t="str">
        <x:v>Cuma</x:v>
      </x:c>
      <x:c r="D629" s="14" t="str">
        <x:v>Okul Tatili</x:v>
      </x:c>
      <x:c r="E629" s="14" t="str">
        <x:v>MEB 1. Dönem Ara Tatili</x:v>
      </x:c>
      <x:c r="F629" s="14" t="str">
        <x:v>F1 - Temel Kurma</x:v>
      </x:c>
      <x:c r="G629" s="14" t="str">
        <x:v>15:45</x:v>
      </x:c>
      <x:c r="H629" s="14" t="str">
        <x:v>16:25</x:v>
      </x:c>
      <x:c r="I629" s="14" t="str">
        <x:v>İnkılap</x:v>
      </x:c>
      <x:c r="J629" s="14" t="str">
        <x:v>Konu / Tekrar</x:v>
      </x:c>
      <x:c r="K629" s="14" t="str">
        <x:v>Mondros, İşgaller, Cemiyetler ve Kuvayımilliye</x:v>
      </x:c>
      <x:c r="L629" s="14" t="str">
        <x:v>Mondros, İşgaller, Cemiyetler ve Kuvayımilliye — genel oynatma listesinden ilgili konu/soru çalışmasını yap.</x:v>
      </x:c>
      <x:c r="M629" s="14" t="str">
        <x:v>İnkılap Genel Oynatma Listesi</x:v>
      </x:c>
      <x:c r="N629" s="14" t="str">
        <x:v>https://www.youtube.com/watch?v=MltIX0oKpYU&amp;list=PLsAsBPsriHNbXit4Ra3iuBrk1ZHZWxsOR&amp;index=78</x:v>
      </x:c>
      <x:c r="O629" s="14" t="n">
        <x:v>0</x:v>
      </x:c>
      <x:c r="P629" s="14" t="str">
        <x:v>Hayır</x:v>
      </x:c>
      <x:c r="Q629" s="14" t="str">
        <x:v>Evet</x:v>
      </x:c>
      <x:c r="R629" s="14" t="str">
        <x:v>Planlandı</x:v>
      </x:c>
      <x:c r="S629" s="15" t="str"/>
      <x:c r="T629" s="14" t="str">
        <x:v>İnkılapta okul yazılısı videoları zorunlu değildir.</x:v>
      </x:c>
    </x:row>
    <x:row r="630">
      <x:c r="A630" s="14" t="n">
        <x:v>629</x:v>
      </x:c>
      <x:c r="B630" s="15" t="n">
        <x:v>46346</x:v>
      </x:c>
      <x:c r="C630" s="14" t="str">
        <x:v>Cuma</x:v>
      </x:c>
      <x:c r="D630" s="14" t="str">
        <x:v>Okul Tatili</x:v>
      </x:c>
      <x:c r="E630" s="14" t="str">
        <x:v>MEB 1. Dönem Ara Tatili</x:v>
      </x:c>
      <x:c r="F630" s="14" t="str">
        <x:v>F1 - Temel Kurma</x:v>
      </x:c>
      <x:c r="G630" s="14" t="str">
        <x:v>16:35</x:v>
      </x:c>
      <x:c r="H630" s="14" t="str">
        <x:v>17:15</x:v>
      </x:c>
      <x:c r="I630" s="14" t="str">
        <x:v>İnkılap</x:v>
      </x:c>
      <x:c r="J630" s="14" t="str">
        <x:v>Kitap / MEB / Mastery</x:v>
      </x:c>
      <x:c r="K630" s="14" t="str">
        <x:v>Mondros, İşgaller, Cemiyetler ve Kuvayımilliye</x:v>
      </x:c>
      <x:c r="L630" s="14" t="str">
        <x:v>Mondros, İşgaller, Cemiyetler ve Kuvayımilliye ile ilgili soru kitabından en az 15 soru / bugünkü test payını çöz.</x:v>
      </x:c>
      <x:c r="M630" s="14" t="str">
        <x:v>Hız 8. Sınıf T.C. İnkılap Tarihi ve Atatürkçülük</x:v>
      </x:c>
      <x:c r="N630" s="14" t="str">
        <x:v>https://www.youtube.com/watch?v=MltIX0oKpYU&amp;list=PLsAsBPsriHNbXit4Ra3iuBrk1ZHZWxsOR&amp;index=78</x:v>
      </x:c>
      <x:c r="O630" s="14" t="n">
        <x:v>15</x:v>
      </x:c>
      <x:c r="P630" s="14" t="str">
        <x:v>Hayır</x:v>
      </x:c>
      <x:c r="Q630" s="14" t="str">
        <x:v>Evet</x:v>
      </x:c>
      <x:c r="R630" s="14" t="str">
        <x:v>Planlandı</x:v>
      </x:c>
      <x:c r="S630" s="15" t="str"/>
      <x:c r="T630" s="14" t="str"/>
    </x:row>
    <x:row r="631">
      <x:c r="A631" s="14" t="n">
        <x:v>630</x:v>
      </x:c>
      <x:c r="B631" s="15" t="n">
        <x:v>46346</x:v>
      </x:c>
      <x:c r="C631" s="14" t="str">
        <x:v>Cuma</x:v>
      </x:c>
      <x:c r="D631" s="14" t="str">
        <x:v>Okul Tatili</x:v>
      </x:c>
      <x:c r="E631" s="14" t="str">
        <x:v>MEB 1. Dönem Ara Tatili</x:v>
      </x:c>
      <x:c r="F631" s="14" t="str">
        <x:v>F1 - Temel Kurma</x:v>
      </x:c>
      <x:c r="G631" s="14" t="str">
        <x:v>18:25</x:v>
      </x:c>
      <x:c r="H631" s="14" t="str">
        <x:v>18:45</x:v>
      </x:c>
      <x:c r="I631" s="14" t="str">
        <x:v>Genel</x:v>
      </x:c>
      <x:c r="J631" s="14" t="str">
        <x:v>Yanlış / Boş Analizi</x:v>
      </x:c>
      <x:c r="K631" s="14" t="str">
        <x:v>Günlük</x:v>
      </x:c>
      <x:c r="L631" s="14" t="str">
        <x:v>Bugünkü yanlış/boşları kaydet; çözümünü öğrenmeden kapatma. Hata türünü sınıflandır.</x:v>
      </x:c>
      <x:c r="M631" s="14" t="str">
        <x:v>Yanlış Defteri</x:v>
      </x:c>
      <x:c r="N631" s="14" t="str"/>
      <x:c r="O631" s="14" t="n">
        <x:v>0</x:v>
      </x:c>
      <x:c r="P631" s="14" t="str">
        <x:v>Hayır</x:v>
      </x:c>
      <x:c r="Q631" s="14" t="str">
        <x:v>Evet</x:v>
      </x:c>
      <x:c r="R631" s="14" t="str">
        <x:v>Planlandı</x:v>
      </x:c>
      <x:c r="S631" s="15" t="str"/>
      <x:c r="T631" s="14" t="str"/>
    </x:row>
    <x:row r="632">
      <x:c r="A632" s="14" t="n">
        <x:v>631</x:v>
      </x:c>
      <x:c r="B632" s="15" t="n">
        <x:v>46346</x:v>
      </x:c>
      <x:c r="C632" s="14" t="str">
        <x:v>Cuma</x:v>
      </x:c>
      <x:c r="D632" s="14" t="str">
        <x:v>Okul Tatili</x:v>
      </x:c>
      <x:c r="E632" s="14" t="str">
        <x:v>MEB 1. Dönem Ara Tatili</x:v>
      </x:c>
      <x:c r="F632" s="14" t="str">
        <x:v>F1 - Temel Kurma</x:v>
      </x:c>
      <x:c r="G632" s="14" t="str">
        <x:v>18:45</x:v>
      </x:c>
      <x:c r="H632" s="14" t="str">
        <x:v>19:05</x:v>
      </x:c>
      <x:c r="I632" s="14" t="str">
        <x:v>Genel</x:v>
      </x:c>
      <x:c r="J632" s="14" t="str">
        <x:v>Aralıklı Hata Tekrarı</x:v>
      </x:c>
      <x:c r="K632" s="14" t="str">
        <x:v>+1 / +7 / +21</x:v>
      </x:c>
      <x:c r="L632" s="14" t="str">
        <x:v>Bugün vadesi gelen yanlış soruları tekrar çöz. Vadesi yoksa bu süre serbest/okuma olabilir.</x:v>
      </x:c>
      <x:c r="M632" s="14" t="str">
        <x:v>Yanlış Defteri</x:v>
      </x:c>
      <x:c r="N632" s="14" t="str"/>
      <x:c r="O632" s="14" t="n">
        <x:v>0</x:v>
      </x:c>
      <x:c r="P632" s="14" t="str">
        <x:v>Hayır</x:v>
      </x:c>
      <x:c r="Q632" s="14" t="str">
        <x:v>Koşullu</x:v>
      </x:c>
      <x:c r="R632" s="14" t="str">
        <x:v>Planlandı</x:v>
      </x:c>
      <x:c r="S632" s="15" t="str"/>
      <x:c r="T632" s="14" t="str">
        <x:v>Yanlışlar +1, +7 ve +21 gün aralıklarıyla tekrar edilir; hâlâ yanlışsa konu mastery durumu düşürülür.</x:v>
      </x:c>
    </x:row>
    <x:row r="633">
      <x:c r="A633" s="14" t="n">
        <x:v>632</x:v>
      </x:c>
      <x:c r="B633" s="15" t="n">
        <x:v>46346</x:v>
      </x:c>
      <x:c r="C633" s="14" t="str">
        <x:v>Cuma</x:v>
      </x:c>
      <x:c r="D633" s="14" t="str">
        <x:v>Okul Tatili</x:v>
      </x:c>
      <x:c r="E633" s="14" t="str">
        <x:v>MEB 1. Dönem Ara Tatili</x:v>
      </x:c>
      <x:c r="F633" s="14" t="str">
        <x:v>F1 - Temel Kurma</x:v>
      </x:c>
      <x:c r="G633" s="14" t="str">
        <x:v>20:00</x:v>
      </x:c>
      <x:c r="H633" s="14" t="str">
        <x:v>20:30</x:v>
      </x:c>
      <x:c r="I633" s="14" t="str">
        <x:v>Okuma</x:v>
      </x:c>
      <x:c r="J633" s="14" t="str">
        <x:v>İsteğe Bağlı</x:v>
      </x:c>
      <x:c r="K633" s="14" t="str">
        <x:v>Serbest Kitap</x:v>
      </x:c>
      <x:c r="L633" s="14" t="str">
        <x:v>Zorunlu çalışmalar bittiyse isteğe bağlı kitap oku.</x:v>
      </x:c>
      <x:c r="M633" s="14" t="str">
        <x:v>Serbest Kitap</x:v>
      </x:c>
      <x:c r="N633" s="14" t="str"/>
      <x:c r="O633" s="14" t="n">
        <x:v>0</x:v>
      </x:c>
      <x:c r="P633" s="14" t="str">
        <x:v>İsteğe Bağlı</x:v>
      </x:c>
      <x:c r="Q633" s="14" t="str">
        <x:v>Hayır</x:v>
      </x:c>
      <x:c r="R633" s="14" t="str">
        <x:v>Planlandı</x:v>
      </x:c>
      <x:c r="S633" s="15" t="str"/>
      <x:c r="T633" s="14" t="str">
        <x:v>Minimum süre yok.</x:v>
      </x:c>
    </x:row>
    <x:row r="634">
      <x:c r="A634" s="14" t="n">
        <x:v>633</x:v>
      </x:c>
      <x:c r="B634" s="15" t="n">
        <x:v>46346</x:v>
      </x:c>
      <x:c r="C634" s="14" t="str">
        <x:v>Cuma</x:v>
      </x:c>
      <x:c r="D634" s="14" t="str">
        <x:v>Okul Tatili</x:v>
      </x:c>
      <x:c r="E634" s="14" t="str">
        <x:v>MEB 1. Dönem Ara Tatili</x:v>
      </x:c>
      <x:c r="F634" s="14" t="str">
        <x:v>F1 - Temel Kurma</x:v>
      </x:c>
      <x:c r="G634" s="14" t="str">
        <x:v>21:50</x:v>
      </x:c>
      <x:c r="H634" s="14" t="str">
        <x:v>22:00</x:v>
      </x:c>
      <x:c r="I634" s="14" t="str">
        <x:v>Genel</x:v>
      </x:c>
      <x:c r="J634" s="14" t="str">
        <x:v>Uyku Hazırlığı</x:v>
      </x:c>
      <x:c r="K634" s="14" t="str"/>
      <x:c r="L634" s="14" t="str">
        <x:v>22:00'de yatakta ve uyku.</x:v>
      </x:c>
      <x:c r="M634" s="14" t="str"/>
      <x:c r="N634" s="14" t="str"/>
      <x:c r="O634" s="14" t="n">
        <x:v>0</x:v>
      </x:c>
      <x:c r="P634" s="14" t="str">
        <x:v>Hayır</x:v>
      </x:c>
      <x:c r="Q634" s="14" t="str">
        <x:v>Hayır</x:v>
      </x:c>
      <x:c r="R634" s="14" t="str">
        <x:v>Planlandı</x:v>
      </x:c>
      <x:c r="S634" s="15" t="str"/>
      <x:c r="T634" s="14" t="str"/>
    </x:row>
    <x:row r="635">
      <x:c r="A635" s="14" t="n">
        <x:v>634</x:v>
      </x:c>
      <x:c r="B635" s="15" t="n">
        <x:v>46347</x:v>
      </x:c>
      <x:c r="C635" s="14" t="str">
        <x:v>Cumartesi</x:v>
      </x:c>
      <x:c r="D635" s="14" t="str">
        <x:v>Hafta Sonu</x:v>
      </x:c>
      <x:c r="E635" s="14" t="str">
        <x:v>Tam gün</x:v>
      </x:c>
      <x:c r="F635" s="14" t="str">
        <x:v>F1 - Temel Kurma</x:v>
      </x:c>
      <x:c r="G635" s="14" t="str">
        <x:v>09:30</x:v>
      </x:c>
      <x:c r="H635" s="14" t="str">
        <x:v>10:15</x:v>
      </x:c>
      <x:c r="I635" s="14" t="str">
        <x:v>Matematik</x:v>
      </x:c>
      <x:c r="J635" s="14" t="str">
        <x:v>Konu / Tekrar</x:v>
      </x:c>
      <x:c r="K635" s="14" t="str">
        <x:v>Köklü Sayılar Altyapısı</x:v>
      </x:c>
      <x:c r="L635" s="14" t="str">
        <x:v>Köklü Sayılar Altyapısı — MEB doğrulaması öncesi 5-10 dk aktif hatırlama; gerekiyorsa ilgili playlist videosuna kısa dönüş yap.</x:v>
      </x:c>
      <x:c r="M635" s="14" t="str">
        <x:v>Matematik Ana Oynatma Listesi</x:v>
      </x:c>
      <x:c r="N635" s="14" t="str">
        <x:v>https://www.youtube.com/watch?v=EuJ89QzqrAg&amp;list=PLicNtF7vp6fnfDqrRLH6H7fIbzYT4ct4F&amp;index=11</x:v>
      </x:c>
      <x:c r="O635" s="14" t="n">
        <x:v>0</x:v>
      </x:c>
      <x:c r="P635" s="14" t="str">
        <x:v>Hayır</x:v>
      </x:c>
      <x:c r="Q635" s="14" t="str">
        <x:v>Evet</x:v>
      </x:c>
      <x:c r="R635" s="14" t="str">
        <x:v>Planlandı</x:v>
      </x:c>
      <x:c r="S635" s="15" t="str"/>
      <x:c r="T635" s="14" t="str">
        <x:v>Yeni konu ancak plan sırasıyla açılır; LGS dışı ileri TYT içeriği zorunlu değildir.</x:v>
      </x:c>
    </x:row>
    <x:row r="636">
      <x:c r="A636" s="14" t="n">
        <x:v>635</x:v>
      </x:c>
      <x:c r="B636" s="15" t="n">
        <x:v>46347</x:v>
      </x:c>
      <x:c r="C636" s="14" t="str">
        <x:v>Cumartesi</x:v>
      </x:c>
      <x:c r="D636" s="14" t="str">
        <x:v>Hafta Sonu</x:v>
      </x:c>
      <x:c r="E636" s="14" t="str">
        <x:v>Tam gün</x:v>
      </x:c>
      <x:c r="F636" s="14" t="str">
        <x:v>F1 - Temel Kurma</x:v>
      </x:c>
      <x:c r="G636" s="14" t="str">
        <x:v>10:25</x:v>
      </x:c>
      <x:c r="H636" s="14" t="str">
        <x:v>11:15</x:v>
      </x:c>
      <x:c r="I636" s="14" t="str">
        <x:v>Matematik</x:v>
      </x:c>
      <x:c r="J636" s="14" t="str">
        <x:v>Kitap / MEB / Mastery</x:v>
      </x:c>
      <x:c r="K636" s="14" t="str">
        <x:v>Köklü Sayılar Altyapısı</x:v>
      </x:c>
      <x:c r="L636" s="14" t="str">
        <x:v>Köklü Sayılar Altyapısı için ilgili MEB sorularını TAMAMLA; D/Y/B kaydet. Bu oturum konu mastery gate'idir.</x:v>
      </x:c>
      <x:c r="M636" s="14" t="str">
        <x:v>MEB Resmî Soru Seti</x:v>
      </x:c>
      <x:c r="N636" s="14" t="str">
        <x:v>https://odsgm.meb.gov.tr/www/5-6-7-ve-9-sinif-duzeylerinde-calisma-sorulari-yayimlandi/icerik/775</x:v>
      </x:c>
      <x:c r="O636" s="14" t="n">
        <x:v>0</x:v>
      </x:c>
      <x:c r="P636" s="14" t="str">
        <x:v>Hayır</x:v>
      </x:c>
      <x:c r="Q636" s="14" t="str">
        <x:v>Evet</x:v>
      </x:c>
      <x:c r="R636" s="14" t="str">
        <x:v>Planlandı</x:v>
      </x:c>
      <x:c r="S636" s="15" t="str"/>
      <x:c r="T636" s="14" t="str">
        <x:v>MEB sonucu Konu_Ustaligi sayfasına işlenir.</x:v>
      </x:c>
    </x:row>
    <x:row r="637">
      <x:c r="A637" s="14" t="n">
        <x:v>636</x:v>
      </x:c>
      <x:c r="B637" s="15" t="n">
        <x:v>46347</x:v>
      </x:c>
      <x:c r="C637" s="14" t="str">
        <x:v>Cumartesi</x:v>
      </x:c>
      <x:c r="D637" s="14" t="str">
        <x:v>Hafta Sonu</x:v>
      </x:c>
      <x:c r="E637" s="14" t="str">
        <x:v>Tam gün</x:v>
      </x:c>
      <x:c r="F637" s="14" t="str">
        <x:v>F1 - Temel Kurma</x:v>
      </x:c>
      <x:c r="G637" s="14" t="str">
        <x:v>12:00</x:v>
      </x:c>
      <x:c r="H637" s="14" t="str">
        <x:v>14:00</x:v>
      </x:c>
      <x:c r="I637" s="14" t="str">
        <x:v>Genel</x:v>
      </x:c>
      <x:c r="J637" s="14" t="str">
        <x:v>Yemek / Serbest Zaman</x:v>
      </x:c>
      <x:c r="K637" s="14" t="str"/>
      <x:c r="L637" s="14" t="str">
        <x:v>Yemek, hareket ve dinlenme.</x:v>
      </x:c>
      <x:c r="M637" s="14" t="str"/>
      <x:c r="N637" s="14" t="str"/>
      <x:c r="O637" s="14" t="n">
        <x:v>0</x:v>
      </x:c>
      <x:c r="P637" s="14" t="str">
        <x:v>Hayır</x:v>
      </x:c>
      <x:c r="Q637" s="14" t="str">
        <x:v>Hayır</x:v>
      </x:c>
      <x:c r="R637" s="14" t="str">
        <x:v>Planlandı</x:v>
      </x:c>
      <x:c r="S637" s="15" t="str"/>
      <x:c r="T637" s="14" t="str"/>
    </x:row>
    <x:row r="638">
      <x:c r="A638" s="14" t="n">
        <x:v>637</x:v>
      </x:c>
      <x:c r="B638" s="15" t="n">
        <x:v>46347</x:v>
      </x:c>
      <x:c r="C638" s="14" t="str">
        <x:v>Cumartesi</x:v>
      </x:c>
      <x:c r="D638" s="14" t="str">
        <x:v>Hafta Sonu</x:v>
      </x:c>
      <x:c r="E638" s="14" t="str">
        <x:v>Tam gün</x:v>
      </x:c>
      <x:c r="F638" s="14" t="str">
        <x:v>F1 - Temel Kurma</x:v>
      </x:c>
      <x:c r="G638" s="14" t="str">
        <x:v>11:25</x:v>
      </x:c>
      <x:c r="H638" s="14" t="str">
        <x:v>11:55</x:v>
      </x:c>
      <x:c r="I638" s="14" t="str">
        <x:v>Türkçe</x:v>
      </x:c>
      <x:c r="J638" s="14" t="str">
        <x:v>Paragraf Rutini</x:v>
      </x:c>
      <x:c r="K638" s="14" t="str">
        <x:v>Paragraf</x:v>
      </x:c>
      <x:c r="L638" s="14" t="str">
        <x:v>En az 20 paragraf sorusu çöz; ilk 20 soruyu ileri sayımla ölç, D/Y/B + süre kaydet.</x:v>
      </x:c>
      <x:c r="M638" s="14" t="str">
        <x:v>Hız 8. Sınıf Türkçe Paragraf (ISBN 9786258394498)</x:v>
      </x:c>
      <x:c r="N638" s="14" t="str"/>
      <x:c r="O638" s="14" t="n">
        <x:v>20</x:v>
      </x:c>
      <x:c r="P638" s="14" t="str">
        <x:v>İlk 20 soru</x:v>
      </x:c>
      <x:c r="Q638" s="14" t="str">
        <x:v>Evet</x:v>
      </x:c>
      <x:c r="R638" s="14" t="str">
        <x:v>Planlandı</x:v>
      </x:c>
      <x:c r="S638" s="15" t="str"/>
      <x:c r="T638" s="14" t="str">
        <x:v>Geri sayım ve hedef süre yok.</x:v>
      </x:c>
    </x:row>
    <x:row r="639">
      <x:c r="A639" s="14" t="n">
        <x:v>638</x:v>
      </x:c>
      <x:c r="B639" s="15" t="n">
        <x:v>46347</x:v>
      </x:c>
      <x:c r="C639" s="14" t="str">
        <x:v>Cumartesi</x:v>
      </x:c>
      <x:c r="D639" s="14" t="str">
        <x:v>Hafta Sonu</x:v>
      </x:c>
      <x:c r="E639" s="14" t="str">
        <x:v>Tam gün</x:v>
      </x:c>
      <x:c r="F639" s="14" t="str">
        <x:v>F1 - Temel Kurma</x:v>
      </x:c>
      <x:c r="G639" s="14" t="str">
        <x:v>14:00</x:v>
      </x:c>
      <x:c r="H639" s="14" t="str">
        <x:v>14:40</x:v>
      </x:c>
      <x:c r="I639" s="14" t="str">
        <x:v>Türkçe</x:v>
      </x:c>
      <x:c r="J639" s="14" t="str">
        <x:v>Konu / Tekrar</x:v>
      </x:c>
      <x:c r="K639" s="14" t="str">
        <x:v>Zarflar</x:v>
      </x:c>
      <x:c r="L639" s="14" t="str">
        <x:v>Zarflar — genel oynatma listesinden ilgili videoyu izle (2/2).</x:v>
      </x:c>
      <x:c r="M639" s="14" t="str">
        <x:v>Türkçe Ana Oynatma Listesi</x:v>
      </x:c>
      <x:c r="N639" s="14" t="str">
        <x:v>https://www.youtube.com/watch?v=VYsPntNKVdw&amp;list=PLIBjFaUoJJ91bz7QQEBlxNJNZka5YQRr6</x:v>
      </x:c>
      <x:c r="O639" s="14" t="n">
        <x:v>0</x:v>
      </x:c>
      <x:c r="P639" s="14" t="str">
        <x:v>Hayır</x:v>
      </x:c>
      <x:c r="Q639" s="14" t="str">
        <x:v>Evet</x:v>
      </x:c>
      <x:c r="R639" s="14" t="str">
        <x:v>Planlandı</x:v>
      </x:c>
      <x:c r="S639" s="15" t="str"/>
      <x:c r="T639" s="14" t="str">
        <x:v>TYT etiketli kaynak temelden başlamak için sabittir; LGS dışı gereksiz ayrıntı zorunlu değildir.</x:v>
      </x:c>
    </x:row>
    <x:row r="640">
      <x:c r="A640" s="14" t="n">
        <x:v>639</x:v>
      </x:c>
      <x:c r="B640" s="15" t="n">
        <x:v>46347</x:v>
      </x:c>
      <x:c r="C640" s="14" t="str">
        <x:v>Cumartesi</x:v>
      </x:c>
      <x:c r="D640" s="14" t="str">
        <x:v>Hafta Sonu</x:v>
      </x:c>
      <x:c r="E640" s="14" t="str">
        <x:v>Tam gün</x:v>
      </x:c>
      <x:c r="F640" s="14" t="str">
        <x:v>F1 - Temel Kurma</x:v>
      </x:c>
      <x:c r="G640" s="14" t="str">
        <x:v>14:50</x:v>
      </x:c>
      <x:c r="H640" s="14" t="str">
        <x:v>15:30</x:v>
      </x:c>
      <x:c r="I640" s="14" t="str">
        <x:v>Türkçe</x:v>
      </x:c>
      <x:c r="J640" s="14" t="str">
        <x:v>Kitap / MEB / Mastery</x:v>
      </x:c>
      <x:c r="K640" s="14" t="str">
        <x:v>Zarflar</x:v>
      </x:c>
      <x:c r="L640" s="14" t="str">
        <x:v>Zarflar ile ilgili soru kitabından en az 10 soru / bugünkü test payını çöz. İlgili kitap konu bölümünü bu oturumda bitirmeyi hedefle; sonraki oturum MEB doğrulaması.</x:v>
      </x:c>
      <x:c r="M640" s="14" t="str">
        <x:v>Ankara 8. Sınıf Dil Bilgisi Güçlendiren (eşleşen bölüm) + MEB temel destek</x:v>
      </x:c>
      <x:c r="N640" s="14" t="str">
        <x:v>https://odsgm.meb.gov.tr/www/5-6-7-ve-9-sinif-duzeylerinde-calisma-sorulari-yayimlandi/icerik/775</x:v>
      </x:c>
      <x:c r="O640" s="14" t="n">
        <x:v>10</x:v>
      </x:c>
      <x:c r="P640" s="14" t="str">
        <x:v>Hayır</x:v>
      </x:c>
      <x:c r="Q640" s="14" t="str">
        <x:v>Evet</x:v>
      </x:c>
      <x:c r="R640" s="14" t="str">
        <x:v>Planlandı</x:v>
      </x:c>
      <x:c r="S640" s="15" t="str"/>
      <x:c r="T640" s="14" t="str"/>
    </x:row>
    <x:row r="641">
      <x:c r="A641" s="14" t="n">
        <x:v>640</x:v>
      </x:c>
      <x:c r="B641" s="15" t="n">
        <x:v>46347</x:v>
      </x:c>
      <x:c r="C641" s="14" t="str">
        <x:v>Cumartesi</x:v>
      </x:c>
      <x:c r="D641" s="14" t="str">
        <x:v>Hafta Sonu</x:v>
      </x:c>
      <x:c r="E641" s="14" t="str">
        <x:v>Tam gün</x:v>
      </x:c>
      <x:c r="F641" s="14" t="str">
        <x:v>F1 - Temel Kurma</x:v>
      </x:c>
      <x:c r="G641" s="14" t="str">
        <x:v>15:45</x:v>
      </x:c>
      <x:c r="H641" s="14" t="str">
        <x:v>16:25</x:v>
      </x:c>
      <x:c r="I641" s="14" t="str">
        <x:v>İngilizce</x:v>
      </x:c>
      <x:c r="J641" s="14" t="str">
        <x:v>Konu / Tekrar</x:v>
      </x:c>
      <x:c r="K641" s="14" t="str">
        <x:v>Unit 4 - On The Phone</x:v>
      </x:c>
      <x:c r="L641" s="14" t="str">
        <x:v>Unit 4 - On The Phone — Content çalışmasını playlistten yap.</x:v>
      </x:c>
      <x:c r="M641" s="14" t="str">
        <x:v>İngilizce Genel Oynatma Listesi</x:v>
      </x:c>
      <x:c r="N641" s="14" t="str">
        <x:v>https://www.youtube.com/watch?v=FaY3dFjZbns&amp;list=PLSgpQDrUSYp94WgE9pzpHiOG5FwxnZBrr</x:v>
      </x:c>
      <x:c r="O641" s="14" t="n">
        <x:v>0</x:v>
      </x:c>
      <x:c r="P641" s="14" t="str">
        <x:v>Hayır</x:v>
      </x:c>
      <x:c r="Q641" s="14" t="str">
        <x:v>Evet</x:v>
      </x:c>
      <x:c r="R641" s="14" t="str">
        <x:v>Planlandı</x:v>
      </x:c>
      <x:c r="S641" s="15" t="str"/>
      <x:c r="T641" s="14" t="str"/>
    </x:row>
    <x:row r="642">
      <x:c r="A642" s="14" t="n">
        <x:v>641</x:v>
      </x:c>
      <x:c r="B642" s="15" t="n">
        <x:v>46347</x:v>
      </x:c>
      <x:c r="C642" s="14" t="str">
        <x:v>Cumartesi</x:v>
      </x:c>
      <x:c r="D642" s="14" t="str">
        <x:v>Hafta Sonu</x:v>
      </x:c>
      <x:c r="E642" s="14" t="str">
        <x:v>Tam gün</x:v>
      </x:c>
      <x:c r="F642" s="14" t="str">
        <x:v>F1 - Temel Kurma</x:v>
      </x:c>
      <x:c r="G642" s="14" t="str">
        <x:v>16:35</x:v>
      </x:c>
      <x:c r="H642" s="14" t="str">
        <x:v>17:15</x:v>
      </x:c>
      <x:c r="I642" s="14" t="str">
        <x:v>İngilizce</x:v>
      </x:c>
      <x:c r="J642" s="14" t="str">
        <x:v>Kitap / MEB / Mastery</x:v>
      </x:c>
      <x:c r="K642" s="14" t="str">
        <x:v>Unit 4 - On The Phone</x:v>
      </x:c>
      <x:c r="L642" s="14" t="str">
        <x:v>Unit 4 - On The Phone ile ilgili soru kitabından en az 15 soru / bugünkü test payını çöz.</x:v>
      </x:c>
      <x:c r="M642" s="14" t="str">
        <x:v>More &amp; More 8 Worksheets Notebook</x:v>
      </x:c>
      <x:c r="N642" s="14" t="str">
        <x:v>https://www.youtube.com/watch?v=FaY3dFjZbns&amp;list=PLSgpQDrUSYp94WgE9pzpHiOG5FwxnZBrr</x:v>
      </x:c>
      <x:c r="O642" s="14" t="n">
        <x:v>15</x:v>
      </x:c>
      <x:c r="P642" s="14" t="str">
        <x:v>Hayır</x:v>
      </x:c>
      <x:c r="Q642" s="14" t="str">
        <x:v>Evet</x:v>
      </x:c>
      <x:c r="R642" s="14" t="str">
        <x:v>Planlandı</x:v>
      </x:c>
      <x:c r="S642" s="15" t="str"/>
      <x:c r="T642" s="14" t="str"/>
    </x:row>
    <x:row r="643">
      <x:c r="A643" s="14" t="n">
        <x:v>642</x:v>
      </x:c>
      <x:c r="B643" s="15" t="n">
        <x:v>46347</x:v>
      </x:c>
      <x:c r="C643" s="14" t="str">
        <x:v>Cumartesi</x:v>
      </x:c>
      <x:c r="D643" s="14" t="str">
        <x:v>Hafta Sonu</x:v>
      </x:c>
      <x:c r="E643" s="14" t="str">
        <x:v>Tam gün</x:v>
      </x:c>
      <x:c r="F643" s="14" t="str">
        <x:v>F1 - Temel Kurma</x:v>
      </x:c>
      <x:c r="G643" s="14" t="str">
        <x:v>17:25</x:v>
      </x:c>
      <x:c r="H643" s="14" t="str">
        <x:v>17:55</x:v>
      </x:c>
      <x:c r="I643" s="14" t="str">
        <x:v>Fen</x:v>
      </x:c>
      <x:c r="J643" s="14" t="str">
        <x:v>Ek Fen Pekiştirme</x:v>
      </x:c>
      <x:c r="K643" s="14" t="str">
        <x:v>Katı Basıncı</x:v>
      </x:c>
      <x:c r="L643" s="14" t="str">
        <x:v>Katı Basıncı — MEB doğrulaması öncesi 5-10 dk aktif hatırlama; gerekiyorsa ilgili playlist videosuna kısa dönüş yap.</x:v>
      </x:c>
      <x:c r="M643" s="14" t="str">
        <x:v>Fen Konu/Soru Oynatma Listesi</x:v>
      </x:c>
      <x:c r="N643" s="14" t="str">
        <x:v>https://www.youtube.com/watch?v=pQXhWnDZ3vM&amp;list=PLrQm7mt99FRXcBnorCttd31HJEvg0En26&amp;index=23</x:v>
      </x:c>
      <x:c r="O643" s="14" t="n">
        <x:v>0</x:v>
      </x:c>
      <x:c r="P643" s="14" t="str">
        <x:v>Hayır</x:v>
      </x:c>
      <x:c r="Q643" s="14" t="str">
        <x:v>Evet</x:v>
      </x:c>
      <x:c r="R643" s="14" t="str">
        <x:v>Planlandı</x:v>
      </x:c>
      <x:c r="S643" s="15" t="str"/>
      <x:c r="T643" s="14" t="str">
        <x:v>Fen haftalık temas sıklığını artırmak için ek Cumartesi oturumu.</x:v>
      </x:c>
    </x:row>
    <x:row r="644">
      <x:c r="A644" s="14" t="n">
        <x:v>643</x:v>
      </x:c>
      <x:c r="B644" s="15" t="n">
        <x:v>46347</x:v>
      </x:c>
      <x:c r="C644" s="14" t="str">
        <x:v>Cumartesi</x:v>
      </x:c>
      <x:c r="D644" s="14" t="str">
        <x:v>Hafta Sonu</x:v>
      </x:c>
      <x:c r="E644" s="14" t="str">
        <x:v>Tam gün</x:v>
      </x:c>
      <x:c r="F644" s="14" t="str">
        <x:v>F1 - Temel Kurma</x:v>
      </x:c>
      <x:c r="G644" s="14" t="str">
        <x:v>17:55</x:v>
      </x:c>
      <x:c r="H644" s="14" t="str">
        <x:v>18:25</x:v>
      </x:c>
      <x:c r="I644" s="14" t="str">
        <x:v>Fen</x:v>
      </x:c>
      <x:c r="J644" s="14" t="str">
        <x:v>Ek Fen Kitap / MEB</x:v>
      </x:c>
      <x:c r="K644" s="14" t="str">
        <x:v>Katı Basıncı</x:v>
      </x:c>
      <x:c r="L644" s="14" t="str">
        <x:v>Katı Basıncı için ilgili MEB sorularını TAMAMLA; D/Y/B kaydet. Bu oturum konu mastery gate'idir.</x:v>
      </x:c>
      <x:c r="M644" s="14" t="str">
        <x:v>MEB 8. Sınıf Fen Soruları</x:v>
      </x:c>
      <x:c r="N644" s="14" t="str">
        <x:v>https://odsgm.meb.gov.tr/www/8sinif-calisma-sorulari/icerik/1632</x:v>
      </x:c>
      <x:c r="O644" s="14" t="n">
        <x:v>0</x:v>
      </x:c>
      <x:c r="P644" s="14" t="str">
        <x:v>Hayır</x:v>
      </x:c>
      <x:c r="Q644" s="14" t="str">
        <x:v>Evet</x:v>
      </x:c>
      <x:c r="R644" s="14" t="str">
        <x:v>Planlandı</x:v>
      </x:c>
      <x:c r="S644" s="15" t="str"/>
      <x:c r="T644" s="14" t="str">
        <x:v>Fen için Hız → gerekiyorsa Mozaik; MEB doğrulaması konu bitiminde.</x:v>
      </x:c>
    </x:row>
    <x:row r="645">
      <x:c r="A645" s="14" t="n">
        <x:v>644</x:v>
      </x:c>
      <x:c r="B645" s="15" t="n">
        <x:v>46347</x:v>
      </x:c>
      <x:c r="C645" s="14" t="str">
        <x:v>Cumartesi</x:v>
      </x:c>
      <x:c r="D645" s="14" t="str">
        <x:v>Hafta Sonu</x:v>
      </x:c>
      <x:c r="E645" s="14" t="str">
        <x:v>Tam gün</x:v>
      </x:c>
      <x:c r="F645" s="14" t="str">
        <x:v>F1 - Temel Kurma</x:v>
      </x:c>
      <x:c r="G645" s="14" t="str">
        <x:v>18:25</x:v>
      </x:c>
      <x:c r="H645" s="14" t="str">
        <x:v>18:45</x:v>
      </x:c>
      <x:c r="I645" s="14" t="str">
        <x:v>Genel</x:v>
      </x:c>
      <x:c r="J645" s="14" t="str">
        <x:v>Yanlış / Boş Analizi</x:v>
      </x:c>
      <x:c r="K645" s="14" t="str">
        <x:v>Günlük</x:v>
      </x:c>
      <x:c r="L645" s="14" t="str">
        <x:v>Bugünkü yanlış/boşları kaydet; çözümünü öğrenmeden kapatma. Hata türünü sınıflandır.</x:v>
      </x:c>
      <x:c r="M645" s="14" t="str">
        <x:v>Yanlış Defteri</x:v>
      </x:c>
      <x:c r="N645" s="14" t="str"/>
      <x:c r="O645" s="14" t="n">
        <x:v>0</x:v>
      </x:c>
      <x:c r="P645" s="14" t="str">
        <x:v>Hayır</x:v>
      </x:c>
      <x:c r="Q645" s="14" t="str">
        <x:v>Evet</x:v>
      </x:c>
      <x:c r="R645" s="14" t="str">
        <x:v>Planlandı</x:v>
      </x:c>
      <x:c r="S645" s="15" t="str"/>
      <x:c r="T645" s="14" t="str"/>
    </x:row>
    <x:row r="646">
      <x:c r="A646" s="14" t="n">
        <x:v>645</x:v>
      </x:c>
      <x:c r="B646" s="15" t="n">
        <x:v>46347</x:v>
      </x:c>
      <x:c r="C646" s="14" t="str">
        <x:v>Cumartesi</x:v>
      </x:c>
      <x:c r="D646" s="14" t="str">
        <x:v>Hafta Sonu</x:v>
      </x:c>
      <x:c r="E646" s="14" t="str">
        <x:v>Tam gün</x:v>
      </x:c>
      <x:c r="F646" s="14" t="str">
        <x:v>F1 - Temel Kurma</x:v>
      </x:c>
      <x:c r="G646" s="14" t="str">
        <x:v>18:45</x:v>
      </x:c>
      <x:c r="H646" s="14" t="str">
        <x:v>19:05</x:v>
      </x:c>
      <x:c r="I646" s="14" t="str">
        <x:v>Genel</x:v>
      </x:c>
      <x:c r="J646" s="14" t="str">
        <x:v>Aralıklı Hata Tekrarı</x:v>
      </x:c>
      <x:c r="K646" s="14" t="str">
        <x:v>+1 / +7 / +21</x:v>
      </x:c>
      <x:c r="L646" s="14" t="str">
        <x:v>Bugün vadesi gelen yanlış soruları tekrar çöz. Vadesi yoksa bu süre serbest/okuma olabilir.</x:v>
      </x:c>
      <x:c r="M646" s="14" t="str">
        <x:v>Yanlış Defteri</x:v>
      </x:c>
      <x:c r="N646" s="14" t="str"/>
      <x:c r="O646" s="14" t="n">
        <x:v>0</x:v>
      </x:c>
      <x:c r="P646" s="14" t="str">
        <x:v>Hayır</x:v>
      </x:c>
      <x:c r="Q646" s="14" t="str">
        <x:v>Koşullu</x:v>
      </x:c>
      <x:c r="R646" s="14" t="str">
        <x:v>Planlandı</x:v>
      </x:c>
      <x:c r="S646" s="15" t="str"/>
      <x:c r="T646" s="14" t="str">
        <x:v>Yanlışlar +1, +7 ve +21 gün aralıklarıyla tekrar edilir; hâlâ yanlışsa konu mastery durumu düşürülür.</x:v>
      </x:c>
    </x:row>
    <x:row r="647">
      <x:c r="A647" s="14" t="n">
        <x:v>646</x:v>
      </x:c>
      <x:c r="B647" s="15" t="n">
        <x:v>46347</x:v>
      </x:c>
      <x:c r="C647" s="14" t="str">
        <x:v>Cumartesi</x:v>
      </x:c>
      <x:c r="D647" s="14" t="str">
        <x:v>Hafta Sonu</x:v>
      </x:c>
      <x:c r="E647" s="14" t="str">
        <x:v>Tam gün</x:v>
      </x:c>
      <x:c r="F647" s="14" t="str">
        <x:v>F1 - Temel Kurma</x:v>
      </x:c>
      <x:c r="G647" s="14" t="str">
        <x:v>20:00</x:v>
      </x:c>
      <x:c r="H647" s="14" t="str">
        <x:v>20:30</x:v>
      </x:c>
      <x:c r="I647" s="14" t="str">
        <x:v>Okuma</x:v>
      </x:c>
      <x:c r="J647" s="14" t="str">
        <x:v>İsteğe Bağlı</x:v>
      </x:c>
      <x:c r="K647" s="14" t="str">
        <x:v>Serbest Kitap</x:v>
      </x:c>
      <x:c r="L647" s="14" t="str">
        <x:v>Zorunlu çalışmalar bittiyse isteğe bağlı kitap oku.</x:v>
      </x:c>
      <x:c r="M647" s="14" t="str">
        <x:v>Serbest Kitap</x:v>
      </x:c>
      <x:c r="N647" s="14" t="str"/>
      <x:c r="O647" s="14" t="n">
        <x:v>0</x:v>
      </x:c>
      <x:c r="P647" s="14" t="str">
        <x:v>İsteğe Bağlı</x:v>
      </x:c>
      <x:c r="Q647" s="14" t="str">
        <x:v>Hayır</x:v>
      </x:c>
      <x:c r="R647" s="14" t="str">
        <x:v>Planlandı</x:v>
      </x:c>
      <x:c r="S647" s="15" t="str"/>
      <x:c r="T647" s="14" t="str">
        <x:v>Minimum süre yok.</x:v>
      </x:c>
    </x:row>
    <x:row r="648">
      <x:c r="A648" s="14" t="n">
        <x:v>647</x:v>
      </x:c>
      <x:c r="B648" s="15" t="n">
        <x:v>46347</x:v>
      </x:c>
      <x:c r="C648" s="14" t="str">
        <x:v>Cumartesi</x:v>
      </x:c>
      <x:c r="D648" s="14" t="str">
        <x:v>Hafta Sonu</x:v>
      </x:c>
      <x:c r="E648" s="14" t="str">
        <x:v>Tam gün</x:v>
      </x:c>
      <x:c r="F648" s="14" t="str">
        <x:v>F1 - Temel Kurma</x:v>
      </x:c>
      <x:c r="G648" s="14" t="str">
        <x:v>21:50</x:v>
      </x:c>
      <x:c r="H648" s="14" t="str">
        <x:v>22:00</x:v>
      </x:c>
      <x:c r="I648" s="14" t="str">
        <x:v>Genel</x:v>
      </x:c>
      <x:c r="J648" s="14" t="str">
        <x:v>Uyku Hazırlığı</x:v>
      </x:c>
      <x:c r="K648" s="14" t="str"/>
      <x:c r="L648" s="14" t="str">
        <x:v>22:00'de yatakta ve uyku.</x:v>
      </x:c>
      <x:c r="M648" s="14" t="str"/>
      <x:c r="N648" s="14" t="str"/>
      <x:c r="O648" s="14" t="n">
        <x:v>0</x:v>
      </x:c>
      <x:c r="P648" s="14" t="str">
        <x:v>Hayır</x:v>
      </x:c>
      <x:c r="Q648" s="14" t="str">
        <x:v>Hayır</x:v>
      </x:c>
      <x:c r="R648" s="14" t="str">
        <x:v>Planlandı</x:v>
      </x:c>
      <x:c r="S648" s="15" t="str"/>
      <x:c r="T648" s="14" t="str"/>
    </x:row>
    <x:row r="649">
      <x:c r="A649" s="14" t="n">
        <x:v>648</x:v>
      </x:c>
      <x:c r="B649" s="15" t="n">
        <x:v>46348</x:v>
      </x:c>
      <x:c r="C649" s="14" t="str">
        <x:v>Pazar</x:v>
      </x:c>
      <x:c r="D649" s="14" t="str">
        <x:v>Hafta Sonu</x:v>
      </x:c>
      <x:c r="E649" s="14" t="str">
        <x:v>Tam gün</x:v>
      </x:c>
      <x:c r="F649" s="14" t="str">
        <x:v>F1 - Temel Kurma</x:v>
      </x:c>
      <x:c r="G649" s="14" t="str">
        <x:v>09:30</x:v>
      </x:c>
      <x:c r="H649" s="14" t="str">
        <x:v>10:15</x:v>
      </x:c>
      <x:c r="I649" s="14" t="str">
        <x:v>Matematik</x:v>
      </x:c>
      <x:c r="J649" s="14" t="str">
        <x:v>Konu / Tekrar</x:v>
      </x:c>
      <x:c r="K649" s="14" t="str">
        <x:v>Oran - Orantı</x:v>
      </x:c>
      <x:c r="L649" s="14" t="str">
        <x:v>Oran - Orantı — genel oynatma listesinden ilgili videoyu izle (1/4).</x:v>
      </x:c>
      <x:c r="M649" s="14" t="str">
        <x:v>Matematik Ana Oynatma Listesi</x:v>
      </x:c>
      <x:c r="N649" s="14" t="str">
        <x:v>https://www.youtube.com/watch?v=EuJ89QzqrAg&amp;list=PLicNtF7vp6fnfDqrRLH6H7fIbzYT4ct4F&amp;index=11</x:v>
      </x:c>
      <x:c r="O649" s="14" t="n">
        <x:v>0</x:v>
      </x:c>
      <x:c r="P649" s="14" t="str">
        <x:v>Hayır</x:v>
      </x:c>
      <x:c r="Q649" s="14" t="str">
        <x:v>Evet</x:v>
      </x:c>
      <x:c r="R649" s="14" t="str">
        <x:v>Planlandı</x:v>
      </x:c>
      <x:c r="S649" s="15" t="str"/>
      <x:c r="T649" s="14" t="str">
        <x:v>Yeni konu ancak plan sırasıyla açılır; LGS dışı ileri TYT içeriği zorunlu değildir.</x:v>
      </x:c>
    </x:row>
    <x:row r="650">
      <x:c r="A650" s="14" t="n">
        <x:v>649</x:v>
      </x:c>
      <x:c r="B650" s="15" t="n">
        <x:v>46348</x:v>
      </x:c>
      <x:c r="C650" s="14" t="str">
        <x:v>Pazar</x:v>
      </x:c>
      <x:c r="D650" s="14" t="str">
        <x:v>Hafta Sonu</x:v>
      </x:c>
      <x:c r="E650" s="14" t="str">
        <x:v>Tam gün</x:v>
      </x:c>
      <x:c r="F650" s="14" t="str">
        <x:v>F1 - Temel Kurma</x:v>
      </x:c>
      <x:c r="G650" s="14" t="str">
        <x:v>10:25</x:v>
      </x:c>
      <x:c r="H650" s="14" t="str">
        <x:v>11:15</x:v>
      </x:c>
      <x:c r="I650" s="14" t="str">
        <x:v>Matematik</x:v>
      </x:c>
      <x:c r="J650" s="14" t="str">
        <x:v>Kitap / MEB / Mastery</x:v>
      </x:c>
      <x:c r="K650" s="14" t="str">
        <x:v>Oran - Orantı</x:v>
      </x:c>
      <x:c r="L650" s="14" t="str">
        <x:v>Oran - Orantı ile ilgili soru kitabından en az 20 soru / bugünkü test payını çöz.</x:v>
      </x:c>
      <x:c r="M650" s="14" t="str">
        <x:v>MUBA 8. Sınıf Başlangıç Matematik (ISBN 9789756526972) (eşleşen bölüm) + MEB temel destek</x:v>
      </x:c>
      <x:c r="N650" s="14" t="str">
        <x:v>https://odsgm.meb.gov.tr/www/5-6-7-ve-9-sinif-duzeylerinde-calisma-sorulari-yayimlandi/icerik/775</x:v>
      </x:c>
      <x:c r="O650" s="14" t="n">
        <x:v>20</x:v>
      </x:c>
      <x:c r="P650" s="14" t="str">
        <x:v>İlk 20 soru</x:v>
      </x:c>
      <x:c r="Q650" s="14" t="str">
        <x:v>Evet</x:v>
      </x:c>
      <x:c r="R650" s="14" t="str">
        <x:v>Planlandı</x:v>
      </x:c>
      <x:c r="S650" s="15" t="str"/>
      <x:c r="T650" s="14" t="str">
        <x:v>Ayrı/rastgele matematik benchmark yoktur. Süreli ilk 20 soru o gün çalışılan konunun içindedir.</x:v>
      </x:c>
    </x:row>
    <x:row r="651">
      <x:c r="A651" s="14" t="n">
        <x:v>650</x:v>
      </x:c>
      <x:c r="B651" s="15" t="n">
        <x:v>46348</x:v>
      </x:c>
      <x:c r="C651" s="14" t="str">
        <x:v>Pazar</x:v>
      </x:c>
      <x:c r="D651" s="14" t="str">
        <x:v>Hafta Sonu</x:v>
      </x:c>
      <x:c r="E651" s="14" t="str">
        <x:v>Tam gün</x:v>
      </x:c>
      <x:c r="F651" s="14" t="str">
        <x:v>F1 - Temel Kurma</x:v>
      </x:c>
      <x:c r="G651" s="14" t="str">
        <x:v>12:00</x:v>
      </x:c>
      <x:c r="H651" s="14" t="str">
        <x:v>14:00</x:v>
      </x:c>
      <x:c r="I651" s="14" t="str">
        <x:v>Genel</x:v>
      </x:c>
      <x:c r="J651" s="14" t="str">
        <x:v>Yemek / Serbest Zaman</x:v>
      </x:c>
      <x:c r="K651" s="14" t="str"/>
      <x:c r="L651" s="14" t="str">
        <x:v>Yemek, hareket ve dinlenme.</x:v>
      </x:c>
      <x:c r="M651" s="14" t="str"/>
      <x:c r="N651" s="14" t="str"/>
      <x:c r="O651" s="14" t="n">
        <x:v>0</x:v>
      </x:c>
      <x:c r="P651" s="14" t="str">
        <x:v>Hayır</x:v>
      </x:c>
      <x:c r="Q651" s="14" t="str">
        <x:v>Hayır</x:v>
      </x:c>
      <x:c r="R651" s="14" t="str">
        <x:v>Planlandı</x:v>
      </x:c>
      <x:c r="S651" s="15" t="str"/>
      <x:c r="T651" s="14" t="str"/>
    </x:row>
    <x:row r="652">
      <x:c r="A652" s="14" t="n">
        <x:v>651</x:v>
      </x:c>
      <x:c r="B652" s="15" t="n">
        <x:v>46348</x:v>
      </x:c>
      <x:c r="C652" s="14" t="str">
        <x:v>Pazar</x:v>
      </x:c>
      <x:c r="D652" s="14" t="str">
        <x:v>Hafta Sonu</x:v>
      </x:c>
      <x:c r="E652" s="14" t="str">
        <x:v>Tam gün</x:v>
      </x:c>
      <x:c r="F652" s="14" t="str">
        <x:v>F1 - Temel Kurma</x:v>
      </x:c>
      <x:c r="G652" s="14" t="str">
        <x:v>11:25</x:v>
      </x:c>
      <x:c r="H652" s="14" t="str">
        <x:v>11:55</x:v>
      </x:c>
      <x:c r="I652" s="14" t="str">
        <x:v>Türkçe</x:v>
      </x:c>
      <x:c r="J652" s="14" t="str">
        <x:v>Paragraf Rutini</x:v>
      </x:c>
      <x:c r="K652" s="14" t="str">
        <x:v>Paragraf</x:v>
      </x:c>
      <x:c r="L652" s="14" t="str">
        <x:v>En az 20 paragraf sorusu çöz; ilk 20 soruyu ileri sayımla ölç, D/Y/B + süre kaydet.</x:v>
      </x:c>
      <x:c r="M652" s="14" t="str">
        <x:v>Hız 8. Sınıf Türkçe Paragraf (ISBN 9786258394498)</x:v>
      </x:c>
      <x:c r="N652" s="14" t="str"/>
      <x:c r="O652" s="14" t="n">
        <x:v>20</x:v>
      </x:c>
      <x:c r="P652" s="14" t="str">
        <x:v>İlk 20 soru</x:v>
      </x:c>
      <x:c r="Q652" s="14" t="str">
        <x:v>Evet</x:v>
      </x:c>
      <x:c r="R652" s="14" t="str">
        <x:v>Planlandı</x:v>
      </x:c>
      <x:c r="S652" s="15" t="str"/>
      <x:c r="T652" s="14" t="str">
        <x:v>Geri sayım ve hedef süre yok.</x:v>
      </x:c>
    </x:row>
    <x:row r="653">
      <x:c r="A653" s="14" t="n">
        <x:v>652</x:v>
      </x:c>
      <x:c r="B653" s="15" t="n">
        <x:v>46348</x:v>
      </x:c>
      <x:c r="C653" s="14" t="str">
        <x:v>Pazar</x:v>
      </x:c>
      <x:c r="D653" s="14" t="str">
        <x:v>Hafta Sonu</x:v>
      </x:c>
      <x:c r="E653" s="14" t="str">
        <x:v>Tam gün</x:v>
      </x:c>
      <x:c r="F653" s="14" t="str">
        <x:v>F1 - Temel Kurma</x:v>
      </x:c>
      <x:c r="G653" s="14" t="str">
        <x:v>14:00</x:v>
      </x:c>
      <x:c r="H653" s="14" t="str">
        <x:v>14:40</x:v>
      </x:c>
      <x:c r="I653" s="14" t="str">
        <x:v>Türkçe</x:v>
      </x:c>
      <x:c r="J653" s="14" t="str">
        <x:v>Konu / Tekrar</x:v>
      </x:c>
      <x:c r="K653" s="14" t="str">
        <x:v>Zarflar</x:v>
      </x:c>
      <x:c r="L653" s="14" t="str">
        <x:v>Zarflar — MEB doğrulaması öncesi 5-10 dk aktif hatırlama; gerekiyorsa ilgili playlist videosuna kısa dönüş yap.</x:v>
      </x:c>
      <x:c r="M653" s="14" t="str">
        <x:v>Türkçe Ana Oynatma Listesi</x:v>
      </x:c>
      <x:c r="N653" s="14" t="str">
        <x:v>https://www.youtube.com/watch?v=VYsPntNKVdw&amp;list=PLIBjFaUoJJ91bz7QQEBlxNJNZka5YQRr6</x:v>
      </x:c>
      <x:c r="O653" s="14" t="n">
        <x:v>0</x:v>
      </x:c>
      <x:c r="P653" s="14" t="str">
        <x:v>Hayır</x:v>
      </x:c>
      <x:c r="Q653" s="14" t="str">
        <x:v>Evet</x:v>
      </x:c>
      <x:c r="R653" s="14" t="str">
        <x:v>Planlandı</x:v>
      </x:c>
      <x:c r="S653" s="15" t="str"/>
      <x:c r="T653" s="14" t="str">
        <x:v>TYT etiketli kaynak temelden başlamak için sabittir; LGS dışı gereksiz ayrıntı zorunlu değildir.</x:v>
      </x:c>
    </x:row>
    <x:row r="654">
      <x:c r="A654" s="14" t="n">
        <x:v>653</x:v>
      </x:c>
      <x:c r="B654" s="15" t="n">
        <x:v>46348</x:v>
      </x:c>
      <x:c r="C654" s="14" t="str">
        <x:v>Pazar</x:v>
      </x:c>
      <x:c r="D654" s="14" t="str">
        <x:v>Hafta Sonu</x:v>
      </x:c>
      <x:c r="E654" s="14" t="str">
        <x:v>Tam gün</x:v>
      </x:c>
      <x:c r="F654" s="14" t="str">
        <x:v>F1 - Temel Kurma</x:v>
      </x:c>
      <x:c r="G654" s="14" t="str">
        <x:v>14:50</x:v>
      </x:c>
      <x:c r="H654" s="14" t="str">
        <x:v>15:30</x:v>
      </x:c>
      <x:c r="I654" s="14" t="str">
        <x:v>Türkçe</x:v>
      </x:c>
      <x:c r="J654" s="14" t="str">
        <x:v>Kitap / MEB / Mastery</x:v>
      </x:c>
      <x:c r="K654" s="14" t="str">
        <x:v>Zarflar</x:v>
      </x:c>
      <x:c r="L654" s="14" t="str">
        <x:v>Zarflar için ilgili MEB sorularını TAMAMLA; D/Y/B kaydet. Bu oturum konu mastery gate'idir.</x:v>
      </x:c>
      <x:c r="M654" s="14" t="str">
        <x:v>MEB Resmî Soru Seti</x:v>
      </x:c>
      <x:c r="N654" s="14" t="str">
        <x:v>https://odsgm.meb.gov.tr/www/5-6-7-ve-9-sinif-duzeylerinde-calisma-sorulari-yayimlandi/icerik/775</x:v>
      </x:c>
      <x:c r="O654" s="14" t="n">
        <x:v>0</x:v>
      </x:c>
      <x:c r="P654" s="14" t="str">
        <x:v>Hayır</x:v>
      </x:c>
      <x:c r="Q654" s="14" t="str">
        <x:v>Evet</x:v>
      </x:c>
      <x:c r="R654" s="14" t="str">
        <x:v>Planlandı</x:v>
      </x:c>
      <x:c r="S654" s="15" t="str"/>
      <x:c r="T654" s="14" t="str">
        <x:v>MEB sonucu Konu_Ustaligi sayfasına işlenir.</x:v>
      </x:c>
    </x:row>
    <x:row r="655">
      <x:c r="A655" s="14" t="n">
        <x:v>654</x:v>
      </x:c>
      <x:c r="B655" s="15" t="n">
        <x:v>46348</x:v>
      </x:c>
      <x:c r="C655" s="14" t="str">
        <x:v>Pazar</x:v>
      </x:c>
      <x:c r="D655" s="14" t="str">
        <x:v>Hafta Sonu</x:v>
      </x:c>
      <x:c r="E655" s="14" t="str">
        <x:v>Tam gün</x:v>
      </x:c>
      <x:c r="F655" s="14" t="str">
        <x:v>F1 - Temel Kurma</x:v>
      </x:c>
      <x:c r="G655" s="14" t="str">
        <x:v>15:45</x:v>
      </x:c>
      <x:c r="H655" s="14" t="str">
        <x:v>16:25</x:v>
      </x:c>
      <x:c r="I655" s="14" t="str">
        <x:v>Fen</x:v>
      </x:c>
      <x:c r="J655" s="14" t="str">
        <x:v>Konu / Tekrar</x:v>
      </x:c>
      <x:c r="K655" s="14" t="str">
        <x:v>Sıvı Basıncı</x:v>
      </x:c>
      <x:c r="L655" s="14" t="str">
        <x:v>Sıvı Basıncı — Fen konu anlatım playlistinden ilgili videoyu izle.</x:v>
      </x:c>
      <x:c r="M655" s="14" t="str">
        <x:v>Fen Konu Anlatım</x:v>
      </x:c>
      <x:c r="N655" s="14" t="str">
        <x:v>https://www.youtube.com/watch?v=AHdk01aR4Ko&amp;list=PLrQm7mt99FRV_Oe9xFavWzFpCIl7_XiWj</x:v>
      </x:c>
      <x:c r="O655" s="14" t="n">
        <x:v>0</x:v>
      </x:c>
      <x:c r="P655" s="14" t="str">
        <x:v>Hayır</x:v>
      </x:c>
      <x:c r="Q655" s="14" t="str">
        <x:v>Evet</x:v>
      </x:c>
      <x:c r="R655" s="14" t="str">
        <x:v>Planlandı</x:v>
      </x:c>
      <x:c r="S655" s="15" t="str"/>
      <x:c r="T655" s="14" t="str"/>
    </x:row>
    <x:row r="656">
      <x:c r="A656" s="14" t="n">
        <x:v>655</x:v>
      </x:c>
      <x:c r="B656" s="15" t="n">
        <x:v>46348</x:v>
      </x:c>
      <x:c r="C656" s="14" t="str">
        <x:v>Pazar</x:v>
      </x:c>
      <x:c r="D656" s="14" t="str">
        <x:v>Hafta Sonu</x:v>
      </x:c>
      <x:c r="E656" s="14" t="str">
        <x:v>Tam gün</x:v>
      </x:c>
      <x:c r="F656" s="14" t="str">
        <x:v>F1 - Temel Kurma</x:v>
      </x:c>
      <x:c r="G656" s="14" t="str">
        <x:v>16:35</x:v>
      </x:c>
      <x:c r="H656" s="14" t="str">
        <x:v>17:15</x:v>
      </x:c>
      <x:c r="I656" s="14" t="str">
        <x:v>Fen</x:v>
      </x:c>
      <x:c r="J656" s="14" t="str">
        <x:v>Kitap / MEB / Mastery</x:v>
      </x:c>
      <x:c r="K656" s="14" t="str">
        <x:v>Sıvı Basıncı</x:v>
      </x:c>
      <x:c r="L656" s="14" t="str">
        <x:v>Sıvı Basıncı ile ilgili soru kitabından en az 15 soru / bugünkü test payını çöz.</x:v>
      </x:c>
      <x:c r="M656" s="14" t="str">
        <x:v>Hız 8. Sınıf Fen (ISBN 9786257514859); tamamlandıysa Mozaik 8. Sınıf Fen</x:v>
      </x:c>
      <x:c r="N656" s="14" t="str">
        <x:v>https://www.youtube.com/watch?v=AHdk01aR4Ko&amp;list=PLrQm7mt99FRV_Oe9xFavWzFpCIl7_XiWj</x:v>
      </x:c>
      <x:c r="O656" s="14" t="n">
        <x:v>15</x:v>
      </x:c>
      <x:c r="P656" s="14" t="str">
        <x:v>Hayır</x:v>
      </x:c>
      <x:c r="Q656" s="14" t="str">
        <x:v>Evet</x:v>
      </x:c>
      <x:c r="R656" s="14" t="str">
        <x:v>Planlandı</x:v>
      </x:c>
      <x:c r="S656" s="15" t="str"/>
      <x:c r="T656" s="14" t="str"/>
    </x:row>
    <x:row r="657">
      <x:c r="A657" s="14" t="n">
        <x:v>656</x:v>
      </x:c>
      <x:c r="B657" s="15" t="n">
        <x:v>46348</x:v>
      </x:c>
      <x:c r="C657" s="14" t="str">
        <x:v>Pazar</x:v>
      </x:c>
      <x:c r="D657" s="14" t="str">
        <x:v>Hafta Sonu</x:v>
      </x:c>
      <x:c r="E657" s="14" t="str">
        <x:v>Tam gün</x:v>
      </x:c>
      <x:c r="F657" s="14" t="str">
        <x:v>F1 - Temel Kurma</x:v>
      </x:c>
      <x:c r="G657" s="14" t="str">
        <x:v>17:25</x:v>
      </x:c>
      <x:c r="H657" s="14" t="str">
        <x:v>18:25</x:v>
      </x:c>
      <x:c r="I657" s="14" t="str">
        <x:v>Genel</x:v>
      </x:c>
      <x:c r="J657" s="14" t="str">
        <x:v>Kaynak Tamamlama</x:v>
      </x:c>
      <x:c r="K657" s="14" t="str">
        <x:v>En Geride Kalan Kaynak</x:v>
      </x:c>
      <x:c r="L657" s="14" t="str">
        <x:v>Kaynak_Ilerleme sayfasında hedef yüzdesinin en gerisinde kalan ZORUNLU soru kaynağına 60 dk ayır. Öğrenilmemiş konudan ileri gitme.</x:v>
      </x:c>
      <x:c r="M657" s="14" t="str">
        <x:v>Kaynak İlerleme</x:v>
      </x:c>
      <x:c r="N657" s="14" t="str"/>
      <x:c r="O657" s="14" t="n">
        <x:v>0</x:v>
      </x:c>
      <x:c r="P657" s="14" t="str">
        <x:v>Hayır</x:v>
      </x:c>
      <x:c r="Q657" s="14" t="str">
        <x:v>Evet</x:v>
      </x:c>
      <x:c r="R657" s="14" t="str">
        <x:v>Planlandı</x:v>
      </x:c>
      <x:c r="S657" s="15" t="str"/>
      <x:c r="T657" s="14" t="str">
        <x:v>Amaç 13.04.2027'de zorunlu soru kitapları + ilgili MEB setlerini %100 tamamlamak.</x:v>
      </x:c>
    </x:row>
    <x:row r="658">
      <x:c r="A658" s="14" t="n">
        <x:v>657</x:v>
      </x:c>
      <x:c r="B658" s="15" t="n">
        <x:v>46348</x:v>
      </x:c>
      <x:c r="C658" s="14" t="str">
        <x:v>Pazar</x:v>
      </x:c>
      <x:c r="D658" s="14" t="str">
        <x:v>Hafta Sonu</x:v>
      </x:c>
      <x:c r="E658" s="14" t="str">
        <x:v>Tam gün</x:v>
      </x:c>
      <x:c r="F658" s="14" t="str">
        <x:v>F1 - Temel Kurma</x:v>
      </x:c>
      <x:c r="G658" s="14" t="str">
        <x:v>18:25</x:v>
      </x:c>
      <x:c r="H658" s="14" t="str">
        <x:v>18:45</x:v>
      </x:c>
      <x:c r="I658" s="14" t="str">
        <x:v>Genel</x:v>
      </x:c>
      <x:c r="J658" s="14" t="str">
        <x:v>Yanlış / Boş Analizi</x:v>
      </x:c>
      <x:c r="K658" s="14" t="str">
        <x:v>Günlük</x:v>
      </x:c>
      <x:c r="L658" s="14" t="str">
        <x:v>Bugünkü yanlış/boşları kaydet; çözümünü öğrenmeden kapatma. Hata türünü sınıflandır.</x:v>
      </x:c>
      <x:c r="M658" s="14" t="str">
        <x:v>Yanlış Defteri</x:v>
      </x:c>
      <x:c r="N658" s="14" t="str"/>
      <x:c r="O658" s="14" t="n">
        <x:v>0</x:v>
      </x:c>
      <x:c r="P658" s="14" t="str">
        <x:v>Hayır</x:v>
      </x:c>
      <x:c r="Q658" s="14" t="str">
        <x:v>Evet</x:v>
      </x:c>
      <x:c r="R658" s="14" t="str">
        <x:v>Planlandı</x:v>
      </x:c>
      <x:c r="S658" s="15" t="str"/>
      <x:c r="T658" s="14" t="str"/>
    </x:row>
    <x:row r="659">
      <x:c r="A659" s="14" t="n">
        <x:v>658</x:v>
      </x:c>
      <x:c r="B659" s="15" t="n">
        <x:v>46348</x:v>
      </x:c>
      <x:c r="C659" s="14" t="str">
        <x:v>Pazar</x:v>
      </x:c>
      <x:c r="D659" s="14" t="str">
        <x:v>Hafta Sonu</x:v>
      </x:c>
      <x:c r="E659" s="14" t="str">
        <x:v>Tam gün</x:v>
      </x:c>
      <x:c r="F659" s="14" t="str">
        <x:v>F1 - Temel Kurma</x:v>
      </x:c>
      <x:c r="G659" s="14" t="str">
        <x:v>18:45</x:v>
      </x:c>
      <x:c r="H659" s="14" t="str">
        <x:v>19:05</x:v>
      </x:c>
      <x:c r="I659" s="14" t="str">
        <x:v>Genel</x:v>
      </x:c>
      <x:c r="J659" s="14" t="str">
        <x:v>Aralıklı Hata Tekrarı</x:v>
      </x:c>
      <x:c r="K659" s="14" t="str">
        <x:v>+1 / +7 / +21</x:v>
      </x:c>
      <x:c r="L659" s="14" t="str">
        <x:v>Bugün vadesi gelen yanlış soruları tekrar çöz. Vadesi yoksa bu süre serbest/okuma olabilir.</x:v>
      </x:c>
      <x:c r="M659" s="14" t="str">
        <x:v>Yanlış Defteri</x:v>
      </x:c>
      <x:c r="N659" s="14" t="str"/>
      <x:c r="O659" s="14" t="n">
        <x:v>0</x:v>
      </x:c>
      <x:c r="P659" s="14" t="str">
        <x:v>Hayır</x:v>
      </x:c>
      <x:c r="Q659" s="14" t="str">
        <x:v>Koşullu</x:v>
      </x:c>
      <x:c r="R659" s="14" t="str">
        <x:v>Planlandı</x:v>
      </x:c>
      <x:c r="S659" s="15" t="str"/>
      <x:c r="T659" s="14" t="str">
        <x:v>Yanlışlar +1, +7 ve +21 gün aralıklarıyla tekrar edilir; hâlâ yanlışsa konu mastery durumu düşürülür.</x:v>
      </x:c>
    </x:row>
    <x:row r="660">
      <x:c r="A660" s="14" t="n">
        <x:v>659</x:v>
      </x:c>
      <x:c r="B660" s="15" t="n">
        <x:v>46348</x:v>
      </x:c>
      <x:c r="C660" s="14" t="str">
        <x:v>Pazar</x:v>
      </x:c>
      <x:c r="D660" s="14" t="str">
        <x:v>Hafta Sonu</x:v>
      </x:c>
      <x:c r="E660" s="14" t="str">
        <x:v>Tam gün</x:v>
      </x:c>
      <x:c r="F660" s="14" t="str">
        <x:v>F1 - Temel Kurma</x:v>
      </x:c>
      <x:c r="G660" s="14" t="str">
        <x:v>20:00</x:v>
      </x:c>
      <x:c r="H660" s="14" t="str">
        <x:v>20:30</x:v>
      </x:c>
      <x:c r="I660" s="14" t="str">
        <x:v>Okuma</x:v>
      </x:c>
      <x:c r="J660" s="14" t="str">
        <x:v>İsteğe Bağlı</x:v>
      </x:c>
      <x:c r="K660" s="14" t="str">
        <x:v>Serbest Kitap</x:v>
      </x:c>
      <x:c r="L660" s="14" t="str">
        <x:v>Zorunlu çalışmalar bittiyse isteğe bağlı kitap oku.</x:v>
      </x:c>
      <x:c r="M660" s="14" t="str">
        <x:v>Serbest Kitap</x:v>
      </x:c>
      <x:c r="N660" s="14" t="str"/>
      <x:c r="O660" s="14" t="n">
        <x:v>0</x:v>
      </x:c>
      <x:c r="P660" s="14" t="str">
        <x:v>İsteğe Bağlı</x:v>
      </x:c>
      <x:c r="Q660" s="14" t="str">
        <x:v>Hayır</x:v>
      </x:c>
      <x:c r="R660" s="14" t="str">
        <x:v>Planlandı</x:v>
      </x:c>
      <x:c r="S660" s="15" t="str"/>
      <x:c r="T660" s="14" t="str">
        <x:v>Minimum süre yok.</x:v>
      </x:c>
    </x:row>
    <x:row r="661">
      <x:c r="A661" s="14" t="n">
        <x:v>660</x:v>
      </x:c>
      <x:c r="B661" s="15" t="n">
        <x:v>46348</x:v>
      </x:c>
      <x:c r="C661" s="14" t="str">
        <x:v>Pazar</x:v>
      </x:c>
      <x:c r="D661" s="14" t="str">
        <x:v>Hafta Sonu</x:v>
      </x:c>
      <x:c r="E661" s="14" t="str">
        <x:v>Tam gün</x:v>
      </x:c>
      <x:c r="F661" s="14" t="str">
        <x:v>F1 - Temel Kurma</x:v>
      </x:c>
      <x:c r="G661" s="14" t="str">
        <x:v>21:50</x:v>
      </x:c>
      <x:c r="H661" s="14" t="str">
        <x:v>22:00</x:v>
      </x:c>
      <x:c r="I661" s="14" t="str">
        <x:v>Genel</x:v>
      </x:c>
      <x:c r="J661" s="14" t="str">
        <x:v>Uyku Hazırlığı</x:v>
      </x:c>
      <x:c r="K661" s="14" t="str"/>
      <x:c r="L661" s="14" t="str">
        <x:v>22:00'de yatakta ve uyku.</x:v>
      </x:c>
      <x:c r="M661" s="14" t="str"/>
      <x:c r="N661" s="14" t="str"/>
      <x:c r="O661" s="14" t="n">
        <x:v>0</x:v>
      </x:c>
      <x:c r="P661" s="14" t="str">
        <x:v>Hayır</x:v>
      </x:c>
      <x:c r="Q661" s="14" t="str">
        <x:v>Hayır</x:v>
      </x:c>
      <x:c r="R661" s="14" t="str">
        <x:v>Planlandı</x:v>
      </x:c>
      <x:c r="S661" s="15" t="str"/>
      <x:c r="T661" s="14" t="str"/>
    </x:row>
    <x:row r="662">
      <x:c r="A662" s="14" t="n">
        <x:v>661</x:v>
      </x:c>
      <x:c r="B662" s="15" t="n">
        <x:v>46349</x:v>
      </x:c>
      <x:c r="C662" s="14" t="str">
        <x:v>Pazartesi</x:v>
      </x:c>
      <x:c r="D662" s="14" t="str">
        <x:v>Okul Günü</x:v>
      </x:c>
      <x:c r="E662" s="14" t="str">
        <x:v>16:00 sonrası</x:v>
      </x:c>
      <x:c r="F662" s="14" t="str">
        <x:v>F1 - Temel Kurma</x:v>
      </x:c>
      <x:c r="G662" s="14" t="str">
        <x:v>16:00</x:v>
      </x:c>
      <x:c r="H662" s="14" t="str">
        <x:v>16:25</x:v>
      </x:c>
      <x:c r="I662" s="14" t="str">
        <x:v>Genel</x:v>
      </x:c>
      <x:c r="J662" s="14" t="str">
        <x:v>Dinlenme</x:v>
      </x:c>
      <x:c r="K662" s="14" t="str"/>
      <x:c r="L662" s="14" t="str">
        <x:v>Eve geliş, atıştırma ve dinlenme.</x:v>
      </x:c>
      <x:c r="M662" s="14" t="str"/>
      <x:c r="N662" s="14" t="str"/>
      <x:c r="O662" s="14" t="n">
        <x:v>0</x:v>
      </x:c>
      <x:c r="P662" s="14" t="str">
        <x:v>Hayır</x:v>
      </x:c>
      <x:c r="Q662" s="14" t="str">
        <x:v>Hayır</x:v>
      </x:c>
      <x:c r="R662" s="14" t="str">
        <x:v>Planlandı</x:v>
      </x:c>
      <x:c r="S662" s="15" t="str"/>
      <x:c r="T662" s="14" t="str"/>
    </x:row>
    <x:row r="663">
      <x:c r="A663" s="14" t="n">
        <x:v>662</x:v>
      </x:c>
      <x:c r="B663" s="15" t="n">
        <x:v>46349</x:v>
      </x:c>
      <x:c r="C663" s="14" t="str">
        <x:v>Pazartesi</x:v>
      </x:c>
      <x:c r="D663" s="14" t="str">
        <x:v>Okul Günü</x:v>
      </x:c>
      <x:c r="E663" s="14" t="str">
        <x:v>16:00 sonrası</x:v>
      </x:c>
      <x:c r="F663" s="14" t="str">
        <x:v>F1 - Temel Kurma</x:v>
      </x:c>
      <x:c r="G663" s="14" t="str">
        <x:v>16:25</x:v>
      </x:c>
      <x:c r="H663" s="14" t="str">
        <x:v>17:05</x:v>
      </x:c>
      <x:c r="I663" s="14" t="str">
        <x:v>Matematik</x:v>
      </x:c>
      <x:c r="J663" s="14" t="str">
        <x:v>Konu / Tekrar</x:v>
      </x:c>
      <x:c r="K663" s="14" t="str">
        <x:v>Oran - Orantı</x:v>
      </x:c>
      <x:c r="L663" s="14" t="str">
        <x:v>Oran - Orantı — genel oynatma listesinden ilgili videoyu izle (2/4).</x:v>
      </x:c>
      <x:c r="M663" s="14" t="str">
        <x:v>Matematik Ana Oynatma Listesi</x:v>
      </x:c>
      <x:c r="N663" s="14" t="str">
        <x:v>https://www.youtube.com/watch?v=EuJ89QzqrAg&amp;list=PLicNtF7vp6fnfDqrRLH6H7fIbzYT4ct4F&amp;index=11</x:v>
      </x:c>
      <x:c r="O663" s="14" t="n">
        <x:v>0</x:v>
      </x:c>
      <x:c r="P663" s="14" t="str">
        <x:v>Hayır</x:v>
      </x:c>
      <x:c r="Q663" s="14" t="str">
        <x:v>Evet</x:v>
      </x:c>
      <x:c r="R663" s="14" t="str">
        <x:v>Planlandı</x:v>
      </x:c>
      <x:c r="S663" s="15" t="str"/>
      <x:c r="T663" s="14" t="str">
        <x:v>Yeni konu ancak plan sırasıyla açılır; LGS dışı ileri TYT içeriği zorunlu değildir.</x:v>
      </x:c>
    </x:row>
    <x:row r="664">
      <x:c r="A664" s="14" t="n">
        <x:v>663</x:v>
      </x:c>
      <x:c r="B664" s="15" t="n">
        <x:v>46349</x:v>
      </x:c>
      <x:c r="C664" s="14" t="str">
        <x:v>Pazartesi</x:v>
      </x:c>
      <x:c r="D664" s="14" t="str">
        <x:v>Okul Günü</x:v>
      </x:c>
      <x:c r="E664" s="14" t="str">
        <x:v>16:00 sonrası</x:v>
      </x:c>
      <x:c r="F664" s="14" t="str">
        <x:v>F1 - Temel Kurma</x:v>
      </x:c>
      <x:c r="G664" s="14" t="str">
        <x:v>17:10</x:v>
      </x:c>
      <x:c r="H664" s="14" t="str">
        <x:v>17:55</x:v>
      </x:c>
      <x:c r="I664" s="14" t="str">
        <x:v>Matematik</x:v>
      </x:c>
      <x:c r="J664" s="14" t="str">
        <x:v>Kitap / MEB / Mastery</x:v>
      </x:c>
      <x:c r="K664" s="14" t="str">
        <x:v>Oran - Orantı</x:v>
      </x:c>
      <x:c r="L664" s="14" t="str">
        <x:v>Oran - Orantı ile ilgili soru kitabından en az 20 soru / bugünkü test payını çöz.</x:v>
      </x:c>
      <x:c r="M664" s="14" t="str">
        <x:v>MUBA 8. Sınıf Başlangıç Matematik (ISBN 9789756526972) (eşleşen bölüm) + MEB temel destek</x:v>
      </x:c>
      <x:c r="N664" s="14" t="str">
        <x:v>https://odsgm.meb.gov.tr/www/5-6-7-ve-9-sinif-duzeylerinde-calisma-sorulari-yayimlandi/icerik/775</x:v>
      </x:c>
      <x:c r="O664" s="14" t="n">
        <x:v>20</x:v>
      </x:c>
      <x:c r="P664" s="14" t="str">
        <x:v>İlk 20 soru</x:v>
      </x:c>
      <x:c r="Q664" s="14" t="str">
        <x:v>Evet</x:v>
      </x:c>
      <x:c r="R664" s="14" t="str">
        <x:v>Planlandı</x:v>
      </x:c>
      <x:c r="S664" s="15" t="str"/>
      <x:c r="T664" s="14" t="str">
        <x:v>Ayrı/rastgele matematik benchmark yoktur. Süreli ilk 20 soru o gün çalışılan konunun içindedir.</x:v>
      </x:c>
    </x:row>
    <x:row r="665">
      <x:c r="A665" s="14" t="n">
        <x:v>664</x:v>
      </x:c>
      <x:c r="B665" s="15" t="n">
        <x:v>46349</x:v>
      </x:c>
      <x:c r="C665" s="14" t="str">
        <x:v>Pazartesi</x:v>
      </x:c>
      <x:c r="D665" s="14" t="str">
        <x:v>Okul Günü</x:v>
      </x:c>
      <x:c r="E665" s="14" t="str">
        <x:v>16:00 sonrası</x:v>
      </x:c>
      <x:c r="F665" s="14" t="str">
        <x:v>F1 - Temel Kurma</x:v>
      </x:c>
      <x:c r="G665" s="14" t="str">
        <x:v>17:55</x:v>
      </x:c>
      <x:c r="H665" s="14" t="str">
        <x:v>18:25</x:v>
      </x:c>
      <x:c r="I665" s="14" t="str">
        <x:v>Genel</x:v>
      </x:c>
      <x:c r="J665" s="14" t="str">
        <x:v>Yemek / Serbest Zaman</x:v>
      </x:c>
      <x:c r="K665" s="14" t="str"/>
      <x:c r="L665" s="14" t="str">
        <x:v>Yemek, hareket ve dinlenme.</x:v>
      </x:c>
      <x:c r="M665" s="14" t="str"/>
      <x:c r="N665" s="14" t="str"/>
      <x:c r="O665" s="14" t="n">
        <x:v>0</x:v>
      </x:c>
      <x:c r="P665" s="14" t="str">
        <x:v>Hayır</x:v>
      </x:c>
      <x:c r="Q665" s="14" t="str">
        <x:v>Hayır</x:v>
      </x:c>
      <x:c r="R665" s="14" t="str">
        <x:v>Planlandı</x:v>
      </x:c>
      <x:c r="S665" s="15" t="str"/>
      <x:c r="T665" s="14" t="str"/>
    </x:row>
    <x:row r="666">
      <x:c r="A666" s="14" t="n">
        <x:v>665</x:v>
      </x:c>
      <x:c r="B666" s="15" t="n">
        <x:v>46349</x:v>
      </x:c>
      <x:c r="C666" s="14" t="str">
        <x:v>Pazartesi</x:v>
      </x:c>
      <x:c r="D666" s="14" t="str">
        <x:v>Okul Günü</x:v>
      </x:c>
      <x:c r="E666" s="14" t="str">
        <x:v>16:00 sonrası</x:v>
      </x:c>
      <x:c r="F666" s="14" t="str">
        <x:v>F1 - Temel Kurma</x:v>
      </x:c>
      <x:c r="G666" s="14" t="str">
        <x:v>18:25</x:v>
      </x:c>
      <x:c r="H666" s="14" t="str">
        <x:v>18:55</x:v>
      </x:c>
      <x:c r="I666" s="14" t="str">
        <x:v>Türkçe</x:v>
      </x:c>
      <x:c r="J666" s="14" t="str">
        <x:v>Paragraf Rutini</x:v>
      </x:c>
      <x:c r="K666" s="14" t="str">
        <x:v>Paragraf</x:v>
      </x:c>
      <x:c r="L666" s="14" t="str">
        <x:v>En az 20 paragraf sorusu çöz; ilk 20 soruyu ileri sayımla ölç, D/Y/B + süre kaydet.</x:v>
      </x:c>
      <x:c r="M666" s="14" t="str">
        <x:v>Hız 8. Sınıf Türkçe Paragraf (ISBN 9786258394498)</x:v>
      </x:c>
      <x:c r="N666" s="14" t="str"/>
      <x:c r="O666" s="14" t="n">
        <x:v>20</x:v>
      </x:c>
      <x:c r="P666" s="14" t="str">
        <x:v>İlk 20 soru</x:v>
      </x:c>
      <x:c r="Q666" s="14" t="str">
        <x:v>Evet</x:v>
      </x:c>
      <x:c r="R666" s="14" t="str">
        <x:v>Planlandı</x:v>
      </x:c>
      <x:c r="S666" s="15" t="str"/>
      <x:c r="T666" s="14" t="str">
        <x:v>Geri sayım ve hedef süre yok.</x:v>
      </x:c>
    </x:row>
    <x:row r="667">
      <x:c r="A667" s="14" t="n">
        <x:v>666</x:v>
      </x:c>
      <x:c r="B667" s="15" t="n">
        <x:v>46349</x:v>
      </x:c>
      <x:c r="C667" s="14" t="str">
        <x:v>Pazartesi</x:v>
      </x:c>
      <x:c r="D667" s="14" t="str">
        <x:v>Okul Günü</x:v>
      </x:c>
      <x:c r="E667" s="14" t="str">
        <x:v>16:00 sonrası</x:v>
      </x:c>
      <x:c r="F667" s="14" t="str">
        <x:v>F1 - Temel Kurma</x:v>
      </x:c>
      <x:c r="G667" s="14" t="str">
        <x:v>19:00</x:v>
      </x:c>
      <x:c r="H667" s="14" t="str">
        <x:v>19:35</x:v>
      </x:c>
      <x:c r="I667" s="14" t="str">
        <x:v>Türkçe</x:v>
      </x:c>
      <x:c r="J667" s="14" t="str">
        <x:v>Konu / Tekrar</x:v>
      </x:c>
      <x:c r="K667" s="14" t="str">
        <x:v>Edat - Bağlaç - Ünlem</x:v>
      </x:c>
      <x:c r="L667" s="14" t="str">
        <x:v>Edat - Bağlaç - Ünlem — genel oynatma listesinden ilgili videoyu izle (1/4).</x:v>
      </x:c>
      <x:c r="M667" s="14" t="str">
        <x:v>Türkçe Ana Oynatma Listesi</x:v>
      </x:c>
      <x:c r="N667" s="14" t="str">
        <x:v>https://www.youtube.com/watch?v=VYsPntNKVdw&amp;list=PLIBjFaUoJJ91bz7QQEBlxNJNZka5YQRr6</x:v>
      </x:c>
      <x:c r="O667" s="14" t="n">
        <x:v>0</x:v>
      </x:c>
      <x:c r="P667" s="14" t="str">
        <x:v>Hayır</x:v>
      </x:c>
      <x:c r="Q667" s="14" t="str">
        <x:v>Evet</x:v>
      </x:c>
      <x:c r="R667" s="14" t="str">
        <x:v>Planlandı</x:v>
      </x:c>
      <x:c r="S667" s="15" t="str"/>
      <x:c r="T667" s="14" t="str">
        <x:v>TYT etiketli kaynak temelden başlamak için sabittir; LGS dışı gereksiz ayrıntı zorunlu değildir.</x:v>
      </x:c>
    </x:row>
    <x:row r="668">
      <x:c r="A668" s="14" t="n">
        <x:v>667</x:v>
      </x:c>
      <x:c r="B668" s="15" t="n">
        <x:v>46349</x:v>
      </x:c>
      <x:c r="C668" s="14" t="str">
        <x:v>Pazartesi</x:v>
      </x:c>
      <x:c r="D668" s="14" t="str">
        <x:v>Okul Günü</x:v>
      </x:c>
      <x:c r="E668" s="14" t="str">
        <x:v>16:00 sonrası</x:v>
      </x:c>
      <x:c r="F668" s="14" t="str">
        <x:v>F1 - Temel Kurma</x:v>
      </x:c>
      <x:c r="G668" s="14" t="str">
        <x:v>19:40</x:v>
      </x:c>
      <x:c r="H668" s="14" t="str">
        <x:v>20:10</x:v>
      </x:c>
      <x:c r="I668" s="14" t="str">
        <x:v>Türkçe</x:v>
      </x:c>
      <x:c r="J668" s="14" t="str">
        <x:v>Kitap / MEB / Mastery</x:v>
      </x:c>
      <x:c r="K668" s="14" t="str">
        <x:v>Edat - Bağlaç - Ünlem</x:v>
      </x:c>
      <x:c r="L668" s="14" t="str">
        <x:v>Edat - Bağlaç - Ünlem ile ilgili soru kitabından en az 10 soru / bugünkü test payını çöz.</x:v>
      </x:c>
      <x:c r="M668" s="14" t="str">
        <x:v>Ankara 8. Sınıf Dil Bilgisi Güçlendiren (eşleşen bölüm) + MEB temel destek</x:v>
      </x:c>
      <x:c r="N668" s="14" t="str">
        <x:v>https://odsgm.meb.gov.tr/www/5-6-7-ve-9-sinif-duzeylerinde-calisma-sorulari-yayimlandi/icerik/775</x:v>
      </x:c>
      <x:c r="O668" s="14" t="n">
        <x:v>10</x:v>
      </x:c>
      <x:c r="P668" s="14" t="str">
        <x:v>Hayır</x:v>
      </x:c>
      <x:c r="Q668" s="14" t="str">
        <x:v>Evet</x:v>
      </x:c>
      <x:c r="R668" s="14" t="str">
        <x:v>Planlandı</x:v>
      </x:c>
      <x:c r="S668" s="15" t="str"/>
      <x:c r="T668" s="14" t="str"/>
    </x:row>
    <x:row r="669">
      <x:c r="A669" s="14" t="n">
        <x:v>668</x:v>
      </x:c>
      <x:c r="B669" s="15" t="n">
        <x:v>46349</x:v>
      </x:c>
      <x:c r="C669" s="14" t="str">
        <x:v>Pazartesi</x:v>
      </x:c>
      <x:c r="D669" s="14" t="str">
        <x:v>Okul Günü</x:v>
      </x:c>
      <x:c r="E669" s="14" t="str">
        <x:v>16:00 sonrası</x:v>
      </x:c>
      <x:c r="F669" s="14" t="str">
        <x:v>F1 - Temel Kurma</x:v>
      </x:c>
      <x:c r="G669" s="14" t="str">
        <x:v>20:15</x:v>
      </x:c>
      <x:c r="H669" s="14" t="str">
        <x:v>20:50</x:v>
      </x:c>
      <x:c r="I669" s="14" t="str">
        <x:v>Din</x:v>
      </x:c>
      <x:c r="J669" s="14" t="str">
        <x:v>Konu / Tekrar</x:v>
      </x:c>
      <x:c r="K669" s="14" t="str">
        <x:v>Hz. Şuayb ve Maun Suresi</x:v>
      </x:c>
      <x:c r="L669" s="14" t="str">
        <x:v>Hz. Şuayb ve Maun Suresi — genel oynatma listesinden ilgili konu/soru çalışmasını yap.</x:v>
      </x:c>
      <x:c r="M669" s="14" t="str">
        <x:v>Din Genel Oynatma Listesi</x:v>
      </x:c>
      <x:c r="N669" s="14" t="str">
        <x:v>https://www.youtube.com/watch?v=wvdOE_75VnA&amp;list=PLbRoPq-Zu-SWXGUbVt4t4UWo-4VjsMUo-&amp;index=2</x:v>
      </x:c>
      <x:c r="O669" s="14" t="n">
        <x:v>0</x:v>
      </x:c>
      <x:c r="P669" s="14" t="str">
        <x:v>Hayır</x:v>
      </x:c>
      <x:c r="Q669" s="14" t="str">
        <x:v>Evet</x:v>
      </x:c>
      <x:c r="R669" s="14" t="str">
        <x:v>Planlandı</x:v>
      </x:c>
      <x:c r="S669" s="15" t="str"/>
      <x:c r="T669" s="14" t="str"/>
    </x:row>
    <x:row r="670">
      <x:c r="A670" s="14" t="n">
        <x:v>669</x:v>
      </x:c>
      <x:c r="B670" s="15" t="n">
        <x:v>46349</x:v>
      </x:c>
      <x:c r="C670" s="14" t="str">
        <x:v>Pazartesi</x:v>
      </x:c>
      <x:c r="D670" s="14" t="str">
        <x:v>Okul Günü</x:v>
      </x:c>
      <x:c r="E670" s="14" t="str">
        <x:v>16:00 sonrası</x:v>
      </x:c>
      <x:c r="F670" s="14" t="str">
        <x:v>F1 - Temel Kurma</x:v>
      </x:c>
      <x:c r="G670" s="14" t="str">
        <x:v>20:55</x:v>
      </x:c>
      <x:c r="H670" s="14" t="str">
        <x:v>21:20</x:v>
      </x:c>
      <x:c r="I670" s="14" t="str">
        <x:v>Din</x:v>
      </x:c>
      <x:c r="J670" s="14" t="str">
        <x:v>Kitap / MEB / Mastery</x:v>
      </x:c>
      <x:c r="K670" s="14" t="str">
        <x:v>Hz. Şuayb ve Maun Suresi</x:v>
      </x:c>
      <x:c r="L670" s="14" t="str">
        <x:v>Hz. Şuayb ve Maun Suresi ile ilgili soru kitabından en az 15 soru / bugünkü test payını çöz.</x:v>
      </x:c>
      <x:c r="M670" s="14" t="str">
        <x:v>Hız 8. Sınıf Din Kültürü ve Ahlak Bilgisi</x:v>
      </x:c>
      <x:c r="N670" s="14" t="str">
        <x:v>https://www.youtube.com/watch?v=wvdOE_75VnA&amp;list=PLbRoPq-Zu-SWXGUbVt4t4UWo-4VjsMUo-&amp;index=2</x:v>
      </x:c>
      <x:c r="O670" s="14" t="n">
        <x:v>15</x:v>
      </x:c>
      <x:c r="P670" s="14" t="str">
        <x:v>Hayır</x:v>
      </x:c>
      <x:c r="Q670" s="14" t="str">
        <x:v>Evet</x:v>
      </x:c>
      <x:c r="R670" s="14" t="str">
        <x:v>Planlandı</x:v>
      </x:c>
      <x:c r="S670" s="15" t="str"/>
      <x:c r="T670" s="14" t="str"/>
    </x:row>
    <x:row r="671">
      <x:c r="A671" s="14" t="n">
        <x:v>670</x:v>
      </x:c>
      <x:c r="B671" s="15" t="n">
        <x:v>46349</x:v>
      </x:c>
      <x:c r="C671" s="14" t="str">
        <x:v>Pazartesi</x:v>
      </x:c>
      <x:c r="D671" s="14" t="str">
        <x:v>Okul Günü</x:v>
      </x:c>
      <x:c r="E671" s="14" t="str">
        <x:v>16:00 sonrası</x:v>
      </x:c>
      <x:c r="F671" s="14" t="str">
        <x:v>F1 - Temel Kurma</x:v>
      </x:c>
      <x:c r="G671" s="14" t="str">
        <x:v>21:20</x:v>
      </x:c>
      <x:c r="H671" s="14" t="str">
        <x:v>21:35</x:v>
      </x:c>
      <x:c r="I671" s="14" t="str">
        <x:v>Genel</x:v>
      </x:c>
      <x:c r="J671" s="14" t="str">
        <x:v>Yanlış / Boş Analizi</x:v>
      </x:c>
      <x:c r="K671" s="14" t="str">
        <x:v>Günlük</x:v>
      </x:c>
      <x:c r="L671" s="14" t="str">
        <x:v>Bugünkü yanlış/boşları kaydet; çözümünü öğrenmeden kapatma. Hata türünü sınıflandır.</x:v>
      </x:c>
      <x:c r="M671" s="14" t="str">
        <x:v>Yanlış Defteri</x:v>
      </x:c>
      <x:c r="N671" s="14" t="str"/>
      <x:c r="O671" s="14" t="n">
        <x:v>0</x:v>
      </x:c>
      <x:c r="P671" s="14" t="str">
        <x:v>Hayır</x:v>
      </x:c>
      <x:c r="Q671" s="14" t="str">
        <x:v>Evet</x:v>
      </x:c>
      <x:c r="R671" s="14" t="str">
        <x:v>Planlandı</x:v>
      </x:c>
      <x:c r="S671" s="15" t="str"/>
      <x:c r="T671" s="14" t="str"/>
    </x:row>
    <x:row r="672">
      <x:c r="A672" s="14" t="n">
        <x:v>671</x:v>
      </x:c>
      <x:c r="B672" s="15" t="n">
        <x:v>46349</x:v>
      </x:c>
      <x:c r="C672" s="14" t="str">
        <x:v>Pazartesi</x:v>
      </x:c>
      <x:c r="D672" s="14" t="str">
        <x:v>Okul Günü</x:v>
      </x:c>
      <x:c r="E672" s="14" t="str">
        <x:v>16:00 sonrası</x:v>
      </x:c>
      <x:c r="F672" s="14" t="str">
        <x:v>F1 - Temel Kurma</x:v>
      </x:c>
      <x:c r="G672" s="14" t="str">
        <x:v>21:35</x:v>
      </x:c>
      <x:c r="H672" s="14" t="str">
        <x:v>21:50</x:v>
      </x:c>
      <x:c r="I672" s="14" t="str">
        <x:v>Genel</x:v>
      </x:c>
      <x:c r="J672" s="14" t="str">
        <x:v>Aralıklı Hata Tekrarı</x:v>
      </x:c>
      <x:c r="K672" s="14" t="str">
        <x:v>+1 / +7 / +21</x:v>
      </x:c>
      <x:c r="L672" s="14" t="str">
        <x:v>Bugün vadesi gelen yanlış soruları tekrar çöz. Vadesi yoksa bu süre serbest/okuma olabilir.</x:v>
      </x:c>
      <x:c r="M672" s="14" t="str">
        <x:v>Yanlış Defteri</x:v>
      </x:c>
      <x:c r="N672" s="14" t="str"/>
      <x:c r="O672" s="14" t="n">
        <x:v>0</x:v>
      </x:c>
      <x:c r="P672" s="14" t="str">
        <x:v>Hayır</x:v>
      </x:c>
      <x:c r="Q672" s="14" t="str">
        <x:v>Koşullu</x:v>
      </x:c>
      <x:c r="R672" s="14" t="str">
        <x:v>Planlandı</x:v>
      </x:c>
      <x:c r="S672" s="15" t="str"/>
      <x:c r="T672" s="14" t="str">
        <x:v>Yanlışlar +1, +7 ve +21 gün aralıklarıyla tekrar edilir; hâlâ yanlışsa konu mastery durumu düşürülür.</x:v>
      </x:c>
    </x:row>
    <x:row r="673">
      <x:c r="A673" s="14" t="n">
        <x:v>672</x:v>
      </x:c>
      <x:c r="B673" s="15" t="n">
        <x:v>46349</x:v>
      </x:c>
      <x:c r="C673" s="14" t="str">
        <x:v>Pazartesi</x:v>
      </x:c>
      <x:c r="D673" s="14" t="str">
        <x:v>Okul Günü</x:v>
      </x:c>
      <x:c r="E673" s="14" t="str">
        <x:v>16:00 sonrası</x:v>
      </x:c>
      <x:c r="F673" s="14" t="str">
        <x:v>F1 - Temel Kurma</x:v>
      </x:c>
      <x:c r="G673" s="14" t="str">
        <x:v>21:50</x:v>
      </x:c>
      <x:c r="H673" s="14" t="str">
        <x:v>22:00</x:v>
      </x:c>
      <x:c r="I673" s="14" t="str">
        <x:v>Genel</x:v>
      </x:c>
      <x:c r="J673" s="14" t="str">
        <x:v>Uyku Hazırlığı</x:v>
      </x:c>
      <x:c r="K673" s="14" t="str"/>
      <x:c r="L673" s="14" t="str">
        <x:v>22:00'de yatakta ve uyku.</x:v>
      </x:c>
      <x:c r="M673" s="14" t="str"/>
      <x:c r="N673" s="14" t="str"/>
      <x:c r="O673" s="14" t="n">
        <x:v>0</x:v>
      </x:c>
      <x:c r="P673" s="14" t="str">
        <x:v>Hayır</x:v>
      </x:c>
      <x:c r="Q673" s="14" t="str">
        <x:v>Hayır</x:v>
      </x:c>
      <x:c r="R673" s="14" t="str">
        <x:v>Planlandı</x:v>
      </x:c>
      <x:c r="S673" s="15" t="str"/>
      <x:c r="T673" s="14" t="str"/>
    </x:row>
    <x:row r="674">
      <x:c r="A674" s="14" t="n">
        <x:v>673</x:v>
      </x:c>
      <x:c r="B674" s="15" t="n">
        <x:v>46350</x:v>
      </x:c>
      <x:c r="C674" s="14" t="str">
        <x:v>Salı</x:v>
      </x:c>
      <x:c r="D674" s="14" t="str">
        <x:v>Okul Günü</x:v>
      </x:c>
      <x:c r="E674" s="14" t="str">
        <x:v>16:00 sonrası</x:v>
      </x:c>
      <x:c r="F674" s="14" t="str">
        <x:v>F1 - Temel Kurma</x:v>
      </x:c>
      <x:c r="G674" s="14" t="str">
        <x:v>16:00</x:v>
      </x:c>
      <x:c r="H674" s="14" t="str">
        <x:v>16:25</x:v>
      </x:c>
      <x:c r="I674" s="14" t="str">
        <x:v>Genel</x:v>
      </x:c>
      <x:c r="J674" s="14" t="str">
        <x:v>Dinlenme</x:v>
      </x:c>
      <x:c r="K674" s="14" t="str"/>
      <x:c r="L674" s="14" t="str">
        <x:v>Eve geliş, atıştırma ve dinlenme.</x:v>
      </x:c>
      <x:c r="M674" s="14" t="str"/>
      <x:c r="N674" s="14" t="str"/>
      <x:c r="O674" s="14" t="n">
        <x:v>0</x:v>
      </x:c>
      <x:c r="P674" s="14" t="str">
        <x:v>Hayır</x:v>
      </x:c>
      <x:c r="Q674" s="14" t="str">
        <x:v>Hayır</x:v>
      </x:c>
      <x:c r="R674" s="14" t="str">
        <x:v>Planlandı</x:v>
      </x:c>
      <x:c r="S674" s="15" t="str"/>
      <x:c r="T674" s="14" t="str"/>
    </x:row>
    <x:row r="675">
      <x:c r="A675" s="14" t="n">
        <x:v>674</x:v>
      </x:c>
      <x:c r="B675" s="15" t="n">
        <x:v>46350</x:v>
      </x:c>
      <x:c r="C675" s="14" t="str">
        <x:v>Salı</x:v>
      </x:c>
      <x:c r="D675" s="14" t="str">
        <x:v>Okul Günü</x:v>
      </x:c>
      <x:c r="E675" s="14" t="str">
        <x:v>16:00 sonrası</x:v>
      </x:c>
      <x:c r="F675" s="14" t="str">
        <x:v>F1 - Temel Kurma</x:v>
      </x:c>
      <x:c r="G675" s="14" t="str">
        <x:v>16:25</x:v>
      </x:c>
      <x:c r="H675" s="14" t="str">
        <x:v>17:05</x:v>
      </x:c>
      <x:c r="I675" s="14" t="str">
        <x:v>Matematik</x:v>
      </x:c>
      <x:c r="J675" s="14" t="str">
        <x:v>Konu / Tekrar</x:v>
      </x:c>
      <x:c r="K675" s="14" t="str">
        <x:v>Oran - Orantı</x:v>
      </x:c>
      <x:c r="L675" s="14" t="str">
        <x:v>Oran - Orantı — genel oynatma listesinden ilgili videoyu izle (3/4).</x:v>
      </x:c>
      <x:c r="M675" s="14" t="str">
        <x:v>Matematik Ana Oynatma Listesi</x:v>
      </x:c>
      <x:c r="N675" s="14" t="str">
        <x:v>https://www.youtube.com/watch?v=EuJ89QzqrAg&amp;list=PLicNtF7vp6fnfDqrRLH6H7fIbzYT4ct4F&amp;index=11</x:v>
      </x:c>
      <x:c r="O675" s="14" t="n">
        <x:v>0</x:v>
      </x:c>
      <x:c r="P675" s="14" t="str">
        <x:v>Hayır</x:v>
      </x:c>
      <x:c r="Q675" s="14" t="str">
        <x:v>Evet</x:v>
      </x:c>
      <x:c r="R675" s="14" t="str">
        <x:v>Planlandı</x:v>
      </x:c>
      <x:c r="S675" s="15" t="str"/>
      <x:c r="T675" s="14" t="str">
        <x:v>Yeni konu ancak plan sırasıyla açılır; LGS dışı ileri TYT içeriği zorunlu değildir.</x:v>
      </x:c>
    </x:row>
    <x:row r="676">
      <x:c r="A676" s="14" t="n">
        <x:v>675</x:v>
      </x:c>
      <x:c r="B676" s="15" t="n">
        <x:v>46350</x:v>
      </x:c>
      <x:c r="C676" s="14" t="str">
        <x:v>Salı</x:v>
      </x:c>
      <x:c r="D676" s="14" t="str">
        <x:v>Okul Günü</x:v>
      </x:c>
      <x:c r="E676" s="14" t="str">
        <x:v>16:00 sonrası</x:v>
      </x:c>
      <x:c r="F676" s="14" t="str">
        <x:v>F1 - Temel Kurma</x:v>
      </x:c>
      <x:c r="G676" s="14" t="str">
        <x:v>17:10</x:v>
      </x:c>
      <x:c r="H676" s="14" t="str">
        <x:v>17:55</x:v>
      </x:c>
      <x:c r="I676" s="14" t="str">
        <x:v>Matematik</x:v>
      </x:c>
      <x:c r="J676" s="14" t="str">
        <x:v>Kitap / MEB / Mastery</x:v>
      </x:c>
      <x:c r="K676" s="14" t="str">
        <x:v>Oran - Orantı</x:v>
      </x:c>
      <x:c r="L676" s="14" t="str">
        <x:v>Oran - Orantı ile ilgili soru kitabından en az 20 soru / bugünkü test payını çöz.</x:v>
      </x:c>
      <x:c r="M676" s="14" t="str">
        <x:v>MUBA 8. Sınıf Başlangıç Matematik (ISBN 9789756526972) (eşleşen bölüm) + MEB temel destek</x:v>
      </x:c>
      <x:c r="N676" s="14" t="str">
        <x:v>https://odsgm.meb.gov.tr/www/5-6-7-ve-9-sinif-duzeylerinde-calisma-sorulari-yayimlandi/icerik/775</x:v>
      </x:c>
      <x:c r="O676" s="14" t="n">
        <x:v>20</x:v>
      </x:c>
      <x:c r="P676" s="14" t="str">
        <x:v>İlk 20 soru</x:v>
      </x:c>
      <x:c r="Q676" s="14" t="str">
        <x:v>Evet</x:v>
      </x:c>
      <x:c r="R676" s="14" t="str">
        <x:v>Planlandı</x:v>
      </x:c>
      <x:c r="S676" s="15" t="str"/>
      <x:c r="T676" s="14" t="str">
        <x:v>Ayrı/rastgele matematik benchmark yoktur. Süreli ilk 20 soru o gün çalışılan konunun içindedir.</x:v>
      </x:c>
    </x:row>
    <x:row r="677">
      <x:c r="A677" s="14" t="n">
        <x:v>676</x:v>
      </x:c>
      <x:c r="B677" s="15" t="n">
        <x:v>46350</x:v>
      </x:c>
      <x:c r="C677" s="14" t="str">
        <x:v>Salı</x:v>
      </x:c>
      <x:c r="D677" s="14" t="str">
        <x:v>Okul Günü</x:v>
      </x:c>
      <x:c r="E677" s="14" t="str">
        <x:v>16:00 sonrası</x:v>
      </x:c>
      <x:c r="F677" s="14" t="str">
        <x:v>F1 - Temel Kurma</x:v>
      </x:c>
      <x:c r="G677" s="14" t="str">
        <x:v>17:55</x:v>
      </x:c>
      <x:c r="H677" s="14" t="str">
        <x:v>18:25</x:v>
      </x:c>
      <x:c r="I677" s="14" t="str">
        <x:v>Genel</x:v>
      </x:c>
      <x:c r="J677" s="14" t="str">
        <x:v>Yemek / Serbest Zaman</x:v>
      </x:c>
      <x:c r="K677" s="14" t="str"/>
      <x:c r="L677" s="14" t="str">
        <x:v>Yemek, hareket ve dinlenme.</x:v>
      </x:c>
      <x:c r="M677" s="14" t="str"/>
      <x:c r="N677" s="14" t="str"/>
      <x:c r="O677" s="14" t="n">
        <x:v>0</x:v>
      </x:c>
      <x:c r="P677" s="14" t="str">
        <x:v>Hayır</x:v>
      </x:c>
      <x:c r="Q677" s="14" t="str">
        <x:v>Hayır</x:v>
      </x:c>
      <x:c r="R677" s="14" t="str">
        <x:v>Planlandı</x:v>
      </x:c>
      <x:c r="S677" s="15" t="str"/>
      <x:c r="T677" s="14" t="str"/>
    </x:row>
    <x:row r="678">
      <x:c r="A678" s="14" t="n">
        <x:v>677</x:v>
      </x:c>
      <x:c r="B678" s="15" t="n">
        <x:v>46350</x:v>
      </x:c>
      <x:c r="C678" s="14" t="str">
        <x:v>Salı</x:v>
      </x:c>
      <x:c r="D678" s="14" t="str">
        <x:v>Okul Günü</x:v>
      </x:c>
      <x:c r="E678" s="14" t="str">
        <x:v>16:00 sonrası</x:v>
      </x:c>
      <x:c r="F678" s="14" t="str">
        <x:v>F1 - Temel Kurma</x:v>
      </x:c>
      <x:c r="G678" s="14" t="str">
        <x:v>18:25</x:v>
      </x:c>
      <x:c r="H678" s="14" t="str">
        <x:v>18:55</x:v>
      </x:c>
      <x:c r="I678" s="14" t="str">
        <x:v>Türkçe</x:v>
      </x:c>
      <x:c r="J678" s="14" t="str">
        <x:v>Paragraf Rutini</x:v>
      </x:c>
      <x:c r="K678" s="14" t="str">
        <x:v>Paragraf</x:v>
      </x:c>
      <x:c r="L678" s="14" t="str">
        <x:v>En az 20 paragraf sorusu çöz; ilk 20 soruyu ileri sayımla ölç, D/Y/B + süre kaydet.</x:v>
      </x:c>
      <x:c r="M678" s="14" t="str">
        <x:v>Hız 8. Sınıf Türkçe Paragraf (ISBN 9786258394498)</x:v>
      </x:c>
      <x:c r="N678" s="14" t="str"/>
      <x:c r="O678" s="14" t="n">
        <x:v>20</x:v>
      </x:c>
      <x:c r="P678" s="14" t="str">
        <x:v>İlk 20 soru</x:v>
      </x:c>
      <x:c r="Q678" s="14" t="str">
        <x:v>Evet</x:v>
      </x:c>
      <x:c r="R678" s="14" t="str">
        <x:v>Planlandı</x:v>
      </x:c>
      <x:c r="S678" s="15" t="str"/>
      <x:c r="T678" s="14" t="str">
        <x:v>Geri sayım ve hedef süre yok.</x:v>
      </x:c>
    </x:row>
    <x:row r="679">
      <x:c r="A679" s="14" t="n">
        <x:v>678</x:v>
      </x:c>
      <x:c r="B679" s="15" t="n">
        <x:v>46350</x:v>
      </x:c>
      <x:c r="C679" s="14" t="str">
        <x:v>Salı</x:v>
      </x:c>
      <x:c r="D679" s="14" t="str">
        <x:v>Okul Günü</x:v>
      </x:c>
      <x:c r="E679" s="14" t="str">
        <x:v>16:00 sonrası</x:v>
      </x:c>
      <x:c r="F679" s="14" t="str">
        <x:v>F1 - Temel Kurma</x:v>
      </x:c>
      <x:c r="G679" s="14" t="str">
        <x:v>19:00</x:v>
      </x:c>
      <x:c r="H679" s="14" t="str">
        <x:v>19:35</x:v>
      </x:c>
      <x:c r="I679" s="14" t="str">
        <x:v>Türkçe</x:v>
      </x:c>
      <x:c r="J679" s="14" t="str">
        <x:v>Konu / Tekrar</x:v>
      </x:c>
      <x:c r="K679" s="14" t="str">
        <x:v>Edat - Bağlaç - Ünlem</x:v>
      </x:c>
      <x:c r="L679" s="14" t="str">
        <x:v>Edat - Bağlaç - Ünlem — genel oynatma listesinden ilgili videoyu izle (2/4).</x:v>
      </x:c>
      <x:c r="M679" s="14" t="str">
        <x:v>Türkçe Ana Oynatma Listesi</x:v>
      </x:c>
      <x:c r="N679" s="14" t="str">
        <x:v>https://www.youtube.com/watch?v=VYsPntNKVdw&amp;list=PLIBjFaUoJJ91bz7QQEBlxNJNZka5YQRr6</x:v>
      </x:c>
      <x:c r="O679" s="14" t="n">
        <x:v>0</x:v>
      </x:c>
      <x:c r="P679" s="14" t="str">
        <x:v>Hayır</x:v>
      </x:c>
      <x:c r="Q679" s="14" t="str">
        <x:v>Evet</x:v>
      </x:c>
      <x:c r="R679" s="14" t="str">
        <x:v>Planlandı</x:v>
      </x:c>
      <x:c r="S679" s="15" t="str"/>
      <x:c r="T679" s="14" t="str">
        <x:v>TYT etiketli kaynak temelden başlamak için sabittir; LGS dışı gereksiz ayrıntı zorunlu değildir.</x:v>
      </x:c>
    </x:row>
    <x:row r="680">
      <x:c r="A680" s="14" t="n">
        <x:v>679</x:v>
      </x:c>
      <x:c r="B680" s="15" t="n">
        <x:v>46350</x:v>
      </x:c>
      <x:c r="C680" s="14" t="str">
        <x:v>Salı</x:v>
      </x:c>
      <x:c r="D680" s="14" t="str">
        <x:v>Okul Günü</x:v>
      </x:c>
      <x:c r="E680" s="14" t="str">
        <x:v>16:00 sonrası</x:v>
      </x:c>
      <x:c r="F680" s="14" t="str">
        <x:v>F1 - Temel Kurma</x:v>
      </x:c>
      <x:c r="G680" s="14" t="str">
        <x:v>19:40</x:v>
      </x:c>
      <x:c r="H680" s="14" t="str">
        <x:v>20:10</x:v>
      </x:c>
      <x:c r="I680" s="14" t="str">
        <x:v>Türkçe</x:v>
      </x:c>
      <x:c r="J680" s="14" t="str">
        <x:v>Kitap / MEB / Mastery</x:v>
      </x:c>
      <x:c r="K680" s="14" t="str">
        <x:v>Edat - Bağlaç - Ünlem</x:v>
      </x:c>
      <x:c r="L680" s="14" t="str">
        <x:v>Edat - Bağlaç - Ünlem ile ilgili soru kitabından en az 10 soru / bugünkü test payını çöz.</x:v>
      </x:c>
      <x:c r="M680" s="14" t="str">
        <x:v>Ankara 8. Sınıf Dil Bilgisi Güçlendiren (eşleşen bölüm) + MEB temel destek</x:v>
      </x:c>
      <x:c r="N680" s="14" t="str">
        <x:v>https://odsgm.meb.gov.tr/www/5-6-7-ve-9-sinif-duzeylerinde-calisma-sorulari-yayimlandi/icerik/775</x:v>
      </x:c>
      <x:c r="O680" s="14" t="n">
        <x:v>10</x:v>
      </x:c>
      <x:c r="P680" s="14" t="str">
        <x:v>Hayır</x:v>
      </x:c>
      <x:c r="Q680" s="14" t="str">
        <x:v>Evet</x:v>
      </x:c>
      <x:c r="R680" s="14" t="str">
        <x:v>Planlandı</x:v>
      </x:c>
      <x:c r="S680" s="15" t="str"/>
      <x:c r="T680" s="14" t="str"/>
    </x:row>
    <x:row r="681">
      <x:c r="A681" s="14" t="n">
        <x:v>680</x:v>
      </x:c>
      <x:c r="B681" s="15" t="n">
        <x:v>46350</x:v>
      </x:c>
      <x:c r="C681" s="14" t="str">
        <x:v>Salı</x:v>
      </x:c>
      <x:c r="D681" s="14" t="str">
        <x:v>Okul Günü</x:v>
      </x:c>
      <x:c r="E681" s="14" t="str">
        <x:v>16:00 sonrası</x:v>
      </x:c>
      <x:c r="F681" s="14" t="str">
        <x:v>F1 - Temel Kurma</x:v>
      </x:c>
      <x:c r="G681" s="14" t="str">
        <x:v>20:15</x:v>
      </x:c>
      <x:c r="H681" s="14" t="str">
        <x:v>20:50</x:v>
      </x:c>
      <x:c r="I681" s="14" t="str">
        <x:v>İnkılap</x:v>
      </x:c>
      <x:c r="J681" s="14" t="str">
        <x:v>Konu / Tekrar</x:v>
      </x:c>
      <x:c r="K681" s="14" t="str">
        <x:v>Mondros, İşgaller, Cemiyetler ve Kuvayımilliye</x:v>
      </x:c>
      <x:c r="L681" s="14" t="str">
        <x:v>Mondros, İşgaller, Cemiyetler ve Kuvayımilliye — genel oynatma listesinden ilgili konu/soru çalışmasını yap.</x:v>
      </x:c>
      <x:c r="M681" s="14" t="str">
        <x:v>İnkılap Genel Oynatma Listesi</x:v>
      </x:c>
      <x:c r="N681" s="14" t="str">
        <x:v>https://www.youtube.com/watch?v=MltIX0oKpYU&amp;list=PLsAsBPsriHNbXit4Ra3iuBrk1ZHZWxsOR&amp;index=78</x:v>
      </x:c>
      <x:c r="O681" s="14" t="n">
        <x:v>0</x:v>
      </x:c>
      <x:c r="P681" s="14" t="str">
        <x:v>Hayır</x:v>
      </x:c>
      <x:c r="Q681" s="14" t="str">
        <x:v>Evet</x:v>
      </x:c>
      <x:c r="R681" s="14" t="str">
        <x:v>Planlandı</x:v>
      </x:c>
      <x:c r="S681" s="15" t="str"/>
      <x:c r="T681" s="14" t="str">
        <x:v>İnkılapta okul yazılısı videoları zorunlu değildir.</x:v>
      </x:c>
    </x:row>
    <x:row r="682">
      <x:c r="A682" s="14" t="n">
        <x:v>681</x:v>
      </x:c>
      <x:c r="B682" s="15" t="n">
        <x:v>46350</x:v>
      </x:c>
      <x:c r="C682" s="14" t="str">
        <x:v>Salı</x:v>
      </x:c>
      <x:c r="D682" s="14" t="str">
        <x:v>Okul Günü</x:v>
      </x:c>
      <x:c r="E682" s="14" t="str">
        <x:v>16:00 sonrası</x:v>
      </x:c>
      <x:c r="F682" s="14" t="str">
        <x:v>F1 - Temel Kurma</x:v>
      </x:c>
      <x:c r="G682" s="14" t="str">
        <x:v>20:55</x:v>
      </x:c>
      <x:c r="H682" s="14" t="str">
        <x:v>21:20</x:v>
      </x:c>
      <x:c r="I682" s="14" t="str">
        <x:v>İnkılap</x:v>
      </x:c>
      <x:c r="J682" s="14" t="str">
        <x:v>Kitap / MEB / Mastery</x:v>
      </x:c>
      <x:c r="K682" s="14" t="str">
        <x:v>Mondros, İşgaller, Cemiyetler ve Kuvayımilliye</x:v>
      </x:c>
      <x:c r="L682" s="14" t="str">
        <x:v>Mondros, İşgaller, Cemiyetler ve Kuvayımilliye ile ilgili soru kitabından en az 15 soru / bugünkü test payını çöz.</x:v>
      </x:c>
      <x:c r="M682" s="14" t="str">
        <x:v>Hız 8. Sınıf T.C. İnkılap Tarihi ve Atatürkçülük</x:v>
      </x:c>
      <x:c r="N682" s="14" t="str">
        <x:v>https://www.youtube.com/watch?v=MltIX0oKpYU&amp;list=PLsAsBPsriHNbXit4Ra3iuBrk1ZHZWxsOR&amp;index=78</x:v>
      </x:c>
      <x:c r="O682" s="14" t="n">
        <x:v>15</x:v>
      </x:c>
      <x:c r="P682" s="14" t="str">
        <x:v>Hayır</x:v>
      </x:c>
      <x:c r="Q682" s="14" t="str">
        <x:v>Evet</x:v>
      </x:c>
      <x:c r="R682" s="14" t="str">
        <x:v>Planlandı</x:v>
      </x:c>
      <x:c r="S682" s="15" t="str"/>
      <x:c r="T682" s="14" t="str"/>
    </x:row>
    <x:row r="683">
      <x:c r="A683" s="14" t="n">
        <x:v>682</x:v>
      </x:c>
      <x:c r="B683" s="15" t="n">
        <x:v>46350</x:v>
      </x:c>
      <x:c r="C683" s="14" t="str">
        <x:v>Salı</x:v>
      </x:c>
      <x:c r="D683" s="14" t="str">
        <x:v>Okul Günü</x:v>
      </x:c>
      <x:c r="E683" s="14" t="str">
        <x:v>16:00 sonrası</x:v>
      </x:c>
      <x:c r="F683" s="14" t="str">
        <x:v>F1 - Temel Kurma</x:v>
      </x:c>
      <x:c r="G683" s="14" t="str">
        <x:v>21:20</x:v>
      </x:c>
      <x:c r="H683" s="14" t="str">
        <x:v>21:35</x:v>
      </x:c>
      <x:c r="I683" s="14" t="str">
        <x:v>Genel</x:v>
      </x:c>
      <x:c r="J683" s="14" t="str">
        <x:v>Yanlış / Boş Analizi</x:v>
      </x:c>
      <x:c r="K683" s="14" t="str">
        <x:v>Günlük</x:v>
      </x:c>
      <x:c r="L683" s="14" t="str">
        <x:v>Bugünkü yanlış/boşları kaydet; çözümünü öğrenmeden kapatma. Hata türünü sınıflandır.</x:v>
      </x:c>
      <x:c r="M683" s="14" t="str">
        <x:v>Yanlış Defteri</x:v>
      </x:c>
      <x:c r="N683" s="14" t="str"/>
      <x:c r="O683" s="14" t="n">
        <x:v>0</x:v>
      </x:c>
      <x:c r="P683" s="14" t="str">
        <x:v>Hayır</x:v>
      </x:c>
      <x:c r="Q683" s="14" t="str">
        <x:v>Evet</x:v>
      </x:c>
      <x:c r="R683" s="14" t="str">
        <x:v>Planlandı</x:v>
      </x:c>
      <x:c r="S683" s="15" t="str"/>
      <x:c r="T683" s="14" t="str"/>
    </x:row>
    <x:row r="684">
      <x:c r="A684" s="14" t="n">
        <x:v>683</x:v>
      </x:c>
      <x:c r="B684" s="15" t="n">
        <x:v>46350</x:v>
      </x:c>
      <x:c r="C684" s="14" t="str">
        <x:v>Salı</x:v>
      </x:c>
      <x:c r="D684" s="14" t="str">
        <x:v>Okul Günü</x:v>
      </x:c>
      <x:c r="E684" s="14" t="str">
        <x:v>16:00 sonrası</x:v>
      </x:c>
      <x:c r="F684" s="14" t="str">
        <x:v>F1 - Temel Kurma</x:v>
      </x:c>
      <x:c r="G684" s="14" t="str">
        <x:v>21:35</x:v>
      </x:c>
      <x:c r="H684" s="14" t="str">
        <x:v>21:50</x:v>
      </x:c>
      <x:c r="I684" s="14" t="str">
        <x:v>Genel</x:v>
      </x:c>
      <x:c r="J684" s="14" t="str">
        <x:v>Aralıklı Hata Tekrarı</x:v>
      </x:c>
      <x:c r="K684" s="14" t="str">
        <x:v>+1 / +7 / +21</x:v>
      </x:c>
      <x:c r="L684" s="14" t="str">
        <x:v>Bugün vadesi gelen yanlış soruları tekrar çöz. Vadesi yoksa bu süre serbest/okuma olabilir.</x:v>
      </x:c>
      <x:c r="M684" s="14" t="str">
        <x:v>Yanlış Defteri</x:v>
      </x:c>
      <x:c r="N684" s="14" t="str"/>
      <x:c r="O684" s="14" t="n">
        <x:v>0</x:v>
      </x:c>
      <x:c r="P684" s="14" t="str">
        <x:v>Hayır</x:v>
      </x:c>
      <x:c r="Q684" s="14" t="str">
        <x:v>Koşullu</x:v>
      </x:c>
      <x:c r="R684" s="14" t="str">
        <x:v>Planlandı</x:v>
      </x:c>
      <x:c r="S684" s="15" t="str"/>
      <x:c r="T684" s="14" t="str">
        <x:v>Yanlışlar +1, +7 ve +21 gün aralıklarıyla tekrar edilir; hâlâ yanlışsa konu mastery durumu düşürülür.</x:v>
      </x:c>
    </x:row>
    <x:row r="685">
      <x:c r="A685" s="14" t="n">
        <x:v>684</x:v>
      </x:c>
      <x:c r="B685" s="15" t="n">
        <x:v>46350</x:v>
      </x:c>
      <x:c r="C685" s="14" t="str">
        <x:v>Salı</x:v>
      </x:c>
      <x:c r="D685" s="14" t="str">
        <x:v>Okul Günü</x:v>
      </x:c>
      <x:c r="E685" s="14" t="str">
        <x:v>16:00 sonrası</x:v>
      </x:c>
      <x:c r="F685" s="14" t="str">
        <x:v>F1 - Temel Kurma</x:v>
      </x:c>
      <x:c r="G685" s="14" t="str">
        <x:v>21:50</x:v>
      </x:c>
      <x:c r="H685" s="14" t="str">
        <x:v>22:00</x:v>
      </x:c>
      <x:c r="I685" s="14" t="str">
        <x:v>Genel</x:v>
      </x:c>
      <x:c r="J685" s="14" t="str">
        <x:v>Uyku Hazırlığı</x:v>
      </x:c>
      <x:c r="K685" s="14" t="str"/>
      <x:c r="L685" s="14" t="str">
        <x:v>22:00'de yatakta ve uyku.</x:v>
      </x:c>
      <x:c r="M685" s="14" t="str"/>
      <x:c r="N685" s="14" t="str"/>
      <x:c r="O685" s="14" t="n">
        <x:v>0</x:v>
      </x:c>
      <x:c r="P685" s="14" t="str">
        <x:v>Hayır</x:v>
      </x:c>
      <x:c r="Q685" s="14" t="str">
        <x:v>Hayır</x:v>
      </x:c>
      <x:c r="R685" s="14" t="str">
        <x:v>Planlandı</x:v>
      </x:c>
      <x:c r="S685" s="15" t="str"/>
      <x:c r="T685" s="14" t="str"/>
    </x:row>
    <x:row r="686">
      <x:c r="A686" s="14" t="n">
        <x:v>685</x:v>
      </x:c>
      <x:c r="B686" s="15" t="n">
        <x:v>46351</x:v>
      </x:c>
      <x:c r="C686" s="14" t="str">
        <x:v>Çarşamba</x:v>
      </x:c>
      <x:c r="D686" s="14" t="str">
        <x:v>Okul Günü</x:v>
      </x:c>
      <x:c r="E686" s="14" t="str">
        <x:v>16:00 sonrası</x:v>
      </x:c>
      <x:c r="F686" s="14" t="str">
        <x:v>F1 - Temel Kurma</x:v>
      </x:c>
      <x:c r="G686" s="14" t="str">
        <x:v>16:00</x:v>
      </x:c>
      <x:c r="H686" s="14" t="str">
        <x:v>16:25</x:v>
      </x:c>
      <x:c r="I686" s="14" t="str">
        <x:v>Genel</x:v>
      </x:c>
      <x:c r="J686" s="14" t="str">
        <x:v>Dinlenme</x:v>
      </x:c>
      <x:c r="K686" s="14" t="str"/>
      <x:c r="L686" s="14" t="str">
        <x:v>Eve geliş, atıştırma ve dinlenme.</x:v>
      </x:c>
      <x:c r="M686" s="14" t="str"/>
      <x:c r="N686" s="14" t="str"/>
      <x:c r="O686" s="14" t="n">
        <x:v>0</x:v>
      </x:c>
      <x:c r="P686" s="14" t="str">
        <x:v>Hayır</x:v>
      </x:c>
      <x:c r="Q686" s="14" t="str">
        <x:v>Hayır</x:v>
      </x:c>
      <x:c r="R686" s="14" t="str">
        <x:v>Planlandı</x:v>
      </x:c>
      <x:c r="S686" s="15" t="str"/>
      <x:c r="T686" s="14" t="str"/>
    </x:row>
    <x:row r="687">
      <x:c r="A687" s="14" t="n">
        <x:v>686</x:v>
      </x:c>
      <x:c r="B687" s="15" t="n">
        <x:v>46351</x:v>
      </x:c>
      <x:c r="C687" s="14" t="str">
        <x:v>Çarşamba</x:v>
      </x:c>
      <x:c r="D687" s="14" t="str">
        <x:v>Okul Günü</x:v>
      </x:c>
      <x:c r="E687" s="14" t="str">
        <x:v>16:00 sonrası</x:v>
      </x:c>
      <x:c r="F687" s="14" t="str">
        <x:v>F1 - Temel Kurma</x:v>
      </x:c>
      <x:c r="G687" s="14" t="str">
        <x:v>16:25</x:v>
      </x:c>
      <x:c r="H687" s="14" t="str">
        <x:v>17:05</x:v>
      </x:c>
      <x:c r="I687" s="14" t="str">
        <x:v>Matematik</x:v>
      </x:c>
      <x:c r="J687" s="14" t="str">
        <x:v>Konu / Tekrar</x:v>
      </x:c>
      <x:c r="K687" s="14" t="str">
        <x:v>Oran - Orantı</x:v>
      </x:c>
      <x:c r="L687" s="14" t="str">
        <x:v>Oran - Orantı — genel oynatma listesinden ilgili videoyu izle (4/4).</x:v>
      </x:c>
      <x:c r="M687" s="14" t="str">
        <x:v>Matematik Ana Oynatma Listesi</x:v>
      </x:c>
      <x:c r="N687" s="14" t="str">
        <x:v>https://www.youtube.com/watch?v=EuJ89QzqrAg&amp;list=PLicNtF7vp6fnfDqrRLH6H7fIbzYT4ct4F&amp;index=11</x:v>
      </x:c>
      <x:c r="O687" s="14" t="n">
        <x:v>0</x:v>
      </x:c>
      <x:c r="P687" s="14" t="str">
        <x:v>Hayır</x:v>
      </x:c>
      <x:c r="Q687" s="14" t="str">
        <x:v>Evet</x:v>
      </x:c>
      <x:c r="R687" s="14" t="str">
        <x:v>Planlandı</x:v>
      </x:c>
      <x:c r="S687" s="15" t="str"/>
      <x:c r="T687" s="14" t="str">
        <x:v>Yeni konu ancak plan sırasıyla açılır; LGS dışı ileri TYT içeriği zorunlu değildir.</x:v>
      </x:c>
    </x:row>
    <x:row r="688">
      <x:c r="A688" s="14" t="n">
        <x:v>687</x:v>
      </x:c>
      <x:c r="B688" s="15" t="n">
        <x:v>46351</x:v>
      </x:c>
      <x:c r="C688" s="14" t="str">
        <x:v>Çarşamba</x:v>
      </x:c>
      <x:c r="D688" s="14" t="str">
        <x:v>Okul Günü</x:v>
      </x:c>
      <x:c r="E688" s="14" t="str">
        <x:v>16:00 sonrası</x:v>
      </x:c>
      <x:c r="F688" s="14" t="str">
        <x:v>F1 - Temel Kurma</x:v>
      </x:c>
      <x:c r="G688" s="14" t="str">
        <x:v>17:10</x:v>
      </x:c>
      <x:c r="H688" s="14" t="str">
        <x:v>17:55</x:v>
      </x:c>
      <x:c r="I688" s="14" t="str">
        <x:v>Matematik</x:v>
      </x:c>
      <x:c r="J688" s="14" t="str">
        <x:v>Kitap / MEB / Mastery</x:v>
      </x:c>
      <x:c r="K688" s="14" t="str">
        <x:v>Oran - Orantı</x:v>
      </x:c>
      <x:c r="L688" s="14" t="str">
        <x:v>Oran - Orantı ile ilgili soru kitabından en az 20 soru / bugünkü test payını çöz. İlgili kitap konu bölümünü bu oturumda bitirmeyi hedefle; sonraki oturum MEB doğrulaması.</x:v>
      </x:c>
      <x:c r="M688" s="14" t="str">
        <x:v>MUBA 8. Sınıf Başlangıç Matematik (ISBN 9789756526972) (eşleşen bölüm) + MEB temel destek</x:v>
      </x:c>
      <x:c r="N688" s="14" t="str">
        <x:v>https://odsgm.meb.gov.tr/www/5-6-7-ve-9-sinif-duzeylerinde-calisma-sorulari-yayimlandi/icerik/775</x:v>
      </x:c>
      <x:c r="O688" s="14" t="n">
        <x:v>20</x:v>
      </x:c>
      <x:c r="P688" s="14" t="str">
        <x:v>İlk 20 soru</x:v>
      </x:c>
      <x:c r="Q688" s="14" t="str">
        <x:v>Evet</x:v>
      </x:c>
      <x:c r="R688" s="14" t="str">
        <x:v>Planlandı</x:v>
      </x:c>
      <x:c r="S688" s="15" t="str"/>
      <x:c r="T688" s="14" t="str">
        <x:v>Ayrı/rastgele matematik benchmark yoktur. Süreli ilk 20 soru o gün çalışılan konunun içindedir.</x:v>
      </x:c>
    </x:row>
    <x:row r="689">
      <x:c r="A689" s="14" t="n">
        <x:v>688</x:v>
      </x:c>
      <x:c r="B689" s="15" t="n">
        <x:v>46351</x:v>
      </x:c>
      <x:c r="C689" s="14" t="str">
        <x:v>Çarşamba</x:v>
      </x:c>
      <x:c r="D689" s="14" t="str">
        <x:v>Okul Günü</x:v>
      </x:c>
      <x:c r="E689" s="14" t="str">
        <x:v>16:00 sonrası</x:v>
      </x:c>
      <x:c r="F689" s="14" t="str">
        <x:v>F1 - Temel Kurma</x:v>
      </x:c>
      <x:c r="G689" s="14" t="str">
        <x:v>17:55</x:v>
      </x:c>
      <x:c r="H689" s="14" t="str">
        <x:v>18:25</x:v>
      </x:c>
      <x:c r="I689" s="14" t="str">
        <x:v>Genel</x:v>
      </x:c>
      <x:c r="J689" s="14" t="str">
        <x:v>Yemek / Serbest Zaman</x:v>
      </x:c>
      <x:c r="K689" s="14" t="str"/>
      <x:c r="L689" s="14" t="str">
        <x:v>Yemek, hareket ve dinlenme.</x:v>
      </x:c>
      <x:c r="M689" s="14" t="str"/>
      <x:c r="N689" s="14" t="str"/>
      <x:c r="O689" s="14" t="n">
        <x:v>0</x:v>
      </x:c>
      <x:c r="P689" s="14" t="str">
        <x:v>Hayır</x:v>
      </x:c>
      <x:c r="Q689" s="14" t="str">
        <x:v>Hayır</x:v>
      </x:c>
      <x:c r="R689" s="14" t="str">
        <x:v>Planlandı</x:v>
      </x:c>
      <x:c r="S689" s="15" t="str"/>
      <x:c r="T689" s="14" t="str"/>
    </x:row>
    <x:row r="690">
      <x:c r="A690" s="14" t="n">
        <x:v>689</x:v>
      </x:c>
      <x:c r="B690" s="15" t="n">
        <x:v>46351</x:v>
      </x:c>
      <x:c r="C690" s="14" t="str">
        <x:v>Çarşamba</x:v>
      </x:c>
      <x:c r="D690" s="14" t="str">
        <x:v>Okul Günü</x:v>
      </x:c>
      <x:c r="E690" s="14" t="str">
        <x:v>16:00 sonrası</x:v>
      </x:c>
      <x:c r="F690" s="14" t="str">
        <x:v>F1 - Temel Kurma</x:v>
      </x:c>
      <x:c r="G690" s="14" t="str">
        <x:v>18:25</x:v>
      </x:c>
      <x:c r="H690" s="14" t="str">
        <x:v>18:55</x:v>
      </x:c>
      <x:c r="I690" s="14" t="str">
        <x:v>Türkçe</x:v>
      </x:c>
      <x:c r="J690" s="14" t="str">
        <x:v>Paragraf Rutini</x:v>
      </x:c>
      <x:c r="K690" s="14" t="str">
        <x:v>Paragraf</x:v>
      </x:c>
      <x:c r="L690" s="14" t="str">
        <x:v>En az 20 paragraf sorusu çöz; ilk 20 soruyu ileri sayımla ölç, D/Y/B + süre kaydet.</x:v>
      </x:c>
      <x:c r="M690" s="14" t="str">
        <x:v>Hız 8. Sınıf Türkçe Paragraf (ISBN 9786258394498)</x:v>
      </x:c>
      <x:c r="N690" s="14" t="str"/>
      <x:c r="O690" s="14" t="n">
        <x:v>20</x:v>
      </x:c>
      <x:c r="P690" s="14" t="str">
        <x:v>İlk 20 soru</x:v>
      </x:c>
      <x:c r="Q690" s="14" t="str">
        <x:v>Evet</x:v>
      </x:c>
      <x:c r="R690" s="14" t="str">
        <x:v>Planlandı</x:v>
      </x:c>
      <x:c r="S690" s="15" t="str"/>
      <x:c r="T690" s="14" t="str">
        <x:v>Geri sayım ve hedef süre yok.</x:v>
      </x:c>
    </x:row>
    <x:row r="691">
      <x:c r="A691" s="14" t="n">
        <x:v>690</x:v>
      </x:c>
      <x:c r="B691" s="15" t="n">
        <x:v>46351</x:v>
      </x:c>
      <x:c r="C691" s="14" t="str">
        <x:v>Çarşamba</x:v>
      </x:c>
      <x:c r="D691" s="14" t="str">
        <x:v>Okul Günü</x:v>
      </x:c>
      <x:c r="E691" s="14" t="str">
        <x:v>16:00 sonrası</x:v>
      </x:c>
      <x:c r="F691" s="14" t="str">
        <x:v>F1 - Temel Kurma</x:v>
      </x:c>
      <x:c r="G691" s="14" t="str">
        <x:v>19:00</x:v>
      </x:c>
      <x:c r="H691" s="14" t="str">
        <x:v>19:35</x:v>
      </x:c>
      <x:c r="I691" s="14" t="str">
        <x:v>Türkçe</x:v>
      </x:c>
      <x:c r="J691" s="14" t="str">
        <x:v>Konu / Tekrar</x:v>
      </x:c>
      <x:c r="K691" s="14" t="str">
        <x:v>Edat - Bağlaç - Ünlem</x:v>
      </x:c>
      <x:c r="L691" s="14" t="str">
        <x:v>Edat - Bağlaç - Ünlem — genel oynatma listesinden ilgili videoyu izle (3/4).</x:v>
      </x:c>
      <x:c r="M691" s="14" t="str">
        <x:v>Türkçe Ana Oynatma Listesi</x:v>
      </x:c>
      <x:c r="N691" s="14" t="str">
        <x:v>https://www.youtube.com/watch?v=VYsPntNKVdw&amp;list=PLIBjFaUoJJ91bz7QQEBlxNJNZka5YQRr6</x:v>
      </x:c>
      <x:c r="O691" s="14" t="n">
        <x:v>0</x:v>
      </x:c>
      <x:c r="P691" s="14" t="str">
        <x:v>Hayır</x:v>
      </x:c>
      <x:c r="Q691" s="14" t="str">
        <x:v>Evet</x:v>
      </x:c>
      <x:c r="R691" s="14" t="str">
        <x:v>Planlandı</x:v>
      </x:c>
      <x:c r="S691" s="15" t="str"/>
      <x:c r="T691" s="14" t="str">
        <x:v>TYT etiketli kaynak temelden başlamak için sabittir; LGS dışı gereksiz ayrıntı zorunlu değildir.</x:v>
      </x:c>
    </x:row>
    <x:row r="692">
      <x:c r="A692" s="14" t="n">
        <x:v>691</x:v>
      </x:c>
      <x:c r="B692" s="15" t="n">
        <x:v>46351</x:v>
      </x:c>
      <x:c r="C692" s="14" t="str">
        <x:v>Çarşamba</x:v>
      </x:c>
      <x:c r="D692" s="14" t="str">
        <x:v>Okul Günü</x:v>
      </x:c>
      <x:c r="E692" s="14" t="str">
        <x:v>16:00 sonrası</x:v>
      </x:c>
      <x:c r="F692" s="14" t="str">
        <x:v>F1 - Temel Kurma</x:v>
      </x:c>
      <x:c r="G692" s="14" t="str">
        <x:v>19:40</x:v>
      </x:c>
      <x:c r="H692" s="14" t="str">
        <x:v>20:10</x:v>
      </x:c>
      <x:c r="I692" s="14" t="str">
        <x:v>Türkçe</x:v>
      </x:c>
      <x:c r="J692" s="14" t="str">
        <x:v>Kitap / MEB / Mastery</x:v>
      </x:c>
      <x:c r="K692" s="14" t="str">
        <x:v>Edat - Bağlaç - Ünlem</x:v>
      </x:c>
      <x:c r="L692" s="14" t="str">
        <x:v>Edat - Bağlaç - Ünlem ile ilgili soru kitabından en az 10 soru / bugünkü test payını çöz.</x:v>
      </x:c>
      <x:c r="M692" s="14" t="str">
        <x:v>Ankara 8. Sınıf Dil Bilgisi Güçlendiren (eşleşen bölüm) + MEB temel destek</x:v>
      </x:c>
      <x:c r="N692" s="14" t="str">
        <x:v>https://odsgm.meb.gov.tr/www/5-6-7-ve-9-sinif-duzeylerinde-calisma-sorulari-yayimlandi/icerik/775</x:v>
      </x:c>
      <x:c r="O692" s="14" t="n">
        <x:v>10</x:v>
      </x:c>
      <x:c r="P692" s="14" t="str">
        <x:v>Hayır</x:v>
      </x:c>
      <x:c r="Q692" s="14" t="str">
        <x:v>Evet</x:v>
      </x:c>
      <x:c r="R692" s="14" t="str">
        <x:v>Planlandı</x:v>
      </x:c>
      <x:c r="S692" s="15" t="str"/>
      <x:c r="T692" s="14" t="str"/>
    </x:row>
    <x:row r="693">
      <x:c r="A693" s="14" t="n">
        <x:v>692</x:v>
      </x:c>
      <x:c r="B693" s="15" t="n">
        <x:v>46351</x:v>
      </x:c>
      <x:c r="C693" s="14" t="str">
        <x:v>Çarşamba</x:v>
      </x:c>
      <x:c r="D693" s="14" t="str">
        <x:v>Okul Günü</x:v>
      </x:c>
      <x:c r="E693" s="14" t="str">
        <x:v>16:00 sonrası</x:v>
      </x:c>
      <x:c r="F693" s="14" t="str">
        <x:v>F1 - Temel Kurma</x:v>
      </x:c>
      <x:c r="G693" s="14" t="str">
        <x:v>20:15</x:v>
      </x:c>
      <x:c r="H693" s="14" t="str">
        <x:v>20:50</x:v>
      </x:c>
      <x:c r="I693" s="14" t="str">
        <x:v>İngilizce</x:v>
      </x:c>
      <x:c r="J693" s="14" t="str">
        <x:v>Konu / Tekrar</x:v>
      </x:c>
      <x:c r="K693" s="14" t="str">
        <x:v>Unit 4 - On The Phone</x:v>
      </x:c>
      <x:c r="L693" s="14" t="str">
        <x:v>Unit 4 - On The Phone — Reading çalışmasını playlistten yap.</x:v>
      </x:c>
      <x:c r="M693" s="14" t="str">
        <x:v>İngilizce Genel Oynatma Listesi</x:v>
      </x:c>
      <x:c r="N693" s="14" t="str">
        <x:v>https://www.youtube.com/watch?v=FaY3dFjZbns&amp;list=PLSgpQDrUSYp94WgE9pzpHiOG5FwxnZBrr</x:v>
      </x:c>
      <x:c r="O693" s="14" t="n">
        <x:v>0</x:v>
      </x:c>
      <x:c r="P693" s="14" t="str">
        <x:v>Hayır</x:v>
      </x:c>
      <x:c r="Q693" s="14" t="str">
        <x:v>Evet</x:v>
      </x:c>
      <x:c r="R693" s="14" t="str">
        <x:v>Planlandı</x:v>
      </x:c>
      <x:c r="S693" s="15" t="str"/>
      <x:c r="T693" s="14" t="str"/>
    </x:row>
    <x:row r="694">
      <x:c r="A694" s="14" t="n">
        <x:v>693</x:v>
      </x:c>
      <x:c r="B694" s="15" t="n">
        <x:v>46351</x:v>
      </x:c>
      <x:c r="C694" s="14" t="str">
        <x:v>Çarşamba</x:v>
      </x:c>
      <x:c r="D694" s="14" t="str">
        <x:v>Okul Günü</x:v>
      </x:c>
      <x:c r="E694" s="14" t="str">
        <x:v>16:00 sonrası</x:v>
      </x:c>
      <x:c r="F694" s="14" t="str">
        <x:v>F1 - Temel Kurma</x:v>
      </x:c>
      <x:c r="G694" s="14" t="str">
        <x:v>20:55</x:v>
      </x:c>
      <x:c r="H694" s="14" t="str">
        <x:v>21:20</x:v>
      </x:c>
      <x:c r="I694" s="14" t="str">
        <x:v>İngilizce</x:v>
      </x:c>
      <x:c r="J694" s="14" t="str">
        <x:v>Kitap / MEB / Mastery</x:v>
      </x:c>
      <x:c r="K694" s="14" t="str">
        <x:v>Unit 4 - On The Phone</x:v>
      </x:c>
      <x:c r="L694" s="14" t="str">
        <x:v>Unit 4 - On The Phone ile ilgili soru kitabından en az 15 soru / bugünkü test payını çöz.</x:v>
      </x:c>
      <x:c r="M694" s="14" t="str">
        <x:v>More &amp; More 8 Worksheets Notebook</x:v>
      </x:c>
      <x:c r="N694" s="14" t="str">
        <x:v>https://www.youtube.com/watch?v=FaY3dFjZbns&amp;list=PLSgpQDrUSYp94WgE9pzpHiOG5FwxnZBrr</x:v>
      </x:c>
      <x:c r="O694" s="14" t="n">
        <x:v>15</x:v>
      </x:c>
      <x:c r="P694" s="14" t="str">
        <x:v>Hayır</x:v>
      </x:c>
      <x:c r="Q694" s="14" t="str">
        <x:v>Evet</x:v>
      </x:c>
      <x:c r="R694" s="14" t="str">
        <x:v>Planlandı</x:v>
      </x:c>
      <x:c r="S694" s="15" t="str"/>
      <x:c r="T694" s="14" t="str"/>
    </x:row>
    <x:row r="695">
      <x:c r="A695" s="14" t="n">
        <x:v>694</x:v>
      </x:c>
      <x:c r="B695" s="15" t="n">
        <x:v>46351</x:v>
      </x:c>
      <x:c r="C695" s="14" t="str">
        <x:v>Çarşamba</x:v>
      </x:c>
      <x:c r="D695" s="14" t="str">
        <x:v>Okul Günü</x:v>
      </x:c>
      <x:c r="E695" s="14" t="str">
        <x:v>16:00 sonrası</x:v>
      </x:c>
      <x:c r="F695" s="14" t="str">
        <x:v>F1 - Temel Kurma</x:v>
      </x:c>
      <x:c r="G695" s="14" t="str">
        <x:v>21:20</x:v>
      </x:c>
      <x:c r="H695" s="14" t="str">
        <x:v>21:35</x:v>
      </x:c>
      <x:c r="I695" s="14" t="str">
        <x:v>Genel</x:v>
      </x:c>
      <x:c r="J695" s="14" t="str">
        <x:v>Yanlış / Boş Analizi</x:v>
      </x:c>
      <x:c r="K695" s="14" t="str">
        <x:v>Günlük</x:v>
      </x:c>
      <x:c r="L695" s="14" t="str">
        <x:v>Bugünkü yanlış/boşları kaydet; çözümünü öğrenmeden kapatma. Hata türünü sınıflandır.</x:v>
      </x:c>
      <x:c r="M695" s="14" t="str">
        <x:v>Yanlış Defteri</x:v>
      </x:c>
      <x:c r="N695" s="14" t="str"/>
      <x:c r="O695" s="14" t="n">
        <x:v>0</x:v>
      </x:c>
      <x:c r="P695" s="14" t="str">
        <x:v>Hayır</x:v>
      </x:c>
      <x:c r="Q695" s="14" t="str">
        <x:v>Evet</x:v>
      </x:c>
      <x:c r="R695" s="14" t="str">
        <x:v>Planlandı</x:v>
      </x:c>
      <x:c r="S695" s="15" t="str"/>
      <x:c r="T695" s="14" t="str"/>
    </x:row>
    <x:row r="696">
      <x:c r="A696" s="14" t="n">
        <x:v>695</x:v>
      </x:c>
      <x:c r="B696" s="15" t="n">
        <x:v>46351</x:v>
      </x:c>
      <x:c r="C696" s="14" t="str">
        <x:v>Çarşamba</x:v>
      </x:c>
      <x:c r="D696" s="14" t="str">
        <x:v>Okul Günü</x:v>
      </x:c>
      <x:c r="E696" s="14" t="str">
        <x:v>16:00 sonrası</x:v>
      </x:c>
      <x:c r="F696" s="14" t="str">
        <x:v>F1 - Temel Kurma</x:v>
      </x:c>
      <x:c r="G696" s="14" t="str">
        <x:v>21:35</x:v>
      </x:c>
      <x:c r="H696" s="14" t="str">
        <x:v>21:50</x:v>
      </x:c>
      <x:c r="I696" s="14" t="str">
        <x:v>Genel</x:v>
      </x:c>
      <x:c r="J696" s="14" t="str">
        <x:v>Aralıklı Hata Tekrarı</x:v>
      </x:c>
      <x:c r="K696" s="14" t="str">
        <x:v>+1 / +7 / +21</x:v>
      </x:c>
      <x:c r="L696" s="14" t="str">
        <x:v>Bugün vadesi gelen yanlış soruları tekrar çöz. Vadesi yoksa bu süre serbest/okuma olabilir.</x:v>
      </x:c>
      <x:c r="M696" s="14" t="str">
        <x:v>Yanlış Defteri</x:v>
      </x:c>
      <x:c r="N696" s="14" t="str"/>
      <x:c r="O696" s="14" t="n">
        <x:v>0</x:v>
      </x:c>
      <x:c r="P696" s="14" t="str">
        <x:v>Hayır</x:v>
      </x:c>
      <x:c r="Q696" s="14" t="str">
        <x:v>Koşullu</x:v>
      </x:c>
      <x:c r="R696" s="14" t="str">
        <x:v>Planlandı</x:v>
      </x:c>
      <x:c r="S696" s="15" t="str"/>
      <x:c r="T696" s="14" t="str">
        <x:v>Yanlışlar +1, +7 ve +21 gün aralıklarıyla tekrar edilir; hâlâ yanlışsa konu mastery durumu düşürülür.</x:v>
      </x:c>
    </x:row>
    <x:row r="697">
      <x:c r="A697" s="14" t="n">
        <x:v>696</x:v>
      </x:c>
      <x:c r="B697" s="15" t="n">
        <x:v>46351</x:v>
      </x:c>
      <x:c r="C697" s="14" t="str">
        <x:v>Çarşamba</x:v>
      </x:c>
      <x:c r="D697" s="14" t="str">
        <x:v>Okul Günü</x:v>
      </x:c>
      <x:c r="E697" s="14" t="str">
        <x:v>16:00 sonrası</x:v>
      </x:c>
      <x:c r="F697" s="14" t="str">
        <x:v>F1 - Temel Kurma</x:v>
      </x:c>
      <x:c r="G697" s="14" t="str">
        <x:v>21:50</x:v>
      </x:c>
      <x:c r="H697" s="14" t="str">
        <x:v>22:00</x:v>
      </x:c>
      <x:c r="I697" s="14" t="str">
        <x:v>Genel</x:v>
      </x:c>
      <x:c r="J697" s="14" t="str">
        <x:v>Uyku Hazırlığı</x:v>
      </x:c>
      <x:c r="K697" s="14" t="str"/>
      <x:c r="L697" s="14" t="str">
        <x:v>22:00'de yatakta ve uyku.</x:v>
      </x:c>
      <x:c r="M697" s="14" t="str"/>
      <x:c r="N697" s="14" t="str"/>
      <x:c r="O697" s="14" t="n">
        <x:v>0</x:v>
      </x:c>
      <x:c r="P697" s="14" t="str">
        <x:v>Hayır</x:v>
      </x:c>
      <x:c r="Q697" s="14" t="str">
        <x:v>Hayır</x:v>
      </x:c>
      <x:c r="R697" s="14" t="str">
        <x:v>Planlandı</x:v>
      </x:c>
      <x:c r="S697" s="15" t="str"/>
      <x:c r="T697" s="14" t="str"/>
    </x:row>
    <x:row r="698">
      <x:c r="A698" s="14" t="n">
        <x:v>697</x:v>
      </x:c>
      <x:c r="B698" s="15" t="n">
        <x:v>46352</x:v>
      </x:c>
      <x:c r="C698" s="14" t="str">
        <x:v>Perşembe</x:v>
      </x:c>
      <x:c r="D698" s="14" t="str">
        <x:v>Okul Günü</x:v>
      </x:c>
      <x:c r="E698" s="14" t="str">
        <x:v>16:00 sonrası</x:v>
      </x:c>
      <x:c r="F698" s="14" t="str">
        <x:v>F1 - Temel Kurma</x:v>
      </x:c>
      <x:c r="G698" s="14" t="str">
        <x:v>16:00</x:v>
      </x:c>
      <x:c r="H698" s="14" t="str">
        <x:v>16:25</x:v>
      </x:c>
      <x:c r="I698" s="14" t="str">
        <x:v>Genel</x:v>
      </x:c>
      <x:c r="J698" s="14" t="str">
        <x:v>Dinlenme</x:v>
      </x:c>
      <x:c r="K698" s="14" t="str"/>
      <x:c r="L698" s="14" t="str">
        <x:v>Eve geliş, atıştırma ve dinlenme.</x:v>
      </x:c>
      <x:c r="M698" s="14" t="str"/>
      <x:c r="N698" s="14" t="str"/>
      <x:c r="O698" s="14" t="n">
        <x:v>0</x:v>
      </x:c>
      <x:c r="P698" s="14" t="str">
        <x:v>Hayır</x:v>
      </x:c>
      <x:c r="Q698" s="14" t="str">
        <x:v>Hayır</x:v>
      </x:c>
      <x:c r="R698" s="14" t="str">
        <x:v>Planlandı</x:v>
      </x:c>
      <x:c r="S698" s="15" t="str"/>
      <x:c r="T698" s="14" t="str"/>
    </x:row>
    <x:row r="699">
      <x:c r="A699" s="14" t="n">
        <x:v>698</x:v>
      </x:c>
      <x:c r="B699" s="15" t="n">
        <x:v>46352</x:v>
      </x:c>
      <x:c r="C699" s="14" t="str">
        <x:v>Perşembe</x:v>
      </x:c>
      <x:c r="D699" s="14" t="str">
        <x:v>Okul Günü</x:v>
      </x:c>
      <x:c r="E699" s="14" t="str">
        <x:v>16:00 sonrası</x:v>
      </x:c>
      <x:c r="F699" s="14" t="str">
        <x:v>F1 - Temel Kurma</x:v>
      </x:c>
      <x:c r="G699" s="14" t="str">
        <x:v>16:25</x:v>
      </x:c>
      <x:c r="H699" s="14" t="str">
        <x:v>17:05</x:v>
      </x:c>
      <x:c r="I699" s="14" t="str">
        <x:v>Matematik</x:v>
      </x:c>
      <x:c r="J699" s="14" t="str">
        <x:v>Konu / Tekrar</x:v>
      </x:c>
      <x:c r="K699" s="14" t="str">
        <x:v>Oran - Orantı</x:v>
      </x:c>
      <x:c r="L699" s="14" t="str">
        <x:v>Oran - Orantı — MEB doğrulaması öncesi 5-10 dk aktif hatırlama; gerekiyorsa ilgili playlist videosuna kısa dönüş yap.</x:v>
      </x:c>
      <x:c r="M699" s="14" t="str">
        <x:v>Matematik Ana Oynatma Listesi</x:v>
      </x:c>
      <x:c r="N699" s="14" t="str">
        <x:v>https://www.youtube.com/watch?v=EuJ89QzqrAg&amp;list=PLicNtF7vp6fnfDqrRLH6H7fIbzYT4ct4F&amp;index=11</x:v>
      </x:c>
      <x:c r="O699" s="14" t="n">
        <x:v>0</x:v>
      </x:c>
      <x:c r="P699" s="14" t="str">
        <x:v>Hayır</x:v>
      </x:c>
      <x:c r="Q699" s="14" t="str">
        <x:v>Evet</x:v>
      </x:c>
      <x:c r="R699" s="14" t="str">
        <x:v>Planlandı</x:v>
      </x:c>
      <x:c r="S699" s="15" t="str"/>
      <x:c r="T699" s="14" t="str">
        <x:v>Yeni konu ancak plan sırasıyla açılır; LGS dışı ileri TYT içeriği zorunlu değildir.</x:v>
      </x:c>
    </x:row>
    <x:row r="700">
      <x:c r="A700" s="14" t="n">
        <x:v>699</x:v>
      </x:c>
      <x:c r="B700" s="15" t="n">
        <x:v>46352</x:v>
      </x:c>
      <x:c r="C700" s="14" t="str">
        <x:v>Perşembe</x:v>
      </x:c>
      <x:c r="D700" s="14" t="str">
        <x:v>Okul Günü</x:v>
      </x:c>
      <x:c r="E700" s="14" t="str">
        <x:v>16:00 sonrası</x:v>
      </x:c>
      <x:c r="F700" s="14" t="str">
        <x:v>F1 - Temel Kurma</x:v>
      </x:c>
      <x:c r="G700" s="14" t="str">
        <x:v>17:10</x:v>
      </x:c>
      <x:c r="H700" s="14" t="str">
        <x:v>17:55</x:v>
      </x:c>
      <x:c r="I700" s="14" t="str">
        <x:v>Matematik</x:v>
      </x:c>
      <x:c r="J700" s="14" t="str">
        <x:v>Kitap / MEB / Mastery</x:v>
      </x:c>
      <x:c r="K700" s="14" t="str">
        <x:v>Oran - Orantı</x:v>
      </x:c>
      <x:c r="L700" s="14" t="str">
        <x:v>Oran - Orantı için ilgili MEB sorularını TAMAMLA; D/Y/B kaydet. Bu oturum konu mastery gate'idir.</x:v>
      </x:c>
      <x:c r="M700" s="14" t="str">
        <x:v>MEB Resmî Soru Seti</x:v>
      </x:c>
      <x:c r="N700" s="14" t="str">
        <x:v>https://odsgm.meb.gov.tr/www/5-6-7-ve-9-sinif-duzeylerinde-calisma-sorulari-yayimlandi/icerik/775</x:v>
      </x:c>
      <x:c r="O700" s="14" t="n">
        <x:v>0</x:v>
      </x:c>
      <x:c r="P700" s="14" t="str">
        <x:v>Hayır</x:v>
      </x:c>
      <x:c r="Q700" s="14" t="str">
        <x:v>Evet</x:v>
      </x:c>
      <x:c r="R700" s="14" t="str">
        <x:v>Planlandı</x:v>
      </x:c>
      <x:c r="S700" s="15" t="str"/>
      <x:c r="T700" s="14" t="str">
        <x:v>MEB sonucu Konu_Ustaligi sayfasına işlenir.</x:v>
      </x:c>
    </x:row>
    <x:row r="701">
      <x:c r="A701" s="14" t="n">
        <x:v>700</x:v>
      </x:c>
      <x:c r="B701" s="15" t="n">
        <x:v>46352</x:v>
      </x:c>
      <x:c r="C701" s="14" t="str">
        <x:v>Perşembe</x:v>
      </x:c>
      <x:c r="D701" s="14" t="str">
        <x:v>Okul Günü</x:v>
      </x:c>
      <x:c r="E701" s="14" t="str">
        <x:v>16:00 sonrası</x:v>
      </x:c>
      <x:c r="F701" s="14" t="str">
        <x:v>F1 - Temel Kurma</x:v>
      </x:c>
      <x:c r="G701" s="14" t="str">
        <x:v>17:55</x:v>
      </x:c>
      <x:c r="H701" s="14" t="str">
        <x:v>18:25</x:v>
      </x:c>
      <x:c r="I701" s="14" t="str">
        <x:v>Genel</x:v>
      </x:c>
      <x:c r="J701" s="14" t="str">
        <x:v>Yemek / Serbest Zaman</x:v>
      </x:c>
      <x:c r="K701" s="14" t="str"/>
      <x:c r="L701" s="14" t="str">
        <x:v>Yemek, hareket ve dinlenme.</x:v>
      </x:c>
      <x:c r="M701" s="14" t="str"/>
      <x:c r="N701" s="14" t="str"/>
      <x:c r="O701" s="14" t="n">
        <x:v>0</x:v>
      </x:c>
      <x:c r="P701" s="14" t="str">
        <x:v>Hayır</x:v>
      </x:c>
      <x:c r="Q701" s="14" t="str">
        <x:v>Hayır</x:v>
      </x:c>
      <x:c r="R701" s="14" t="str">
        <x:v>Planlandı</x:v>
      </x:c>
      <x:c r="S701" s="15" t="str"/>
      <x:c r="T701" s="14" t="str"/>
    </x:row>
    <x:row r="702">
      <x:c r="A702" s="14" t="n">
        <x:v>701</x:v>
      </x:c>
      <x:c r="B702" s="15" t="n">
        <x:v>46352</x:v>
      </x:c>
      <x:c r="C702" s="14" t="str">
        <x:v>Perşembe</x:v>
      </x:c>
      <x:c r="D702" s="14" t="str">
        <x:v>Okul Günü</x:v>
      </x:c>
      <x:c r="E702" s="14" t="str">
        <x:v>16:00 sonrası</x:v>
      </x:c>
      <x:c r="F702" s="14" t="str">
        <x:v>F1 - Temel Kurma</x:v>
      </x:c>
      <x:c r="G702" s="14" t="str">
        <x:v>18:25</x:v>
      </x:c>
      <x:c r="H702" s="14" t="str">
        <x:v>18:55</x:v>
      </x:c>
      <x:c r="I702" s="14" t="str">
        <x:v>Türkçe</x:v>
      </x:c>
      <x:c r="J702" s="14" t="str">
        <x:v>Paragraf Rutini</x:v>
      </x:c>
      <x:c r="K702" s="14" t="str">
        <x:v>Paragraf</x:v>
      </x:c>
      <x:c r="L702" s="14" t="str">
        <x:v>En az 20 paragraf sorusu çöz; ilk 20 soruyu ileri sayımla ölç, D/Y/B + süre kaydet.</x:v>
      </x:c>
      <x:c r="M702" s="14" t="str">
        <x:v>Hız 8. Sınıf Türkçe Paragraf (ISBN 9786258394498)</x:v>
      </x:c>
      <x:c r="N702" s="14" t="str"/>
      <x:c r="O702" s="14" t="n">
        <x:v>20</x:v>
      </x:c>
      <x:c r="P702" s="14" t="str">
        <x:v>İlk 20 soru</x:v>
      </x:c>
      <x:c r="Q702" s="14" t="str">
        <x:v>Evet</x:v>
      </x:c>
      <x:c r="R702" s="14" t="str">
        <x:v>Planlandı</x:v>
      </x:c>
      <x:c r="S702" s="15" t="str"/>
      <x:c r="T702" s="14" t="str">
        <x:v>Geri sayım ve hedef süre yok.</x:v>
      </x:c>
    </x:row>
    <x:row r="703">
      <x:c r="A703" s="14" t="n">
        <x:v>702</x:v>
      </x:c>
      <x:c r="B703" s="15" t="n">
        <x:v>46352</x:v>
      </x:c>
      <x:c r="C703" s="14" t="str">
        <x:v>Perşembe</x:v>
      </x:c>
      <x:c r="D703" s="14" t="str">
        <x:v>Okul Günü</x:v>
      </x:c>
      <x:c r="E703" s="14" t="str">
        <x:v>16:00 sonrası</x:v>
      </x:c>
      <x:c r="F703" s="14" t="str">
        <x:v>F1 - Temel Kurma</x:v>
      </x:c>
      <x:c r="G703" s="14" t="str">
        <x:v>19:00</x:v>
      </x:c>
      <x:c r="H703" s="14" t="str">
        <x:v>19:35</x:v>
      </x:c>
      <x:c r="I703" s="14" t="str">
        <x:v>Türkçe</x:v>
      </x:c>
      <x:c r="J703" s="14" t="str">
        <x:v>Konu / Tekrar</x:v>
      </x:c>
      <x:c r="K703" s="14" t="str">
        <x:v>Edat - Bağlaç - Ünlem</x:v>
      </x:c>
      <x:c r="L703" s="14" t="str">
        <x:v>Edat - Bağlaç - Ünlem — genel oynatma listesinden ilgili videoyu izle (4/4).</x:v>
      </x:c>
      <x:c r="M703" s="14" t="str">
        <x:v>Türkçe Ana Oynatma Listesi</x:v>
      </x:c>
      <x:c r="N703" s="14" t="str">
        <x:v>https://www.youtube.com/watch?v=VYsPntNKVdw&amp;list=PLIBjFaUoJJ91bz7QQEBlxNJNZka5YQRr6</x:v>
      </x:c>
      <x:c r="O703" s="14" t="n">
        <x:v>0</x:v>
      </x:c>
      <x:c r="P703" s="14" t="str">
        <x:v>Hayır</x:v>
      </x:c>
      <x:c r="Q703" s="14" t="str">
        <x:v>Evet</x:v>
      </x:c>
      <x:c r="R703" s="14" t="str">
        <x:v>Planlandı</x:v>
      </x:c>
      <x:c r="S703" s="15" t="str"/>
      <x:c r="T703" s="14" t="str">
        <x:v>TYT etiketli kaynak temelden başlamak için sabittir; LGS dışı gereksiz ayrıntı zorunlu değildir.</x:v>
      </x:c>
    </x:row>
    <x:row r="704">
      <x:c r="A704" s="14" t="n">
        <x:v>703</x:v>
      </x:c>
      <x:c r="B704" s="15" t="n">
        <x:v>46352</x:v>
      </x:c>
      <x:c r="C704" s="14" t="str">
        <x:v>Perşembe</x:v>
      </x:c>
      <x:c r="D704" s="14" t="str">
        <x:v>Okul Günü</x:v>
      </x:c>
      <x:c r="E704" s="14" t="str">
        <x:v>16:00 sonrası</x:v>
      </x:c>
      <x:c r="F704" s="14" t="str">
        <x:v>F1 - Temel Kurma</x:v>
      </x:c>
      <x:c r="G704" s="14" t="str">
        <x:v>19:40</x:v>
      </x:c>
      <x:c r="H704" s="14" t="str">
        <x:v>20:10</x:v>
      </x:c>
      <x:c r="I704" s="14" t="str">
        <x:v>Türkçe</x:v>
      </x:c>
      <x:c r="J704" s="14" t="str">
        <x:v>Kitap / MEB / Mastery</x:v>
      </x:c>
      <x:c r="K704" s="14" t="str">
        <x:v>Edat - Bağlaç - Ünlem</x:v>
      </x:c>
      <x:c r="L704" s="14" t="str">
        <x:v>Edat - Bağlaç - Ünlem ile ilgili soru kitabından en az 10 soru / bugünkü test payını çöz. İlgili kitap konu bölümünü bu oturumda bitirmeyi hedefle; sonraki oturum MEB doğrulaması.</x:v>
      </x:c>
      <x:c r="M704" s="14" t="str">
        <x:v>Ankara 8. Sınıf Dil Bilgisi Güçlendiren (eşleşen bölüm) + MEB temel destek</x:v>
      </x:c>
      <x:c r="N704" s="14" t="str">
        <x:v>https://odsgm.meb.gov.tr/www/5-6-7-ve-9-sinif-duzeylerinde-calisma-sorulari-yayimlandi/icerik/775</x:v>
      </x:c>
      <x:c r="O704" s="14" t="n">
        <x:v>10</x:v>
      </x:c>
      <x:c r="P704" s="14" t="str">
        <x:v>Hayır</x:v>
      </x:c>
      <x:c r="Q704" s="14" t="str">
        <x:v>Evet</x:v>
      </x:c>
      <x:c r="R704" s="14" t="str">
        <x:v>Planlandı</x:v>
      </x:c>
      <x:c r="S704" s="15" t="str"/>
      <x:c r="T704" s="14" t="str"/>
    </x:row>
    <x:row r="705">
      <x:c r="A705" s="14" t="n">
        <x:v>704</x:v>
      </x:c>
      <x:c r="B705" s="15" t="n">
        <x:v>46352</x:v>
      </x:c>
      <x:c r="C705" s="14" t="str">
        <x:v>Perşembe</x:v>
      </x:c>
      <x:c r="D705" s="14" t="str">
        <x:v>Okul Günü</x:v>
      </x:c>
      <x:c r="E705" s="14" t="str">
        <x:v>16:00 sonrası</x:v>
      </x:c>
      <x:c r="F705" s="14" t="str">
        <x:v>F1 - Temel Kurma</x:v>
      </x:c>
      <x:c r="G705" s="14" t="str">
        <x:v>20:15</x:v>
      </x:c>
      <x:c r="H705" s="14" t="str">
        <x:v>20:50</x:v>
      </x:c>
      <x:c r="I705" s="14" t="str">
        <x:v>Fen</x:v>
      </x:c>
      <x:c r="J705" s="14" t="str">
        <x:v>Konu / Tekrar</x:v>
      </x:c>
      <x:c r="K705" s="14" t="str">
        <x:v>Sıvı Basıncı</x:v>
      </x:c>
      <x:c r="L705" s="14" t="str">
        <x:v>Sıvı Basıncı — Fen soru çözüm playlistinden ilgili videoyu izle.</x:v>
      </x:c>
      <x:c r="M705" s="14" t="str">
        <x:v>Fen Soru Çözüm / Tekrar</x:v>
      </x:c>
      <x:c r="N705" s="14" t="str">
        <x:v>https://www.youtube.com/watch?v=pQXhWnDZ3vM&amp;list=PLrQm7mt99FRXcBnorCttd31HJEvg0En26&amp;index=23</x:v>
      </x:c>
      <x:c r="O705" s="14" t="n">
        <x:v>0</x:v>
      </x:c>
      <x:c r="P705" s="14" t="str">
        <x:v>Hayır</x:v>
      </x:c>
      <x:c r="Q705" s="14" t="str">
        <x:v>Evet</x:v>
      </x:c>
      <x:c r="R705" s="14" t="str">
        <x:v>Planlandı</x:v>
      </x:c>
      <x:c r="S705" s="15" t="str"/>
      <x:c r="T705" s="14" t="str"/>
    </x:row>
    <x:row r="706">
      <x:c r="A706" s="14" t="n">
        <x:v>705</x:v>
      </x:c>
      <x:c r="B706" s="15" t="n">
        <x:v>46352</x:v>
      </x:c>
      <x:c r="C706" s="14" t="str">
        <x:v>Perşembe</x:v>
      </x:c>
      <x:c r="D706" s="14" t="str">
        <x:v>Okul Günü</x:v>
      </x:c>
      <x:c r="E706" s="14" t="str">
        <x:v>16:00 sonrası</x:v>
      </x:c>
      <x:c r="F706" s="14" t="str">
        <x:v>F1 - Temel Kurma</x:v>
      </x:c>
      <x:c r="G706" s="14" t="str">
        <x:v>20:55</x:v>
      </x:c>
      <x:c r="H706" s="14" t="str">
        <x:v>21:20</x:v>
      </x:c>
      <x:c r="I706" s="14" t="str">
        <x:v>Fen</x:v>
      </x:c>
      <x:c r="J706" s="14" t="str">
        <x:v>Kitap / MEB / Mastery</x:v>
      </x:c>
      <x:c r="K706" s="14" t="str">
        <x:v>Sıvı Basıncı</x:v>
      </x:c>
      <x:c r="L706" s="14" t="str">
        <x:v>Sıvı Basıncı ile ilgili soru kitabından en az 15 soru / bugünkü test payını çöz.</x:v>
      </x:c>
      <x:c r="M706" s="14" t="str">
        <x:v>Hız 8. Sınıf Fen (ISBN 9786257514859); tamamlandıysa Mozaik 8. Sınıf Fen</x:v>
      </x:c>
      <x:c r="N706" s="14" t="str">
        <x:v>https://www.youtube.com/watch?v=pQXhWnDZ3vM&amp;list=PLrQm7mt99FRXcBnorCttd31HJEvg0En26&amp;index=23</x:v>
      </x:c>
      <x:c r="O706" s="14" t="n">
        <x:v>15</x:v>
      </x:c>
      <x:c r="P706" s="14" t="str">
        <x:v>Hayır</x:v>
      </x:c>
      <x:c r="Q706" s="14" t="str">
        <x:v>Evet</x:v>
      </x:c>
      <x:c r="R706" s="14" t="str">
        <x:v>Planlandı</x:v>
      </x:c>
      <x:c r="S706" s="15" t="str"/>
      <x:c r="T706" s="14" t="str"/>
    </x:row>
    <x:row r="707">
      <x:c r="A707" s="14" t="n">
        <x:v>706</x:v>
      </x:c>
      <x:c r="B707" s="15" t="n">
        <x:v>46352</x:v>
      </x:c>
      <x:c r="C707" s="14" t="str">
        <x:v>Perşembe</x:v>
      </x:c>
      <x:c r="D707" s="14" t="str">
        <x:v>Okul Günü</x:v>
      </x:c>
      <x:c r="E707" s="14" t="str">
        <x:v>16:00 sonrası</x:v>
      </x:c>
      <x:c r="F707" s="14" t="str">
        <x:v>F1 - Temel Kurma</x:v>
      </x:c>
      <x:c r="G707" s="14" t="str">
        <x:v>21:20</x:v>
      </x:c>
      <x:c r="H707" s="14" t="str">
        <x:v>21:35</x:v>
      </x:c>
      <x:c r="I707" s="14" t="str">
        <x:v>Genel</x:v>
      </x:c>
      <x:c r="J707" s="14" t="str">
        <x:v>Yanlış / Boş Analizi</x:v>
      </x:c>
      <x:c r="K707" s="14" t="str">
        <x:v>Günlük</x:v>
      </x:c>
      <x:c r="L707" s="14" t="str">
        <x:v>Bugünkü yanlış/boşları kaydet; çözümünü öğrenmeden kapatma. Hata türünü sınıflandır.</x:v>
      </x:c>
      <x:c r="M707" s="14" t="str">
        <x:v>Yanlış Defteri</x:v>
      </x:c>
      <x:c r="N707" s="14" t="str"/>
      <x:c r="O707" s="14" t="n">
        <x:v>0</x:v>
      </x:c>
      <x:c r="P707" s="14" t="str">
        <x:v>Hayır</x:v>
      </x:c>
      <x:c r="Q707" s="14" t="str">
        <x:v>Evet</x:v>
      </x:c>
      <x:c r="R707" s="14" t="str">
        <x:v>Planlandı</x:v>
      </x:c>
      <x:c r="S707" s="15" t="str"/>
      <x:c r="T707" s="14" t="str"/>
    </x:row>
    <x:row r="708">
      <x:c r="A708" s="14" t="n">
        <x:v>707</x:v>
      </x:c>
      <x:c r="B708" s="15" t="n">
        <x:v>46352</x:v>
      </x:c>
      <x:c r="C708" s="14" t="str">
        <x:v>Perşembe</x:v>
      </x:c>
      <x:c r="D708" s="14" t="str">
        <x:v>Okul Günü</x:v>
      </x:c>
      <x:c r="E708" s="14" t="str">
        <x:v>16:00 sonrası</x:v>
      </x:c>
      <x:c r="F708" s="14" t="str">
        <x:v>F1 - Temel Kurma</x:v>
      </x:c>
      <x:c r="G708" s="14" t="str">
        <x:v>21:35</x:v>
      </x:c>
      <x:c r="H708" s="14" t="str">
        <x:v>21:50</x:v>
      </x:c>
      <x:c r="I708" s="14" t="str">
        <x:v>Genel</x:v>
      </x:c>
      <x:c r="J708" s="14" t="str">
        <x:v>Aralıklı Hata Tekrarı</x:v>
      </x:c>
      <x:c r="K708" s="14" t="str">
        <x:v>+1 / +7 / +21</x:v>
      </x:c>
      <x:c r="L708" s="14" t="str">
        <x:v>Bugün vadesi gelen yanlış soruları tekrar çöz. Vadesi yoksa bu süre serbest/okuma olabilir.</x:v>
      </x:c>
      <x:c r="M708" s="14" t="str">
        <x:v>Yanlış Defteri</x:v>
      </x:c>
      <x:c r="N708" s="14" t="str"/>
      <x:c r="O708" s="14" t="n">
        <x:v>0</x:v>
      </x:c>
      <x:c r="P708" s="14" t="str">
        <x:v>Hayır</x:v>
      </x:c>
      <x:c r="Q708" s="14" t="str">
        <x:v>Koşullu</x:v>
      </x:c>
      <x:c r="R708" s="14" t="str">
        <x:v>Planlandı</x:v>
      </x:c>
      <x:c r="S708" s="15" t="str"/>
      <x:c r="T708" s="14" t="str">
        <x:v>Yanlışlar +1, +7 ve +21 gün aralıklarıyla tekrar edilir; hâlâ yanlışsa konu mastery durumu düşürülür.</x:v>
      </x:c>
    </x:row>
    <x:row r="709">
      <x:c r="A709" s="14" t="n">
        <x:v>708</x:v>
      </x:c>
      <x:c r="B709" s="15" t="n">
        <x:v>46352</x:v>
      </x:c>
      <x:c r="C709" s="14" t="str">
        <x:v>Perşembe</x:v>
      </x:c>
      <x:c r="D709" s="14" t="str">
        <x:v>Okul Günü</x:v>
      </x:c>
      <x:c r="E709" s="14" t="str">
        <x:v>16:00 sonrası</x:v>
      </x:c>
      <x:c r="F709" s="14" t="str">
        <x:v>F1 - Temel Kurma</x:v>
      </x:c>
      <x:c r="G709" s="14" t="str">
        <x:v>21:50</x:v>
      </x:c>
      <x:c r="H709" s="14" t="str">
        <x:v>22:00</x:v>
      </x:c>
      <x:c r="I709" s="14" t="str">
        <x:v>Genel</x:v>
      </x:c>
      <x:c r="J709" s="14" t="str">
        <x:v>Uyku Hazırlığı</x:v>
      </x:c>
      <x:c r="K709" s="14" t="str"/>
      <x:c r="L709" s="14" t="str">
        <x:v>22:00'de yatakta ve uyku.</x:v>
      </x:c>
      <x:c r="M709" s="14" t="str"/>
      <x:c r="N709" s="14" t="str"/>
      <x:c r="O709" s="14" t="n">
        <x:v>0</x:v>
      </x:c>
      <x:c r="P709" s="14" t="str">
        <x:v>Hayır</x:v>
      </x:c>
      <x:c r="Q709" s="14" t="str">
        <x:v>Hayır</x:v>
      </x:c>
      <x:c r="R709" s="14" t="str">
        <x:v>Planlandı</x:v>
      </x:c>
      <x:c r="S709" s="15" t="str"/>
      <x:c r="T709" s="14" t="str"/>
    </x:row>
    <x:row r="710">
      <x:c r="A710" s="14" t="n">
        <x:v>709</x:v>
      </x:c>
      <x:c r="B710" s="15" t="n">
        <x:v>46353</x:v>
      </x:c>
      <x:c r="C710" s="14" t="str">
        <x:v>Cuma</x:v>
      </x:c>
      <x:c r="D710" s="14" t="str">
        <x:v>Okul Günü</x:v>
      </x:c>
      <x:c r="E710" s="14" t="str">
        <x:v>16:00 sonrası</x:v>
      </x:c>
      <x:c r="F710" s="14" t="str">
        <x:v>F1 - Temel Kurma</x:v>
      </x:c>
      <x:c r="G710" s="14" t="str">
        <x:v>16:00</x:v>
      </x:c>
      <x:c r="H710" s="14" t="str">
        <x:v>16:25</x:v>
      </x:c>
      <x:c r="I710" s="14" t="str">
        <x:v>Genel</x:v>
      </x:c>
      <x:c r="J710" s="14" t="str">
        <x:v>Dinlenme</x:v>
      </x:c>
      <x:c r="K710" s="14" t="str"/>
      <x:c r="L710" s="14" t="str">
        <x:v>Eve geliş, atıştırma ve dinlenme.</x:v>
      </x:c>
      <x:c r="M710" s="14" t="str"/>
      <x:c r="N710" s="14" t="str"/>
      <x:c r="O710" s="14" t="n">
        <x:v>0</x:v>
      </x:c>
      <x:c r="P710" s="14" t="str">
        <x:v>Hayır</x:v>
      </x:c>
      <x:c r="Q710" s="14" t="str">
        <x:v>Hayır</x:v>
      </x:c>
      <x:c r="R710" s="14" t="str">
        <x:v>Planlandı</x:v>
      </x:c>
      <x:c r="S710" s="15" t="str"/>
      <x:c r="T710" s="14" t="str"/>
    </x:row>
    <x:row r="711">
      <x:c r="A711" s="14" t="n">
        <x:v>710</x:v>
      </x:c>
      <x:c r="B711" s="15" t="n">
        <x:v>46353</x:v>
      </x:c>
      <x:c r="C711" s="14" t="str">
        <x:v>Cuma</x:v>
      </x:c>
      <x:c r="D711" s="14" t="str">
        <x:v>Okul Günü</x:v>
      </x:c>
      <x:c r="E711" s="14" t="str">
        <x:v>16:00 sonrası</x:v>
      </x:c>
      <x:c r="F711" s="14" t="str">
        <x:v>F1 - Temel Kurma</x:v>
      </x:c>
      <x:c r="G711" s="14" t="str">
        <x:v>16:25</x:v>
      </x:c>
      <x:c r="H711" s="14" t="str">
        <x:v>17:05</x:v>
      </x:c>
      <x:c r="I711" s="14" t="str">
        <x:v>Matematik</x:v>
      </x:c>
      <x:c r="J711" s="14" t="str">
        <x:v>Konu / Tekrar</x:v>
      </x:c>
      <x:c r="K711" s="14" t="str">
        <x:v>Denklem Çözme</x:v>
      </x:c>
      <x:c r="L711" s="14" t="str">
        <x:v>Denklem Çözme — genel oynatma listesinden ilgili videoyu izle (1/2).</x:v>
      </x:c>
      <x:c r="M711" s="14" t="str">
        <x:v>Matematik Ana Oynatma Listesi</x:v>
      </x:c>
      <x:c r="N711" s="14" t="str">
        <x:v>https://www.youtube.com/watch?v=EuJ89QzqrAg&amp;list=PLicNtF7vp6fnfDqrRLH6H7fIbzYT4ct4F&amp;index=11</x:v>
      </x:c>
      <x:c r="O711" s="14" t="n">
        <x:v>0</x:v>
      </x:c>
      <x:c r="P711" s="14" t="str">
        <x:v>Hayır</x:v>
      </x:c>
      <x:c r="Q711" s="14" t="str">
        <x:v>Evet</x:v>
      </x:c>
      <x:c r="R711" s="14" t="str">
        <x:v>Planlandı</x:v>
      </x:c>
      <x:c r="S711" s="15" t="str"/>
      <x:c r="T711" s="14" t="str">
        <x:v>Yeni konu ancak plan sırasıyla açılır; LGS dışı ileri TYT içeriği zorunlu değildir.</x:v>
      </x:c>
    </x:row>
    <x:row r="712">
      <x:c r="A712" s="14" t="n">
        <x:v>711</x:v>
      </x:c>
      <x:c r="B712" s="15" t="n">
        <x:v>46353</x:v>
      </x:c>
      <x:c r="C712" s="14" t="str">
        <x:v>Cuma</x:v>
      </x:c>
      <x:c r="D712" s="14" t="str">
        <x:v>Okul Günü</x:v>
      </x:c>
      <x:c r="E712" s="14" t="str">
        <x:v>16:00 sonrası</x:v>
      </x:c>
      <x:c r="F712" s="14" t="str">
        <x:v>F1 - Temel Kurma</x:v>
      </x:c>
      <x:c r="G712" s="14" t="str">
        <x:v>17:10</x:v>
      </x:c>
      <x:c r="H712" s="14" t="str">
        <x:v>17:55</x:v>
      </x:c>
      <x:c r="I712" s="14" t="str">
        <x:v>Matematik</x:v>
      </x:c>
      <x:c r="J712" s="14" t="str">
        <x:v>Kitap / MEB / Mastery</x:v>
      </x:c>
      <x:c r="K712" s="14" t="str">
        <x:v>Denklem Çözme</x:v>
      </x:c>
      <x:c r="L712" s="14" t="str">
        <x:v>Denklem Çözme ile ilgili soru kitabından en az 20 soru / bugünkü test payını çöz.</x:v>
      </x:c>
      <x:c r="M712" s="14" t="str">
        <x:v>MUBA 8. Sınıf Başlangıç Matematik (ISBN 9789756526972) (eşleşen bölüm) + MEB temel destek</x:v>
      </x:c>
      <x:c r="N712" s="14" t="str">
        <x:v>https://odsgm.meb.gov.tr/www/5-6-7-ve-9-sinif-duzeylerinde-calisma-sorulari-yayimlandi/icerik/775</x:v>
      </x:c>
      <x:c r="O712" s="14" t="n">
        <x:v>20</x:v>
      </x:c>
      <x:c r="P712" s="14" t="str">
        <x:v>İlk 20 soru</x:v>
      </x:c>
      <x:c r="Q712" s="14" t="str">
        <x:v>Evet</x:v>
      </x:c>
      <x:c r="R712" s="14" t="str">
        <x:v>Planlandı</x:v>
      </x:c>
      <x:c r="S712" s="15" t="str"/>
      <x:c r="T712" s="14" t="str">
        <x:v>Ayrı/rastgele matematik benchmark yoktur. Süreli ilk 20 soru o gün çalışılan konunun içindedir.</x:v>
      </x:c>
    </x:row>
    <x:row r="713">
      <x:c r="A713" s="14" t="n">
        <x:v>712</x:v>
      </x:c>
      <x:c r="B713" s="15" t="n">
        <x:v>46353</x:v>
      </x:c>
      <x:c r="C713" s="14" t="str">
        <x:v>Cuma</x:v>
      </x:c>
      <x:c r="D713" s="14" t="str">
        <x:v>Okul Günü</x:v>
      </x:c>
      <x:c r="E713" s="14" t="str">
        <x:v>16:00 sonrası</x:v>
      </x:c>
      <x:c r="F713" s="14" t="str">
        <x:v>F1 - Temel Kurma</x:v>
      </x:c>
      <x:c r="G713" s="14" t="str">
        <x:v>17:55</x:v>
      </x:c>
      <x:c r="H713" s="14" t="str">
        <x:v>18:25</x:v>
      </x:c>
      <x:c r="I713" s="14" t="str">
        <x:v>Genel</x:v>
      </x:c>
      <x:c r="J713" s="14" t="str">
        <x:v>Yemek / Serbest Zaman</x:v>
      </x:c>
      <x:c r="K713" s="14" t="str"/>
      <x:c r="L713" s="14" t="str">
        <x:v>Yemek, hareket ve dinlenme.</x:v>
      </x:c>
      <x:c r="M713" s="14" t="str"/>
      <x:c r="N713" s="14" t="str"/>
      <x:c r="O713" s="14" t="n">
        <x:v>0</x:v>
      </x:c>
      <x:c r="P713" s="14" t="str">
        <x:v>Hayır</x:v>
      </x:c>
      <x:c r="Q713" s="14" t="str">
        <x:v>Hayır</x:v>
      </x:c>
      <x:c r="R713" s="14" t="str">
        <x:v>Planlandı</x:v>
      </x:c>
      <x:c r="S713" s="15" t="str"/>
      <x:c r="T713" s="14" t="str"/>
    </x:row>
    <x:row r="714">
      <x:c r="A714" s="14" t="n">
        <x:v>713</x:v>
      </x:c>
      <x:c r="B714" s="15" t="n">
        <x:v>46353</x:v>
      </x:c>
      <x:c r="C714" s="14" t="str">
        <x:v>Cuma</x:v>
      </x:c>
      <x:c r="D714" s="14" t="str">
        <x:v>Okul Günü</x:v>
      </x:c>
      <x:c r="E714" s="14" t="str">
        <x:v>16:00 sonrası</x:v>
      </x:c>
      <x:c r="F714" s="14" t="str">
        <x:v>F1 - Temel Kurma</x:v>
      </x:c>
      <x:c r="G714" s="14" t="str">
        <x:v>18:25</x:v>
      </x:c>
      <x:c r="H714" s="14" t="str">
        <x:v>18:55</x:v>
      </x:c>
      <x:c r="I714" s="14" t="str">
        <x:v>Türkçe</x:v>
      </x:c>
      <x:c r="J714" s="14" t="str">
        <x:v>Paragraf Rutini</x:v>
      </x:c>
      <x:c r="K714" s="14" t="str">
        <x:v>Paragraf</x:v>
      </x:c>
      <x:c r="L714" s="14" t="str">
        <x:v>En az 20 paragraf sorusu çöz; ilk 20 soruyu ileri sayımla ölç, D/Y/B + süre kaydet.</x:v>
      </x:c>
      <x:c r="M714" s="14" t="str">
        <x:v>Hız 8. Sınıf Türkçe Paragraf (ISBN 9786258394498)</x:v>
      </x:c>
      <x:c r="N714" s="14" t="str"/>
      <x:c r="O714" s="14" t="n">
        <x:v>20</x:v>
      </x:c>
      <x:c r="P714" s="14" t="str">
        <x:v>İlk 20 soru</x:v>
      </x:c>
      <x:c r="Q714" s="14" t="str">
        <x:v>Evet</x:v>
      </x:c>
      <x:c r="R714" s="14" t="str">
        <x:v>Planlandı</x:v>
      </x:c>
      <x:c r="S714" s="15" t="str"/>
      <x:c r="T714" s="14" t="str">
        <x:v>Geri sayım ve hedef süre yok.</x:v>
      </x:c>
    </x:row>
    <x:row r="715">
      <x:c r="A715" s="14" t="n">
        <x:v>714</x:v>
      </x:c>
      <x:c r="B715" s="15" t="n">
        <x:v>46353</x:v>
      </x:c>
      <x:c r="C715" s="14" t="str">
        <x:v>Cuma</x:v>
      </x:c>
      <x:c r="D715" s="14" t="str">
        <x:v>Okul Günü</x:v>
      </x:c>
      <x:c r="E715" s="14" t="str">
        <x:v>16:00 sonrası</x:v>
      </x:c>
      <x:c r="F715" s="14" t="str">
        <x:v>F1 - Temel Kurma</x:v>
      </x:c>
      <x:c r="G715" s="14" t="str">
        <x:v>19:00</x:v>
      </x:c>
      <x:c r="H715" s="14" t="str">
        <x:v>19:35</x:v>
      </x:c>
      <x:c r="I715" s="14" t="str">
        <x:v>Türkçe</x:v>
      </x:c>
      <x:c r="J715" s="14" t="str">
        <x:v>Konu / Tekrar</x:v>
      </x:c>
      <x:c r="K715" s="14" t="str">
        <x:v>Edat - Bağlaç - Ünlem</x:v>
      </x:c>
      <x:c r="L715" s="14" t="str">
        <x:v>Edat - Bağlaç - Ünlem — MEB doğrulaması öncesi 5-10 dk aktif hatırlama; gerekiyorsa ilgili playlist videosuna kısa dönüş yap.</x:v>
      </x:c>
      <x:c r="M715" s="14" t="str">
        <x:v>Türkçe Ana Oynatma Listesi</x:v>
      </x:c>
      <x:c r="N715" s="14" t="str">
        <x:v>https://www.youtube.com/watch?v=VYsPntNKVdw&amp;list=PLIBjFaUoJJ91bz7QQEBlxNJNZka5YQRr6</x:v>
      </x:c>
      <x:c r="O715" s="14" t="n">
        <x:v>0</x:v>
      </x:c>
      <x:c r="P715" s="14" t="str">
        <x:v>Hayır</x:v>
      </x:c>
      <x:c r="Q715" s="14" t="str">
        <x:v>Evet</x:v>
      </x:c>
      <x:c r="R715" s="14" t="str">
        <x:v>Planlandı</x:v>
      </x:c>
      <x:c r="S715" s="15" t="str"/>
      <x:c r="T715" s="14" t="str">
        <x:v>TYT etiketli kaynak temelden başlamak için sabittir; LGS dışı gereksiz ayrıntı zorunlu değildir.</x:v>
      </x:c>
    </x:row>
    <x:row r="716">
      <x:c r="A716" s="14" t="n">
        <x:v>715</x:v>
      </x:c>
      <x:c r="B716" s="15" t="n">
        <x:v>46353</x:v>
      </x:c>
      <x:c r="C716" s="14" t="str">
        <x:v>Cuma</x:v>
      </x:c>
      <x:c r="D716" s="14" t="str">
        <x:v>Okul Günü</x:v>
      </x:c>
      <x:c r="E716" s="14" t="str">
        <x:v>16:00 sonrası</x:v>
      </x:c>
      <x:c r="F716" s="14" t="str">
        <x:v>F1 - Temel Kurma</x:v>
      </x:c>
      <x:c r="G716" s="14" t="str">
        <x:v>19:40</x:v>
      </x:c>
      <x:c r="H716" s="14" t="str">
        <x:v>20:10</x:v>
      </x:c>
      <x:c r="I716" s="14" t="str">
        <x:v>Türkçe</x:v>
      </x:c>
      <x:c r="J716" s="14" t="str">
        <x:v>Kitap / MEB / Mastery</x:v>
      </x:c>
      <x:c r="K716" s="14" t="str">
        <x:v>Edat - Bağlaç - Ünlem</x:v>
      </x:c>
      <x:c r="L716" s="14" t="str">
        <x:v>Edat - Bağlaç - Ünlem için ilgili MEB sorularını TAMAMLA; D/Y/B kaydet. Bu oturum konu mastery gate'idir.</x:v>
      </x:c>
      <x:c r="M716" s="14" t="str">
        <x:v>MEB Resmî Soru Seti</x:v>
      </x:c>
      <x:c r="N716" s="14" t="str">
        <x:v>https://odsgm.meb.gov.tr/www/5-6-7-ve-9-sinif-duzeylerinde-calisma-sorulari-yayimlandi/icerik/775</x:v>
      </x:c>
      <x:c r="O716" s="14" t="n">
        <x:v>0</x:v>
      </x:c>
      <x:c r="P716" s="14" t="str">
        <x:v>Hayır</x:v>
      </x:c>
      <x:c r="Q716" s="14" t="str">
        <x:v>Evet</x:v>
      </x:c>
      <x:c r="R716" s="14" t="str">
        <x:v>Planlandı</x:v>
      </x:c>
      <x:c r="S716" s="15" t="str"/>
      <x:c r="T716" s="14" t="str">
        <x:v>MEB sonucu Konu_Ustaligi sayfasına işlenir.</x:v>
      </x:c>
    </x:row>
    <x:row r="717">
      <x:c r="A717" s="14" t="n">
        <x:v>716</x:v>
      </x:c>
      <x:c r="B717" s="15" t="n">
        <x:v>46353</x:v>
      </x:c>
      <x:c r="C717" s="14" t="str">
        <x:v>Cuma</x:v>
      </x:c>
      <x:c r="D717" s="14" t="str">
        <x:v>Okul Günü</x:v>
      </x:c>
      <x:c r="E717" s="14" t="str">
        <x:v>16:00 sonrası</x:v>
      </x:c>
      <x:c r="F717" s="14" t="str">
        <x:v>F1 - Temel Kurma</x:v>
      </x:c>
      <x:c r="G717" s="14" t="str">
        <x:v>20:15</x:v>
      </x:c>
      <x:c r="H717" s="14" t="str">
        <x:v>20:50</x:v>
      </x:c>
      <x:c r="I717" s="14" t="str">
        <x:v>Din</x:v>
      </x:c>
      <x:c r="J717" s="14" t="str">
        <x:v>Konu / Tekrar</x:v>
      </x:c>
      <x:c r="K717" s="14" t="str">
        <x:v>Hz. Şuayb ve Maun Suresi</x:v>
      </x:c>
      <x:c r="L717" s="14" t="str">
        <x:v>Hz. Şuayb ve Maun Suresi — MEB doğrulaması öncesi 5-10 dk aktif hatırlama; gerekiyorsa ilgili playlist videosuna kısa dönüş yap.</x:v>
      </x:c>
      <x:c r="M717" s="14" t="str">
        <x:v>Din Genel Oynatma Listesi</x:v>
      </x:c>
      <x:c r="N717" s="14" t="str">
        <x:v>https://www.youtube.com/watch?v=wvdOE_75VnA&amp;list=PLbRoPq-Zu-SWXGUbVt4t4UWo-4VjsMUo-&amp;index=2</x:v>
      </x:c>
      <x:c r="O717" s="14" t="n">
        <x:v>0</x:v>
      </x:c>
      <x:c r="P717" s="14" t="str">
        <x:v>Hayır</x:v>
      </x:c>
      <x:c r="Q717" s="14" t="str">
        <x:v>Evet</x:v>
      </x:c>
      <x:c r="R717" s="14" t="str">
        <x:v>Planlandı</x:v>
      </x:c>
      <x:c r="S717" s="15" t="str"/>
      <x:c r="T717" s="14" t="str"/>
    </x:row>
    <x:row r="718">
      <x:c r="A718" s="14" t="n">
        <x:v>717</x:v>
      </x:c>
      <x:c r="B718" s="15" t="n">
        <x:v>46353</x:v>
      </x:c>
      <x:c r="C718" s="14" t="str">
        <x:v>Cuma</x:v>
      </x:c>
      <x:c r="D718" s="14" t="str">
        <x:v>Okul Günü</x:v>
      </x:c>
      <x:c r="E718" s="14" t="str">
        <x:v>16:00 sonrası</x:v>
      </x:c>
      <x:c r="F718" s="14" t="str">
        <x:v>F1 - Temel Kurma</x:v>
      </x:c>
      <x:c r="G718" s="14" t="str">
        <x:v>20:55</x:v>
      </x:c>
      <x:c r="H718" s="14" t="str">
        <x:v>21:20</x:v>
      </x:c>
      <x:c r="I718" s="14" t="str">
        <x:v>Din</x:v>
      </x:c>
      <x:c r="J718" s="14" t="str">
        <x:v>Kitap / MEB / Mastery</x:v>
      </x:c>
      <x:c r="K718" s="14" t="str">
        <x:v>Hz. Şuayb ve Maun Suresi</x:v>
      </x:c>
      <x:c r="L718" s="14" t="str">
        <x:v>Hz. Şuayb ve Maun Suresi için ilgili MEB sorularını TAMAMLA; D/Y/B kaydet. Bu oturum konu mastery gate'idir.</x:v>
      </x:c>
      <x:c r="M718" s="14" t="str">
        <x:v>MEB 8. Sınıf Din Soruları</x:v>
      </x:c>
      <x:c r="N718" s="14" t="str">
        <x:v>https://odsgm.meb.gov.tr/www/8sinif-calisma-sorulari/icerik/1632</x:v>
      </x:c>
      <x:c r="O718" s="14" t="n">
        <x:v>0</x:v>
      </x:c>
      <x:c r="P718" s="14" t="str">
        <x:v>Hayır</x:v>
      </x:c>
      <x:c r="Q718" s="14" t="str">
        <x:v>Evet</x:v>
      </x:c>
      <x:c r="R718" s="14" t="str">
        <x:v>Planlandı</x:v>
      </x:c>
      <x:c r="S718" s="15" t="str"/>
      <x:c r="T718" s="14" t="str">
        <x:v>MEB sonucu Konu_Ustaligi sayfasına işlenir.</x:v>
      </x:c>
    </x:row>
    <x:row r="719">
      <x:c r="A719" s="14" t="n">
        <x:v>718</x:v>
      </x:c>
      <x:c r="B719" s="15" t="n">
        <x:v>46353</x:v>
      </x:c>
      <x:c r="C719" s="14" t="str">
        <x:v>Cuma</x:v>
      </x:c>
      <x:c r="D719" s="14" t="str">
        <x:v>Okul Günü</x:v>
      </x:c>
      <x:c r="E719" s="14" t="str">
        <x:v>16:00 sonrası</x:v>
      </x:c>
      <x:c r="F719" s="14" t="str">
        <x:v>F1 - Temel Kurma</x:v>
      </x:c>
      <x:c r="G719" s="14" t="str">
        <x:v>21:20</x:v>
      </x:c>
      <x:c r="H719" s="14" t="str">
        <x:v>21:35</x:v>
      </x:c>
      <x:c r="I719" s="14" t="str">
        <x:v>Genel</x:v>
      </x:c>
      <x:c r="J719" s="14" t="str">
        <x:v>Yanlış / Boş Analizi</x:v>
      </x:c>
      <x:c r="K719" s="14" t="str">
        <x:v>Günlük</x:v>
      </x:c>
      <x:c r="L719" s="14" t="str">
        <x:v>Bugünkü yanlış/boşları kaydet; çözümünü öğrenmeden kapatma. Hata türünü sınıflandır.</x:v>
      </x:c>
      <x:c r="M719" s="14" t="str">
        <x:v>Yanlış Defteri</x:v>
      </x:c>
      <x:c r="N719" s="14" t="str"/>
      <x:c r="O719" s="14" t="n">
        <x:v>0</x:v>
      </x:c>
      <x:c r="P719" s="14" t="str">
        <x:v>Hayır</x:v>
      </x:c>
      <x:c r="Q719" s="14" t="str">
        <x:v>Evet</x:v>
      </x:c>
      <x:c r="R719" s="14" t="str">
        <x:v>Planlandı</x:v>
      </x:c>
      <x:c r="S719" s="15" t="str"/>
      <x:c r="T719" s="14" t="str"/>
    </x:row>
    <x:row r="720">
      <x:c r="A720" s="14" t="n">
        <x:v>719</x:v>
      </x:c>
      <x:c r="B720" s="15" t="n">
        <x:v>46353</x:v>
      </x:c>
      <x:c r="C720" s="14" t="str">
        <x:v>Cuma</x:v>
      </x:c>
      <x:c r="D720" s="14" t="str">
        <x:v>Okul Günü</x:v>
      </x:c>
      <x:c r="E720" s="14" t="str">
        <x:v>16:00 sonrası</x:v>
      </x:c>
      <x:c r="F720" s="14" t="str">
        <x:v>F1 - Temel Kurma</x:v>
      </x:c>
      <x:c r="G720" s="14" t="str">
        <x:v>21:35</x:v>
      </x:c>
      <x:c r="H720" s="14" t="str">
        <x:v>21:50</x:v>
      </x:c>
      <x:c r="I720" s="14" t="str">
        <x:v>Genel</x:v>
      </x:c>
      <x:c r="J720" s="14" t="str">
        <x:v>Aralıklı Hata Tekrarı</x:v>
      </x:c>
      <x:c r="K720" s="14" t="str">
        <x:v>+1 / +7 / +21</x:v>
      </x:c>
      <x:c r="L720" s="14" t="str">
        <x:v>Bugün vadesi gelen yanlış soruları tekrar çöz. Vadesi yoksa bu süre serbest/okuma olabilir.</x:v>
      </x:c>
      <x:c r="M720" s="14" t="str">
        <x:v>Yanlış Defteri</x:v>
      </x:c>
      <x:c r="N720" s="14" t="str"/>
      <x:c r="O720" s="14" t="n">
        <x:v>0</x:v>
      </x:c>
      <x:c r="P720" s="14" t="str">
        <x:v>Hayır</x:v>
      </x:c>
      <x:c r="Q720" s="14" t="str">
        <x:v>Koşullu</x:v>
      </x:c>
      <x:c r="R720" s="14" t="str">
        <x:v>Planlandı</x:v>
      </x:c>
      <x:c r="S720" s="15" t="str"/>
      <x:c r="T720" s="14" t="str">
        <x:v>Yanlışlar +1, +7 ve +21 gün aralıklarıyla tekrar edilir; hâlâ yanlışsa konu mastery durumu düşürülür.</x:v>
      </x:c>
    </x:row>
    <x:row r="721">
      <x:c r="A721" s="14" t="n">
        <x:v>720</x:v>
      </x:c>
      <x:c r="B721" s="15" t="n">
        <x:v>46353</x:v>
      </x:c>
      <x:c r="C721" s="14" t="str">
        <x:v>Cuma</x:v>
      </x:c>
      <x:c r="D721" s="14" t="str">
        <x:v>Okul Günü</x:v>
      </x:c>
      <x:c r="E721" s="14" t="str">
        <x:v>16:00 sonrası</x:v>
      </x:c>
      <x:c r="F721" s="14" t="str">
        <x:v>F1 - Temel Kurma</x:v>
      </x:c>
      <x:c r="G721" s="14" t="str">
        <x:v>21:50</x:v>
      </x:c>
      <x:c r="H721" s="14" t="str">
        <x:v>22:00</x:v>
      </x:c>
      <x:c r="I721" s="14" t="str">
        <x:v>Genel</x:v>
      </x:c>
      <x:c r="J721" s="14" t="str">
        <x:v>Uyku Hazırlığı</x:v>
      </x:c>
      <x:c r="K721" s="14" t="str"/>
      <x:c r="L721" s="14" t="str">
        <x:v>22:00'de yatakta ve uyku.</x:v>
      </x:c>
      <x:c r="M721" s="14" t="str"/>
      <x:c r="N721" s="14" t="str"/>
      <x:c r="O721" s="14" t="n">
        <x:v>0</x:v>
      </x:c>
      <x:c r="P721" s="14" t="str">
        <x:v>Hayır</x:v>
      </x:c>
      <x:c r="Q721" s="14" t="str">
        <x:v>Hayır</x:v>
      </x:c>
      <x:c r="R721" s="14" t="str">
        <x:v>Planlandı</x:v>
      </x:c>
      <x:c r="S721" s="15" t="str"/>
      <x:c r="T721" s="14" t="str"/>
    </x:row>
    <x:row r="722">
      <x:c r="A722" s="14" t="n">
        <x:v>721</x:v>
      </x:c>
      <x:c r="B722" s="15" t="n">
        <x:v>46354</x:v>
      </x:c>
      <x:c r="C722" s="14" t="str">
        <x:v>Cumartesi</x:v>
      </x:c>
      <x:c r="D722" s="14" t="str">
        <x:v>Hafta Sonu</x:v>
      </x:c>
      <x:c r="E722" s="14" t="str">
        <x:v>Tam gün</x:v>
      </x:c>
      <x:c r="F722" s="14" t="str">
        <x:v>F1 - Temel Kurma</x:v>
      </x:c>
      <x:c r="G722" s="14" t="str">
        <x:v>09:30</x:v>
      </x:c>
      <x:c r="H722" s="14" t="str">
        <x:v>10:15</x:v>
      </x:c>
      <x:c r="I722" s="14" t="str">
        <x:v>Matematik</x:v>
      </x:c>
      <x:c r="J722" s="14" t="str">
        <x:v>Konu / Tekrar</x:v>
      </x:c>
      <x:c r="K722" s="14" t="str">
        <x:v>Denklem Çözme</x:v>
      </x:c>
      <x:c r="L722" s="14" t="str">
        <x:v>Denklem Çözme — genel oynatma listesinden ilgili videoyu izle (2/2).</x:v>
      </x:c>
      <x:c r="M722" s="14" t="str">
        <x:v>Matematik Ana Oynatma Listesi</x:v>
      </x:c>
      <x:c r="N722" s="14" t="str">
        <x:v>https://www.youtube.com/watch?v=EuJ89QzqrAg&amp;list=PLicNtF7vp6fnfDqrRLH6H7fIbzYT4ct4F&amp;index=11</x:v>
      </x:c>
      <x:c r="O722" s="14" t="n">
        <x:v>0</x:v>
      </x:c>
      <x:c r="P722" s="14" t="str">
        <x:v>Hayır</x:v>
      </x:c>
      <x:c r="Q722" s="14" t="str">
        <x:v>Evet</x:v>
      </x:c>
      <x:c r="R722" s="14" t="str">
        <x:v>Planlandı</x:v>
      </x:c>
      <x:c r="S722" s="15" t="str"/>
      <x:c r="T722" s="14" t="str">
        <x:v>Yeni konu ancak plan sırasıyla açılır; LGS dışı ileri TYT içeriği zorunlu değildir.</x:v>
      </x:c>
    </x:row>
    <x:row r="723">
      <x:c r="A723" s="14" t="n">
        <x:v>722</x:v>
      </x:c>
      <x:c r="B723" s="15" t="n">
        <x:v>46354</x:v>
      </x:c>
      <x:c r="C723" s="14" t="str">
        <x:v>Cumartesi</x:v>
      </x:c>
      <x:c r="D723" s="14" t="str">
        <x:v>Hafta Sonu</x:v>
      </x:c>
      <x:c r="E723" s="14" t="str">
        <x:v>Tam gün</x:v>
      </x:c>
      <x:c r="F723" s="14" t="str">
        <x:v>F1 - Temel Kurma</x:v>
      </x:c>
      <x:c r="G723" s="14" t="str">
        <x:v>10:25</x:v>
      </x:c>
      <x:c r="H723" s="14" t="str">
        <x:v>11:15</x:v>
      </x:c>
      <x:c r="I723" s="14" t="str">
        <x:v>Matematik</x:v>
      </x:c>
      <x:c r="J723" s="14" t="str">
        <x:v>Kitap / MEB / Mastery</x:v>
      </x:c>
      <x:c r="K723" s="14" t="str">
        <x:v>Denklem Çözme</x:v>
      </x:c>
      <x:c r="L723" s="14" t="str">
        <x:v>Denklem Çözme ile ilgili soru kitabından en az 20 soru / bugünkü test payını çöz. İlgili kitap konu bölümünü bu oturumda bitirmeyi hedefle; sonraki oturum MEB doğrulaması.</x:v>
      </x:c>
      <x:c r="M723" s="14" t="str">
        <x:v>MUBA 8. Sınıf Başlangıç Matematik (ISBN 9789756526972) (eşleşen bölüm) + MEB temel destek</x:v>
      </x:c>
      <x:c r="N723" s="14" t="str">
        <x:v>https://odsgm.meb.gov.tr/www/5-6-7-ve-9-sinif-duzeylerinde-calisma-sorulari-yayimlandi/icerik/775</x:v>
      </x:c>
      <x:c r="O723" s="14" t="n">
        <x:v>20</x:v>
      </x:c>
      <x:c r="P723" s="14" t="str">
        <x:v>İlk 20 soru</x:v>
      </x:c>
      <x:c r="Q723" s="14" t="str">
        <x:v>Evet</x:v>
      </x:c>
      <x:c r="R723" s="14" t="str">
        <x:v>Planlandı</x:v>
      </x:c>
      <x:c r="S723" s="15" t="str"/>
      <x:c r="T723" s="14" t="str">
        <x:v>Ayrı/rastgele matematik benchmark yoktur. Süreli ilk 20 soru o gün çalışılan konunun içindedir.</x:v>
      </x:c>
    </x:row>
    <x:row r="724">
      <x:c r="A724" s="14" t="n">
        <x:v>723</x:v>
      </x:c>
      <x:c r="B724" s="15" t="n">
        <x:v>46354</x:v>
      </x:c>
      <x:c r="C724" s="14" t="str">
        <x:v>Cumartesi</x:v>
      </x:c>
      <x:c r="D724" s="14" t="str">
        <x:v>Hafta Sonu</x:v>
      </x:c>
      <x:c r="E724" s="14" t="str">
        <x:v>Tam gün</x:v>
      </x:c>
      <x:c r="F724" s="14" t="str">
        <x:v>F1 - Temel Kurma</x:v>
      </x:c>
      <x:c r="G724" s="14" t="str">
        <x:v>12:00</x:v>
      </x:c>
      <x:c r="H724" s="14" t="str">
        <x:v>14:00</x:v>
      </x:c>
      <x:c r="I724" s="14" t="str">
        <x:v>Genel</x:v>
      </x:c>
      <x:c r="J724" s="14" t="str">
        <x:v>Yemek / Serbest Zaman</x:v>
      </x:c>
      <x:c r="K724" s="14" t="str"/>
      <x:c r="L724" s="14" t="str">
        <x:v>Yemek, hareket ve dinlenme.</x:v>
      </x:c>
      <x:c r="M724" s="14" t="str"/>
      <x:c r="N724" s="14" t="str"/>
      <x:c r="O724" s="14" t="n">
        <x:v>0</x:v>
      </x:c>
      <x:c r="P724" s="14" t="str">
        <x:v>Hayır</x:v>
      </x:c>
      <x:c r="Q724" s="14" t="str">
        <x:v>Hayır</x:v>
      </x:c>
      <x:c r="R724" s="14" t="str">
        <x:v>Planlandı</x:v>
      </x:c>
      <x:c r="S724" s="15" t="str"/>
      <x:c r="T724" s="14" t="str"/>
    </x:row>
    <x:row r="725">
      <x:c r="A725" s="14" t="n">
        <x:v>724</x:v>
      </x:c>
      <x:c r="B725" s="15" t="n">
        <x:v>46354</x:v>
      </x:c>
      <x:c r="C725" s="14" t="str">
        <x:v>Cumartesi</x:v>
      </x:c>
      <x:c r="D725" s="14" t="str">
        <x:v>Hafta Sonu</x:v>
      </x:c>
      <x:c r="E725" s="14" t="str">
        <x:v>Tam gün</x:v>
      </x:c>
      <x:c r="F725" s="14" t="str">
        <x:v>F1 - Temel Kurma</x:v>
      </x:c>
      <x:c r="G725" s="14" t="str">
        <x:v>11:25</x:v>
      </x:c>
      <x:c r="H725" s="14" t="str">
        <x:v>11:55</x:v>
      </x:c>
      <x:c r="I725" s="14" t="str">
        <x:v>Türkçe</x:v>
      </x:c>
      <x:c r="J725" s="14" t="str">
        <x:v>Paragraf Rutini</x:v>
      </x:c>
      <x:c r="K725" s="14" t="str">
        <x:v>Paragraf</x:v>
      </x:c>
      <x:c r="L725" s="14" t="str">
        <x:v>En az 20 paragraf sorusu çöz; ilk 20 soruyu ileri sayımla ölç, D/Y/B + süre kaydet.</x:v>
      </x:c>
      <x:c r="M725" s="14" t="str">
        <x:v>Hız 8. Sınıf Türkçe Paragraf (ISBN 9786258394498)</x:v>
      </x:c>
      <x:c r="N725" s="14" t="str"/>
      <x:c r="O725" s="14" t="n">
        <x:v>20</x:v>
      </x:c>
      <x:c r="P725" s="14" t="str">
        <x:v>İlk 20 soru</x:v>
      </x:c>
      <x:c r="Q725" s="14" t="str">
        <x:v>Evet</x:v>
      </x:c>
      <x:c r="R725" s="14" t="str">
        <x:v>Planlandı</x:v>
      </x:c>
      <x:c r="S725" s="15" t="str"/>
      <x:c r="T725" s="14" t="str">
        <x:v>Geri sayım ve hedef süre yok.</x:v>
      </x:c>
    </x:row>
    <x:row r="726">
      <x:c r="A726" s="14" t="n">
        <x:v>725</x:v>
      </x:c>
      <x:c r="B726" s="15" t="n">
        <x:v>46354</x:v>
      </x:c>
      <x:c r="C726" s="14" t="str">
        <x:v>Cumartesi</x:v>
      </x:c>
      <x:c r="D726" s="14" t="str">
        <x:v>Hafta Sonu</x:v>
      </x:c>
      <x:c r="E726" s="14" t="str">
        <x:v>Tam gün</x:v>
      </x:c>
      <x:c r="F726" s="14" t="str">
        <x:v>F1 - Temel Kurma</x:v>
      </x:c>
      <x:c r="G726" s="14" t="str">
        <x:v>14:00</x:v>
      </x:c>
      <x:c r="H726" s="14" t="str">
        <x:v>14:40</x:v>
      </x:c>
      <x:c r="I726" s="14" t="str">
        <x:v>Türkçe</x:v>
      </x:c>
      <x:c r="J726" s="14" t="str">
        <x:v>Konu / Tekrar</x:v>
      </x:c>
      <x:c r="K726" s="14" t="str">
        <x:v>Fiiller</x:v>
      </x:c>
      <x:c r="L726" s="14" t="str">
        <x:v>Fiiller — genel oynatma listesinden ilgili videoyu izle (1/4).</x:v>
      </x:c>
      <x:c r="M726" s="14" t="str">
        <x:v>Türkçe Ana Oynatma Listesi</x:v>
      </x:c>
      <x:c r="N726" s="14" t="str">
        <x:v>https://www.youtube.com/watch?v=VYsPntNKVdw&amp;list=PLIBjFaUoJJ91bz7QQEBlxNJNZka5YQRr6</x:v>
      </x:c>
      <x:c r="O726" s="14" t="n">
        <x:v>0</x:v>
      </x:c>
      <x:c r="P726" s="14" t="str">
        <x:v>Hayır</x:v>
      </x:c>
      <x:c r="Q726" s="14" t="str">
        <x:v>Evet</x:v>
      </x:c>
      <x:c r="R726" s="14" t="str">
        <x:v>Planlandı</x:v>
      </x:c>
      <x:c r="S726" s="15" t="str"/>
      <x:c r="T726" s="14" t="str">
        <x:v>TYT etiketli kaynak temelden başlamak için sabittir; LGS dışı gereksiz ayrıntı zorunlu değildir.</x:v>
      </x:c>
    </x:row>
    <x:row r="727">
      <x:c r="A727" s="14" t="n">
        <x:v>726</x:v>
      </x:c>
      <x:c r="B727" s="15" t="n">
        <x:v>46354</x:v>
      </x:c>
      <x:c r="C727" s="14" t="str">
        <x:v>Cumartesi</x:v>
      </x:c>
      <x:c r="D727" s="14" t="str">
        <x:v>Hafta Sonu</x:v>
      </x:c>
      <x:c r="E727" s="14" t="str">
        <x:v>Tam gün</x:v>
      </x:c>
      <x:c r="F727" s="14" t="str">
        <x:v>F1 - Temel Kurma</x:v>
      </x:c>
      <x:c r="G727" s="14" t="str">
        <x:v>14:50</x:v>
      </x:c>
      <x:c r="H727" s="14" t="str">
        <x:v>15:30</x:v>
      </x:c>
      <x:c r="I727" s="14" t="str">
        <x:v>Türkçe</x:v>
      </x:c>
      <x:c r="J727" s="14" t="str">
        <x:v>Kitap / MEB / Mastery</x:v>
      </x:c>
      <x:c r="K727" s="14" t="str">
        <x:v>Fiiller</x:v>
      </x:c>
      <x:c r="L727" s="14" t="str">
        <x:v>Fiiller ile ilgili soru kitabından en az 10 soru / bugünkü test payını çöz.</x:v>
      </x:c>
      <x:c r="M727" s="14" t="str">
        <x:v>Ankara 8. Sınıf Dil Bilgisi Güçlendiren (eşleşen bölüm) + MEB temel destek</x:v>
      </x:c>
      <x:c r="N727" s="14" t="str">
        <x:v>https://odsgm.meb.gov.tr/www/5-6-7-ve-9-sinif-duzeylerinde-calisma-sorulari-yayimlandi/icerik/775</x:v>
      </x:c>
      <x:c r="O727" s="14" t="n">
        <x:v>10</x:v>
      </x:c>
      <x:c r="P727" s="14" t="str">
        <x:v>Hayır</x:v>
      </x:c>
      <x:c r="Q727" s="14" t="str">
        <x:v>Evet</x:v>
      </x:c>
      <x:c r="R727" s="14" t="str">
        <x:v>Planlandı</x:v>
      </x:c>
      <x:c r="S727" s="15" t="str"/>
      <x:c r="T727" s="14" t="str"/>
    </x:row>
    <x:row r="728">
      <x:c r="A728" s="14" t="n">
        <x:v>727</x:v>
      </x:c>
      <x:c r="B728" s="15" t="n">
        <x:v>46354</x:v>
      </x:c>
      <x:c r="C728" s="14" t="str">
        <x:v>Cumartesi</x:v>
      </x:c>
      <x:c r="D728" s="14" t="str">
        <x:v>Hafta Sonu</x:v>
      </x:c>
      <x:c r="E728" s="14" t="str">
        <x:v>Tam gün</x:v>
      </x:c>
      <x:c r="F728" s="14" t="str">
        <x:v>F1 - Temel Kurma</x:v>
      </x:c>
      <x:c r="G728" s="14" t="str">
        <x:v>15:45</x:v>
      </x:c>
      <x:c r="H728" s="14" t="str">
        <x:v>16:25</x:v>
      </x:c>
      <x:c r="I728" s="14" t="str">
        <x:v>İnkılap</x:v>
      </x:c>
      <x:c r="J728" s="14" t="str">
        <x:v>Konu / Tekrar</x:v>
      </x:c>
      <x:c r="K728" s="14" t="str">
        <x:v>Mondros, İşgaller, Cemiyetler ve Kuvayımilliye</x:v>
      </x:c>
      <x:c r="L728" s="14" t="str">
        <x:v>Mondros, İşgaller, Cemiyetler ve Kuvayımilliye — genel oynatma listesinden ilgili konu/soru çalışmasını yap.</x:v>
      </x:c>
      <x:c r="M728" s="14" t="str">
        <x:v>İnkılap Genel Oynatma Listesi</x:v>
      </x:c>
      <x:c r="N728" s="14" t="str">
        <x:v>https://www.youtube.com/watch?v=MltIX0oKpYU&amp;list=PLsAsBPsriHNbXit4Ra3iuBrk1ZHZWxsOR&amp;index=78</x:v>
      </x:c>
      <x:c r="O728" s="14" t="n">
        <x:v>0</x:v>
      </x:c>
      <x:c r="P728" s="14" t="str">
        <x:v>Hayır</x:v>
      </x:c>
      <x:c r="Q728" s="14" t="str">
        <x:v>Evet</x:v>
      </x:c>
      <x:c r="R728" s="14" t="str">
        <x:v>Planlandı</x:v>
      </x:c>
      <x:c r="S728" s="15" t="str"/>
      <x:c r="T728" s="14" t="str">
        <x:v>İnkılapta okul yazılısı videoları zorunlu değildir.</x:v>
      </x:c>
    </x:row>
    <x:row r="729">
      <x:c r="A729" s="14" t="n">
        <x:v>728</x:v>
      </x:c>
      <x:c r="B729" s="15" t="n">
        <x:v>46354</x:v>
      </x:c>
      <x:c r="C729" s="14" t="str">
        <x:v>Cumartesi</x:v>
      </x:c>
      <x:c r="D729" s="14" t="str">
        <x:v>Hafta Sonu</x:v>
      </x:c>
      <x:c r="E729" s="14" t="str">
        <x:v>Tam gün</x:v>
      </x:c>
      <x:c r="F729" s="14" t="str">
        <x:v>F1 - Temel Kurma</x:v>
      </x:c>
      <x:c r="G729" s="14" t="str">
        <x:v>16:35</x:v>
      </x:c>
      <x:c r="H729" s="14" t="str">
        <x:v>17:15</x:v>
      </x:c>
      <x:c r="I729" s="14" t="str">
        <x:v>İnkılap</x:v>
      </x:c>
      <x:c r="J729" s="14" t="str">
        <x:v>Kitap / MEB / Mastery</x:v>
      </x:c>
      <x:c r="K729" s="14" t="str">
        <x:v>Mondros, İşgaller, Cemiyetler ve Kuvayımilliye</x:v>
      </x:c>
      <x:c r="L729" s="14" t="str">
        <x:v>Mondros, İşgaller, Cemiyetler ve Kuvayımilliye ile ilgili soru kitabından en az 15 soru / bugünkü test payını çöz.</x:v>
      </x:c>
      <x:c r="M729" s="14" t="str">
        <x:v>Hız 8. Sınıf T.C. İnkılap Tarihi ve Atatürkçülük</x:v>
      </x:c>
      <x:c r="N729" s="14" t="str">
        <x:v>https://www.youtube.com/watch?v=MltIX0oKpYU&amp;list=PLsAsBPsriHNbXit4Ra3iuBrk1ZHZWxsOR&amp;index=78</x:v>
      </x:c>
      <x:c r="O729" s="14" t="n">
        <x:v>15</x:v>
      </x:c>
      <x:c r="P729" s="14" t="str">
        <x:v>Hayır</x:v>
      </x:c>
      <x:c r="Q729" s="14" t="str">
        <x:v>Evet</x:v>
      </x:c>
      <x:c r="R729" s="14" t="str">
        <x:v>Planlandı</x:v>
      </x:c>
      <x:c r="S729" s="15" t="str"/>
      <x:c r="T729" s="14" t="str"/>
    </x:row>
    <x:row r="730">
      <x:c r="A730" s="14" t="n">
        <x:v>729</x:v>
      </x:c>
      <x:c r="B730" s="15" t="n">
        <x:v>46354</x:v>
      </x:c>
      <x:c r="C730" s="14" t="str">
        <x:v>Cumartesi</x:v>
      </x:c>
      <x:c r="D730" s="14" t="str">
        <x:v>Hafta Sonu</x:v>
      </x:c>
      <x:c r="E730" s="14" t="str">
        <x:v>Tam gün</x:v>
      </x:c>
      <x:c r="F730" s="14" t="str">
        <x:v>F1 - Temel Kurma</x:v>
      </x:c>
      <x:c r="G730" s="14" t="str">
        <x:v>17:25</x:v>
      </x:c>
      <x:c r="H730" s="14" t="str">
        <x:v>17:55</x:v>
      </x:c>
      <x:c r="I730" s="14" t="str">
        <x:v>Fen</x:v>
      </x:c>
      <x:c r="J730" s="14" t="str">
        <x:v>Ek Fen Pekiştirme</x:v>
      </x:c>
      <x:c r="K730" s="14" t="str">
        <x:v>Sıvı Basıncı</x:v>
      </x:c>
      <x:c r="L730" s="14" t="str">
        <x:v>Sıvı Basıncı — MEB doğrulaması öncesi 5-10 dk aktif hatırlama; gerekiyorsa ilgili playlist videosuna kısa dönüş yap.</x:v>
      </x:c>
      <x:c r="M730" s="14" t="str">
        <x:v>Fen Konu/Soru Oynatma Listesi</x:v>
      </x:c>
      <x:c r="N730" s="14" t="str">
        <x:v>https://www.youtube.com/watch?v=pQXhWnDZ3vM&amp;list=PLrQm7mt99FRXcBnorCttd31HJEvg0En26&amp;index=23</x:v>
      </x:c>
      <x:c r="O730" s="14" t="n">
        <x:v>0</x:v>
      </x:c>
      <x:c r="P730" s="14" t="str">
        <x:v>Hayır</x:v>
      </x:c>
      <x:c r="Q730" s="14" t="str">
        <x:v>Evet</x:v>
      </x:c>
      <x:c r="R730" s="14" t="str">
        <x:v>Planlandı</x:v>
      </x:c>
      <x:c r="S730" s="15" t="str"/>
      <x:c r="T730" s="14" t="str">
        <x:v>Fen haftalık temas sıklığını artırmak için ek Cumartesi oturumu.</x:v>
      </x:c>
    </x:row>
    <x:row r="731">
      <x:c r="A731" s="14" t="n">
        <x:v>730</x:v>
      </x:c>
      <x:c r="B731" s="15" t="n">
        <x:v>46354</x:v>
      </x:c>
      <x:c r="C731" s="14" t="str">
        <x:v>Cumartesi</x:v>
      </x:c>
      <x:c r="D731" s="14" t="str">
        <x:v>Hafta Sonu</x:v>
      </x:c>
      <x:c r="E731" s="14" t="str">
        <x:v>Tam gün</x:v>
      </x:c>
      <x:c r="F731" s="14" t="str">
        <x:v>F1 - Temel Kurma</x:v>
      </x:c>
      <x:c r="G731" s="14" t="str">
        <x:v>17:55</x:v>
      </x:c>
      <x:c r="H731" s="14" t="str">
        <x:v>18:25</x:v>
      </x:c>
      <x:c r="I731" s="14" t="str">
        <x:v>Fen</x:v>
      </x:c>
      <x:c r="J731" s="14" t="str">
        <x:v>Ek Fen Kitap / MEB</x:v>
      </x:c>
      <x:c r="K731" s="14" t="str">
        <x:v>Sıvı Basıncı</x:v>
      </x:c>
      <x:c r="L731" s="14" t="str">
        <x:v>Sıvı Basıncı için ilgili MEB sorularını TAMAMLA; D/Y/B kaydet. Bu oturum konu mastery gate'idir.</x:v>
      </x:c>
      <x:c r="M731" s="14" t="str">
        <x:v>MEB 8. Sınıf Fen Soruları</x:v>
      </x:c>
      <x:c r="N731" s="14" t="str">
        <x:v>https://odsgm.meb.gov.tr/www/8sinif-calisma-sorulari/icerik/1632</x:v>
      </x:c>
      <x:c r="O731" s="14" t="n">
        <x:v>0</x:v>
      </x:c>
      <x:c r="P731" s="14" t="str">
        <x:v>Hayır</x:v>
      </x:c>
      <x:c r="Q731" s="14" t="str">
        <x:v>Evet</x:v>
      </x:c>
      <x:c r="R731" s="14" t="str">
        <x:v>Planlandı</x:v>
      </x:c>
      <x:c r="S731" s="15" t="str"/>
      <x:c r="T731" s="14" t="str">
        <x:v>Fen için Hız → gerekiyorsa Mozaik; MEB doğrulaması konu bitiminde.</x:v>
      </x:c>
    </x:row>
    <x:row r="732">
      <x:c r="A732" s="14" t="n">
        <x:v>731</x:v>
      </x:c>
      <x:c r="B732" s="15" t="n">
        <x:v>46354</x:v>
      </x:c>
      <x:c r="C732" s="14" t="str">
        <x:v>Cumartesi</x:v>
      </x:c>
      <x:c r="D732" s="14" t="str">
        <x:v>Hafta Sonu</x:v>
      </x:c>
      <x:c r="E732" s="14" t="str">
        <x:v>Tam gün</x:v>
      </x:c>
      <x:c r="F732" s="14" t="str">
        <x:v>F1 - Temel Kurma</x:v>
      </x:c>
      <x:c r="G732" s="14" t="str">
        <x:v>18:25</x:v>
      </x:c>
      <x:c r="H732" s="14" t="str">
        <x:v>18:45</x:v>
      </x:c>
      <x:c r="I732" s="14" t="str">
        <x:v>Genel</x:v>
      </x:c>
      <x:c r="J732" s="14" t="str">
        <x:v>Yanlış / Boş Analizi</x:v>
      </x:c>
      <x:c r="K732" s="14" t="str">
        <x:v>Günlük</x:v>
      </x:c>
      <x:c r="L732" s="14" t="str">
        <x:v>Bugünkü yanlış/boşları kaydet; çözümünü öğrenmeden kapatma. Hata türünü sınıflandır.</x:v>
      </x:c>
      <x:c r="M732" s="14" t="str">
        <x:v>Yanlış Defteri</x:v>
      </x:c>
      <x:c r="N732" s="14" t="str"/>
      <x:c r="O732" s="14" t="n">
        <x:v>0</x:v>
      </x:c>
      <x:c r="P732" s="14" t="str">
        <x:v>Hayır</x:v>
      </x:c>
      <x:c r="Q732" s="14" t="str">
        <x:v>Evet</x:v>
      </x:c>
      <x:c r="R732" s="14" t="str">
        <x:v>Planlandı</x:v>
      </x:c>
      <x:c r="S732" s="15" t="str"/>
      <x:c r="T732" s="14" t="str"/>
    </x:row>
    <x:row r="733">
      <x:c r="A733" s="14" t="n">
        <x:v>732</x:v>
      </x:c>
      <x:c r="B733" s="15" t="n">
        <x:v>46354</x:v>
      </x:c>
      <x:c r="C733" s="14" t="str">
        <x:v>Cumartesi</x:v>
      </x:c>
      <x:c r="D733" s="14" t="str">
        <x:v>Hafta Sonu</x:v>
      </x:c>
      <x:c r="E733" s="14" t="str">
        <x:v>Tam gün</x:v>
      </x:c>
      <x:c r="F733" s="14" t="str">
        <x:v>F1 - Temel Kurma</x:v>
      </x:c>
      <x:c r="G733" s="14" t="str">
        <x:v>18:45</x:v>
      </x:c>
      <x:c r="H733" s="14" t="str">
        <x:v>19:05</x:v>
      </x:c>
      <x:c r="I733" s="14" t="str">
        <x:v>Genel</x:v>
      </x:c>
      <x:c r="J733" s="14" t="str">
        <x:v>Aralıklı Hata Tekrarı</x:v>
      </x:c>
      <x:c r="K733" s="14" t="str">
        <x:v>+1 / +7 / +21</x:v>
      </x:c>
      <x:c r="L733" s="14" t="str">
        <x:v>Bugün vadesi gelen yanlış soruları tekrar çöz. Vadesi yoksa bu süre serbest/okuma olabilir.</x:v>
      </x:c>
      <x:c r="M733" s="14" t="str">
        <x:v>Yanlış Defteri</x:v>
      </x:c>
      <x:c r="N733" s="14" t="str"/>
      <x:c r="O733" s="14" t="n">
        <x:v>0</x:v>
      </x:c>
      <x:c r="P733" s="14" t="str">
        <x:v>Hayır</x:v>
      </x:c>
      <x:c r="Q733" s="14" t="str">
        <x:v>Koşullu</x:v>
      </x:c>
      <x:c r="R733" s="14" t="str">
        <x:v>Planlandı</x:v>
      </x:c>
      <x:c r="S733" s="15" t="str"/>
      <x:c r="T733" s="14" t="str">
        <x:v>Yanlışlar +1, +7 ve +21 gün aralıklarıyla tekrar edilir; hâlâ yanlışsa konu mastery durumu düşürülür.</x:v>
      </x:c>
    </x:row>
    <x:row r="734">
      <x:c r="A734" s="14" t="n">
        <x:v>733</x:v>
      </x:c>
      <x:c r="B734" s="15" t="n">
        <x:v>46354</x:v>
      </x:c>
      <x:c r="C734" s="14" t="str">
        <x:v>Cumartesi</x:v>
      </x:c>
      <x:c r="D734" s="14" t="str">
        <x:v>Hafta Sonu</x:v>
      </x:c>
      <x:c r="E734" s="14" t="str">
        <x:v>Tam gün</x:v>
      </x:c>
      <x:c r="F734" s="14" t="str">
        <x:v>F1 - Temel Kurma</x:v>
      </x:c>
      <x:c r="G734" s="14" t="str">
        <x:v>20:00</x:v>
      </x:c>
      <x:c r="H734" s="14" t="str">
        <x:v>20:30</x:v>
      </x:c>
      <x:c r="I734" s="14" t="str">
        <x:v>Okuma</x:v>
      </x:c>
      <x:c r="J734" s="14" t="str">
        <x:v>İsteğe Bağlı</x:v>
      </x:c>
      <x:c r="K734" s="14" t="str">
        <x:v>Serbest Kitap</x:v>
      </x:c>
      <x:c r="L734" s="14" t="str">
        <x:v>Zorunlu çalışmalar bittiyse isteğe bağlı kitap oku.</x:v>
      </x:c>
      <x:c r="M734" s="14" t="str">
        <x:v>Serbest Kitap</x:v>
      </x:c>
      <x:c r="N734" s="14" t="str"/>
      <x:c r="O734" s="14" t="n">
        <x:v>0</x:v>
      </x:c>
      <x:c r="P734" s="14" t="str">
        <x:v>İsteğe Bağlı</x:v>
      </x:c>
      <x:c r="Q734" s="14" t="str">
        <x:v>Hayır</x:v>
      </x:c>
      <x:c r="R734" s="14" t="str">
        <x:v>Planlandı</x:v>
      </x:c>
      <x:c r="S734" s="15" t="str"/>
      <x:c r="T734" s="14" t="str">
        <x:v>Minimum süre yok.</x:v>
      </x:c>
    </x:row>
    <x:row r="735">
      <x:c r="A735" s="14" t="n">
        <x:v>734</x:v>
      </x:c>
      <x:c r="B735" s="15" t="n">
        <x:v>46354</x:v>
      </x:c>
      <x:c r="C735" s="14" t="str">
        <x:v>Cumartesi</x:v>
      </x:c>
      <x:c r="D735" s="14" t="str">
        <x:v>Hafta Sonu</x:v>
      </x:c>
      <x:c r="E735" s="14" t="str">
        <x:v>Tam gün</x:v>
      </x:c>
      <x:c r="F735" s="14" t="str">
        <x:v>F1 - Temel Kurma</x:v>
      </x:c>
      <x:c r="G735" s="14" t="str">
        <x:v>21:50</x:v>
      </x:c>
      <x:c r="H735" s="14" t="str">
        <x:v>22:00</x:v>
      </x:c>
      <x:c r="I735" s="14" t="str">
        <x:v>Genel</x:v>
      </x:c>
      <x:c r="J735" s="14" t="str">
        <x:v>Uyku Hazırlığı</x:v>
      </x:c>
      <x:c r="K735" s="14" t="str"/>
      <x:c r="L735" s="14" t="str">
        <x:v>22:00'de yatakta ve uyku.</x:v>
      </x:c>
      <x:c r="M735" s="14" t="str"/>
      <x:c r="N735" s="14" t="str"/>
      <x:c r="O735" s="14" t="n">
        <x:v>0</x:v>
      </x:c>
      <x:c r="P735" s="14" t="str">
        <x:v>Hayır</x:v>
      </x:c>
      <x:c r="Q735" s="14" t="str">
        <x:v>Hayır</x:v>
      </x:c>
      <x:c r="R735" s="14" t="str">
        <x:v>Planlandı</x:v>
      </x:c>
      <x:c r="S735" s="15" t="str"/>
      <x:c r="T735" s="14" t="str"/>
    </x:row>
    <x:row r="736">
      <x:c r="A736" s="14" t="n">
        <x:v>735</x:v>
      </x:c>
      <x:c r="B736" s="15" t="n">
        <x:v>46355</x:v>
      </x:c>
      <x:c r="C736" s="14" t="str">
        <x:v>Pazar</x:v>
      </x:c>
      <x:c r="D736" s="14" t="str">
        <x:v>Hafta Sonu</x:v>
      </x:c>
      <x:c r="E736" s="14" t="str">
        <x:v>Tam gün</x:v>
      </x:c>
      <x:c r="F736" s="14" t="str">
        <x:v>F1 - Temel Kurma</x:v>
      </x:c>
      <x:c r="G736" s="14" t="str">
        <x:v>09:30</x:v>
      </x:c>
      <x:c r="H736" s="14" t="str">
        <x:v>10:15</x:v>
      </x:c>
      <x:c r="I736" s="14" t="str">
        <x:v>Matematik</x:v>
      </x:c>
      <x:c r="J736" s="14" t="str">
        <x:v>Konu / Tekrar</x:v>
      </x:c>
      <x:c r="K736" s="14" t="str">
        <x:v>Denklem Çözme</x:v>
      </x:c>
      <x:c r="L736" s="14" t="str">
        <x:v>Denklem Çözme — MEB doğrulaması öncesi 5-10 dk aktif hatırlama; gerekiyorsa ilgili playlist videosuna kısa dönüş yap.</x:v>
      </x:c>
      <x:c r="M736" s="14" t="str">
        <x:v>Matematik Ana Oynatma Listesi</x:v>
      </x:c>
      <x:c r="N736" s="14" t="str">
        <x:v>https://www.youtube.com/watch?v=EuJ89QzqrAg&amp;list=PLicNtF7vp6fnfDqrRLH6H7fIbzYT4ct4F&amp;index=11</x:v>
      </x:c>
      <x:c r="O736" s="14" t="n">
        <x:v>0</x:v>
      </x:c>
      <x:c r="P736" s="14" t="str">
        <x:v>Hayır</x:v>
      </x:c>
      <x:c r="Q736" s="14" t="str">
        <x:v>Evet</x:v>
      </x:c>
      <x:c r="R736" s="14" t="str">
        <x:v>Planlandı</x:v>
      </x:c>
      <x:c r="S736" s="15" t="str"/>
      <x:c r="T736" s="14" t="str">
        <x:v>Yeni konu ancak plan sırasıyla açılır; LGS dışı ileri TYT içeriği zorunlu değildir.</x:v>
      </x:c>
    </x:row>
    <x:row r="737">
      <x:c r="A737" s="14" t="n">
        <x:v>736</x:v>
      </x:c>
      <x:c r="B737" s="15" t="n">
        <x:v>46355</x:v>
      </x:c>
      <x:c r="C737" s="14" t="str">
        <x:v>Pazar</x:v>
      </x:c>
      <x:c r="D737" s="14" t="str">
        <x:v>Hafta Sonu</x:v>
      </x:c>
      <x:c r="E737" s="14" t="str">
        <x:v>Tam gün</x:v>
      </x:c>
      <x:c r="F737" s="14" t="str">
        <x:v>F1 - Temel Kurma</x:v>
      </x:c>
      <x:c r="G737" s="14" t="str">
        <x:v>10:25</x:v>
      </x:c>
      <x:c r="H737" s="14" t="str">
        <x:v>11:15</x:v>
      </x:c>
      <x:c r="I737" s="14" t="str">
        <x:v>Matematik</x:v>
      </x:c>
      <x:c r="J737" s="14" t="str">
        <x:v>Kitap / MEB / Mastery</x:v>
      </x:c>
      <x:c r="K737" s="14" t="str">
        <x:v>Denklem Çözme</x:v>
      </x:c>
      <x:c r="L737" s="14" t="str">
        <x:v>Denklem Çözme için ilgili MEB sorularını TAMAMLA; D/Y/B kaydet. Bu oturum konu mastery gate'idir.</x:v>
      </x:c>
      <x:c r="M737" s="14" t="str">
        <x:v>MEB Resmî Soru Seti</x:v>
      </x:c>
      <x:c r="N737" s="14" t="str">
        <x:v>https://odsgm.meb.gov.tr/www/5-6-7-ve-9-sinif-duzeylerinde-calisma-sorulari-yayimlandi/icerik/775</x:v>
      </x:c>
      <x:c r="O737" s="14" t="n">
        <x:v>0</x:v>
      </x:c>
      <x:c r="P737" s="14" t="str">
        <x:v>Hayır</x:v>
      </x:c>
      <x:c r="Q737" s="14" t="str">
        <x:v>Evet</x:v>
      </x:c>
      <x:c r="R737" s="14" t="str">
        <x:v>Planlandı</x:v>
      </x:c>
      <x:c r="S737" s="15" t="str"/>
      <x:c r="T737" s="14" t="str">
        <x:v>MEB sonucu Konu_Ustaligi sayfasına işlenir.</x:v>
      </x:c>
    </x:row>
    <x:row r="738">
      <x:c r="A738" s="14" t="n">
        <x:v>737</x:v>
      </x:c>
      <x:c r="B738" s="15" t="n">
        <x:v>46355</x:v>
      </x:c>
      <x:c r="C738" s="14" t="str">
        <x:v>Pazar</x:v>
      </x:c>
      <x:c r="D738" s="14" t="str">
        <x:v>Hafta Sonu</x:v>
      </x:c>
      <x:c r="E738" s="14" t="str">
        <x:v>Tam gün</x:v>
      </x:c>
      <x:c r="F738" s="14" t="str">
        <x:v>F1 - Temel Kurma</x:v>
      </x:c>
      <x:c r="G738" s="14" t="str">
        <x:v>12:00</x:v>
      </x:c>
      <x:c r="H738" s="14" t="str">
        <x:v>14:00</x:v>
      </x:c>
      <x:c r="I738" s="14" t="str">
        <x:v>Genel</x:v>
      </x:c>
      <x:c r="J738" s="14" t="str">
        <x:v>Yemek / Serbest Zaman</x:v>
      </x:c>
      <x:c r="K738" s="14" t="str"/>
      <x:c r="L738" s="14" t="str">
        <x:v>Yemek, hareket ve dinlenme.</x:v>
      </x:c>
      <x:c r="M738" s="14" t="str"/>
      <x:c r="N738" s="14" t="str"/>
      <x:c r="O738" s="14" t="n">
        <x:v>0</x:v>
      </x:c>
      <x:c r="P738" s="14" t="str">
        <x:v>Hayır</x:v>
      </x:c>
      <x:c r="Q738" s="14" t="str">
        <x:v>Hayır</x:v>
      </x:c>
      <x:c r="R738" s="14" t="str">
        <x:v>Planlandı</x:v>
      </x:c>
      <x:c r="S738" s="15" t="str"/>
      <x:c r="T738" s="14" t="str"/>
    </x:row>
    <x:row r="739">
      <x:c r="A739" s="14" t="n">
        <x:v>738</x:v>
      </x:c>
      <x:c r="B739" s="15" t="n">
        <x:v>46355</x:v>
      </x:c>
      <x:c r="C739" s="14" t="str">
        <x:v>Pazar</x:v>
      </x:c>
      <x:c r="D739" s="14" t="str">
        <x:v>Hafta Sonu</x:v>
      </x:c>
      <x:c r="E739" s="14" t="str">
        <x:v>Tam gün</x:v>
      </x:c>
      <x:c r="F739" s="14" t="str">
        <x:v>F1 - Temel Kurma</x:v>
      </x:c>
      <x:c r="G739" s="14" t="str">
        <x:v>11:25</x:v>
      </x:c>
      <x:c r="H739" s="14" t="str">
        <x:v>11:55</x:v>
      </x:c>
      <x:c r="I739" s="14" t="str">
        <x:v>Türkçe</x:v>
      </x:c>
      <x:c r="J739" s="14" t="str">
        <x:v>Paragraf Rutini</x:v>
      </x:c>
      <x:c r="K739" s="14" t="str">
        <x:v>Paragraf</x:v>
      </x:c>
      <x:c r="L739" s="14" t="str">
        <x:v>En az 20 paragraf sorusu çöz; ilk 20 soruyu ileri sayımla ölç, D/Y/B + süre kaydet.</x:v>
      </x:c>
      <x:c r="M739" s="14" t="str">
        <x:v>Hız 8. Sınıf Türkçe Paragraf (ISBN 9786258394498)</x:v>
      </x:c>
      <x:c r="N739" s="14" t="str"/>
      <x:c r="O739" s="14" t="n">
        <x:v>20</x:v>
      </x:c>
      <x:c r="P739" s="14" t="str">
        <x:v>İlk 20 soru</x:v>
      </x:c>
      <x:c r="Q739" s="14" t="str">
        <x:v>Evet</x:v>
      </x:c>
      <x:c r="R739" s="14" t="str">
        <x:v>Planlandı</x:v>
      </x:c>
      <x:c r="S739" s="15" t="str"/>
      <x:c r="T739" s="14" t="str">
        <x:v>Geri sayım ve hedef süre yok.</x:v>
      </x:c>
    </x:row>
    <x:row r="740">
      <x:c r="A740" s="14" t="n">
        <x:v>739</x:v>
      </x:c>
      <x:c r="B740" s="15" t="n">
        <x:v>46355</x:v>
      </x:c>
      <x:c r="C740" s="14" t="str">
        <x:v>Pazar</x:v>
      </x:c>
      <x:c r="D740" s="14" t="str">
        <x:v>Hafta Sonu</x:v>
      </x:c>
      <x:c r="E740" s="14" t="str">
        <x:v>Tam gün</x:v>
      </x:c>
      <x:c r="F740" s="14" t="str">
        <x:v>F1 - Temel Kurma</x:v>
      </x:c>
      <x:c r="G740" s="14" t="str">
        <x:v>14:00</x:v>
      </x:c>
      <x:c r="H740" s="14" t="str">
        <x:v>14:40</x:v>
      </x:c>
      <x:c r="I740" s="14" t="str">
        <x:v>Türkçe</x:v>
      </x:c>
      <x:c r="J740" s="14" t="str">
        <x:v>Konu / Tekrar</x:v>
      </x:c>
      <x:c r="K740" s="14" t="str">
        <x:v>Fiiller</x:v>
      </x:c>
      <x:c r="L740" s="14" t="str">
        <x:v>Fiiller — genel oynatma listesinden ilgili videoyu izle (2/4).</x:v>
      </x:c>
      <x:c r="M740" s="14" t="str">
        <x:v>Türkçe Ana Oynatma Listesi</x:v>
      </x:c>
      <x:c r="N740" s="14" t="str">
        <x:v>https://www.youtube.com/watch?v=VYsPntNKVdw&amp;list=PLIBjFaUoJJ91bz7QQEBlxNJNZka5YQRr6</x:v>
      </x:c>
      <x:c r="O740" s="14" t="n">
        <x:v>0</x:v>
      </x:c>
      <x:c r="P740" s="14" t="str">
        <x:v>Hayır</x:v>
      </x:c>
      <x:c r="Q740" s="14" t="str">
        <x:v>Evet</x:v>
      </x:c>
      <x:c r="R740" s="14" t="str">
        <x:v>Planlandı</x:v>
      </x:c>
      <x:c r="S740" s="15" t="str"/>
      <x:c r="T740" s="14" t="str">
        <x:v>TYT etiketli kaynak temelden başlamak için sabittir; LGS dışı gereksiz ayrıntı zorunlu değildir.</x:v>
      </x:c>
    </x:row>
    <x:row r="741">
      <x:c r="A741" s="14" t="n">
        <x:v>740</x:v>
      </x:c>
      <x:c r="B741" s="15" t="n">
        <x:v>46355</x:v>
      </x:c>
      <x:c r="C741" s="14" t="str">
        <x:v>Pazar</x:v>
      </x:c>
      <x:c r="D741" s="14" t="str">
        <x:v>Hafta Sonu</x:v>
      </x:c>
      <x:c r="E741" s="14" t="str">
        <x:v>Tam gün</x:v>
      </x:c>
      <x:c r="F741" s="14" t="str">
        <x:v>F1 - Temel Kurma</x:v>
      </x:c>
      <x:c r="G741" s="14" t="str">
        <x:v>14:50</x:v>
      </x:c>
      <x:c r="H741" s="14" t="str">
        <x:v>15:30</x:v>
      </x:c>
      <x:c r="I741" s="14" t="str">
        <x:v>Türkçe</x:v>
      </x:c>
      <x:c r="J741" s="14" t="str">
        <x:v>Kitap / MEB / Mastery</x:v>
      </x:c>
      <x:c r="K741" s="14" t="str">
        <x:v>Fiiller</x:v>
      </x:c>
      <x:c r="L741" s="14" t="str">
        <x:v>Fiiller ile ilgili soru kitabından en az 10 soru / bugünkü test payını çöz.</x:v>
      </x:c>
      <x:c r="M741" s="14" t="str">
        <x:v>Ankara 8. Sınıf Dil Bilgisi Güçlendiren (eşleşen bölüm) + MEB temel destek</x:v>
      </x:c>
      <x:c r="N741" s="14" t="str">
        <x:v>https://odsgm.meb.gov.tr/www/5-6-7-ve-9-sinif-duzeylerinde-calisma-sorulari-yayimlandi/icerik/775</x:v>
      </x:c>
      <x:c r="O741" s="14" t="n">
        <x:v>10</x:v>
      </x:c>
      <x:c r="P741" s="14" t="str">
        <x:v>Hayır</x:v>
      </x:c>
      <x:c r="Q741" s="14" t="str">
        <x:v>Evet</x:v>
      </x:c>
      <x:c r="R741" s="14" t="str">
        <x:v>Planlandı</x:v>
      </x:c>
      <x:c r="S741" s="15" t="str"/>
      <x:c r="T741" s="14" t="str"/>
    </x:row>
    <x:row r="742">
      <x:c r="A742" s="14" t="n">
        <x:v>741</x:v>
      </x:c>
      <x:c r="B742" s="15" t="n">
        <x:v>46355</x:v>
      </x:c>
      <x:c r="C742" s="14" t="str">
        <x:v>Pazar</x:v>
      </x:c>
      <x:c r="D742" s="14" t="str">
        <x:v>Hafta Sonu</x:v>
      </x:c>
      <x:c r="E742" s="14" t="str">
        <x:v>Tam gün</x:v>
      </x:c>
      <x:c r="F742" s="14" t="str">
        <x:v>F1 - Temel Kurma</x:v>
      </x:c>
      <x:c r="G742" s="14" t="str">
        <x:v>15:45</x:v>
      </x:c>
      <x:c r="H742" s="14" t="str">
        <x:v>16:25</x:v>
      </x:c>
      <x:c r="I742" s="14" t="str">
        <x:v>İngilizce</x:v>
      </x:c>
      <x:c r="J742" s="14" t="str">
        <x:v>Konu / Tekrar</x:v>
      </x:c>
      <x:c r="K742" s="14" t="str">
        <x:v>Unit 4 - On The Phone</x:v>
      </x:c>
      <x:c r="L742" s="14" t="str">
        <x:v>Unit 4 - On The Phone — Worksheet çalışmasını playlistten yap.</x:v>
      </x:c>
      <x:c r="M742" s="14" t="str">
        <x:v>İngilizce Genel Oynatma Listesi</x:v>
      </x:c>
      <x:c r="N742" s="14" t="str">
        <x:v>https://www.youtube.com/watch?v=FaY3dFjZbns&amp;list=PLSgpQDrUSYp94WgE9pzpHiOG5FwxnZBrr</x:v>
      </x:c>
      <x:c r="O742" s="14" t="n">
        <x:v>0</x:v>
      </x:c>
      <x:c r="P742" s="14" t="str">
        <x:v>Hayır</x:v>
      </x:c>
      <x:c r="Q742" s="14" t="str">
        <x:v>Evet</x:v>
      </x:c>
      <x:c r="R742" s="14" t="str">
        <x:v>Planlandı</x:v>
      </x:c>
      <x:c r="S742" s="15" t="str"/>
      <x:c r="T742" s="14" t="str"/>
    </x:row>
    <x:row r="743">
      <x:c r="A743" s="14" t="n">
        <x:v>742</x:v>
      </x:c>
      <x:c r="B743" s="15" t="n">
        <x:v>46355</x:v>
      </x:c>
      <x:c r="C743" s="14" t="str">
        <x:v>Pazar</x:v>
      </x:c>
      <x:c r="D743" s="14" t="str">
        <x:v>Hafta Sonu</x:v>
      </x:c>
      <x:c r="E743" s="14" t="str">
        <x:v>Tam gün</x:v>
      </x:c>
      <x:c r="F743" s="14" t="str">
        <x:v>F1 - Temel Kurma</x:v>
      </x:c>
      <x:c r="G743" s="14" t="str">
        <x:v>16:35</x:v>
      </x:c>
      <x:c r="H743" s="14" t="str">
        <x:v>17:15</x:v>
      </x:c>
      <x:c r="I743" s="14" t="str">
        <x:v>İngilizce</x:v>
      </x:c>
      <x:c r="J743" s="14" t="str">
        <x:v>Kitap / MEB / Mastery</x:v>
      </x:c>
      <x:c r="K743" s="14" t="str">
        <x:v>Unit 4 - On The Phone</x:v>
      </x:c>
      <x:c r="L743" s="14" t="str">
        <x:v>Unit 4 - On The Phone ile ilgili soru kitabından en az 15 soru / bugünkü test payını çöz.</x:v>
      </x:c>
      <x:c r="M743" s="14" t="str">
        <x:v>More &amp; More 8 Worksheets Notebook</x:v>
      </x:c>
      <x:c r="N743" s="14" t="str">
        <x:v>https://www.youtube.com/watch?v=FaY3dFjZbns&amp;list=PLSgpQDrUSYp94WgE9pzpHiOG5FwxnZBrr</x:v>
      </x:c>
      <x:c r="O743" s="14" t="n">
        <x:v>15</x:v>
      </x:c>
      <x:c r="P743" s="14" t="str">
        <x:v>Hayır</x:v>
      </x:c>
      <x:c r="Q743" s="14" t="str">
        <x:v>Evet</x:v>
      </x:c>
      <x:c r="R743" s="14" t="str">
        <x:v>Planlandı</x:v>
      </x:c>
      <x:c r="S743" s="15" t="str"/>
      <x:c r="T743" s="14" t="str"/>
    </x:row>
    <x:row r="744">
      <x:c r="A744" s="14" t="n">
        <x:v>743</x:v>
      </x:c>
      <x:c r="B744" s="15" t="n">
        <x:v>46355</x:v>
      </x:c>
      <x:c r="C744" s="14" t="str">
        <x:v>Pazar</x:v>
      </x:c>
      <x:c r="D744" s="14" t="str">
        <x:v>Hafta Sonu</x:v>
      </x:c>
      <x:c r="E744" s="14" t="str">
        <x:v>Tam gün</x:v>
      </x:c>
      <x:c r="F744" s="14" t="str">
        <x:v>F1 - Temel Kurma</x:v>
      </x:c>
      <x:c r="G744" s="14" t="str">
        <x:v>17:25</x:v>
      </x:c>
      <x:c r="H744" s="14" t="str">
        <x:v>18:25</x:v>
      </x:c>
      <x:c r="I744" s="14" t="str">
        <x:v>Genel</x:v>
      </x:c>
      <x:c r="J744" s="14" t="str">
        <x:v>Kaynak Tamamlama</x:v>
      </x:c>
      <x:c r="K744" s="14" t="str">
        <x:v>En Geride Kalan Kaynak</x:v>
      </x:c>
      <x:c r="L744" s="14" t="str">
        <x:v>Kaynak_Ilerleme sayfasında hedef yüzdesinin en gerisinde kalan ZORUNLU soru kaynağına 60 dk ayır. Öğrenilmemiş konudan ileri gitme.</x:v>
      </x:c>
      <x:c r="M744" s="14" t="str">
        <x:v>Kaynak İlerleme</x:v>
      </x:c>
      <x:c r="N744" s="14" t="str"/>
      <x:c r="O744" s="14" t="n">
        <x:v>0</x:v>
      </x:c>
      <x:c r="P744" s="14" t="str">
        <x:v>Hayır</x:v>
      </x:c>
      <x:c r="Q744" s="14" t="str">
        <x:v>Evet</x:v>
      </x:c>
      <x:c r="R744" s="14" t="str">
        <x:v>Planlandı</x:v>
      </x:c>
      <x:c r="S744" s="15" t="str"/>
      <x:c r="T744" s="14" t="str">
        <x:v>Amaç 13.04.2027'de zorunlu soru kitapları + ilgili MEB setlerini %100 tamamlamak.</x:v>
      </x:c>
    </x:row>
    <x:row r="745">
      <x:c r="A745" s="14" t="n">
        <x:v>744</x:v>
      </x:c>
      <x:c r="B745" s="15" t="n">
        <x:v>46355</x:v>
      </x:c>
      <x:c r="C745" s="14" t="str">
        <x:v>Pazar</x:v>
      </x:c>
      <x:c r="D745" s="14" t="str">
        <x:v>Hafta Sonu</x:v>
      </x:c>
      <x:c r="E745" s="14" t="str">
        <x:v>Tam gün</x:v>
      </x:c>
      <x:c r="F745" s="14" t="str">
        <x:v>F1 - Temel Kurma</x:v>
      </x:c>
      <x:c r="G745" s="14" t="str">
        <x:v>18:25</x:v>
      </x:c>
      <x:c r="H745" s="14" t="str">
        <x:v>18:45</x:v>
      </x:c>
      <x:c r="I745" s="14" t="str">
        <x:v>Genel</x:v>
      </x:c>
      <x:c r="J745" s="14" t="str">
        <x:v>Yanlış / Boş Analizi</x:v>
      </x:c>
      <x:c r="K745" s="14" t="str">
        <x:v>Günlük</x:v>
      </x:c>
      <x:c r="L745" s="14" t="str">
        <x:v>Bugünkü yanlış/boşları kaydet; çözümünü öğrenmeden kapatma. Hata türünü sınıflandır.</x:v>
      </x:c>
      <x:c r="M745" s="14" t="str">
        <x:v>Yanlış Defteri</x:v>
      </x:c>
      <x:c r="N745" s="14" t="str"/>
      <x:c r="O745" s="14" t="n">
        <x:v>0</x:v>
      </x:c>
      <x:c r="P745" s="14" t="str">
        <x:v>Hayır</x:v>
      </x:c>
      <x:c r="Q745" s="14" t="str">
        <x:v>Evet</x:v>
      </x:c>
      <x:c r="R745" s="14" t="str">
        <x:v>Planlandı</x:v>
      </x:c>
      <x:c r="S745" s="15" t="str"/>
      <x:c r="T745" s="14" t="str"/>
    </x:row>
    <x:row r="746">
      <x:c r="A746" s="14" t="n">
        <x:v>745</x:v>
      </x:c>
      <x:c r="B746" s="15" t="n">
        <x:v>46355</x:v>
      </x:c>
      <x:c r="C746" s="14" t="str">
        <x:v>Pazar</x:v>
      </x:c>
      <x:c r="D746" s="14" t="str">
        <x:v>Hafta Sonu</x:v>
      </x:c>
      <x:c r="E746" s="14" t="str">
        <x:v>Tam gün</x:v>
      </x:c>
      <x:c r="F746" s="14" t="str">
        <x:v>F1 - Temel Kurma</x:v>
      </x:c>
      <x:c r="G746" s="14" t="str">
        <x:v>18:45</x:v>
      </x:c>
      <x:c r="H746" s="14" t="str">
        <x:v>19:05</x:v>
      </x:c>
      <x:c r="I746" s="14" t="str">
        <x:v>Genel</x:v>
      </x:c>
      <x:c r="J746" s="14" t="str">
        <x:v>Aralıklı Hata Tekrarı</x:v>
      </x:c>
      <x:c r="K746" s="14" t="str">
        <x:v>+1 / +7 / +21</x:v>
      </x:c>
      <x:c r="L746" s="14" t="str">
        <x:v>Bugün vadesi gelen yanlış soruları tekrar çöz. Vadesi yoksa bu süre serbest/okuma olabilir.</x:v>
      </x:c>
      <x:c r="M746" s="14" t="str">
        <x:v>Yanlış Defteri</x:v>
      </x:c>
      <x:c r="N746" s="14" t="str"/>
      <x:c r="O746" s="14" t="n">
        <x:v>0</x:v>
      </x:c>
      <x:c r="P746" s="14" t="str">
        <x:v>Hayır</x:v>
      </x:c>
      <x:c r="Q746" s="14" t="str">
        <x:v>Koşullu</x:v>
      </x:c>
      <x:c r="R746" s="14" t="str">
        <x:v>Planlandı</x:v>
      </x:c>
      <x:c r="S746" s="15" t="str"/>
      <x:c r="T746" s="14" t="str">
        <x:v>Yanlışlar +1, +7 ve +21 gün aralıklarıyla tekrar edilir; hâlâ yanlışsa konu mastery durumu düşürülür.</x:v>
      </x:c>
    </x:row>
    <x:row r="747">
      <x:c r="A747" s="14" t="n">
        <x:v>746</x:v>
      </x:c>
      <x:c r="B747" s="15" t="n">
        <x:v>46355</x:v>
      </x:c>
      <x:c r="C747" s="14" t="str">
        <x:v>Pazar</x:v>
      </x:c>
      <x:c r="D747" s="14" t="str">
        <x:v>Hafta Sonu</x:v>
      </x:c>
      <x:c r="E747" s="14" t="str">
        <x:v>Tam gün</x:v>
      </x:c>
      <x:c r="F747" s="14" t="str">
        <x:v>F1 - Temel Kurma</x:v>
      </x:c>
      <x:c r="G747" s="14" t="str">
        <x:v>20:00</x:v>
      </x:c>
      <x:c r="H747" s="14" t="str">
        <x:v>20:30</x:v>
      </x:c>
      <x:c r="I747" s="14" t="str">
        <x:v>Okuma</x:v>
      </x:c>
      <x:c r="J747" s="14" t="str">
        <x:v>İsteğe Bağlı</x:v>
      </x:c>
      <x:c r="K747" s="14" t="str">
        <x:v>Serbest Kitap</x:v>
      </x:c>
      <x:c r="L747" s="14" t="str">
        <x:v>Zorunlu çalışmalar bittiyse isteğe bağlı kitap oku.</x:v>
      </x:c>
      <x:c r="M747" s="14" t="str">
        <x:v>Serbest Kitap</x:v>
      </x:c>
      <x:c r="N747" s="14" t="str"/>
      <x:c r="O747" s="14" t="n">
        <x:v>0</x:v>
      </x:c>
      <x:c r="P747" s="14" t="str">
        <x:v>İsteğe Bağlı</x:v>
      </x:c>
      <x:c r="Q747" s="14" t="str">
        <x:v>Hayır</x:v>
      </x:c>
      <x:c r="R747" s="14" t="str">
        <x:v>Planlandı</x:v>
      </x:c>
      <x:c r="S747" s="15" t="str"/>
      <x:c r="T747" s="14" t="str">
        <x:v>Minimum süre yok.</x:v>
      </x:c>
    </x:row>
    <x:row r="748">
      <x:c r="A748" s="14" t="n">
        <x:v>747</x:v>
      </x:c>
      <x:c r="B748" s="15" t="n">
        <x:v>46355</x:v>
      </x:c>
      <x:c r="C748" s="14" t="str">
        <x:v>Pazar</x:v>
      </x:c>
      <x:c r="D748" s="14" t="str">
        <x:v>Hafta Sonu</x:v>
      </x:c>
      <x:c r="E748" s="14" t="str">
        <x:v>Tam gün</x:v>
      </x:c>
      <x:c r="F748" s="14" t="str">
        <x:v>F1 - Temel Kurma</x:v>
      </x:c>
      <x:c r="G748" s="14" t="str">
        <x:v>21:50</x:v>
      </x:c>
      <x:c r="H748" s="14" t="str">
        <x:v>22:00</x:v>
      </x:c>
      <x:c r="I748" s="14" t="str">
        <x:v>Genel</x:v>
      </x:c>
      <x:c r="J748" s="14" t="str">
        <x:v>Uyku Hazırlığı</x:v>
      </x:c>
      <x:c r="K748" s="14" t="str"/>
      <x:c r="L748" s="14" t="str">
        <x:v>22:00'de yatakta ve uyku.</x:v>
      </x:c>
      <x:c r="M748" s="14" t="str"/>
      <x:c r="N748" s="14" t="str"/>
      <x:c r="O748" s="14" t="n">
        <x:v>0</x:v>
      </x:c>
      <x:c r="P748" s="14" t="str">
        <x:v>Hayır</x:v>
      </x:c>
      <x:c r="Q748" s="14" t="str">
        <x:v>Hayır</x:v>
      </x:c>
      <x:c r="R748" s="14" t="str">
        <x:v>Planlandı</x:v>
      </x:c>
      <x:c r="S748" s="15" t="str"/>
      <x:c r="T748" s="14" t="str"/>
    </x:row>
    <x:row r="749">
      <x:c r="A749" s="14" t="n">
        <x:v>748</x:v>
      </x:c>
      <x:c r="B749" s="15" t="n">
        <x:v>46356</x:v>
      </x:c>
      <x:c r="C749" s="14" t="str">
        <x:v>Pazartesi</x:v>
      </x:c>
      <x:c r="D749" s="14" t="str">
        <x:v>Okul Günü</x:v>
      </x:c>
      <x:c r="E749" s="14" t="str">
        <x:v>16:00 sonrası</x:v>
      </x:c>
      <x:c r="F749" s="14" t="str">
        <x:v>F1 - Temel Kurma</x:v>
      </x:c>
      <x:c r="G749" s="14" t="str">
        <x:v>16:00</x:v>
      </x:c>
      <x:c r="H749" s="14" t="str">
        <x:v>16:25</x:v>
      </x:c>
      <x:c r="I749" s="14" t="str">
        <x:v>Genel</x:v>
      </x:c>
      <x:c r="J749" s="14" t="str">
        <x:v>Dinlenme</x:v>
      </x:c>
      <x:c r="K749" s="14" t="str"/>
      <x:c r="L749" s="14" t="str">
        <x:v>Eve geliş, atıştırma ve dinlenme.</x:v>
      </x:c>
      <x:c r="M749" s="14" t="str"/>
      <x:c r="N749" s="14" t="str"/>
      <x:c r="O749" s="14" t="n">
        <x:v>0</x:v>
      </x:c>
      <x:c r="P749" s="14" t="str">
        <x:v>Hayır</x:v>
      </x:c>
      <x:c r="Q749" s="14" t="str">
        <x:v>Hayır</x:v>
      </x:c>
      <x:c r="R749" s="14" t="str">
        <x:v>Planlandı</x:v>
      </x:c>
      <x:c r="S749" s="15" t="str"/>
      <x:c r="T749" s="14" t="str"/>
    </x:row>
    <x:row r="750">
      <x:c r="A750" s="14" t="n">
        <x:v>749</x:v>
      </x:c>
      <x:c r="B750" s="15" t="n">
        <x:v>46356</x:v>
      </x:c>
      <x:c r="C750" s="14" t="str">
        <x:v>Pazartesi</x:v>
      </x:c>
      <x:c r="D750" s="14" t="str">
        <x:v>Okul Günü</x:v>
      </x:c>
      <x:c r="E750" s="14" t="str">
        <x:v>16:00 sonrası</x:v>
      </x:c>
      <x:c r="F750" s="14" t="str">
        <x:v>F1 - Temel Kurma</x:v>
      </x:c>
      <x:c r="G750" s="14" t="str">
        <x:v>16:25</x:v>
      </x:c>
      <x:c r="H750" s="14" t="str">
        <x:v>17:05</x:v>
      </x:c>
      <x:c r="I750" s="14" t="str">
        <x:v>Matematik</x:v>
      </x:c>
      <x:c r="J750" s="14" t="str">
        <x:v>Konu / Tekrar</x:v>
      </x:c>
      <x:c r="K750" s="14" t="str">
        <x:v>Denklem Kurma Problemleri</x:v>
      </x:c>
      <x:c r="L750" s="14" t="str">
        <x:v>Denklem Kurma Problemleri — genel oynatma listesinden ilgili videoyu izle (1/4).</x:v>
      </x:c>
      <x:c r="M750" s="14" t="str">
        <x:v>Matematik Ana Oynatma Listesi</x:v>
      </x:c>
      <x:c r="N750" s="14" t="str">
        <x:v>https://www.youtube.com/watch?v=EuJ89QzqrAg&amp;list=PLicNtF7vp6fnfDqrRLH6H7fIbzYT4ct4F&amp;index=11</x:v>
      </x:c>
      <x:c r="O750" s="14" t="n">
        <x:v>0</x:v>
      </x:c>
      <x:c r="P750" s="14" t="str">
        <x:v>Hayır</x:v>
      </x:c>
      <x:c r="Q750" s="14" t="str">
        <x:v>Evet</x:v>
      </x:c>
      <x:c r="R750" s="14" t="str">
        <x:v>Planlandı</x:v>
      </x:c>
      <x:c r="S750" s="15" t="str"/>
      <x:c r="T750" s="14" t="str">
        <x:v>Yeni konu ancak plan sırasıyla açılır; LGS dışı ileri TYT içeriği zorunlu değildir.</x:v>
      </x:c>
    </x:row>
    <x:row r="751">
      <x:c r="A751" s="14" t="n">
        <x:v>750</x:v>
      </x:c>
      <x:c r="B751" s="15" t="n">
        <x:v>46356</x:v>
      </x:c>
      <x:c r="C751" s="14" t="str">
        <x:v>Pazartesi</x:v>
      </x:c>
      <x:c r="D751" s="14" t="str">
        <x:v>Okul Günü</x:v>
      </x:c>
      <x:c r="E751" s="14" t="str">
        <x:v>16:00 sonrası</x:v>
      </x:c>
      <x:c r="F751" s="14" t="str">
        <x:v>F1 - Temel Kurma</x:v>
      </x:c>
      <x:c r="G751" s="14" t="str">
        <x:v>17:10</x:v>
      </x:c>
      <x:c r="H751" s="14" t="str">
        <x:v>17:55</x:v>
      </x:c>
      <x:c r="I751" s="14" t="str">
        <x:v>Matematik</x:v>
      </x:c>
      <x:c r="J751" s="14" t="str">
        <x:v>Kitap / MEB / Mastery</x:v>
      </x:c>
      <x:c r="K751" s="14" t="str">
        <x:v>Denklem Kurma Problemleri</x:v>
      </x:c>
      <x:c r="L751" s="14" t="str">
        <x:v>Denklem Kurma Problemleri ile ilgili soru kitabından en az 20 soru / bugünkü test payını çöz.</x:v>
      </x:c>
      <x:c r="M751" s="14" t="str">
        <x:v>MUBA 8. Sınıf Başlangıç Matematik (ISBN 9789756526972) (eşleşen bölüm) + MEB temel destek</x:v>
      </x:c>
      <x:c r="N751" s="14" t="str">
        <x:v>https://odsgm.meb.gov.tr/www/5-6-7-ve-9-sinif-duzeylerinde-calisma-sorulari-yayimlandi/icerik/775</x:v>
      </x:c>
      <x:c r="O751" s="14" t="n">
        <x:v>20</x:v>
      </x:c>
      <x:c r="P751" s="14" t="str">
        <x:v>İlk 20 soru</x:v>
      </x:c>
      <x:c r="Q751" s="14" t="str">
        <x:v>Evet</x:v>
      </x:c>
      <x:c r="R751" s="14" t="str">
        <x:v>Planlandı</x:v>
      </x:c>
      <x:c r="S751" s="15" t="str"/>
      <x:c r="T751" s="14" t="str">
        <x:v>Ayrı/rastgele matematik benchmark yoktur. Süreli ilk 20 soru o gün çalışılan konunun içindedir.</x:v>
      </x:c>
    </x:row>
    <x:row r="752">
      <x:c r="A752" s="14" t="n">
        <x:v>751</x:v>
      </x:c>
      <x:c r="B752" s="15" t="n">
        <x:v>46356</x:v>
      </x:c>
      <x:c r="C752" s="14" t="str">
        <x:v>Pazartesi</x:v>
      </x:c>
      <x:c r="D752" s="14" t="str">
        <x:v>Okul Günü</x:v>
      </x:c>
      <x:c r="E752" s="14" t="str">
        <x:v>16:00 sonrası</x:v>
      </x:c>
      <x:c r="F752" s="14" t="str">
        <x:v>F1 - Temel Kurma</x:v>
      </x:c>
      <x:c r="G752" s="14" t="str">
        <x:v>17:55</x:v>
      </x:c>
      <x:c r="H752" s="14" t="str">
        <x:v>18:25</x:v>
      </x:c>
      <x:c r="I752" s="14" t="str">
        <x:v>Genel</x:v>
      </x:c>
      <x:c r="J752" s="14" t="str">
        <x:v>Yemek / Serbest Zaman</x:v>
      </x:c>
      <x:c r="K752" s="14" t="str"/>
      <x:c r="L752" s="14" t="str">
        <x:v>Yemek, hareket ve dinlenme.</x:v>
      </x:c>
      <x:c r="M752" s="14" t="str"/>
      <x:c r="N752" s="14" t="str"/>
      <x:c r="O752" s="14" t="n">
        <x:v>0</x:v>
      </x:c>
      <x:c r="P752" s="14" t="str">
        <x:v>Hayır</x:v>
      </x:c>
      <x:c r="Q752" s="14" t="str">
        <x:v>Hayır</x:v>
      </x:c>
      <x:c r="R752" s="14" t="str">
        <x:v>Planlandı</x:v>
      </x:c>
      <x:c r="S752" s="15" t="str"/>
      <x:c r="T752" s="14" t="str"/>
    </x:row>
    <x:row r="753">
      <x:c r="A753" s="14" t="n">
        <x:v>752</x:v>
      </x:c>
      <x:c r="B753" s="15" t="n">
        <x:v>46356</x:v>
      </x:c>
      <x:c r="C753" s="14" t="str">
        <x:v>Pazartesi</x:v>
      </x:c>
      <x:c r="D753" s="14" t="str">
        <x:v>Okul Günü</x:v>
      </x:c>
      <x:c r="E753" s="14" t="str">
        <x:v>16:00 sonrası</x:v>
      </x:c>
      <x:c r="F753" s="14" t="str">
        <x:v>F1 - Temel Kurma</x:v>
      </x:c>
      <x:c r="G753" s="14" t="str">
        <x:v>18:25</x:v>
      </x:c>
      <x:c r="H753" s="14" t="str">
        <x:v>18:55</x:v>
      </x:c>
      <x:c r="I753" s="14" t="str">
        <x:v>Türkçe</x:v>
      </x:c>
      <x:c r="J753" s="14" t="str">
        <x:v>Paragraf Rutini</x:v>
      </x:c>
      <x:c r="K753" s="14" t="str">
        <x:v>Paragraf</x:v>
      </x:c>
      <x:c r="L753" s="14" t="str">
        <x:v>En az 20 paragraf sorusu çöz; ilk 20 soruyu ileri sayımla ölç, D/Y/B + süre kaydet.</x:v>
      </x:c>
      <x:c r="M753" s="14" t="str">
        <x:v>Hız 8. Sınıf Türkçe Paragraf (ISBN 9786258394498)</x:v>
      </x:c>
      <x:c r="N753" s="14" t="str"/>
      <x:c r="O753" s="14" t="n">
        <x:v>20</x:v>
      </x:c>
      <x:c r="P753" s="14" t="str">
        <x:v>İlk 20 soru</x:v>
      </x:c>
      <x:c r="Q753" s="14" t="str">
        <x:v>Evet</x:v>
      </x:c>
      <x:c r="R753" s="14" t="str">
        <x:v>Planlandı</x:v>
      </x:c>
      <x:c r="S753" s="15" t="str"/>
      <x:c r="T753" s="14" t="str">
        <x:v>Geri sayım ve hedef süre yok.</x:v>
      </x:c>
    </x:row>
    <x:row r="754">
      <x:c r="A754" s="14" t="n">
        <x:v>753</x:v>
      </x:c>
      <x:c r="B754" s="15" t="n">
        <x:v>46356</x:v>
      </x:c>
      <x:c r="C754" s="14" t="str">
        <x:v>Pazartesi</x:v>
      </x:c>
      <x:c r="D754" s="14" t="str">
        <x:v>Okul Günü</x:v>
      </x:c>
      <x:c r="E754" s="14" t="str">
        <x:v>16:00 sonrası</x:v>
      </x:c>
      <x:c r="F754" s="14" t="str">
        <x:v>F1 - Temel Kurma</x:v>
      </x:c>
      <x:c r="G754" s="14" t="str">
        <x:v>19:00</x:v>
      </x:c>
      <x:c r="H754" s="14" t="str">
        <x:v>19:35</x:v>
      </x:c>
      <x:c r="I754" s="14" t="str">
        <x:v>Türkçe</x:v>
      </x:c>
      <x:c r="J754" s="14" t="str">
        <x:v>Konu / Tekrar</x:v>
      </x:c>
      <x:c r="K754" s="14" t="str">
        <x:v>Fiiller</x:v>
      </x:c>
      <x:c r="L754" s="14" t="str">
        <x:v>Fiiller — genel oynatma listesinden ilgili videoyu izle (3/4).</x:v>
      </x:c>
      <x:c r="M754" s="14" t="str">
        <x:v>Türkçe Ana Oynatma Listesi</x:v>
      </x:c>
      <x:c r="N754" s="14" t="str">
        <x:v>https://www.youtube.com/watch?v=VYsPntNKVdw&amp;list=PLIBjFaUoJJ91bz7QQEBlxNJNZka5YQRr6</x:v>
      </x:c>
      <x:c r="O754" s="14" t="n">
        <x:v>0</x:v>
      </x:c>
      <x:c r="P754" s="14" t="str">
        <x:v>Hayır</x:v>
      </x:c>
      <x:c r="Q754" s="14" t="str">
        <x:v>Evet</x:v>
      </x:c>
      <x:c r="R754" s="14" t="str">
        <x:v>Planlandı</x:v>
      </x:c>
      <x:c r="S754" s="15" t="str"/>
      <x:c r="T754" s="14" t="str">
        <x:v>TYT etiketli kaynak temelden başlamak için sabittir; LGS dışı gereksiz ayrıntı zorunlu değildir.</x:v>
      </x:c>
    </x:row>
    <x:row r="755">
      <x:c r="A755" s="14" t="n">
        <x:v>754</x:v>
      </x:c>
      <x:c r="B755" s="15" t="n">
        <x:v>46356</x:v>
      </x:c>
      <x:c r="C755" s="14" t="str">
        <x:v>Pazartesi</x:v>
      </x:c>
      <x:c r="D755" s="14" t="str">
        <x:v>Okul Günü</x:v>
      </x:c>
      <x:c r="E755" s="14" t="str">
        <x:v>16:00 sonrası</x:v>
      </x:c>
      <x:c r="F755" s="14" t="str">
        <x:v>F1 - Temel Kurma</x:v>
      </x:c>
      <x:c r="G755" s="14" t="str">
        <x:v>19:40</x:v>
      </x:c>
      <x:c r="H755" s="14" t="str">
        <x:v>20:10</x:v>
      </x:c>
      <x:c r="I755" s="14" t="str">
        <x:v>Türkçe</x:v>
      </x:c>
      <x:c r="J755" s="14" t="str">
        <x:v>Kitap / MEB / Mastery</x:v>
      </x:c>
      <x:c r="K755" s="14" t="str">
        <x:v>Fiiller</x:v>
      </x:c>
      <x:c r="L755" s="14" t="str">
        <x:v>Fiiller ile ilgili soru kitabından en az 10 soru / bugünkü test payını çöz.</x:v>
      </x:c>
      <x:c r="M755" s="14" t="str">
        <x:v>Ankara 8. Sınıf Dil Bilgisi Güçlendiren (eşleşen bölüm) + MEB temel destek</x:v>
      </x:c>
      <x:c r="N755" s="14" t="str">
        <x:v>https://odsgm.meb.gov.tr/www/5-6-7-ve-9-sinif-duzeylerinde-calisma-sorulari-yayimlandi/icerik/775</x:v>
      </x:c>
      <x:c r="O755" s="14" t="n">
        <x:v>10</x:v>
      </x:c>
      <x:c r="P755" s="14" t="str">
        <x:v>Hayır</x:v>
      </x:c>
      <x:c r="Q755" s="14" t="str">
        <x:v>Evet</x:v>
      </x:c>
      <x:c r="R755" s="14" t="str">
        <x:v>Planlandı</x:v>
      </x:c>
      <x:c r="S755" s="15" t="str"/>
      <x:c r="T755" s="14" t="str"/>
    </x:row>
    <x:row r="756">
      <x:c r="A756" s="14" t="n">
        <x:v>755</x:v>
      </x:c>
      <x:c r="B756" s="15" t="n">
        <x:v>46356</x:v>
      </x:c>
      <x:c r="C756" s="14" t="str">
        <x:v>Pazartesi</x:v>
      </x:c>
      <x:c r="D756" s="14" t="str">
        <x:v>Okul Günü</x:v>
      </x:c>
      <x:c r="E756" s="14" t="str">
        <x:v>16:00 sonrası</x:v>
      </x:c>
      <x:c r="F756" s="14" t="str">
        <x:v>F1 - Temel Kurma</x:v>
      </x:c>
      <x:c r="G756" s="14" t="str">
        <x:v>20:15</x:v>
      </x:c>
      <x:c r="H756" s="14" t="str">
        <x:v>20:50</x:v>
      </x:c>
      <x:c r="I756" s="14" t="str">
        <x:v>Fen</x:v>
      </x:c>
      <x:c r="J756" s="14" t="str">
        <x:v>Konu / Tekrar</x:v>
      </x:c>
      <x:c r="K756" s="14" t="str">
        <x:v>Gaz Basıncı</x:v>
      </x:c>
      <x:c r="L756" s="14" t="str">
        <x:v>Gaz Basıncı — Fen konu anlatım playlistinden ilgili videoyu izle.</x:v>
      </x:c>
      <x:c r="M756" s="14" t="str">
        <x:v>Fen Konu Anlatım</x:v>
      </x:c>
      <x:c r="N756" s="14" t="str">
        <x:v>https://www.youtube.com/watch?v=AHdk01aR4Ko&amp;list=PLrQm7mt99FRV_Oe9xFavWzFpCIl7_XiWj</x:v>
      </x:c>
      <x:c r="O756" s="14" t="n">
        <x:v>0</x:v>
      </x:c>
      <x:c r="P756" s="14" t="str">
        <x:v>Hayır</x:v>
      </x:c>
      <x:c r="Q756" s="14" t="str">
        <x:v>Evet</x:v>
      </x:c>
      <x:c r="R756" s="14" t="str">
        <x:v>Planlandı</x:v>
      </x:c>
      <x:c r="S756" s="15" t="str"/>
      <x:c r="T756" s="14" t="str"/>
    </x:row>
    <x:row r="757">
      <x:c r="A757" s="14" t="n">
        <x:v>756</x:v>
      </x:c>
      <x:c r="B757" s="15" t="n">
        <x:v>46356</x:v>
      </x:c>
      <x:c r="C757" s="14" t="str">
        <x:v>Pazartesi</x:v>
      </x:c>
      <x:c r="D757" s="14" t="str">
        <x:v>Okul Günü</x:v>
      </x:c>
      <x:c r="E757" s="14" t="str">
        <x:v>16:00 sonrası</x:v>
      </x:c>
      <x:c r="F757" s="14" t="str">
        <x:v>F1 - Temel Kurma</x:v>
      </x:c>
      <x:c r="G757" s="14" t="str">
        <x:v>20:55</x:v>
      </x:c>
      <x:c r="H757" s="14" t="str">
        <x:v>21:20</x:v>
      </x:c>
      <x:c r="I757" s="14" t="str">
        <x:v>Fen</x:v>
      </x:c>
      <x:c r="J757" s="14" t="str">
        <x:v>Kitap / MEB / Mastery</x:v>
      </x:c>
      <x:c r="K757" s="14" t="str">
        <x:v>Gaz Basıncı</x:v>
      </x:c>
      <x:c r="L757" s="14" t="str">
        <x:v>Gaz Basıncı ile ilgili soru kitabından en az 15 soru / bugünkü test payını çöz.</x:v>
      </x:c>
      <x:c r="M757" s="14" t="str">
        <x:v>Hız 8. Sınıf Fen (ISBN 9786257514859); tamamlandıysa Mozaik 8. Sınıf Fen</x:v>
      </x:c>
      <x:c r="N757" s="14" t="str">
        <x:v>https://www.youtube.com/watch?v=AHdk01aR4Ko&amp;list=PLrQm7mt99FRV_Oe9xFavWzFpCIl7_XiWj</x:v>
      </x:c>
      <x:c r="O757" s="14" t="n">
        <x:v>15</x:v>
      </x:c>
      <x:c r="P757" s="14" t="str">
        <x:v>Hayır</x:v>
      </x:c>
      <x:c r="Q757" s="14" t="str">
        <x:v>Evet</x:v>
      </x:c>
      <x:c r="R757" s="14" t="str">
        <x:v>Planlandı</x:v>
      </x:c>
      <x:c r="S757" s="15" t="str"/>
      <x:c r="T757" s="14" t="str"/>
    </x:row>
    <x:row r="758">
      <x:c r="A758" s="14" t="n">
        <x:v>757</x:v>
      </x:c>
      <x:c r="B758" s="15" t="n">
        <x:v>46356</x:v>
      </x:c>
      <x:c r="C758" s="14" t="str">
        <x:v>Pazartesi</x:v>
      </x:c>
      <x:c r="D758" s="14" t="str">
        <x:v>Okul Günü</x:v>
      </x:c>
      <x:c r="E758" s="14" t="str">
        <x:v>16:00 sonrası</x:v>
      </x:c>
      <x:c r="F758" s="14" t="str">
        <x:v>F1 - Temel Kurma</x:v>
      </x:c>
      <x:c r="G758" s="14" t="str">
        <x:v>21:20</x:v>
      </x:c>
      <x:c r="H758" s="14" t="str">
        <x:v>21:35</x:v>
      </x:c>
      <x:c r="I758" s="14" t="str">
        <x:v>Genel</x:v>
      </x:c>
      <x:c r="J758" s="14" t="str">
        <x:v>Yanlış / Boş Analizi</x:v>
      </x:c>
      <x:c r="K758" s="14" t="str">
        <x:v>Günlük</x:v>
      </x:c>
      <x:c r="L758" s="14" t="str">
        <x:v>Bugünkü yanlış/boşları kaydet; çözümünü öğrenmeden kapatma. Hata türünü sınıflandır.</x:v>
      </x:c>
      <x:c r="M758" s="14" t="str">
        <x:v>Yanlış Defteri</x:v>
      </x:c>
      <x:c r="N758" s="14" t="str"/>
      <x:c r="O758" s="14" t="n">
        <x:v>0</x:v>
      </x:c>
      <x:c r="P758" s="14" t="str">
        <x:v>Hayır</x:v>
      </x:c>
      <x:c r="Q758" s="14" t="str">
        <x:v>Evet</x:v>
      </x:c>
      <x:c r="R758" s="14" t="str">
        <x:v>Planlandı</x:v>
      </x:c>
      <x:c r="S758" s="15" t="str"/>
      <x:c r="T758" s="14" t="str"/>
    </x:row>
    <x:row r="759">
      <x:c r="A759" s="14" t="n">
        <x:v>758</x:v>
      </x:c>
      <x:c r="B759" s="15" t="n">
        <x:v>46356</x:v>
      </x:c>
      <x:c r="C759" s="14" t="str">
        <x:v>Pazartesi</x:v>
      </x:c>
      <x:c r="D759" s="14" t="str">
        <x:v>Okul Günü</x:v>
      </x:c>
      <x:c r="E759" s="14" t="str">
        <x:v>16:00 sonrası</x:v>
      </x:c>
      <x:c r="F759" s="14" t="str">
        <x:v>F1 - Temel Kurma</x:v>
      </x:c>
      <x:c r="G759" s="14" t="str">
        <x:v>21:35</x:v>
      </x:c>
      <x:c r="H759" s="14" t="str">
        <x:v>21:50</x:v>
      </x:c>
      <x:c r="I759" s="14" t="str">
        <x:v>Genel</x:v>
      </x:c>
      <x:c r="J759" s="14" t="str">
        <x:v>Aralıklı Hata Tekrarı</x:v>
      </x:c>
      <x:c r="K759" s="14" t="str">
        <x:v>+1 / +7 / +21</x:v>
      </x:c>
      <x:c r="L759" s="14" t="str">
        <x:v>Bugün vadesi gelen yanlış soruları tekrar çöz. Vadesi yoksa bu süre serbest/okuma olabilir.</x:v>
      </x:c>
      <x:c r="M759" s="14" t="str">
        <x:v>Yanlış Defteri</x:v>
      </x:c>
      <x:c r="N759" s="14" t="str"/>
      <x:c r="O759" s="14" t="n">
        <x:v>0</x:v>
      </x:c>
      <x:c r="P759" s="14" t="str">
        <x:v>Hayır</x:v>
      </x:c>
      <x:c r="Q759" s="14" t="str">
        <x:v>Koşullu</x:v>
      </x:c>
      <x:c r="R759" s="14" t="str">
        <x:v>Planlandı</x:v>
      </x:c>
      <x:c r="S759" s="15" t="str"/>
      <x:c r="T759" s="14" t="str">
        <x:v>Yanlışlar +1, +7 ve +21 gün aralıklarıyla tekrar edilir; hâlâ yanlışsa konu mastery durumu düşürülür.</x:v>
      </x:c>
    </x:row>
    <x:row r="760">
      <x:c r="A760" s="14" t="n">
        <x:v>759</x:v>
      </x:c>
      <x:c r="B760" s="15" t="n">
        <x:v>46356</x:v>
      </x:c>
      <x:c r="C760" s="14" t="str">
        <x:v>Pazartesi</x:v>
      </x:c>
      <x:c r="D760" s="14" t="str">
        <x:v>Okul Günü</x:v>
      </x:c>
      <x:c r="E760" s="14" t="str">
        <x:v>16:00 sonrası</x:v>
      </x:c>
      <x:c r="F760" s="14" t="str">
        <x:v>F1 - Temel Kurma</x:v>
      </x:c>
      <x:c r="G760" s="14" t="str">
        <x:v>21:50</x:v>
      </x:c>
      <x:c r="H760" s="14" t="str">
        <x:v>22:00</x:v>
      </x:c>
      <x:c r="I760" s="14" t="str">
        <x:v>Genel</x:v>
      </x:c>
      <x:c r="J760" s="14" t="str">
        <x:v>Uyku Hazırlığı</x:v>
      </x:c>
      <x:c r="K760" s="14" t="str"/>
      <x:c r="L760" s="14" t="str">
        <x:v>22:00'de yatakta ve uyku.</x:v>
      </x:c>
      <x:c r="M760" s="14" t="str"/>
      <x:c r="N760" s="14" t="str"/>
      <x:c r="O760" s="14" t="n">
        <x:v>0</x:v>
      </x:c>
      <x:c r="P760" s="14" t="str">
        <x:v>Hayır</x:v>
      </x:c>
      <x:c r="Q760" s="14" t="str">
        <x:v>Hayır</x:v>
      </x:c>
      <x:c r="R760" s="14" t="str">
        <x:v>Planlandı</x:v>
      </x:c>
      <x:c r="S760" s="15" t="str"/>
      <x:c r="T760" s="14" t="str"/>
    </x:row>
    <x:row r="761">
      <x:c r="A761" s="14" t="n">
        <x:v>760</x:v>
      </x:c>
      <x:c r="B761" s="15" t="n">
        <x:v>46357</x:v>
      </x:c>
      <x:c r="C761" s="14" t="str">
        <x:v>Salı</x:v>
      </x:c>
      <x:c r="D761" s="14" t="str">
        <x:v>Okul Günü</x:v>
      </x:c>
      <x:c r="E761" s="14" t="str">
        <x:v>16:00 sonrası</x:v>
      </x:c>
      <x:c r="F761" s="14" t="str">
        <x:v>F1 - Temel Kurma</x:v>
      </x:c>
      <x:c r="G761" s="14" t="str">
        <x:v>16:00</x:v>
      </x:c>
      <x:c r="H761" s="14" t="str">
        <x:v>16:25</x:v>
      </x:c>
      <x:c r="I761" s="14" t="str">
        <x:v>Genel</x:v>
      </x:c>
      <x:c r="J761" s="14" t="str">
        <x:v>Dinlenme</x:v>
      </x:c>
      <x:c r="K761" s="14" t="str"/>
      <x:c r="L761" s="14" t="str">
        <x:v>Eve geliş, atıştırma ve dinlenme.</x:v>
      </x:c>
      <x:c r="M761" s="14" t="str"/>
      <x:c r="N761" s="14" t="str"/>
      <x:c r="O761" s="14" t="n">
        <x:v>0</x:v>
      </x:c>
      <x:c r="P761" s="14" t="str">
        <x:v>Hayır</x:v>
      </x:c>
      <x:c r="Q761" s="14" t="str">
        <x:v>Hayır</x:v>
      </x:c>
      <x:c r="R761" s="14" t="str">
        <x:v>Planlandı</x:v>
      </x:c>
      <x:c r="S761" s="15" t="str"/>
      <x:c r="T761" s="14" t="str"/>
    </x:row>
    <x:row r="762">
      <x:c r="A762" s="14" t="n">
        <x:v>761</x:v>
      </x:c>
      <x:c r="B762" s="15" t="n">
        <x:v>46357</x:v>
      </x:c>
      <x:c r="C762" s="14" t="str">
        <x:v>Salı</x:v>
      </x:c>
      <x:c r="D762" s="14" t="str">
        <x:v>Okul Günü</x:v>
      </x:c>
      <x:c r="E762" s="14" t="str">
        <x:v>16:00 sonrası</x:v>
      </x:c>
      <x:c r="F762" s="14" t="str">
        <x:v>F1 - Temel Kurma</x:v>
      </x:c>
      <x:c r="G762" s="14" t="str">
        <x:v>16:25</x:v>
      </x:c>
      <x:c r="H762" s="14" t="str">
        <x:v>17:05</x:v>
      </x:c>
      <x:c r="I762" s="14" t="str">
        <x:v>Matematik</x:v>
      </x:c>
      <x:c r="J762" s="14" t="str">
        <x:v>Konu / Tekrar</x:v>
      </x:c>
      <x:c r="K762" s="14" t="str">
        <x:v>Denklem Kurma Problemleri</x:v>
      </x:c>
      <x:c r="L762" s="14" t="str">
        <x:v>Denklem Kurma Problemleri — genel oynatma listesinden ilgili videoyu izle (2/4).</x:v>
      </x:c>
      <x:c r="M762" s="14" t="str">
        <x:v>Matematik Ana Oynatma Listesi</x:v>
      </x:c>
      <x:c r="N762" s="14" t="str">
        <x:v>https://www.youtube.com/watch?v=EuJ89QzqrAg&amp;list=PLicNtF7vp6fnfDqrRLH6H7fIbzYT4ct4F&amp;index=11</x:v>
      </x:c>
      <x:c r="O762" s="14" t="n">
        <x:v>0</x:v>
      </x:c>
      <x:c r="P762" s="14" t="str">
        <x:v>Hayır</x:v>
      </x:c>
      <x:c r="Q762" s="14" t="str">
        <x:v>Evet</x:v>
      </x:c>
      <x:c r="R762" s="14" t="str">
        <x:v>Planlandı</x:v>
      </x:c>
      <x:c r="S762" s="15" t="str"/>
      <x:c r="T762" s="14" t="str">
        <x:v>Yeni konu ancak plan sırasıyla açılır; LGS dışı ileri TYT içeriği zorunlu değildir.</x:v>
      </x:c>
    </x:row>
    <x:row r="763">
      <x:c r="A763" s="14" t="n">
        <x:v>762</x:v>
      </x:c>
      <x:c r="B763" s="15" t="n">
        <x:v>46357</x:v>
      </x:c>
      <x:c r="C763" s="14" t="str">
        <x:v>Salı</x:v>
      </x:c>
      <x:c r="D763" s="14" t="str">
        <x:v>Okul Günü</x:v>
      </x:c>
      <x:c r="E763" s="14" t="str">
        <x:v>16:00 sonrası</x:v>
      </x:c>
      <x:c r="F763" s="14" t="str">
        <x:v>F1 - Temel Kurma</x:v>
      </x:c>
      <x:c r="G763" s="14" t="str">
        <x:v>17:10</x:v>
      </x:c>
      <x:c r="H763" s="14" t="str">
        <x:v>17:55</x:v>
      </x:c>
      <x:c r="I763" s="14" t="str">
        <x:v>Matematik</x:v>
      </x:c>
      <x:c r="J763" s="14" t="str">
        <x:v>Kitap / MEB / Mastery</x:v>
      </x:c>
      <x:c r="K763" s="14" t="str">
        <x:v>Denklem Kurma Problemleri</x:v>
      </x:c>
      <x:c r="L763" s="14" t="str">
        <x:v>Denklem Kurma Problemleri ile ilgili soru kitabından en az 25 soru / bugünkü test payını çöz.</x:v>
      </x:c>
      <x:c r="M763" s="14" t="str">
        <x:v>MUBA 8. Sınıf Başlangıç Matematik (ISBN 9789756526972) (eşleşen bölüm) + MEB temel destek</x:v>
      </x:c>
      <x:c r="N763" s="14" t="str">
        <x:v>https://odsgm.meb.gov.tr/www/5-6-7-ve-9-sinif-duzeylerinde-calisma-sorulari-yayimlandi/icerik/775</x:v>
      </x:c>
      <x:c r="O763" s="14" t="n">
        <x:v>25</x:v>
      </x:c>
      <x:c r="P763" s="14" t="str">
        <x:v>İlk 20 soru</x:v>
      </x:c>
      <x:c r="Q763" s="14" t="str">
        <x:v>Evet</x:v>
      </x:c>
      <x:c r="R763" s="14" t="str">
        <x:v>Planlandı</x:v>
      </x:c>
      <x:c r="S763" s="15" t="str"/>
      <x:c r="T763" s="14" t="str">
        <x:v>Ayrı/rastgele matematik benchmark yoktur. Süreli ilk 20 soru o gün çalışılan konunun içindedir.</x:v>
      </x:c>
    </x:row>
    <x:row r="764">
      <x:c r="A764" s="14" t="n">
        <x:v>763</x:v>
      </x:c>
      <x:c r="B764" s="15" t="n">
        <x:v>46357</x:v>
      </x:c>
      <x:c r="C764" s="14" t="str">
        <x:v>Salı</x:v>
      </x:c>
      <x:c r="D764" s="14" t="str">
        <x:v>Okul Günü</x:v>
      </x:c>
      <x:c r="E764" s="14" t="str">
        <x:v>16:00 sonrası</x:v>
      </x:c>
      <x:c r="F764" s="14" t="str">
        <x:v>F1 - Temel Kurma</x:v>
      </x:c>
      <x:c r="G764" s="14" t="str">
        <x:v>17:55</x:v>
      </x:c>
      <x:c r="H764" s="14" t="str">
        <x:v>18:25</x:v>
      </x:c>
      <x:c r="I764" s="14" t="str">
        <x:v>Genel</x:v>
      </x:c>
      <x:c r="J764" s="14" t="str">
        <x:v>Yemek / Serbest Zaman</x:v>
      </x:c>
      <x:c r="K764" s="14" t="str"/>
      <x:c r="L764" s="14" t="str">
        <x:v>Yemek, hareket ve dinlenme.</x:v>
      </x:c>
      <x:c r="M764" s="14" t="str"/>
      <x:c r="N764" s="14" t="str"/>
      <x:c r="O764" s="14" t="n">
        <x:v>0</x:v>
      </x:c>
      <x:c r="P764" s="14" t="str">
        <x:v>Hayır</x:v>
      </x:c>
      <x:c r="Q764" s="14" t="str">
        <x:v>Hayır</x:v>
      </x:c>
      <x:c r="R764" s="14" t="str">
        <x:v>Planlandı</x:v>
      </x:c>
      <x:c r="S764" s="15" t="str"/>
      <x:c r="T764" s="14" t="str"/>
    </x:row>
    <x:row r="765">
      <x:c r="A765" s="14" t="n">
        <x:v>764</x:v>
      </x:c>
      <x:c r="B765" s="15" t="n">
        <x:v>46357</x:v>
      </x:c>
      <x:c r="C765" s="14" t="str">
        <x:v>Salı</x:v>
      </x:c>
      <x:c r="D765" s="14" t="str">
        <x:v>Okul Günü</x:v>
      </x:c>
      <x:c r="E765" s="14" t="str">
        <x:v>16:00 sonrası</x:v>
      </x:c>
      <x:c r="F765" s="14" t="str">
        <x:v>F1 - Temel Kurma</x:v>
      </x:c>
      <x:c r="G765" s="14" t="str">
        <x:v>18:25</x:v>
      </x:c>
      <x:c r="H765" s="14" t="str">
        <x:v>18:55</x:v>
      </x:c>
      <x:c r="I765" s="14" t="str">
        <x:v>Türkçe</x:v>
      </x:c>
      <x:c r="J765" s="14" t="str">
        <x:v>Paragraf Rutini</x:v>
      </x:c>
      <x:c r="K765" s="14" t="str">
        <x:v>Paragraf</x:v>
      </x:c>
      <x:c r="L765" s="14" t="str">
        <x:v>En az 25 paragraf sorusu çöz; ilk 20 soruyu ileri sayımla ölç, D/Y/B + süre kaydet.</x:v>
      </x:c>
      <x:c r="M765" s="14" t="str">
        <x:v>Hız 8. Sınıf Türkçe Paragraf (ISBN 9786258394498)</x:v>
      </x:c>
      <x:c r="N765" s="14" t="str"/>
      <x:c r="O765" s="14" t="n">
        <x:v>25</x:v>
      </x:c>
      <x:c r="P765" s="14" t="str">
        <x:v>İlk 20 soru</x:v>
      </x:c>
      <x:c r="Q765" s="14" t="str">
        <x:v>Evet</x:v>
      </x:c>
      <x:c r="R765" s="14" t="str">
        <x:v>Planlandı</x:v>
      </x:c>
      <x:c r="S765" s="15" t="str"/>
      <x:c r="T765" s="14" t="str">
        <x:v>Geri sayım ve hedef süre yok.</x:v>
      </x:c>
    </x:row>
    <x:row r="766">
      <x:c r="A766" s="14" t="n">
        <x:v>765</x:v>
      </x:c>
      <x:c r="B766" s="15" t="n">
        <x:v>46357</x:v>
      </x:c>
      <x:c r="C766" s="14" t="str">
        <x:v>Salı</x:v>
      </x:c>
      <x:c r="D766" s="14" t="str">
        <x:v>Okul Günü</x:v>
      </x:c>
      <x:c r="E766" s="14" t="str">
        <x:v>16:00 sonrası</x:v>
      </x:c>
      <x:c r="F766" s="14" t="str">
        <x:v>F1 - Temel Kurma</x:v>
      </x:c>
      <x:c r="G766" s="14" t="str">
        <x:v>19:00</x:v>
      </x:c>
      <x:c r="H766" s="14" t="str">
        <x:v>19:35</x:v>
      </x:c>
      <x:c r="I766" s="14" t="str">
        <x:v>Türkçe</x:v>
      </x:c>
      <x:c r="J766" s="14" t="str">
        <x:v>Konu / Tekrar</x:v>
      </x:c>
      <x:c r="K766" s="14" t="str">
        <x:v>Fiiller</x:v>
      </x:c>
      <x:c r="L766" s="14" t="str">
        <x:v>Fiiller — genel oynatma listesinden ilgili videoyu izle (4/4).</x:v>
      </x:c>
      <x:c r="M766" s="14" t="str">
        <x:v>Türkçe Ana Oynatma Listesi</x:v>
      </x:c>
      <x:c r="N766" s="14" t="str">
        <x:v>https://www.youtube.com/watch?v=VYsPntNKVdw&amp;list=PLIBjFaUoJJ91bz7QQEBlxNJNZka5YQRr6</x:v>
      </x:c>
      <x:c r="O766" s="14" t="n">
        <x:v>0</x:v>
      </x:c>
      <x:c r="P766" s="14" t="str">
        <x:v>Hayır</x:v>
      </x:c>
      <x:c r="Q766" s="14" t="str">
        <x:v>Evet</x:v>
      </x:c>
      <x:c r="R766" s="14" t="str">
        <x:v>Planlandı</x:v>
      </x:c>
      <x:c r="S766" s="15" t="str"/>
      <x:c r="T766" s="14" t="str">
        <x:v>TYT etiketli kaynak temelden başlamak için sabittir; LGS dışı gereksiz ayrıntı zorunlu değildir.</x:v>
      </x:c>
    </x:row>
    <x:row r="767">
      <x:c r="A767" s="14" t="n">
        <x:v>766</x:v>
      </x:c>
      <x:c r="B767" s="15" t="n">
        <x:v>46357</x:v>
      </x:c>
      <x:c r="C767" s="14" t="str">
        <x:v>Salı</x:v>
      </x:c>
      <x:c r="D767" s="14" t="str">
        <x:v>Okul Günü</x:v>
      </x:c>
      <x:c r="E767" s="14" t="str">
        <x:v>16:00 sonrası</x:v>
      </x:c>
      <x:c r="F767" s="14" t="str">
        <x:v>F1 - Temel Kurma</x:v>
      </x:c>
      <x:c r="G767" s="14" t="str">
        <x:v>19:40</x:v>
      </x:c>
      <x:c r="H767" s="14" t="str">
        <x:v>20:10</x:v>
      </x:c>
      <x:c r="I767" s="14" t="str">
        <x:v>Türkçe</x:v>
      </x:c>
      <x:c r="J767" s="14" t="str">
        <x:v>Kitap / MEB / Mastery</x:v>
      </x:c>
      <x:c r="K767" s="14" t="str">
        <x:v>Fiiller</x:v>
      </x:c>
      <x:c r="L767" s="14" t="str">
        <x:v>Fiiller ile ilgili soru kitabından en az 15 soru / bugünkü test payını çöz. İlgili kitap konu bölümünü bu oturumda bitirmeyi hedefle; sonraki oturum MEB doğrulaması.</x:v>
      </x:c>
      <x:c r="M767" s="14" t="str">
        <x:v>Ankara 8. Sınıf Dil Bilgisi Güçlendiren (eşleşen bölüm) + MEB temel destek</x:v>
      </x:c>
      <x:c r="N767" s="14" t="str">
        <x:v>https://odsgm.meb.gov.tr/www/5-6-7-ve-9-sinif-duzeylerinde-calisma-sorulari-yayimlandi/icerik/775</x:v>
      </x:c>
      <x:c r="O767" s="14" t="n">
        <x:v>15</x:v>
      </x:c>
      <x:c r="P767" s="14" t="str">
        <x:v>Hayır</x:v>
      </x:c>
      <x:c r="Q767" s="14" t="str">
        <x:v>Evet</x:v>
      </x:c>
      <x:c r="R767" s="14" t="str">
        <x:v>Planlandı</x:v>
      </x:c>
      <x:c r="S767" s="15" t="str"/>
      <x:c r="T767" s="14" t="str"/>
    </x:row>
    <x:row r="768">
      <x:c r="A768" s="14" t="n">
        <x:v>767</x:v>
      </x:c>
      <x:c r="B768" s="15" t="n">
        <x:v>46357</x:v>
      </x:c>
      <x:c r="C768" s="14" t="str">
        <x:v>Salı</x:v>
      </x:c>
      <x:c r="D768" s="14" t="str">
        <x:v>Okul Günü</x:v>
      </x:c>
      <x:c r="E768" s="14" t="str">
        <x:v>16:00 sonrası</x:v>
      </x:c>
      <x:c r="F768" s="14" t="str">
        <x:v>F1 - Temel Kurma</x:v>
      </x:c>
      <x:c r="G768" s="14" t="str">
        <x:v>20:15</x:v>
      </x:c>
      <x:c r="H768" s="14" t="str">
        <x:v>20:50</x:v>
      </x:c>
      <x:c r="I768" s="14" t="str">
        <x:v>Din</x:v>
      </x:c>
      <x:c r="J768" s="14" t="str">
        <x:v>Konu / Tekrar</x:v>
      </x:c>
      <x:c r="K768" s="14" t="str">
        <x:v>Din ve Hayat</x:v>
      </x:c>
      <x:c r="L768" s="14" t="str">
        <x:v>Din ve Hayat — genel oynatma listesinden ilgili konu/soru çalışmasını yap.</x:v>
      </x:c>
      <x:c r="M768" s="14" t="str">
        <x:v>Din Genel Oynatma Listesi</x:v>
      </x:c>
      <x:c r="N768" s="14" t="str">
        <x:v>https://www.youtube.com/watch?v=wvdOE_75VnA&amp;list=PLbRoPq-Zu-SWXGUbVt4t4UWo-4VjsMUo-&amp;index=2</x:v>
      </x:c>
      <x:c r="O768" s="14" t="n">
        <x:v>0</x:v>
      </x:c>
      <x:c r="P768" s="14" t="str">
        <x:v>Hayır</x:v>
      </x:c>
      <x:c r="Q768" s="14" t="str">
        <x:v>Evet</x:v>
      </x:c>
      <x:c r="R768" s="14" t="str">
        <x:v>Planlandı</x:v>
      </x:c>
      <x:c r="S768" s="15" t="str"/>
      <x:c r="T768" s="14" t="str"/>
    </x:row>
    <x:row r="769">
      <x:c r="A769" s="14" t="n">
        <x:v>768</x:v>
      </x:c>
      <x:c r="B769" s="15" t="n">
        <x:v>46357</x:v>
      </x:c>
      <x:c r="C769" s="14" t="str">
        <x:v>Salı</x:v>
      </x:c>
      <x:c r="D769" s="14" t="str">
        <x:v>Okul Günü</x:v>
      </x:c>
      <x:c r="E769" s="14" t="str">
        <x:v>16:00 sonrası</x:v>
      </x:c>
      <x:c r="F769" s="14" t="str">
        <x:v>F1 - Temel Kurma</x:v>
      </x:c>
      <x:c r="G769" s="14" t="str">
        <x:v>20:55</x:v>
      </x:c>
      <x:c r="H769" s="14" t="str">
        <x:v>21:20</x:v>
      </x:c>
      <x:c r="I769" s="14" t="str">
        <x:v>Din</x:v>
      </x:c>
      <x:c r="J769" s="14" t="str">
        <x:v>Kitap / MEB / Mastery</x:v>
      </x:c>
      <x:c r="K769" s="14" t="str">
        <x:v>Din ve Hayat</x:v>
      </x:c>
      <x:c r="L769" s="14" t="str">
        <x:v>Din ve Hayat ile ilgili soru kitabından en az 18 soru / bugünkü test payını çöz.</x:v>
      </x:c>
      <x:c r="M769" s="14" t="str">
        <x:v>Hız 8. Sınıf Din Kültürü ve Ahlak Bilgisi</x:v>
      </x:c>
      <x:c r="N769" s="14" t="str">
        <x:v>https://www.youtube.com/watch?v=wvdOE_75VnA&amp;list=PLbRoPq-Zu-SWXGUbVt4t4UWo-4VjsMUo-&amp;index=2</x:v>
      </x:c>
      <x:c r="O769" s="14" t="n">
        <x:v>18</x:v>
      </x:c>
      <x:c r="P769" s="14" t="str">
        <x:v>Hayır</x:v>
      </x:c>
      <x:c r="Q769" s="14" t="str">
        <x:v>Evet</x:v>
      </x:c>
      <x:c r="R769" s="14" t="str">
        <x:v>Planlandı</x:v>
      </x:c>
      <x:c r="S769" s="15" t="str"/>
      <x:c r="T769" s="14" t="str"/>
    </x:row>
    <x:row r="770">
      <x:c r="A770" s="14" t="n">
        <x:v>769</x:v>
      </x:c>
      <x:c r="B770" s="15" t="n">
        <x:v>46357</x:v>
      </x:c>
      <x:c r="C770" s="14" t="str">
        <x:v>Salı</x:v>
      </x:c>
      <x:c r="D770" s="14" t="str">
        <x:v>Okul Günü</x:v>
      </x:c>
      <x:c r="E770" s="14" t="str">
        <x:v>16:00 sonrası</x:v>
      </x:c>
      <x:c r="F770" s="14" t="str">
        <x:v>F1 - Temel Kurma</x:v>
      </x:c>
      <x:c r="G770" s="14" t="str">
        <x:v>21:20</x:v>
      </x:c>
      <x:c r="H770" s="14" t="str">
        <x:v>21:35</x:v>
      </x:c>
      <x:c r="I770" s="14" t="str">
        <x:v>Genel</x:v>
      </x:c>
      <x:c r="J770" s="14" t="str">
        <x:v>Yanlış / Boş Analizi</x:v>
      </x:c>
      <x:c r="K770" s="14" t="str">
        <x:v>Günlük</x:v>
      </x:c>
      <x:c r="L770" s="14" t="str">
        <x:v>Bugünkü yanlış/boşları kaydet; çözümünü öğrenmeden kapatma. Hata türünü sınıflandır.</x:v>
      </x:c>
      <x:c r="M770" s="14" t="str">
        <x:v>Yanlış Defteri</x:v>
      </x:c>
      <x:c r="N770" s="14" t="str"/>
      <x:c r="O770" s="14" t="n">
        <x:v>0</x:v>
      </x:c>
      <x:c r="P770" s="14" t="str">
        <x:v>Hayır</x:v>
      </x:c>
      <x:c r="Q770" s="14" t="str">
        <x:v>Evet</x:v>
      </x:c>
      <x:c r="R770" s="14" t="str">
        <x:v>Planlandı</x:v>
      </x:c>
      <x:c r="S770" s="15" t="str"/>
      <x:c r="T770" s="14" t="str"/>
    </x:row>
    <x:row r="771">
      <x:c r="A771" s="14" t="n">
        <x:v>770</x:v>
      </x:c>
      <x:c r="B771" s="15" t="n">
        <x:v>46357</x:v>
      </x:c>
      <x:c r="C771" s="14" t="str">
        <x:v>Salı</x:v>
      </x:c>
      <x:c r="D771" s="14" t="str">
        <x:v>Okul Günü</x:v>
      </x:c>
      <x:c r="E771" s="14" t="str">
        <x:v>16:00 sonrası</x:v>
      </x:c>
      <x:c r="F771" s="14" t="str">
        <x:v>F1 - Temel Kurma</x:v>
      </x:c>
      <x:c r="G771" s="14" t="str">
        <x:v>21:35</x:v>
      </x:c>
      <x:c r="H771" s="14" t="str">
        <x:v>21:50</x:v>
      </x:c>
      <x:c r="I771" s="14" t="str">
        <x:v>Genel</x:v>
      </x:c>
      <x:c r="J771" s="14" t="str">
        <x:v>Aralıklı Hata Tekrarı</x:v>
      </x:c>
      <x:c r="K771" s="14" t="str">
        <x:v>+1 / +7 / +21</x:v>
      </x:c>
      <x:c r="L771" s="14" t="str">
        <x:v>Bugün vadesi gelen yanlış soruları tekrar çöz. Vadesi yoksa bu süre serbest/okuma olabilir.</x:v>
      </x:c>
      <x:c r="M771" s="14" t="str">
        <x:v>Yanlış Defteri</x:v>
      </x:c>
      <x:c r="N771" s="14" t="str"/>
      <x:c r="O771" s="14" t="n">
        <x:v>0</x:v>
      </x:c>
      <x:c r="P771" s="14" t="str">
        <x:v>Hayır</x:v>
      </x:c>
      <x:c r="Q771" s="14" t="str">
        <x:v>Koşullu</x:v>
      </x:c>
      <x:c r="R771" s="14" t="str">
        <x:v>Planlandı</x:v>
      </x:c>
      <x:c r="S771" s="15" t="str"/>
      <x:c r="T771" s="14" t="str">
        <x:v>Yanlışlar +1, +7 ve +21 gün aralıklarıyla tekrar edilir; hâlâ yanlışsa konu mastery durumu düşürülür.</x:v>
      </x:c>
    </x:row>
    <x:row r="772">
      <x:c r="A772" s="14" t="n">
        <x:v>771</x:v>
      </x:c>
      <x:c r="B772" s="15" t="n">
        <x:v>46357</x:v>
      </x:c>
      <x:c r="C772" s="14" t="str">
        <x:v>Salı</x:v>
      </x:c>
      <x:c r="D772" s="14" t="str">
        <x:v>Okul Günü</x:v>
      </x:c>
      <x:c r="E772" s="14" t="str">
        <x:v>16:00 sonrası</x:v>
      </x:c>
      <x:c r="F772" s="14" t="str">
        <x:v>F1 - Temel Kurma</x:v>
      </x:c>
      <x:c r="G772" s="14" t="str">
        <x:v>21:50</x:v>
      </x:c>
      <x:c r="H772" s="14" t="str">
        <x:v>22:00</x:v>
      </x:c>
      <x:c r="I772" s="14" t="str">
        <x:v>Genel</x:v>
      </x:c>
      <x:c r="J772" s="14" t="str">
        <x:v>Uyku Hazırlığı</x:v>
      </x:c>
      <x:c r="K772" s="14" t="str"/>
      <x:c r="L772" s="14" t="str">
        <x:v>22:00'de yatakta ve uyku.</x:v>
      </x:c>
      <x:c r="M772" s="14" t="str"/>
      <x:c r="N772" s="14" t="str"/>
      <x:c r="O772" s="14" t="n">
        <x:v>0</x:v>
      </x:c>
      <x:c r="P772" s="14" t="str">
        <x:v>Hayır</x:v>
      </x:c>
      <x:c r="Q772" s="14" t="str">
        <x:v>Hayır</x:v>
      </x:c>
      <x:c r="R772" s="14" t="str">
        <x:v>Planlandı</x:v>
      </x:c>
      <x:c r="S772" s="15" t="str"/>
      <x:c r="T772" s="14" t="str"/>
    </x:row>
    <x:row r="773">
      <x:c r="A773" s="14" t="n">
        <x:v>772</x:v>
      </x:c>
      <x:c r="B773" s="15" t="n">
        <x:v>46358</x:v>
      </x:c>
      <x:c r="C773" s="14" t="str">
        <x:v>Çarşamba</x:v>
      </x:c>
      <x:c r="D773" s="14" t="str">
        <x:v>Okul Günü</x:v>
      </x:c>
      <x:c r="E773" s="14" t="str">
        <x:v>16:00 sonrası</x:v>
      </x:c>
      <x:c r="F773" s="14" t="str">
        <x:v>F1 - Temel Kurma</x:v>
      </x:c>
      <x:c r="G773" s="14" t="str">
        <x:v>16:00</x:v>
      </x:c>
      <x:c r="H773" s="14" t="str">
        <x:v>16:25</x:v>
      </x:c>
      <x:c r="I773" s="14" t="str">
        <x:v>Genel</x:v>
      </x:c>
      <x:c r="J773" s="14" t="str">
        <x:v>Dinlenme</x:v>
      </x:c>
      <x:c r="K773" s="14" t="str"/>
      <x:c r="L773" s="14" t="str">
        <x:v>Eve geliş, atıştırma ve dinlenme.</x:v>
      </x:c>
      <x:c r="M773" s="14" t="str"/>
      <x:c r="N773" s="14" t="str"/>
      <x:c r="O773" s="14" t="n">
        <x:v>0</x:v>
      </x:c>
      <x:c r="P773" s="14" t="str">
        <x:v>Hayır</x:v>
      </x:c>
      <x:c r="Q773" s="14" t="str">
        <x:v>Hayır</x:v>
      </x:c>
      <x:c r="R773" s="14" t="str">
        <x:v>Planlandı</x:v>
      </x:c>
      <x:c r="S773" s="15" t="str"/>
      <x:c r="T773" s="14" t="str"/>
    </x:row>
    <x:row r="774">
      <x:c r="A774" s="14" t="n">
        <x:v>773</x:v>
      </x:c>
      <x:c r="B774" s="15" t="n">
        <x:v>46358</x:v>
      </x:c>
      <x:c r="C774" s="14" t="str">
        <x:v>Çarşamba</x:v>
      </x:c>
      <x:c r="D774" s="14" t="str">
        <x:v>Okul Günü</x:v>
      </x:c>
      <x:c r="E774" s="14" t="str">
        <x:v>16:00 sonrası</x:v>
      </x:c>
      <x:c r="F774" s="14" t="str">
        <x:v>F1 - Temel Kurma</x:v>
      </x:c>
      <x:c r="G774" s="14" t="str">
        <x:v>16:25</x:v>
      </x:c>
      <x:c r="H774" s="14" t="str">
        <x:v>17:05</x:v>
      </x:c>
      <x:c r="I774" s="14" t="str">
        <x:v>Matematik</x:v>
      </x:c>
      <x:c r="J774" s="14" t="str">
        <x:v>Konu / Tekrar</x:v>
      </x:c>
      <x:c r="K774" s="14" t="str">
        <x:v>Denklem Kurma Problemleri</x:v>
      </x:c>
      <x:c r="L774" s="14" t="str">
        <x:v>Denklem Kurma Problemleri — genel oynatma listesinden ilgili videoyu izle (3/4).</x:v>
      </x:c>
      <x:c r="M774" s="14" t="str">
        <x:v>Matematik Ana Oynatma Listesi</x:v>
      </x:c>
      <x:c r="N774" s="14" t="str">
        <x:v>https://www.youtube.com/watch?v=EuJ89QzqrAg&amp;list=PLicNtF7vp6fnfDqrRLH6H7fIbzYT4ct4F&amp;index=11</x:v>
      </x:c>
      <x:c r="O774" s="14" t="n">
        <x:v>0</x:v>
      </x:c>
      <x:c r="P774" s="14" t="str">
        <x:v>Hayır</x:v>
      </x:c>
      <x:c r="Q774" s="14" t="str">
        <x:v>Evet</x:v>
      </x:c>
      <x:c r="R774" s="14" t="str">
        <x:v>Planlandı</x:v>
      </x:c>
      <x:c r="S774" s="15" t="str"/>
      <x:c r="T774" s="14" t="str">
        <x:v>Yeni konu ancak plan sırasıyla açılır; LGS dışı ileri TYT içeriği zorunlu değildir.</x:v>
      </x:c>
    </x:row>
    <x:row r="775">
      <x:c r="A775" s="14" t="n">
        <x:v>774</x:v>
      </x:c>
      <x:c r="B775" s="15" t="n">
        <x:v>46358</x:v>
      </x:c>
      <x:c r="C775" s="14" t="str">
        <x:v>Çarşamba</x:v>
      </x:c>
      <x:c r="D775" s="14" t="str">
        <x:v>Okul Günü</x:v>
      </x:c>
      <x:c r="E775" s="14" t="str">
        <x:v>16:00 sonrası</x:v>
      </x:c>
      <x:c r="F775" s="14" t="str">
        <x:v>F1 - Temel Kurma</x:v>
      </x:c>
      <x:c r="G775" s="14" t="str">
        <x:v>17:10</x:v>
      </x:c>
      <x:c r="H775" s="14" t="str">
        <x:v>17:55</x:v>
      </x:c>
      <x:c r="I775" s="14" t="str">
        <x:v>Matematik</x:v>
      </x:c>
      <x:c r="J775" s="14" t="str">
        <x:v>Kitap / MEB / Mastery</x:v>
      </x:c>
      <x:c r="K775" s="14" t="str">
        <x:v>Denklem Kurma Problemleri</x:v>
      </x:c>
      <x:c r="L775" s="14" t="str">
        <x:v>Denklem Kurma Problemleri ile ilgili soru kitabından en az 25 soru / bugünkü test payını çöz.</x:v>
      </x:c>
      <x:c r="M775" s="14" t="str">
        <x:v>MUBA 8. Sınıf Başlangıç Matematik (ISBN 9789756526972) (eşleşen bölüm) + MEB temel destek</x:v>
      </x:c>
      <x:c r="N775" s="14" t="str">
        <x:v>https://odsgm.meb.gov.tr/www/5-6-7-ve-9-sinif-duzeylerinde-calisma-sorulari-yayimlandi/icerik/775</x:v>
      </x:c>
      <x:c r="O775" s="14" t="n">
        <x:v>25</x:v>
      </x:c>
      <x:c r="P775" s="14" t="str">
        <x:v>İlk 20 soru</x:v>
      </x:c>
      <x:c r="Q775" s="14" t="str">
        <x:v>Evet</x:v>
      </x:c>
      <x:c r="R775" s="14" t="str">
        <x:v>Planlandı</x:v>
      </x:c>
      <x:c r="S775" s="15" t="str"/>
      <x:c r="T775" s="14" t="str">
        <x:v>Ayrı/rastgele matematik benchmark yoktur. Süreli ilk 20 soru o gün çalışılan konunun içindedir.</x:v>
      </x:c>
    </x:row>
    <x:row r="776">
      <x:c r="A776" s="14" t="n">
        <x:v>775</x:v>
      </x:c>
      <x:c r="B776" s="15" t="n">
        <x:v>46358</x:v>
      </x:c>
      <x:c r="C776" s="14" t="str">
        <x:v>Çarşamba</x:v>
      </x:c>
      <x:c r="D776" s="14" t="str">
        <x:v>Okul Günü</x:v>
      </x:c>
      <x:c r="E776" s="14" t="str">
        <x:v>16:00 sonrası</x:v>
      </x:c>
      <x:c r="F776" s="14" t="str">
        <x:v>F1 - Temel Kurma</x:v>
      </x:c>
      <x:c r="G776" s="14" t="str">
        <x:v>17:55</x:v>
      </x:c>
      <x:c r="H776" s="14" t="str">
        <x:v>18:25</x:v>
      </x:c>
      <x:c r="I776" s="14" t="str">
        <x:v>Genel</x:v>
      </x:c>
      <x:c r="J776" s="14" t="str">
        <x:v>Yemek / Serbest Zaman</x:v>
      </x:c>
      <x:c r="K776" s="14" t="str"/>
      <x:c r="L776" s="14" t="str">
        <x:v>Yemek, hareket ve dinlenme.</x:v>
      </x:c>
      <x:c r="M776" s="14" t="str"/>
      <x:c r="N776" s="14" t="str"/>
      <x:c r="O776" s="14" t="n">
        <x:v>0</x:v>
      </x:c>
      <x:c r="P776" s="14" t="str">
        <x:v>Hayır</x:v>
      </x:c>
      <x:c r="Q776" s="14" t="str">
        <x:v>Hayır</x:v>
      </x:c>
      <x:c r="R776" s="14" t="str">
        <x:v>Planlandı</x:v>
      </x:c>
      <x:c r="S776" s="15" t="str"/>
      <x:c r="T776" s="14" t="str"/>
    </x:row>
    <x:row r="777">
      <x:c r="A777" s="14" t="n">
        <x:v>776</x:v>
      </x:c>
      <x:c r="B777" s="15" t="n">
        <x:v>46358</x:v>
      </x:c>
      <x:c r="C777" s="14" t="str">
        <x:v>Çarşamba</x:v>
      </x:c>
      <x:c r="D777" s="14" t="str">
        <x:v>Okul Günü</x:v>
      </x:c>
      <x:c r="E777" s="14" t="str">
        <x:v>16:00 sonrası</x:v>
      </x:c>
      <x:c r="F777" s="14" t="str">
        <x:v>F1 - Temel Kurma</x:v>
      </x:c>
      <x:c r="G777" s="14" t="str">
        <x:v>18:25</x:v>
      </x:c>
      <x:c r="H777" s="14" t="str">
        <x:v>18:55</x:v>
      </x:c>
      <x:c r="I777" s="14" t="str">
        <x:v>Türkçe</x:v>
      </x:c>
      <x:c r="J777" s="14" t="str">
        <x:v>Paragraf Rutini</x:v>
      </x:c>
      <x:c r="K777" s="14" t="str">
        <x:v>Paragraf</x:v>
      </x:c>
      <x:c r="L777" s="14" t="str">
        <x:v>En az 25 paragraf sorusu çöz; ilk 20 soruyu ileri sayımla ölç, D/Y/B + süre kaydet.</x:v>
      </x:c>
      <x:c r="M777" s="14" t="str">
        <x:v>Hız 8. Sınıf Türkçe Paragraf (ISBN 9786258394498)</x:v>
      </x:c>
      <x:c r="N777" s="14" t="str"/>
      <x:c r="O777" s="14" t="n">
        <x:v>25</x:v>
      </x:c>
      <x:c r="P777" s="14" t="str">
        <x:v>İlk 20 soru</x:v>
      </x:c>
      <x:c r="Q777" s="14" t="str">
        <x:v>Evet</x:v>
      </x:c>
      <x:c r="R777" s="14" t="str">
        <x:v>Planlandı</x:v>
      </x:c>
      <x:c r="S777" s="15" t="str"/>
      <x:c r="T777" s="14" t="str">
        <x:v>Geri sayım ve hedef süre yok.</x:v>
      </x:c>
    </x:row>
    <x:row r="778">
      <x:c r="A778" s="14" t="n">
        <x:v>777</x:v>
      </x:c>
      <x:c r="B778" s="15" t="n">
        <x:v>46358</x:v>
      </x:c>
      <x:c r="C778" s="14" t="str">
        <x:v>Çarşamba</x:v>
      </x:c>
      <x:c r="D778" s="14" t="str">
        <x:v>Okul Günü</x:v>
      </x:c>
      <x:c r="E778" s="14" t="str">
        <x:v>16:00 sonrası</x:v>
      </x:c>
      <x:c r="F778" s="14" t="str">
        <x:v>F1 - Temel Kurma</x:v>
      </x:c>
      <x:c r="G778" s="14" t="str">
        <x:v>19:00</x:v>
      </x:c>
      <x:c r="H778" s="14" t="str">
        <x:v>19:35</x:v>
      </x:c>
      <x:c r="I778" s="14" t="str">
        <x:v>Türkçe</x:v>
      </x:c>
      <x:c r="J778" s="14" t="str">
        <x:v>Konu / Tekrar</x:v>
      </x:c>
      <x:c r="K778" s="14" t="str">
        <x:v>Fiiller</x:v>
      </x:c>
      <x:c r="L778" s="14" t="str">
        <x:v>Fiiller — MEB doğrulaması öncesi 5-10 dk aktif hatırlama; gerekiyorsa ilgili playlist videosuna kısa dönüş yap.</x:v>
      </x:c>
      <x:c r="M778" s="14" t="str">
        <x:v>Türkçe Ana Oynatma Listesi</x:v>
      </x:c>
      <x:c r="N778" s="14" t="str">
        <x:v>https://www.youtube.com/watch?v=VYsPntNKVdw&amp;list=PLIBjFaUoJJ91bz7QQEBlxNJNZka5YQRr6</x:v>
      </x:c>
      <x:c r="O778" s="14" t="n">
        <x:v>0</x:v>
      </x:c>
      <x:c r="P778" s="14" t="str">
        <x:v>Hayır</x:v>
      </x:c>
      <x:c r="Q778" s="14" t="str">
        <x:v>Evet</x:v>
      </x:c>
      <x:c r="R778" s="14" t="str">
        <x:v>Planlandı</x:v>
      </x:c>
      <x:c r="S778" s="15" t="str"/>
      <x:c r="T778" s="14" t="str">
        <x:v>TYT etiketli kaynak temelden başlamak için sabittir; LGS dışı gereksiz ayrıntı zorunlu değildir.</x:v>
      </x:c>
    </x:row>
    <x:row r="779">
      <x:c r="A779" s="14" t="n">
        <x:v>778</x:v>
      </x:c>
      <x:c r="B779" s="15" t="n">
        <x:v>46358</x:v>
      </x:c>
      <x:c r="C779" s="14" t="str">
        <x:v>Çarşamba</x:v>
      </x:c>
      <x:c r="D779" s="14" t="str">
        <x:v>Okul Günü</x:v>
      </x:c>
      <x:c r="E779" s="14" t="str">
        <x:v>16:00 sonrası</x:v>
      </x:c>
      <x:c r="F779" s="14" t="str">
        <x:v>F1 - Temel Kurma</x:v>
      </x:c>
      <x:c r="G779" s="14" t="str">
        <x:v>19:40</x:v>
      </x:c>
      <x:c r="H779" s="14" t="str">
        <x:v>20:10</x:v>
      </x:c>
      <x:c r="I779" s="14" t="str">
        <x:v>Türkçe</x:v>
      </x:c>
      <x:c r="J779" s="14" t="str">
        <x:v>Kitap / MEB / Mastery</x:v>
      </x:c>
      <x:c r="K779" s="14" t="str">
        <x:v>Fiiller</x:v>
      </x:c>
      <x:c r="L779" s="14" t="str">
        <x:v>Fiiller için ilgili MEB sorularını TAMAMLA; D/Y/B kaydet. Bu oturum konu mastery gate'idir.</x:v>
      </x:c>
      <x:c r="M779" s="14" t="str">
        <x:v>MEB Resmî Soru Seti</x:v>
      </x:c>
      <x:c r="N779" s="14" t="str">
        <x:v>https://odsgm.meb.gov.tr/www/5-6-7-ve-9-sinif-duzeylerinde-calisma-sorulari-yayimlandi/icerik/775</x:v>
      </x:c>
      <x:c r="O779" s="14" t="n">
        <x:v>0</x:v>
      </x:c>
      <x:c r="P779" s="14" t="str">
        <x:v>Hayır</x:v>
      </x:c>
      <x:c r="Q779" s="14" t="str">
        <x:v>Evet</x:v>
      </x:c>
      <x:c r="R779" s="14" t="str">
        <x:v>Planlandı</x:v>
      </x:c>
      <x:c r="S779" s="15" t="str"/>
      <x:c r="T779" s="14" t="str">
        <x:v>MEB sonucu Konu_Ustaligi sayfasına işlenir.</x:v>
      </x:c>
    </x:row>
    <x:row r="780">
      <x:c r="A780" s="14" t="n">
        <x:v>779</x:v>
      </x:c>
      <x:c r="B780" s="15" t="n">
        <x:v>46358</x:v>
      </x:c>
      <x:c r="C780" s="14" t="str">
        <x:v>Çarşamba</x:v>
      </x:c>
      <x:c r="D780" s="14" t="str">
        <x:v>Okul Günü</x:v>
      </x:c>
      <x:c r="E780" s="14" t="str">
        <x:v>16:00 sonrası</x:v>
      </x:c>
      <x:c r="F780" s="14" t="str">
        <x:v>F1 - Temel Kurma</x:v>
      </x:c>
      <x:c r="G780" s="14" t="str">
        <x:v>20:15</x:v>
      </x:c>
      <x:c r="H780" s="14" t="str">
        <x:v>20:50</x:v>
      </x:c>
      <x:c r="I780" s="14" t="str">
        <x:v>İnkılap</x:v>
      </x:c>
      <x:c r="J780" s="14" t="str">
        <x:v>Konu / Tekrar</x:v>
      </x:c>
      <x:c r="K780" s="14" t="str">
        <x:v>Mondros, İşgaller, Cemiyetler ve Kuvayımilliye</x:v>
      </x:c>
      <x:c r="L780" s="14" t="str">
        <x:v>Mondros, İşgaller, Cemiyetler ve Kuvayımilliye — MEB doğrulaması öncesi 5-10 dk aktif hatırlama; gerekiyorsa ilgili playlist videosuna kısa dönüş yap.</x:v>
      </x:c>
      <x:c r="M780" s="14" t="str">
        <x:v>İnkılap Genel Oynatma Listesi</x:v>
      </x:c>
      <x:c r="N780" s="14" t="str">
        <x:v>https://www.youtube.com/watch?v=MltIX0oKpYU&amp;list=PLsAsBPsriHNbXit4Ra3iuBrk1ZHZWxsOR&amp;index=78</x:v>
      </x:c>
      <x:c r="O780" s="14" t="n">
        <x:v>0</x:v>
      </x:c>
      <x:c r="P780" s="14" t="str">
        <x:v>Hayır</x:v>
      </x:c>
      <x:c r="Q780" s="14" t="str">
        <x:v>Evet</x:v>
      </x:c>
      <x:c r="R780" s="14" t="str">
        <x:v>Planlandı</x:v>
      </x:c>
      <x:c r="S780" s="15" t="str"/>
      <x:c r="T780" s="14" t="str">
        <x:v>İnkılapta okul yazılısı videoları zorunlu değildir.</x:v>
      </x:c>
    </x:row>
    <x:row r="781">
      <x:c r="A781" s="14" t="n">
        <x:v>780</x:v>
      </x:c>
      <x:c r="B781" s="15" t="n">
        <x:v>46358</x:v>
      </x:c>
      <x:c r="C781" s="14" t="str">
        <x:v>Çarşamba</x:v>
      </x:c>
      <x:c r="D781" s="14" t="str">
        <x:v>Okul Günü</x:v>
      </x:c>
      <x:c r="E781" s="14" t="str">
        <x:v>16:00 sonrası</x:v>
      </x:c>
      <x:c r="F781" s="14" t="str">
        <x:v>F1 - Temel Kurma</x:v>
      </x:c>
      <x:c r="G781" s="14" t="str">
        <x:v>20:55</x:v>
      </x:c>
      <x:c r="H781" s="14" t="str">
        <x:v>21:20</x:v>
      </x:c>
      <x:c r="I781" s="14" t="str">
        <x:v>İnkılap</x:v>
      </x:c>
      <x:c r="J781" s="14" t="str">
        <x:v>Kitap / MEB / Mastery</x:v>
      </x:c>
      <x:c r="K781" s="14" t="str">
        <x:v>Mondros, İşgaller, Cemiyetler ve Kuvayımilliye</x:v>
      </x:c>
      <x:c r="L781" s="14" t="str">
        <x:v>Mondros, İşgaller, Cemiyetler ve Kuvayımilliye için ilgili MEB sorularını TAMAMLA; D/Y/B kaydet. Bu oturum konu mastery gate'idir.</x:v>
      </x:c>
      <x:c r="M781" s="14" t="str">
        <x:v>MEB 8. Sınıf İnkılap Soruları</x:v>
      </x:c>
      <x:c r="N781" s="14" t="str">
        <x:v>https://odsgm.meb.gov.tr/www/8sinif-calisma-sorulari/icerik/1632</x:v>
      </x:c>
      <x:c r="O781" s="14" t="n">
        <x:v>0</x:v>
      </x:c>
      <x:c r="P781" s="14" t="str">
        <x:v>Hayır</x:v>
      </x:c>
      <x:c r="Q781" s="14" t="str">
        <x:v>Evet</x:v>
      </x:c>
      <x:c r="R781" s="14" t="str">
        <x:v>Planlandı</x:v>
      </x:c>
      <x:c r="S781" s="15" t="str"/>
      <x:c r="T781" s="14" t="str">
        <x:v>MEB sonucu Konu_Ustaligi sayfasına işlenir.</x:v>
      </x:c>
    </x:row>
    <x:row r="782">
      <x:c r="A782" s="14" t="n">
        <x:v>781</x:v>
      </x:c>
      <x:c r="B782" s="15" t="n">
        <x:v>46358</x:v>
      </x:c>
      <x:c r="C782" s="14" t="str">
        <x:v>Çarşamba</x:v>
      </x:c>
      <x:c r="D782" s="14" t="str">
        <x:v>Okul Günü</x:v>
      </x:c>
      <x:c r="E782" s="14" t="str">
        <x:v>16:00 sonrası</x:v>
      </x:c>
      <x:c r="F782" s="14" t="str">
        <x:v>F1 - Temel Kurma</x:v>
      </x:c>
      <x:c r="G782" s="14" t="str">
        <x:v>21:20</x:v>
      </x:c>
      <x:c r="H782" s="14" t="str">
        <x:v>21:35</x:v>
      </x:c>
      <x:c r="I782" s="14" t="str">
        <x:v>Genel</x:v>
      </x:c>
      <x:c r="J782" s="14" t="str">
        <x:v>Yanlış / Boş Analizi</x:v>
      </x:c>
      <x:c r="K782" s="14" t="str">
        <x:v>Günlük</x:v>
      </x:c>
      <x:c r="L782" s="14" t="str">
        <x:v>Bugünkü yanlış/boşları kaydet; çözümünü öğrenmeden kapatma. Hata türünü sınıflandır.</x:v>
      </x:c>
      <x:c r="M782" s="14" t="str">
        <x:v>Yanlış Defteri</x:v>
      </x:c>
      <x:c r="N782" s="14" t="str"/>
      <x:c r="O782" s="14" t="n">
        <x:v>0</x:v>
      </x:c>
      <x:c r="P782" s="14" t="str">
        <x:v>Hayır</x:v>
      </x:c>
      <x:c r="Q782" s="14" t="str">
        <x:v>Evet</x:v>
      </x:c>
      <x:c r="R782" s="14" t="str">
        <x:v>Planlandı</x:v>
      </x:c>
      <x:c r="S782" s="15" t="str"/>
      <x:c r="T782" s="14" t="str"/>
    </x:row>
    <x:row r="783">
      <x:c r="A783" s="14" t="n">
        <x:v>782</x:v>
      </x:c>
      <x:c r="B783" s="15" t="n">
        <x:v>46358</x:v>
      </x:c>
      <x:c r="C783" s="14" t="str">
        <x:v>Çarşamba</x:v>
      </x:c>
      <x:c r="D783" s="14" t="str">
        <x:v>Okul Günü</x:v>
      </x:c>
      <x:c r="E783" s="14" t="str">
        <x:v>16:00 sonrası</x:v>
      </x:c>
      <x:c r="F783" s="14" t="str">
        <x:v>F1 - Temel Kurma</x:v>
      </x:c>
      <x:c r="G783" s="14" t="str">
        <x:v>21:35</x:v>
      </x:c>
      <x:c r="H783" s="14" t="str">
        <x:v>21:50</x:v>
      </x:c>
      <x:c r="I783" s="14" t="str">
        <x:v>Genel</x:v>
      </x:c>
      <x:c r="J783" s="14" t="str">
        <x:v>Aralıklı Hata Tekrarı</x:v>
      </x:c>
      <x:c r="K783" s="14" t="str">
        <x:v>+1 / +7 / +21</x:v>
      </x:c>
      <x:c r="L783" s="14" t="str">
        <x:v>Bugün vadesi gelen yanlış soruları tekrar çöz. Vadesi yoksa bu süre serbest/okuma olabilir.</x:v>
      </x:c>
      <x:c r="M783" s="14" t="str">
        <x:v>Yanlış Defteri</x:v>
      </x:c>
      <x:c r="N783" s="14" t="str"/>
      <x:c r="O783" s="14" t="n">
        <x:v>0</x:v>
      </x:c>
      <x:c r="P783" s="14" t="str">
        <x:v>Hayır</x:v>
      </x:c>
      <x:c r="Q783" s="14" t="str">
        <x:v>Koşullu</x:v>
      </x:c>
      <x:c r="R783" s="14" t="str">
        <x:v>Planlandı</x:v>
      </x:c>
      <x:c r="S783" s="15" t="str"/>
      <x:c r="T783" s="14" t="str">
        <x:v>Yanlışlar +1, +7 ve +21 gün aralıklarıyla tekrar edilir; hâlâ yanlışsa konu mastery durumu düşürülür.</x:v>
      </x:c>
    </x:row>
    <x:row r="784">
      <x:c r="A784" s="14" t="n">
        <x:v>783</x:v>
      </x:c>
      <x:c r="B784" s="15" t="n">
        <x:v>46358</x:v>
      </x:c>
      <x:c r="C784" s="14" t="str">
        <x:v>Çarşamba</x:v>
      </x:c>
      <x:c r="D784" s="14" t="str">
        <x:v>Okul Günü</x:v>
      </x:c>
      <x:c r="E784" s="14" t="str">
        <x:v>16:00 sonrası</x:v>
      </x:c>
      <x:c r="F784" s="14" t="str">
        <x:v>F1 - Temel Kurma</x:v>
      </x:c>
      <x:c r="G784" s="14" t="str">
        <x:v>21:50</x:v>
      </x:c>
      <x:c r="H784" s="14" t="str">
        <x:v>22:00</x:v>
      </x:c>
      <x:c r="I784" s="14" t="str">
        <x:v>Genel</x:v>
      </x:c>
      <x:c r="J784" s="14" t="str">
        <x:v>Uyku Hazırlığı</x:v>
      </x:c>
      <x:c r="K784" s="14" t="str"/>
      <x:c r="L784" s="14" t="str">
        <x:v>22:00'de yatakta ve uyku.</x:v>
      </x:c>
      <x:c r="M784" s="14" t="str"/>
      <x:c r="N784" s="14" t="str"/>
      <x:c r="O784" s="14" t="n">
        <x:v>0</x:v>
      </x:c>
      <x:c r="P784" s="14" t="str">
        <x:v>Hayır</x:v>
      </x:c>
      <x:c r="Q784" s="14" t="str">
        <x:v>Hayır</x:v>
      </x:c>
      <x:c r="R784" s="14" t="str">
        <x:v>Planlandı</x:v>
      </x:c>
      <x:c r="S784" s="15" t="str"/>
      <x:c r="T784" s="14" t="str"/>
    </x:row>
    <x:row r="785">
      <x:c r="A785" s="14" t="n">
        <x:v>784</x:v>
      </x:c>
      <x:c r="B785" s="15" t="n">
        <x:v>46359</x:v>
      </x:c>
      <x:c r="C785" s="14" t="str">
        <x:v>Perşembe</x:v>
      </x:c>
      <x:c r="D785" s="14" t="str">
        <x:v>Okul Günü</x:v>
      </x:c>
      <x:c r="E785" s="14" t="str">
        <x:v>16:00 sonrası</x:v>
      </x:c>
      <x:c r="F785" s="14" t="str">
        <x:v>F1 - Temel Kurma</x:v>
      </x:c>
      <x:c r="G785" s="14" t="str">
        <x:v>16:00</x:v>
      </x:c>
      <x:c r="H785" s="14" t="str">
        <x:v>16:25</x:v>
      </x:c>
      <x:c r="I785" s="14" t="str">
        <x:v>Genel</x:v>
      </x:c>
      <x:c r="J785" s="14" t="str">
        <x:v>Dinlenme</x:v>
      </x:c>
      <x:c r="K785" s="14" t="str"/>
      <x:c r="L785" s="14" t="str">
        <x:v>Eve geliş, atıştırma ve dinlenme.</x:v>
      </x:c>
      <x:c r="M785" s="14" t="str"/>
      <x:c r="N785" s="14" t="str"/>
      <x:c r="O785" s="14" t="n">
        <x:v>0</x:v>
      </x:c>
      <x:c r="P785" s="14" t="str">
        <x:v>Hayır</x:v>
      </x:c>
      <x:c r="Q785" s="14" t="str">
        <x:v>Hayır</x:v>
      </x:c>
      <x:c r="R785" s="14" t="str">
        <x:v>Planlandı</x:v>
      </x:c>
      <x:c r="S785" s="15" t="str"/>
      <x:c r="T785" s="14" t="str"/>
    </x:row>
    <x:row r="786">
      <x:c r="A786" s="14" t="n">
        <x:v>785</x:v>
      </x:c>
      <x:c r="B786" s="15" t="n">
        <x:v>46359</x:v>
      </x:c>
      <x:c r="C786" s="14" t="str">
        <x:v>Perşembe</x:v>
      </x:c>
      <x:c r="D786" s="14" t="str">
        <x:v>Okul Günü</x:v>
      </x:c>
      <x:c r="E786" s="14" t="str">
        <x:v>16:00 sonrası</x:v>
      </x:c>
      <x:c r="F786" s="14" t="str">
        <x:v>F1 - Temel Kurma</x:v>
      </x:c>
      <x:c r="G786" s="14" t="str">
        <x:v>16:25</x:v>
      </x:c>
      <x:c r="H786" s="14" t="str">
        <x:v>17:05</x:v>
      </x:c>
      <x:c r="I786" s="14" t="str">
        <x:v>Matematik</x:v>
      </x:c>
      <x:c r="J786" s="14" t="str">
        <x:v>Konu / Tekrar</x:v>
      </x:c>
      <x:c r="K786" s="14" t="str">
        <x:v>Denklem Kurma Problemleri</x:v>
      </x:c>
      <x:c r="L786" s="14" t="str">
        <x:v>Denklem Kurma Problemleri — genel oynatma listesinden ilgili videoyu izle (4/4).</x:v>
      </x:c>
      <x:c r="M786" s="14" t="str">
        <x:v>Matematik Ana Oynatma Listesi</x:v>
      </x:c>
      <x:c r="N786" s="14" t="str">
        <x:v>https://www.youtube.com/watch?v=EuJ89QzqrAg&amp;list=PLicNtF7vp6fnfDqrRLH6H7fIbzYT4ct4F&amp;index=11</x:v>
      </x:c>
      <x:c r="O786" s="14" t="n">
        <x:v>0</x:v>
      </x:c>
      <x:c r="P786" s="14" t="str">
        <x:v>Hayır</x:v>
      </x:c>
      <x:c r="Q786" s="14" t="str">
        <x:v>Evet</x:v>
      </x:c>
      <x:c r="R786" s="14" t="str">
        <x:v>Planlandı</x:v>
      </x:c>
      <x:c r="S786" s="15" t="str"/>
      <x:c r="T786" s="14" t="str">
        <x:v>Yeni konu ancak plan sırasıyla açılır; LGS dışı ileri TYT içeriği zorunlu değildir.</x:v>
      </x:c>
    </x:row>
    <x:row r="787">
      <x:c r="A787" s="14" t="n">
        <x:v>786</x:v>
      </x:c>
      <x:c r="B787" s="15" t="n">
        <x:v>46359</x:v>
      </x:c>
      <x:c r="C787" s="14" t="str">
        <x:v>Perşembe</x:v>
      </x:c>
      <x:c r="D787" s="14" t="str">
        <x:v>Okul Günü</x:v>
      </x:c>
      <x:c r="E787" s="14" t="str">
        <x:v>16:00 sonrası</x:v>
      </x:c>
      <x:c r="F787" s="14" t="str">
        <x:v>F1 - Temel Kurma</x:v>
      </x:c>
      <x:c r="G787" s="14" t="str">
        <x:v>17:10</x:v>
      </x:c>
      <x:c r="H787" s="14" t="str">
        <x:v>17:55</x:v>
      </x:c>
      <x:c r="I787" s="14" t="str">
        <x:v>Matematik</x:v>
      </x:c>
      <x:c r="J787" s="14" t="str">
        <x:v>Kitap / MEB / Mastery</x:v>
      </x:c>
      <x:c r="K787" s="14" t="str">
        <x:v>Denklem Kurma Problemleri</x:v>
      </x:c>
      <x:c r="L787" s="14" t="str">
        <x:v>Denklem Kurma Problemleri ile ilgili soru kitabından en az 25 soru / bugünkü test payını çöz. İlgili kitap konu bölümünü bu oturumda bitirmeyi hedefle; sonraki oturum MEB doğrulaması.</x:v>
      </x:c>
      <x:c r="M787" s="14" t="str">
        <x:v>MUBA 8. Sınıf Başlangıç Matematik (ISBN 9789756526972) (eşleşen bölüm) + MEB temel destek</x:v>
      </x:c>
      <x:c r="N787" s="14" t="str">
        <x:v>https://odsgm.meb.gov.tr/www/5-6-7-ve-9-sinif-duzeylerinde-calisma-sorulari-yayimlandi/icerik/775</x:v>
      </x:c>
      <x:c r="O787" s="14" t="n">
        <x:v>25</x:v>
      </x:c>
      <x:c r="P787" s="14" t="str">
        <x:v>İlk 20 soru</x:v>
      </x:c>
      <x:c r="Q787" s="14" t="str">
        <x:v>Evet</x:v>
      </x:c>
      <x:c r="R787" s="14" t="str">
        <x:v>Planlandı</x:v>
      </x:c>
      <x:c r="S787" s="15" t="str"/>
      <x:c r="T787" s="14" t="str">
        <x:v>Ayrı/rastgele matematik benchmark yoktur. Süreli ilk 20 soru o gün çalışılan konunun içindedir.</x:v>
      </x:c>
    </x:row>
    <x:row r="788">
      <x:c r="A788" s="14" t="n">
        <x:v>787</x:v>
      </x:c>
      <x:c r="B788" s="15" t="n">
        <x:v>46359</x:v>
      </x:c>
      <x:c r="C788" s="14" t="str">
        <x:v>Perşembe</x:v>
      </x:c>
      <x:c r="D788" s="14" t="str">
        <x:v>Okul Günü</x:v>
      </x:c>
      <x:c r="E788" s="14" t="str">
        <x:v>16:00 sonrası</x:v>
      </x:c>
      <x:c r="F788" s="14" t="str">
        <x:v>F1 - Temel Kurma</x:v>
      </x:c>
      <x:c r="G788" s="14" t="str">
        <x:v>17:55</x:v>
      </x:c>
      <x:c r="H788" s="14" t="str">
        <x:v>18:25</x:v>
      </x:c>
      <x:c r="I788" s="14" t="str">
        <x:v>Genel</x:v>
      </x:c>
      <x:c r="J788" s="14" t="str">
        <x:v>Yemek / Serbest Zaman</x:v>
      </x:c>
      <x:c r="K788" s="14" t="str"/>
      <x:c r="L788" s="14" t="str">
        <x:v>Yemek, hareket ve dinlenme.</x:v>
      </x:c>
      <x:c r="M788" s="14" t="str"/>
      <x:c r="N788" s="14" t="str"/>
      <x:c r="O788" s="14" t="n">
        <x:v>0</x:v>
      </x:c>
      <x:c r="P788" s="14" t="str">
        <x:v>Hayır</x:v>
      </x:c>
      <x:c r="Q788" s="14" t="str">
        <x:v>Hayır</x:v>
      </x:c>
      <x:c r="R788" s="14" t="str">
        <x:v>Planlandı</x:v>
      </x:c>
      <x:c r="S788" s="15" t="str"/>
      <x:c r="T788" s="14" t="str"/>
    </x:row>
    <x:row r="789">
      <x:c r="A789" s="14" t="n">
        <x:v>788</x:v>
      </x:c>
      <x:c r="B789" s="15" t="n">
        <x:v>46359</x:v>
      </x:c>
      <x:c r="C789" s="14" t="str">
        <x:v>Perşembe</x:v>
      </x:c>
      <x:c r="D789" s="14" t="str">
        <x:v>Okul Günü</x:v>
      </x:c>
      <x:c r="E789" s="14" t="str">
        <x:v>16:00 sonrası</x:v>
      </x:c>
      <x:c r="F789" s="14" t="str">
        <x:v>F1 - Temel Kurma</x:v>
      </x:c>
      <x:c r="G789" s="14" t="str">
        <x:v>18:25</x:v>
      </x:c>
      <x:c r="H789" s="14" t="str">
        <x:v>18:55</x:v>
      </x:c>
      <x:c r="I789" s="14" t="str">
        <x:v>Türkçe</x:v>
      </x:c>
      <x:c r="J789" s="14" t="str">
        <x:v>Paragraf Rutini</x:v>
      </x:c>
      <x:c r="K789" s="14" t="str">
        <x:v>Paragraf</x:v>
      </x:c>
      <x:c r="L789" s="14" t="str">
        <x:v>En az 25 paragraf sorusu çöz; ilk 20 soruyu ileri sayımla ölç, D/Y/B + süre kaydet.</x:v>
      </x:c>
      <x:c r="M789" s="14" t="str">
        <x:v>Hız 8. Sınıf Türkçe Paragraf (ISBN 9786258394498)</x:v>
      </x:c>
      <x:c r="N789" s="14" t="str"/>
      <x:c r="O789" s="14" t="n">
        <x:v>25</x:v>
      </x:c>
      <x:c r="P789" s="14" t="str">
        <x:v>İlk 20 soru</x:v>
      </x:c>
      <x:c r="Q789" s="14" t="str">
        <x:v>Evet</x:v>
      </x:c>
      <x:c r="R789" s="14" t="str">
        <x:v>Planlandı</x:v>
      </x:c>
      <x:c r="S789" s="15" t="str"/>
      <x:c r="T789" s="14" t="str">
        <x:v>Geri sayım ve hedef süre yok.</x:v>
      </x:c>
    </x:row>
    <x:row r="790">
      <x:c r="A790" s="14" t="n">
        <x:v>789</x:v>
      </x:c>
      <x:c r="B790" s="15" t="n">
        <x:v>46359</x:v>
      </x:c>
      <x:c r="C790" s="14" t="str">
        <x:v>Perşembe</x:v>
      </x:c>
      <x:c r="D790" s="14" t="str">
        <x:v>Okul Günü</x:v>
      </x:c>
      <x:c r="E790" s="14" t="str">
        <x:v>16:00 sonrası</x:v>
      </x:c>
      <x:c r="F790" s="14" t="str">
        <x:v>F1 - Temel Kurma</x:v>
      </x:c>
      <x:c r="G790" s="14" t="str">
        <x:v>19:00</x:v>
      </x:c>
      <x:c r="H790" s="14" t="str">
        <x:v>19:35</x:v>
      </x:c>
      <x:c r="I790" s="14" t="str">
        <x:v>Türkçe</x:v>
      </x:c>
      <x:c r="J790" s="14" t="str">
        <x:v>Konu / Tekrar</x:v>
      </x:c>
      <x:c r="K790" s="14" t="str">
        <x:v>Ek Fiil</x:v>
      </x:c>
      <x:c r="L790" s="14" t="str">
        <x:v>Ek Fiil — genel oynatma listesinden ilgili videoyu izle (1/2).</x:v>
      </x:c>
      <x:c r="M790" s="14" t="str">
        <x:v>Türkçe Ana Oynatma Listesi</x:v>
      </x:c>
      <x:c r="N790" s="14" t="str">
        <x:v>https://www.youtube.com/watch?v=VYsPntNKVdw&amp;list=PLIBjFaUoJJ91bz7QQEBlxNJNZka5YQRr6</x:v>
      </x:c>
      <x:c r="O790" s="14" t="n">
        <x:v>0</x:v>
      </x:c>
      <x:c r="P790" s="14" t="str">
        <x:v>Hayır</x:v>
      </x:c>
      <x:c r="Q790" s="14" t="str">
        <x:v>Evet</x:v>
      </x:c>
      <x:c r="R790" s="14" t="str">
        <x:v>Planlandı</x:v>
      </x:c>
      <x:c r="S790" s="15" t="str"/>
      <x:c r="T790" s="14" t="str">
        <x:v>TYT etiketli kaynak temelden başlamak için sabittir; LGS dışı gereksiz ayrıntı zorunlu değildir.</x:v>
      </x:c>
    </x:row>
    <x:row r="791">
      <x:c r="A791" s="14" t="n">
        <x:v>790</x:v>
      </x:c>
      <x:c r="B791" s="15" t="n">
        <x:v>46359</x:v>
      </x:c>
      <x:c r="C791" s="14" t="str">
        <x:v>Perşembe</x:v>
      </x:c>
      <x:c r="D791" s="14" t="str">
        <x:v>Okul Günü</x:v>
      </x:c>
      <x:c r="E791" s="14" t="str">
        <x:v>16:00 sonrası</x:v>
      </x:c>
      <x:c r="F791" s="14" t="str">
        <x:v>F1 - Temel Kurma</x:v>
      </x:c>
      <x:c r="G791" s="14" t="str">
        <x:v>19:40</x:v>
      </x:c>
      <x:c r="H791" s="14" t="str">
        <x:v>20:10</x:v>
      </x:c>
      <x:c r="I791" s="14" t="str">
        <x:v>Türkçe</x:v>
      </x:c>
      <x:c r="J791" s="14" t="str">
        <x:v>Kitap / MEB / Mastery</x:v>
      </x:c>
      <x:c r="K791" s="14" t="str">
        <x:v>Ek Fiil</x:v>
      </x:c>
      <x:c r="L791" s="14" t="str">
        <x:v>Ek Fiil ile ilgili soru kitabından en az 15 soru / bugünkü test payını çöz.</x:v>
      </x:c>
      <x:c r="M791" s="14" t="str">
        <x:v>Ankara 8. Sınıf Dil Bilgisi Güçlendiren (eşleşen bölüm) + MEB temel destek</x:v>
      </x:c>
      <x:c r="N791" s="14" t="str">
        <x:v>https://odsgm.meb.gov.tr/www/5-6-7-ve-9-sinif-duzeylerinde-calisma-sorulari-yayimlandi/icerik/775</x:v>
      </x:c>
      <x:c r="O791" s="14" t="n">
        <x:v>15</x:v>
      </x:c>
      <x:c r="P791" s="14" t="str">
        <x:v>Hayır</x:v>
      </x:c>
      <x:c r="Q791" s="14" t="str">
        <x:v>Evet</x:v>
      </x:c>
      <x:c r="R791" s="14" t="str">
        <x:v>Planlandı</x:v>
      </x:c>
      <x:c r="S791" s="15" t="str"/>
      <x:c r="T791" s="14" t="str"/>
    </x:row>
    <x:row r="792">
      <x:c r="A792" s="14" t="n">
        <x:v>791</x:v>
      </x:c>
      <x:c r="B792" s="15" t="n">
        <x:v>46359</x:v>
      </x:c>
      <x:c r="C792" s="14" t="str">
        <x:v>Perşembe</x:v>
      </x:c>
      <x:c r="D792" s="14" t="str">
        <x:v>Okul Günü</x:v>
      </x:c>
      <x:c r="E792" s="14" t="str">
        <x:v>16:00 sonrası</x:v>
      </x:c>
      <x:c r="F792" s="14" t="str">
        <x:v>F1 - Temel Kurma</x:v>
      </x:c>
      <x:c r="G792" s="14" t="str">
        <x:v>20:15</x:v>
      </x:c>
      <x:c r="H792" s="14" t="str">
        <x:v>20:50</x:v>
      </x:c>
      <x:c r="I792" s="14" t="str">
        <x:v>İngilizce</x:v>
      </x:c>
      <x:c r="J792" s="14" t="str">
        <x:v>Konu / Tekrar</x:v>
      </x:c>
      <x:c r="K792" s="14" t="str">
        <x:v>Unit 4 - On The Phone</x:v>
      </x:c>
      <x:c r="L792" s="14" t="str">
        <x:v>Unit 4 - On The Phone — MEB doğrulaması öncesi 5-10 dk aktif hatırlama; gerekiyorsa ilgili playlist videosuna kısa dönüş yap.</x:v>
      </x:c>
      <x:c r="M792" s="14" t="str">
        <x:v>İngilizce Genel Oynatma Listesi</x:v>
      </x:c>
      <x:c r="N792" s="14" t="str">
        <x:v>https://www.youtube.com/watch?v=FaY3dFjZbns&amp;list=PLSgpQDrUSYp94WgE9pzpHiOG5FwxnZBrr</x:v>
      </x:c>
      <x:c r="O792" s="14" t="n">
        <x:v>0</x:v>
      </x:c>
      <x:c r="P792" s="14" t="str">
        <x:v>Hayır</x:v>
      </x:c>
      <x:c r="Q792" s="14" t="str">
        <x:v>Evet</x:v>
      </x:c>
      <x:c r="R792" s="14" t="str">
        <x:v>Planlandı</x:v>
      </x:c>
      <x:c r="S792" s="15" t="str"/>
      <x:c r="T792" s="14" t="str"/>
    </x:row>
    <x:row r="793">
      <x:c r="A793" s="14" t="n">
        <x:v>792</x:v>
      </x:c>
      <x:c r="B793" s="15" t="n">
        <x:v>46359</x:v>
      </x:c>
      <x:c r="C793" s="14" t="str">
        <x:v>Perşembe</x:v>
      </x:c>
      <x:c r="D793" s="14" t="str">
        <x:v>Okul Günü</x:v>
      </x:c>
      <x:c r="E793" s="14" t="str">
        <x:v>16:00 sonrası</x:v>
      </x:c>
      <x:c r="F793" s="14" t="str">
        <x:v>F1 - Temel Kurma</x:v>
      </x:c>
      <x:c r="G793" s="14" t="str">
        <x:v>20:55</x:v>
      </x:c>
      <x:c r="H793" s="14" t="str">
        <x:v>21:20</x:v>
      </x:c>
      <x:c r="I793" s="14" t="str">
        <x:v>İngilizce</x:v>
      </x:c>
      <x:c r="J793" s="14" t="str">
        <x:v>Kitap / MEB / Mastery</x:v>
      </x:c>
      <x:c r="K793" s="14" t="str">
        <x:v>Unit 4 - On The Phone</x:v>
      </x:c>
      <x:c r="L793" s="14" t="str">
        <x:v>Unit 4 - On The Phone için ilgili MEB sorularını TAMAMLA; D/Y/B kaydet. Bu oturum konu mastery gate'idir.</x:v>
      </x:c>
      <x:c r="M793" s="14" t="str">
        <x:v>MEB 8. Sınıf İngilizce Soruları</x:v>
      </x:c>
      <x:c r="N793" s="14" t="str">
        <x:v>https://odsgm.meb.gov.tr/www/8sinif-calisma-sorulari/icerik/1632</x:v>
      </x:c>
      <x:c r="O793" s="14" t="n">
        <x:v>0</x:v>
      </x:c>
      <x:c r="P793" s="14" t="str">
        <x:v>Hayır</x:v>
      </x:c>
      <x:c r="Q793" s="14" t="str">
        <x:v>Evet</x:v>
      </x:c>
      <x:c r="R793" s="14" t="str">
        <x:v>Planlandı</x:v>
      </x:c>
      <x:c r="S793" s="15" t="str"/>
      <x:c r="T793" s="14" t="str">
        <x:v>MEB sonucu Konu_Ustaligi sayfasına işlenir.</x:v>
      </x:c>
    </x:row>
    <x:row r="794">
      <x:c r="A794" s="14" t="n">
        <x:v>793</x:v>
      </x:c>
      <x:c r="B794" s="15" t="n">
        <x:v>46359</x:v>
      </x:c>
      <x:c r="C794" s="14" t="str">
        <x:v>Perşembe</x:v>
      </x:c>
      <x:c r="D794" s="14" t="str">
        <x:v>Okul Günü</x:v>
      </x:c>
      <x:c r="E794" s="14" t="str">
        <x:v>16:00 sonrası</x:v>
      </x:c>
      <x:c r="F794" s="14" t="str">
        <x:v>F1 - Temel Kurma</x:v>
      </x:c>
      <x:c r="G794" s="14" t="str">
        <x:v>21:20</x:v>
      </x:c>
      <x:c r="H794" s="14" t="str">
        <x:v>21:35</x:v>
      </x:c>
      <x:c r="I794" s="14" t="str">
        <x:v>Genel</x:v>
      </x:c>
      <x:c r="J794" s="14" t="str">
        <x:v>Yanlış / Boş Analizi</x:v>
      </x:c>
      <x:c r="K794" s="14" t="str">
        <x:v>Günlük</x:v>
      </x:c>
      <x:c r="L794" s="14" t="str">
        <x:v>Bugünkü yanlış/boşları kaydet; çözümünü öğrenmeden kapatma. Hata türünü sınıflandır.</x:v>
      </x:c>
      <x:c r="M794" s="14" t="str">
        <x:v>Yanlış Defteri</x:v>
      </x:c>
      <x:c r="N794" s="14" t="str"/>
      <x:c r="O794" s="14" t="n">
        <x:v>0</x:v>
      </x:c>
      <x:c r="P794" s="14" t="str">
        <x:v>Hayır</x:v>
      </x:c>
      <x:c r="Q794" s="14" t="str">
        <x:v>Evet</x:v>
      </x:c>
      <x:c r="R794" s="14" t="str">
        <x:v>Planlandı</x:v>
      </x:c>
      <x:c r="S794" s="15" t="str"/>
      <x:c r="T794" s="14" t="str"/>
    </x:row>
    <x:row r="795">
      <x:c r="A795" s="14" t="n">
        <x:v>794</x:v>
      </x:c>
      <x:c r="B795" s="15" t="n">
        <x:v>46359</x:v>
      </x:c>
      <x:c r="C795" s="14" t="str">
        <x:v>Perşembe</x:v>
      </x:c>
      <x:c r="D795" s="14" t="str">
        <x:v>Okul Günü</x:v>
      </x:c>
      <x:c r="E795" s="14" t="str">
        <x:v>16:00 sonrası</x:v>
      </x:c>
      <x:c r="F795" s="14" t="str">
        <x:v>F1 - Temel Kurma</x:v>
      </x:c>
      <x:c r="G795" s="14" t="str">
        <x:v>21:35</x:v>
      </x:c>
      <x:c r="H795" s="14" t="str">
        <x:v>21:50</x:v>
      </x:c>
      <x:c r="I795" s="14" t="str">
        <x:v>Genel</x:v>
      </x:c>
      <x:c r="J795" s="14" t="str">
        <x:v>Aralıklı Hata Tekrarı</x:v>
      </x:c>
      <x:c r="K795" s="14" t="str">
        <x:v>+1 / +7 / +21</x:v>
      </x:c>
      <x:c r="L795" s="14" t="str">
        <x:v>Bugün vadesi gelen yanlış soruları tekrar çöz. Vadesi yoksa bu süre serbest/okuma olabilir.</x:v>
      </x:c>
      <x:c r="M795" s="14" t="str">
        <x:v>Yanlış Defteri</x:v>
      </x:c>
      <x:c r="N795" s="14" t="str"/>
      <x:c r="O795" s="14" t="n">
        <x:v>0</x:v>
      </x:c>
      <x:c r="P795" s="14" t="str">
        <x:v>Hayır</x:v>
      </x:c>
      <x:c r="Q795" s="14" t="str">
        <x:v>Koşullu</x:v>
      </x:c>
      <x:c r="R795" s="14" t="str">
        <x:v>Planlandı</x:v>
      </x:c>
      <x:c r="S795" s="15" t="str"/>
      <x:c r="T795" s="14" t="str">
        <x:v>Yanlışlar +1, +7 ve +21 gün aralıklarıyla tekrar edilir; hâlâ yanlışsa konu mastery durumu düşürülür.</x:v>
      </x:c>
    </x:row>
    <x:row r="796">
      <x:c r="A796" s="14" t="n">
        <x:v>795</x:v>
      </x:c>
      <x:c r="B796" s="15" t="n">
        <x:v>46359</x:v>
      </x:c>
      <x:c r="C796" s="14" t="str">
        <x:v>Perşembe</x:v>
      </x:c>
      <x:c r="D796" s="14" t="str">
        <x:v>Okul Günü</x:v>
      </x:c>
      <x:c r="E796" s="14" t="str">
        <x:v>16:00 sonrası</x:v>
      </x:c>
      <x:c r="F796" s="14" t="str">
        <x:v>F1 - Temel Kurma</x:v>
      </x:c>
      <x:c r="G796" s="14" t="str">
        <x:v>21:50</x:v>
      </x:c>
      <x:c r="H796" s="14" t="str">
        <x:v>22:00</x:v>
      </x:c>
      <x:c r="I796" s="14" t="str">
        <x:v>Genel</x:v>
      </x:c>
      <x:c r="J796" s="14" t="str">
        <x:v>Uyku Hazırlığı</x:v>
      </x:c>
      <x:c r="K796" s="14" t="str"/>
      <x:c r="L796" s="14" t="str">
        <x:v>22:00'de yatakta ve uyku.</x:v>
      </x:c>
      <x:c r="M796" s="14" t="str"/>
      <x:c r="N796" s="14" t="str"/>
      <x:c r="O796" s="14" t="n">
        <x:v>0</x:v>
      </x:c>
      <x:c r="P796" s="14" t="str">
        <x:v>Hayır</x:v>
      </x:c>
      <x:c r="Q796" s="14" t="str">
        <x:v>Hayır</x:v>
      </x:c>
      <x:c r="R796" s="14" t="str">
        <x:v>Planlandı</x:v>
      </x:c>
      <x:c r="S796" s="15" t="str"/>
      <x:c r="T796" s="14" t="str"/>
    </x:row>
    <x:row r="797">
      <x:c r="A797" s="14" t="n">
        <x:v>796</x:v>
      </x:c>
      <x:c r="B797" s="15" t="n">
        <x:v>46360</x:v>
      </x:c>
      <x:c r="C797" s="14" t="str">
        <x:v>Cuma</x:v>
      </x:c>
      <x:c r="D797" s="14" t="str">
        <x:v>Okul Günü</x:v>
      </x:c>
      <x:c r="E797" s="14" t="str">
        <x:v>16:00 sonrası</x:v>
      </x:c>
      <x:c r="F797" s="14" t="str">
        <x:v>F1 - Temel Kurma</x:v>
      </x:c>
      <x:c r="G797" s="14" t="str">
        <x:v>16:00</x:v>
      </x:c>
      <x:c r="H797" s="14" t="str">
        <x:v>16:25</x:v>
      </x:c>
      <x:c r="I797" s="14" t="str">
        <x:v>Genel</x:v>
      </x:c>
      <x:c r="J797" s="14" t="str">
        <x:v>Dinlenme</x:v>
      </x:c>
      <x:c r="K797" s="14" t="str"/>
      <x:c r="L797" s="14" t="str">
        <x:v>Eve geliş, atıştırma ve dinlenme.</x:v>
      </x:c>
      <x:c r="M797" s="14" t="str"/>
      <x:c r="N797" s="14" t="str"/>
      <x:c r="O797" s="14" t="n">
        <x:v>0</x:v>
      </x:c>
      <x:c r="P797" s="14" t="str">
        <x:v>Hayır</x:v>
      </x:c>
      <x:c r="Q797" s="14" t="str">
        <x:v>Hayır</x:v>
      </x:c>
      <x:c r="R797" s="14" t="str">
        <x:v>Planlandı</x:v>
      </x:c>
      <x:c r="S797" s="15" t="str"/>
      <x:c r="T797" s="14" t="str"/>
    </x:row>
    <x:row r="798">
      <x:c r="A798" s="14" t="n">
        <x:v>797</x:v>
      </x:c>
      <x:c r="B798" s="15" t="n">
        <x:v>46360</x:v>
      </x:c>
      <x:c r="C798" s="14" t="str">
        <x:v>Cuma</x:v>
      </x:c>
      <x:c r="D798" s="14" t="str">
        <x:v>Okul Günü</x:v>
      </x:c>
      <x:c r="E798" s="14" t="str">
        <x:v>16:00 sonrası</x:v>
      </x:c>
      <x:c r="F798" s="14" t="str">
        <x:v>F1 - Temel Kurma</x:v>
      </x:c>
      <x:c r="G798" s="14" t="str">
        <x:v>16:25</x:v>
      </x:c>
      <x:c r="H798" s="14" t="str">
        <x:v>17:05</x:v>
      </x:c>
      <x:c r="I798" s="14" t="str">
        <x:v>Matematik</x:v>
      </x:c>
      <x:c r="J798" s="14" t="str">
        <x:v>Konu / Tekrar</x:v>
      </x:c>
      <x:c r="K798" s="14" t="str">
        <x:v>Denklem Kurma Problemleri</x:v>
      </x:c>
      <x:c r="L798" s="14" t="str">
        <x:v>Denklem Kurma Problemleri — MEB doğrulaması öncesi 5-10 dk aktif hatırlama; gerekiyorsa ilgili playlist videosuna kısa dönüş yap.</x:v>
      </x:c>
      <x:c r="M798" s="14" t="str">
        <x:v>Matematik Ana Oynatma Listesi</x:v>
      </x:c>
      <x:c r="N798" s="14" t="str">
        <x:v>https://www.youtube.com/watch?v=EuJ89QzqrAg&amp;list=PLicNtF7vp6fnfDqrRLH6H7fIbzYT4ct4F&amp;index=11</x:v>
      </x:c>
      <x:c r="O798" s="14" t="n">
        <x:v>0</x:v>
      </x:c>
      <x:c r="P798" s="14" t="str">
        <x:v>Hayır</x:v>
      </x:c>
      <x:c r="Q798" s="14" t="str">
        <x:v>Evet</x:v>
      </x:c>
      <x:c r="R798" s="14" t="str">
        <x:v>Planlandı</x:v>
      </x:c>
      <x:c r="S798" s="15" t="str"/>
      <x:c r="T798" s="14" t="str">
        <x:v>Yeni konu ancak plan sırasıyla açılır; LGS dışı ileri TYT içeriği zorunlu değildir.</x:v>
      </x:c>
    </x:row>
    <x:row r="799">
      <x:c r="A799" s="14" t="n">
        <x:v>798</x:v>
      </x:c>
      <x:c r="B799" s="15" t="n">
        <x:v>46360</x:v>
      </x:c>
      <x:c r="C799" s="14" t="str">
        <x:v>Cuma</x:v>
      </x:c>
      <x:c r="D799" s="14" t="str">
        <x:v>Okul Günü</x:v>
      </x:c>
      <x:c r="E799" s="14" t="str">
        <x:v>16:00 sonrası</x:v>
      </x:c>
      <x:c r="F799" s="14" t="str">
        <x:v>F1 - Temel Kurma</x:v>
      </x:c>
      <x:c r="G799" s="14" t="str">
        <x:v>17:10</x:v>
      </x:c>
      <x:c r="H799" s="14" t="str">
        <x:v>17:55</x:v>
      </x:c>
      <x:c r="I799" s="14" t="str">
        <x:v>Matematik</x:v>
      </x:c>
      <x:c r="J799" s="14" t="str">
        <x:v>Kitap / MEB / Mastery</x:v>
      </x:c>
      <x:c r="K799" s="14" t="str">
        <x:v>Denklem Kurma Problemleri</x:v>
      </x:c>
      <x:c r="L799" s="14" t="str">
        <x:v>Denklem Kurma Problemleri için ilgili MEB sorularını TAMAMLA; D/Y/B kaydet. Bu oturum konu mastery gate'idir.</x:v>
      </x:c>
      <x:c r="M799" s="14" t="str">
        <x:v>MEB Resmî Soru Seti</x:v>
      </x:c>
      <x:c r="N799" s="14" t="str">
        <x:v>https://odsgm.meb.gov.tr/www/5-6-7-ve-9-sinif-duzeylerinde-calisma-sorulari-yayimlandi/icerik/775</x:v>
      </x:c>
      <x:c r="O799" s="14" t="n">
        <x:v>0</x:v>
      </x:c>
      <x:c r="P799" s="14" t="str">
        <x:v>Hayır</x:v>
      </x:c>
      <x:c r="Q799" s="14" t="str">
        <x:v>Evet</x:v>
      </x:c>
      <x:c r="R799" s="14" t="str">
        <x:v>Planlandı</x:v>
      </x:c>
      <x:c r="S799" s="15" t="str"/>
      <x:c r="T799" s="14" t="str">
        <x:v>MEB sonucu Konu_Ustaligi sayfasına işlenir.</x:v>
      </x:c>
    </x:row>
    <x:row r="800">
      <x:c r="A800" s="14" t="n">
        <x:v>799</x:v>
      </x:c>
      <x:c r="B800" s="15" t="n">
        <x:v>46360</x:v>
      </x:c>
      <x:c r="C800" s="14" t="str">
        <x:v>Cuma</x:v>
      </x:c>
      <x:c r="D800" s="14" t="str">
        <x:v>Okul Günü</x:v>
      </x:c>
      <x:c r="E800" s="14" t="str">
        <x:v>16:00 sonrası</x:v>
      </x:c>
      <x:c r="F800" s="14" t="str">
        <x:v>F1 - Temel Kurma</x:v>
      </x:c>
      <x:c r="G800" s="14" t="str">
        <x:v>17:55</x:v>
      </x:c>
      <x:c r="H800" s="14" t="str">
        <x:v>18:25</x:v>
      </x:c>
      <x:c r="I800" s="14" t="str">
        <x:v>Genel</x:v>
      </x:c>
      <x:c r="J800" s="14" t="str">
        <x:v>Yemek / Serbest Zaman</x:v>
      </x:c>
      <x:c r="K800" s="14" t="str"/>
      <x:c r="L800" s="14" t="str">
        <x:v>Yemek, hareket ve dinlenme.</x:v>
      </x:c>
      <x:c r="M800" s="14" t="str"/>
      <x:c r="N800" s="14" t="str"/>
      <x:c r="O800" s="14" t="n">
        <x:v>0</x:v>
      </x:c>
      <x:c r="P800" s="14" t="str">
        <x:v>Hayır</x:v>
      </x:c>
      <x:c r="Q800" s="14" t="str">
        <x:v>Hayır</x:v>
      </x:c>
      <x:c r="R800" s="14" t="str">
        <x:v>Planlandı</x:v>
      </x:c>
      <x:c r="S800" s="15" t="str"/>
      <x:c r="T800" s="14" t="str"/>
    </x:row>
    <x:row r="801">
      <x:c r="A801" s="14" t="n">
        <x:v>800</x:v>
      </x:c>
      <x:c r="B801" s="15" t="n">
        <x:v>46360</x:v>
      </x:c>
      <x:c r="C801" s="14" t="str">
        <x:v>Cuma</x:v>
      </x:c>
      <x:c r="D801" s="14" t="str">
        <x:v>Okul Günü</x:v>
      </x:c>
      <x:c r="E801" s="14" t="str">
        <x:v>16:00 sonrası</x:v>
      </x:c>
      <x:c r="F801" s="14" t="str">
        <x:v>F1 - Temel Kurma</x:v>
      </x:c>
      <x:c r="G801" s="14" t="str">
        <x:v>18:25</x:v>
      </x:c>
      <x:c r="H801" s="14" t="str">
        <x:v>18:55</x:v>
      </x:c>
      <x:c r="I801" s="14" t="str">
        <x:v>Türkçe</x:v>
      </x:c>
      <x:c r="J801" s="14" t="str">
        <x:v>Paragraf Rutini</x:v>
      </x:c>
      <x:c r="K801" s="14" t="str">
        <x:v>Paragraf</x:v>
      </x:c>
      <x:c r="L801" s="14" t="str">
        <x:v>En az 25 paragraf sorusu çöz; ilk 20 soruyu ileri sayımla ölç, D/Y/B + süre kaydet.</x:v>
      </x:c>
      <x:c r="M801" s="14" t="str">
        <x:v>Hız 8. Sınıf Türkçe Paragraf (ISBN 9786258394498)</x:v>
      </x:c>
      <x:c r="N801" s="14" t="str"/>
      <x:c r="O801" s="14" t="n">
        <x:v>25</x:v>
      </x:c>
      <x:c r="P801" s="14" t="str">
        <x:v>İlk 20 soru</x:v>
      </x:c>
      <x:c r="Q801" s="14" t="str">
        <x:v>Evet</x:v>
      </x:c>
      <x:c r="R801" s="14" t="str">
        <x:v>Planlandı</x:v>
      </x:c>
      <x:c r="S801" s="15" t="str"/>
      <x:c r="T801" s="14" t="str">
        <x:v>Geri sayım ve hedef süre yok.</x:v>
      </x:c>
    </x:row>
    <x:row r="802">
      <x:c r="A802" s="14" t="n">
        <x:v>801</x:v>
      </x:c>
      <x:c r="B802" s="15" t="n">
        <x:v>46360</x:v>
      </x:c>
      <x:c r="C802" s="14" t="str">
        <x:v>Cuma</x:v>
      </x:c>
      <x:c r="D802" s="14" t="str">
        <x:v>Okul Günü</x:v>
      </x:c>
      <x:c r="E802" s="14" t="str">
        <x:v>16:00 sonrası</x:v>
      </x:c>
      <x:c r="F802" s="14" t="str">
        <x:v>F1 - Temel Kurma</x:v>
      </x:c>
      <x:c r="G802" s="14" t="str">
        <x:v>19:00</x:v>
      </x:c>
      <x:c r="H802" s="14" t="str">
        <x:v>19:35</x:v>
      </x:c>
      <x:c r="I802" s="14" t="str">
        <x:v>Türkçe</x:v>
      </x:c>
      <x:c r="J802" s="14" t="str">
        <x:v>Konu / Tekrar</x:v>
      </x:c>
      <x:c r="K802" s="14" t="str">
        <x:v>Ek Fiil</x:v>
      </x:c>
      <x:c r="L802" s="14" t="str">
        <x:v>Ek Fiil — genel oynatma listesinden ilgili videoyu izle (2/2).</x:v>
      </x:c>
      <x:c r="M802" s="14" t="str">
        <x:v>Türkçe Ana Oynatma Listesi</x:v>
      </x:c>
      <x:c r="N802" s="14" t="str">
        <x:v>https://www.youtube.com/watch?v=VYsPntNKVdw&amp;list=PLIBjFaUoJJ91bz7QQEBlxNJNZka5YQRr6</x:v>
      </x:c>
      <x:c r="O802" s="14" t="n">
        <x:v>0</x:v>
      </x:c>
      <x:c r="P802" s="14" t="str">
        <x:v>Hayır</x:v>
      </x:c>
      <x:c r="Q802" s="14" t="str">
        <x:v>Evet</x:v>
      </x:c>
      <x:c r="R802" s="14" t="str">
        <x:v>Planlandı</x:v>
      </x:c>
      <x:c r="S802" s="15" t="str"/>
      <x:c r="T802" s="14" t="str">
        <x:v>TYT etiketli kaynak temelden başlamak için sabittir; LGS dışı gereksiz ayrıntı zorunlu değildir.</x:v>
      </x:c>
    </x:row>
    <x:row r="803">
      <x:c r="A803" s="14" t="n">
        <x:v>802</x:v>
      </x:c>
      <x:c r="B803" s="15" t="n">
        <x:v>46360</x:v>
      </x:c>
      <x:c r="C803" s="14" t="str">
        <x:v>Cuma</x:v>
      </x:c>
      <x:c r="D803" s="14" t="str">
        <x:v>Okul Günü</x:v>
      </x:c>
      <x:c r="E803" s="14" t="str">
        <x:v>16:00 sonrası</x:v>
      </x:c>
      <x:c r="F803" s="14" t="str">
        <x:v>F1 - Temel Kurma</x:v>
      </x:c>
      <x:c r="G803" s="14" t="str">
        <x:v>19:40</x:v>
      </x:c>
      <x:c r="H803" s="14" t="str">
        <x:v>20:10</x:v>
      </x:c>
      <x:c r="I803" s="14" t="str">
        <x:v>Türkçe</x:v>
      </x:c>
      <x:c r="J803" s="14" t="str">
        <x:v>Kitap / MEB / Mastery</x:v>
      </x:c>
      <x:c r="K803" s="14" t="str">
        <x:v>Ek Fiil</x:v>
      </x:c>
      <x:c r="L803" s="14" t="str">
        <x:v>Ek Fiil ile ilgili soru kitabından en az 15 soru / bugünkü test payını çöz. İlgili kitap konu bölümünü bu oturumda bitirmeyi hedefle; sonraki oturum MEB doğrulaması.</x:v>
      </x:c>
      <x:c r="M803" s="14" t="str">
        <x:v>Ankara 8. Sınıf Dil Bilgisi Güçlendiren (eşleşen bölüm) + MEB temel destek</x:v>
      </x:c>
      <x:c r="N803" s="14" t="str">
        <x:v>https://odsgm.meb.gov.tr/www/5-6-7-ve-9-sinif-duzeylerinde-calisma-sorulari-yayimlandi/icerik/775</x:v>
      </x:c>
      <x:c r="O803" s="14" t="n">
        <x:v>15</x:v>
      </x:c>
      <x:c r="P803" s="14" t="str">
        <x:v>Hayır</x:v>
      </x:c>
      <x:c r="Q803" s="14" t="str">
        <x:v>Evet</x:v>
      </x:c>
      <x:c r="R803" s="14" t="str">
        <x:v>Planlandı</x:v>
      </x:c>
      <x:c r="S803" s="15" t="str"/>
      <x:c r="T803" s="14" t="str"/>
    </x:row>
    <x:row r="804">
      <x:c r="A804" s="14" t="n">
        <x:v>803</x:v>
      </x:c>
      <x:c r="B804" s="15" t="n">
        <x:v>46360</x:v>
      </x:c>
      <x:c r="C804" s="14" t="str">
        <x:v>Cuma</x:v>
      </x:c>
      <x:c r="D804" s="14" t="str">
        <x:v>Okul Günü</x:v>
      </x:c>
      <x:c r="E804" s="14" t="str">
        <x:v>16:00 sonrası</x:v>
      </x:c>
      <x:c r="F804" s="14" t="str">
        <x:v>F1 - Temel Kurma</x:v>
      </x:c>
      <x:c r="G804" s="14" t="str">
        <x:v>20:15</x:v>
      </x:c>
      <x:c r="H804" s="14" t="str">
        <x:v>20:50</x:v>
      </x:c>
      <x:c r="I804" s="14" t="str">
        <x:v>Fen</x:v>
      </x:c>
      <x:c r="J804" s="14" t="str">
        <x:v>Konu / Tekrar</x:v>
      </x:c>
      <x:c r="K804" s="14" t="str">
        <x:v>Gaz Basıncı</x:v>
      </x:c>
      <x:c r="L804" s="14" t="str">
        <x:v>Gaz Basıncı — Fen soru çözüm playlistinden ilgili videoyu izle.</x:v>
      </x:c>
      <x:c r="M804" s="14" t="str">
        <x:v>Fen Soru Çözüm / Tekrar</x:v>
      </x:c>
      <x:c r="N804" s="14" t="str">
        <x:v>https://www.youtube.com/watch?v=pQXhWnDZ3vM&amp;list=PLrQm7mt99FRXcBnorCttd31HJEvg0En26&amp;index=23</x:v>
      </x:c>
      <x:c r="O804" s="14" t="n">
        <x:v>0</x:v>
      </x:c>
      <x:c r="P804" s="14" t="str">
        <x:v>Hayır</x:v>
      </x:c>
      <x:c r="Q804" s="14" t="str">
        <x:v>Evet</x:v>
      </x:c>
      <x:c r="R804" s="14" t="str">
        <x:v>Planlandı</x:v>
      </x:c>
      <x:c r="S804" s="15" t="str"/>
      <x:c r="T804" s="14" t="str"/>
    </x:row>
    <x:row r="805">
      <x:c r="A805" s="14" t="n">
        <x:v>804</x:v>
      </x:c>
      <x:c r="B805" s="15" t="n">
        <x:v>46360</x:v>
      </x:c>
      <x:c r="C805" s="14" t="str">
        <x:v>Cuma</x:v>
      </x:c>
      <x:c r="D805" s="14" t="str">
        <x:v>Okul Günü</x:v>
      </x:c>
      <x:c r="E805" s="14" t="str">
        <x:v>16:00 sonrası</x:v>
      </x:c>
      <x:c r="F805" s="14" t="str">
        <x:v>F1 - Temel Kurma</x:v>
      </x:c>
      <x:c r="G805" s="14" t="str">
        <x:v>20:55</x:v>
      </x:c>
      <x:c r="H805" s="14" t="str">
        <x:v>21:20</x:v>
      </x:c>
      <x:c r="I805" s="14" t="str">
        <x:v>Fen</x:v>
      </x:c>
      <x:c r="J805" s="14" t="str">
        <x:v>Kitap / MEB / Mastery</x:v>
      </x:c>
      <x:c r="K805" s="14" t="str">
        <x:v>Gaz Basıncı</x:v>
      </x:c>
      <x:c r="L805" s="14" t="str">
        <x:v>Gaz Basıncı ile ilgili soru kitabından en az 18 soru / bugünkü test payını çöz.</x:v>
      </x:c>
      <x:c r="M805" s="14" t="str">
        <x:v>Hız 8. Sınıf Fen (ISBN 9786257514859); tamamlandıysa Mozaik 8. Sınıf Fen</x:v>
      </x:c>
      <x:c r="N805" s="14" t="str">
        <x:v>https://www.youtube.com/watch?v=pQXhWnDZ3vM&amp;list=PLrQm7mt99FRXcBnorCttd31HJEvg0En26&amp;index=23</x:v>
      </x:c>
      <x:c r="O805" s="14" t="n">
        <x:v>18</x:v>
      </x:c>
      <x:c r="P805" s="14" t="str">
        <x:v>Hayır</x:v>
      </x:c>
      <x:c r="Q805" s="14" t="str">
        <x:v>Evet</x:v>
      </x:c>
      <x:c r="R805" s="14" t="str">
        <x:v>Planlandı</x:v>
      </x:c>
      <x:c r="S805" s="15" t="str"/>
      <x:c r="T805" s="14" t="str"/>
    </x:row>
    <x:row r="806">
      <x:c r="A806" s="14" t="n">
        <x:v>805</x:v>
      </x:c>
      <x:c r="B806" s="15" t="n">
        <x:v>46360</x:v>
      </x:c>
      <x:c r="C806" s="14" t="str">
        <x:v>Cuma</x:v>
      </x:c>
      <x:c r="D806" s="14" t="str">
        <x:v>Okul Günü</x:v>
      </x:c>
      <x:c r="E806" s="14" t="str">
        <x:v>16:00 sonrası</x:v>
      </x:c>
      <x:c r="F806" s="14" t="str">
        <x:v>F1 - Temel Kurma</x:v>
      </x:c>
      <x:c r="G806" s="14" t="str">
        <x:v>21:20</x:v>
      </x:c>
      <x:c r="H806" s="14" t="str">
        <x:v>21:35</x:v>
      </x:c>
      <x:c r="I806" s="14" t="str">
        <x:v>Genel</x:v>
      </x:c>
      <x:c r="J806" s="14" t="str">
        <x:v>Yanlış / Boş Analizi</x:v>
      </x:c>
      <x:c r="K806" s="14" t="str">
        <x:v>Günlük</x:v>
      </x:c>
      <x:c r="L806" s="14" t="str">
        <x:v>Bugünkü yanlış/boşları kaydet; çözümünü öğrenmeden kapatma. Hata türünü sınıflandır.</x:v>
      </x:c>
      <x:c r="M806" s="14" t="str">
        <x:v>Yanlış Defteri</x:v>
      </x:c>
      <x:c r="N806" s="14" t="str"/>
      <x:c r="O806" s="14" t="n">
        <x:v>0</x:v>
      </x:c>
      <x:c r="P806" s="14" t="str">
        <x:v>Hayır</x:v>
      </x:c>
      <x:c r="Q806" s="14" t="str">
        <x:v>Evet</x:v>
      </x:c>
      <x:c r="R806" s="14" t="str">
        <x:v>Planlandı</x:v>
      </x:c>
      <x:c r="S806" s="15" t="str"/>
      <x:c r="T806" s="14" t="str"/>
    </x:row>
    <x:row r="807">
      <x:c r="A807" s="14" t="n">
        <x:v>806</x:v>
      </x:c>
      <x:c r="B807" s="15" t="n">
        <x:v>46360</x:v>
      </x:c>
      <x:c r="C807" s="14" t="str">
        <x:v>Cuma</x:v>
      </x:c>
      <x:c r="D807" s="14" t="str">
        <x:v>Okul Günü</x:v>
      </x:c>
      <x:c r="E807" s="14" t="str">
        <x:v>16:00 sonrası</x:v>
      </x:c>
      <x:c r="F807" s="14" t="str">
        <x:v>F1 - Temel Kurma</x:v>
      </x:c>
      <x:c r="G807" s="14" t="str">
        <x:v>21:35</x:v>
      </x:c>
      <x:c r="H807" s="14" t="str">
        <x:v>21:50</x:v>
      </x:c>
      <x:c r="I807" s="14" t="str">
        <x:v>Genel</x:v>
      </x:c>
      <x:c r="J807" s="14" t="str">
        <x:v>Aralıklı Hata Tekrarı</x:v>
      </x:c>
      <x:c r="K807" s="14" t="str">
        <x:v>+1 / +7 / +21</x:v>
      </x:c>
      <x:c r="L807" s="14" t="str">
        <x:v>Bugün vadesi gelen yanlış soruları tekrar çöz. Vadesi yoksa bu süre serbest/okuma olabilir.</x:v>
      </x:c>
      <x:c r="M807" s="14" t="str">
        <x:v>Yanlış Defteri</x:v>
      </x:c>
      <x:c r="N807" s="14" t="str"/>
      <x:c r="O807" s="14" t="n">
        <x:v>0</x:v>
      </x:c>
      <x:c r="P807" s="14" t="str">
        <x:v>Hayır</x:v>
      </x:c>
      <x:c r="Q807" s="14" t="str">
        <x:v>Koşullu</x:v>
      </x:c>
      <x:c r="R807" s="14" t="str">
        <x:v>Planlandı</x:v>
      </x:c>
      <x:c r="S807" s="15" t="str"/>
      <x:c r="T807" s="14" t="str">
        <x:v>Yanlışlar +1, +7 ve +21 gün aralıklarıyla tekrar edilir; hâlâ yanlışsa konu mastery durumu düşürülür.</x:v>
      </x:c>
    </x:row>
    <x:row r="808">
      <x:c r="A808" s="14" t="n">
        <x:v>807</x:v>
      </x:c>
      <x:c r="B808" s="15" t="n">
        <x:v>46360</x:v>
      </x:c>
      <x:c r="C808" s="14" t="str">
        <x:v>Cuma</x:v>
      </x:c>
      <x:c r="D808" s="14" t="str">
        <x:v>Okul Günü</x:v>
      </x:c>
      <x:c r="E808" s="14" t="str">
        <x:v>16:00 sonrası</x:v>
      </x:c>
      <x:c r="F808" s="14" t="str">
        <x:v>F1 - Temel Kurma</x:v>
      </x:c>
      <x:c r="G808" s="14" t="str">
        <x:v>21:50</x:v>
      </x:c>
      <x:c r="H808" s="14" t="str">
        <x:v>22:00</x:v>
      </x:c>
      <x:c r="I808" s="14" t="str">
        <x:v>Genel</x:v>
      </x:c>
      <x:c r="J808" s="14" t="str">
        <x:v>Uyku Hazırlığı</x:v>
      </x:c>
      <x:c r="K808" s="14" t="str"/>
      <x:c r="L808" s="14" t="str">
        <x:v>22:00'de yatakta ve uyku.</x:v>
      </x:c>
      <x:c r="M808" s="14" t="str"/>
      <x:c r="N808" s="14" t="str"/>
      <x:c r="O808" s="14" t="n">
        <x:v>0</x:v>
      </x:c>
      <x:c r="P808" s="14" t="str">
        <x:v>Hayır</x:v>
      </x:c>
      <x:c r="Q808" s="14" t="str">
        <x:v>Hayır</x:v>
      </x:c>
      <x:c r="R808" s="14" t="str">
        <x:v>Planlandı</x:v>
      </x:c>
      <x:c r="S808" s="15" t="str"/>
      <x:c r="T808" s="14" t="str"/>
    </x:row>
    <x:row r="809">
      <x:c r="A809" s="14" t="n">
        <x:v>808</x:v>
      </x:c>
      <x:c r="B809" s="15" t="n">
        <x:v>46361</x:v>
      </x:c>
      <x:c r="C809" s="14" t="str">
        <x:v>Cumartesi</x:v>
      </x:c>
      <x:c r="D809" s="14" t="str">
        <x:v>Hafta Sonu</x:v>
      </x:c>
      <x:c r="E809" s="14" t="str">
        <x:v>Tam gün</x:v>
      </x:c>
      <x:c r="F809" s="14" t="str">
        <x:v>F1 - Temel Kurma</x:v>
      </x:c>
      <x:c r="G809" s="14" t="str">
        <x:v>09:30</x:v>
      </x:c>
      <x:c r="H809" s="14" t="str">
        <x:v>10:15</x:v>
      </x:c>
      <x:c r="I809" s="14" t="str">
        <x:v>Matematik</x:v>
      </x:c>
      <x:c r="J809" s="14" t="str">
        <x:v>Konu / Tekrar</x:v>
      </x:c>
      <x:c r="K809" s="14" t="str">
        <x:v>Yüzde ve Temel Problem Çeşitleri</x:v>
      </x:c>
      <x:c r="L809" s="14" t="str">
        <x:v>Yüzde ve Temel Problem Çeşitleri — genel oynatma listesinden ilgili videoyu izle (1/4).</x:v>
      </x:c>
      <x:c r="M809" s="14" t="str">
        <x:v>Matematik Ana Oynatma Listesi</x:v>
      </x:c>
      <x:c r="N809" s="14" t="str">
        <x:v>https://www.youtube.com/watch?v=EuJ89QzqrAg&amp;list=PLicNtF7vp6fnfDqrRLH6H7fIbzYT4ct4F&amp;index=11</x:v>
      </x:c>
      <x:c r="O809" s="14" t="n">
        <x:v>0</x:v>
      </x:c>
      <x:c r="P809" s="14" t="str">
        <x:v>Hayır</x:v>
      </x:c>
      <x:c r="Q809" s="14" t="str">
        <x:v>Evet</x:v>
      </x:c>
      <x:c r="R809" s="14" t="str">
        <x:v>Planlandı</x:v>
      </x:c>
      <x:c r="S809" s="15" t="str"/>
      <x:c r="T809" s="14" t="str">
        <x:v>Yeni konu ancak plan sırasıyla açılır; LGS dışı ileri TYT içeriği zorunlu değildir.</x:v>
      </x:c>
    </x:row>
    <x:row r="810">
      <x:c r="A810" s="14" t="n">
        <x:v>809</x:v>
      </x:c>
      <x:c r="B810" s="15" t="n">
        <x:v>46361</x:v>
      </x:c>
      <x:c r="C810" s="14" t="str">
        <x:v>Cumartesi</x:v>
      </x:c>
      <x:c r="D810" s="14" t="str">
        <x:v>Hafta Sonu</x:v>
      </x:c>
      <x:c r="E810" s="14" t="str">
        <x:v>Tam gün</x:v>
      </x:c>
      <x:c r="F810" s="14" t="str">
        <x:v>F1 - Temel Kurma</x:v>
      </x:c>
      <x:c r="G810" s="14" t="str">
        <x:v>10:25</x:v>
      </x:c>
      <x:c r="H810" s="14" t="str">
        <x:v>11:15</x:v>
      </x:c>
      <x:c r="I810" s="14" t="str">
        <x:v>Matematik</x:v>
      </x:c>
      <x:c r="J810" s="14" t="str">
        <x:v>Kitap / MEB / Mastery</x:v>
      </x:c>
      <x:c r="K810" s="14" t="str">
        <x:v>Yüzde ve Temel Problem Çeşitleri</x:v>
      </x:c>
      <x:c r="L810" s="14" t="str">
        <x:v>Yüzde ve Temel Problem Çeşitleri ile ilgili soru kitabından en az 25 soru / bugünkü test payını çöz.</x:v>
      </x:c>
      <x:c r="M810" s="14" t="str">
        <x:v>MUBA 8. Sınıf Başlangıç Matematik (ISBN 9789756526972) (eşleşen bölüm) + MEB temel destek</x:v>
      </x:c>
      <x:c r="N810" s="14" t="str">
        <x:v>https://odsgm.meb.gov.tr/www/5-6-7-ve-9-sinif-duzeylerinde-calisma-sorulari-yayimlandi/icerik/775</x:v>
      </x:c>
      <x:c r="O810" s="14" t="n">
        <x:v>25</x:v>
      </x:c>
      <x:c r="P810" s="14" t="str">
        <x:v>İlk 20 soru</x:v>
      </x:c>
      <x:c r="Q810" s="14" t="str">
        <x:v>Evet</x:v>
      </x:c>
      <x:c r="R810" s="14" t="str">
        <x:v>Planlandı</x:v>
      </x:c>
      <x:c r="S810" s="15" t="str"/>
      <x:c r="T810" s="14" t="str">
        <x:v>Ayrı/rastgele matematik benchmark yoktur. Süreli ilk 20 soru o gün çalışılan konunun içindedir.</x:v>
      </x:c>
    </x:row>
    <x:row r="811">
      <x:c r="A811" s="14" t="n">
        <x:v>810</x:v>
      </x:c>
      <x:c r="B811" s="15" t="n">
        <x:v>46361</x:v>
      </x:c>
      <x:c r="C811" s="14" t="str">
        <x:v>Cumartesi</x:v>
      </x:c>
      <x:c r="D811" s="14" t="str">
        <x:v>Hafta Sonu</x:v>
      </x:c>
      <x:c r="E811" s="14" t="str">
        <x:v>Tam gün</x:v>
      </x:c>
      <x:c r="F811" s="14" t="str">
        <x:v>F1 - Temel Kurma</x:v>
      </x:c>
      <x:c r="G811" s="14" t="str">
        <x:v>12:00</x:v>
      </x:c>
      <x:c r="H811" s="14" t="str">
        <x:v>14:00</x:v>
      </x:c>
      <x:c r="I811" s="14" t="str">
        <x:v>Genel</x:v>
      </x:c>
      <x:c r="J811" s="14" t="str">
        <x:v>Yemek / Serbest Zaman</x:v>
      </x:c>
      <x:c r="K811" s="14" t="str"/>
      <x:c r="L811" s="14" t="str">
        <x:v>Yemek, hareket ve dinlenme.</x:v>
      </x:c>
      <x:c r="M811" s="14" t="str"/>
      <x:c r="N811" s="14" t="str"/>
      <x:c r="O811" s="14" t="n">
        <x:v>0</x:v>
      </x:c>
      <x:c r="P811" s="14" t="str">
        <x:v>Hayır</x:v>
      </x:c>
      <x:c r="Q811" s="14" t="str">
        <x:v>Hayır</x:v>
      </x:c>
      <x:c r="R811" s="14" t="str">
        <x:v>Planlandı</x:v>
      </x:c>
      <x:c r="S811" s="15" t="str"/>
      <x:c r="T811" s="14" t="str"/>
    </x:row>
    <x:row r="812">
      <x:c r="A812" s="14" t="n">
        <x:v>811</x:v>
      </x:c>
      <x:c r="B812" s="15" t="n">
        <x:v>46361</x:v>
      </x:c>
      <x:c r="C812" s="14" t="str">
        <x:v>Cumartesi</x:v>
      </x:c>
      <x:c r="D812" s="14" t="str">
        <x:v>Hafta Sonu</x:v>
      </x:c>
      <x:c r="E812" s="14" t="str">
        <x:v>Tam gün</x:v>
      </x:c>
      <x:c r="F812" s="14" t="str">
        <x:v>F1 - Temel Kurma</x:v>
      </x:c>
      <x:c r="G812" s="14" t="str">
        <x:v>11:25</x:v>
      </x:c>
      <x:c r="H812" s="14" t="str">
        <x:v>11:55</x:v>
      </x:c>
      <x:c r="I812" s="14" t="str">
        <x:v>Türkçe</x:v>
      </x:c>
      <x:c r="J812" s="14" t="str">
        <x:v>Paragraf Rutini</x:v>
      </x:c>
      <x:c r="K812" s="14" t="str">
        <x:v>Paragraf</x:v>
      </x:c>
      <x:c r="L812" s="14" t="str">
        <x:v>En az 25 paragraf sorusu çöz; ilk 20 soruyu ileri sayımla ölç, D/Y/B + süre kaydet.</x:v>
      </x:c>
      <x:c r="M812" s="14" t="str">
        <x:v>Hız 8. Sınıf Türkçe Paragraf (ISBN 9786258394498)</x:v>
      </x:c>
      <x:c r="N812" s="14" t="str"/>
      <x:c r="O812" s="14" t="n">
        <x:v>25</x:v>
      </x:c>
      <x:c r="P812" s="14" t="str">
        <x:v>İlk 20 soru</x:v>
      </x:c>
      <x:c r="Q812" s="14" t="str">
        <x:v>Evet</x:v>
      </x:c>
      <x:c r="R812" s="14" t="str">
        <x:v>Planlandı</x:v>
      </x:c>
      <x:c r="S812" s="15" t="str"/>
      <x:c r="T812" s="14" t="str">
        <x:v>Geri sayım ve hedef süre yok.</x:v>
      </x:c>
    </x:row>
    <x:row r="813">
      <x:c r="A813" s="14" t="n">
        <x:v>812</x:v>
      </x:c>
      <x:c r="B813" s="15" t="n">
        <x:v>46361</x:v>
      </x:c>
      <x:c r="C813" s="14" t="str">
        <x:v>Cumartesi</x:v>
      </x:c>
      <x:c r="D813" s="14" t="str">
        <x:v>Hafta Sonu</x:v>
      </x:c>
      <x:c r="E813" s="14" t="str">
        <x:v>Tam gün</x:v>
      </x:c>
      <x:c r="F813" s="14" t="str">
        <x:v>F1 - Temel Kurma</x:v>
      </x:c>
      <x:c r="G813" s="14" t="str">
        <x:v>14:00</x:v>
      </x:c>
      <x:c r="H813" s="14" t="str">
        <x:v>14:40</x:v>
      </x:c>
      <x:c r="I813" s="14" t="str">
        <x:v>Türkçe</x:v>
      </x:c>
      <x:c r="J813" s="14" t="str">
        <x:v>Konu / Tekrar</x:v>
      </x:c>
      <x:c r="K813" s="14" t="str">
        <x:v>Ek Fiil</x:v>
      </x:c>
      <x:c r="L813" s="14" t="str">
        <x:v>Ek Fiil — MEB doğrulaması öncesi 5-10 dk aktif hatırlama; gerekiyorsa ilgili playlist videosuna kısa dönüş yap.</x:v>
      </x:c>
      <x:c r="M813" s="14" t="str">
        <x:v>Türkçe Ana Oynatma Listesi</x:v>
      </x:c>
      <x:c r="N813" s="14" t="str">
        <x:v>https://www.youtube.com/watch?v=VYsPntNKVdw&amp;list=PLIBjFaUoJJ91bz7QQEBlxNJNZka5YQRr6</x:v>
      </x:c>
      <x:c r="O813" s="14" t="n">
        <x:v>0</x:v>
      </x:c>
      <x:c r="P813" s="14" t="str">
        <x:v>Hayır</x:v>
      </x:c>
      <x:c r="Q813" s="14" t="str">
        <x:v>Evet</x:v>
      </x:c>
      <x:c r="R813" s="14" t="str">
        <x:v>Planlandı</x:v>
      </x:c>
      <x:c r="S813" s="15" t="str"/>
      <x:c r="T813" s="14" t="str">
        <x:v>TYT etiketli kaynak temelden başlamak için sabittir; LGS dışı gereksiz ayrıntı zorunlu değildir.</x:v>
      </x:c>
    </x:row>
    <x:row r="814">
      <x:c r="A814" s="14" t="n">
        <x:v>813</x:v>
      </x:c>
      <x:c r="B814" s="15" t="n">
        <x:v>46361</x:v>
      </x:c>
      <x:c r="C814" s="14" t="str">
        <x:v>Cumartesi</x:v>
      </x:c>
      <x:c r="D814" s="14" t="str">
        <x:v>Hafta Sonu</x:v>
      </x:c>
      <x:c r="E814" s="14" t="str">
        <x:v>Tam gün</x:v>
      </x:c>
      <x:c r="F814" s="14" t="str">
        <x:v>F1 - Temel Kurma</x:v>
      </x:c>
      <x:c r="G814" s="14" t="str">
        <x:v>14:50</x:v>
      </x:c>
      <x:c r="H814" s="14" t="str">
        <x:v>15:30</x:v>
      </x:c>
      <x:c r="I814" s="14" t="str">
        <x:v>Türkçe</x:v>
      </x:c>
      <x:c r="J814" s="14" t="str">
        <x:v>Kitap / MEB / Mastery</x:v>
      </x:c>
      <x:c r="K814" s="14" t="str">
        <x:v>Ek Fiil</x:v>
      </x:c>
      <x:c r="L814" s="14" t="str">
        <x:v>Ek Fiil için ilgili MEB sorularını TAMAMLA; D/Y/B kaydet. Bu oturum konu mastery gate'idir.</x:v>
      </x:c>
      <x:c r="M814" s="14" t="str">
        <x:v>MEB Resmî Soru Seti</x:v>
      </x:c>
      <x:c r="N814" s="14" t="str">
        <x:v>https://odsgm.meb.gov.tr/www/5-6-7-ve-9-sinif-duzeylerinde-calisma-sorulari-yayimlandi/icerik/775</x:v>
      </x:c>
      <x:c r="O814" s="14" t="n">
        <x:v>0</x:v>
      </x:c>
      <x:c r="P814" s="14" t="str">
        <x:v>Hayır</x:v>
      </x:c>
      <x:c r="Q814" s="14" t="str">
        <x:v>Evet</x:v>
      </x:c>
      <x:c r="R814" s="14" t="str">
        <x:v>Planlandı</x:v>
      </x:c>
      <x:c r="S814" s="15" t="str"/>
      <x:c r="T814" s="14" t="str">
        <x:v>MEB sonucu Konu_Ustaligi sayfasına işlenir.</x:v>
      </x:c>
    </x:row>
    <x:row r="815">
      <x:c r="A815" s="14" t="n">
        <x:v>814</x:v>
      </x:c>
      <x:c r="B815" s="15" t="n">
        <x:v>46361</x:v>
      </x:c>
      <x:c r="C815" s="14" t="str">
        <x:v>Cumartesi</x:v>
      </x:c>
      <x:c r="D815" s="14" t="str">
        <x:v>Hafta Sonu</x:v>
      </x:c>
      <x:c r="E815" s="14" t="str">
        <x:v>Tam gün</x:v>
      </x:c>
      <x:c r="F815" s="14" t="str">
        <x:v>F1 - Temel Kurma</x:v>
      </x:c>
      <x:c r="G815" s="14" t="str">
        <x:v>15:45</x:v>
      </x:c>
      <x:c r="H815" s="14" t="str">
        <x:v>16:25</x:v>
      </x:c>
      <x:c r="I815" s="14" t="str">
        <x:v>Din</x:v>
      </x:c>
      <x:c r="J815" s="14" t="str">
        <x:v>Konu / Tekrar</x:v>
      </x:c>
      <x:c r="K815" s="14" t="str">
        <x:v>Din ve Hayat</x:v>
      </x:c>
      <x:c r="L815" s="14" t="str">
        <x:v>Din ve Hayat — genel oynatma listesinden ilgili konu/soru çalışmasını yap.</x:v>
      </x:c>
      <x:c r="M815" s="14" t="str">
        <x:v>Din Genel Oynatma Listesi</x:v>
      </x:c>
      <x:c r="N815" s="14" t="str">
        <x:v>https://www.youtube.com/watch?v=wvdOE_75VnA&amp;list=PLbRoPq-Zu-SWXGUbVt4t4UWo-4VjsMUo-&amp;index=2</x:v>
      </x:c>
      <x:c r="O815" s="14" t="n">
        <x:v>0</x:v>
      </x:c>
      <x:c r="P815" s="14" t="str">
        <x:v>Hayır</x:v>
      </x:c>
      <x:c r="Q815" s="14" t="str">
        <x:v>Evet</x:v>
      </x:c>
      <x:c r="R815" s="14" t="str">
        <x:v>Planlandı</x:v>
      </x:c>
      <x:c r="S815" s="15" t="str"/>
      <x:c r="T815" s="14" t="str"/>
    </x:row>
    <x:row r="816">
      <x:c r="A816" s="14" t="n">
        <x:v>815</x:v>
      </x:c>
      <x:c r="B816" s="15" t="n">
        <x:v>46361</x:v>
      </x:c>
      <x:c r="C816" s="14" t="str">
        <x:v>Cumartesi</x:v>
      </x:c>
      <x:c r="D816" s="14" t="str">
        <x:v>Hafta Sonu</x:v>
      </x:c>
      <x:c r="E816" s="14" t="str">
        <x:v>Tam gün</x:v>
      </x:c>
      <x:c r="F816" s="14" t="str">
        <x:v>F1 - Temel Kurma</x:v>
      </x:c>
      <x:c r="G816" s="14" t="str">
        <x:v>16:35</x:v>
      </x:c>
      <x:c r="H816" s="14" t="str">
        <x:v>17:15</x:v>
      </x:c>
      <x:c r="I816" s="14" t="str">
        <x:v>Din</x:v>
      </x:c>
      <x:c r="J816" s="14" t="str">
        <x:v>Kitap / MEB / Mastery</x:v>
      </x:c>
      <x:c r="K816" s="14" t="str">
        <x:v>Din ve Hayat</x:v>
      </x:c>
      <x:c r="L816" s="14" t="str">
        <x:v>Din ve Hayat ile ilgili soru kitabından en az 18 soru / bugünkü test payını çöz.</x:v>
      </x:c>
      <x:c r="M816" s="14" t="str">
        <x:v>Hız 8. Sınıf Din Kültürü ve Ahlak Bilgisi</x:v>
      </x:c>
      <x:c r="N816" s="14" t="str">
        <x:v>https://www.youtube.com/watch?v=wvdOE_75VnA&amp;list=PLbRoPq-Zu-SWXGUbVt4t4UWo-4VjsMUo-&amp;index=2</x:v>
      </x:c>
      <x:c r="O816" s="14" t="n">
        <x:v>18</x:v>
      </x:c>
      <x:c r="P816" s="14" t="str">
        <x:v>Hayır</x:v>
      </x:c>
      <x:c r="Q816" s="14" t="str">
        <x:v>Evet</x:v>
      </x:c>
      <x:c r="R816" s="14" t="str">
        <x:v>Planlandı</x:v>
      </x:c>
      <x:c r="S816" s="15" t="str"/>
      <x:c r="T816" s="14" t="str"/>
    </x:row>
    <x:row r="817">
      <x:c r="A817" s="14" t="n">
        <x:v>816</x:v>
      </x:c>
      <x:c r="B817" s="15" t="n">
        <x:v>46361</x:v>
      </x:c>
      <x:c r="C817" s="14" t="str">
        <x:v>Cumartesi</x:v>
      </x:c>
      <x:c r="D817" s="14" t="str">
        <x:v>Hafta Sonu</x:v>
      </x:c>
      <x:c r="E817" s="14" t="str">
        <x:v>Tam gün</x:v>
      </x:c>
      <x:c r="F817" s="14" t="str">
        <x:v>F1 - Temel Kurma</x:v>
      </x:c>
      <x:c r="G817" s="14" t="str">
        <x:v>17:25</x:v>
      </x:c>
      <x:c r="H817" s="14" t="str">
        <x:v>17:55</x:v>
      </x:c>
      <x:c r="I817" s="14" t="str">
        <x:v>Fen</x:v>
      </x:c>
      <x:c r="J817" s="14" t="str">
        <x:v>Ek Fen Pekiştirme</x:v>
      </x:c>
      <x:c r="K817" s="14" t="str">
        <x:v>Gaz Basıncı</x:v>
      </x:c>
      <x:c r="L817" s="14" t="str">
        <x:v>Gaz Basıncı — MEB doğrulaması öncesi 5-10 dk aktif hatırlama; gerekiyorsa ilgili playlist videosuna kısa dönüş yap.</x:v>
      </x:c>
      <x:c r="M817" s="14" t="str">
        <x:v>Fen Konu/Soru Oynatma Listesi</x:v>
      </x:c>
      <x:c r="N817" s="14" t="str">
        <x:v>https://www.youtube.com/watch?v=pQXhWnDZ3vM&amp;list=PLrQm7mt99FRXcBnorCttd31HJEvg0En26&amp;index=23</x:v>
      </x:c>
      <x:c r="O817" s="14" t="n">
        <x:v>0</x:v>
      </x:c>
      <x:c r="P817" s="14" t="str">
        <x:v>Hayır</x:v>
      </x:c>
      <x:c r="Q817" s="14" t="str">
        <x:v>Evet</x:v>
      </x:c>
      <x:c r="R817" s="14" t="str">
        <x:v>Planlandı</x:v>
      </x:c>
      <x:c r="S817" s="15" t="str"/>
      <x:c r="T817" s="14" t="str">
        <x:v>Fen haftalık temas sıklığını artırmak için ek Cumartesi oturumu.</x:v>
      </x:c>
    </x:row>
    <x:row r="818">
      <x:c r="A818" s="14" t="n">
        <x:v>817</x:v>
      </x:c>
      <x:c r="B818" s="15" t="n">
        <x:v>46361</x:v>
      </x:c>
      <x:c r="C818" s="14" t="str">
        <x:v>Cumartesi</x:v>
      </x:c>
      <x:c r="D818" s="14" t="str">
        <x:v>Hafta Sonu</x:v>
      </x:c>
      <x:c r="E818" s="14" t="str">
        <x:v>Tam gün</x:v>
      </x:c>
      <x:c r="F818" s="14" t="str">
        <x:v>F1 - Temel Kurma</x:v>
      </x:c>
      <x:c r="G818" s="14" t="str">
        <x:v>17:55</x:v>
      </x:c>
      <x:c r="H818" s="14" t="str">
        <x:v>18:25</x:v>
      </x:c>
      <x:c r="I818" s="14" t="str">
        <x:v>Fen</x:v>
      </x:c>
      <x:c r="J818" s="14" t="str">
        <x:v>Ek Fen Kitap / MEB</x:v>
      </x:c>
      <x:c r="K818" s="14" t="str">
        <x:v>Gaz Basıncı</x:v>
      </x:c>
      <x:c r="L818" s="14" t="str">
        <x:v>Gaz Basıncı için ilgili MEB sorularını TAMAMLA; D/Y/B kaydet. Bu oturum konu mastery gate'idir.</x:v>
      </x:c>
      <x:c r="M818" s="14" t="str">
        <x:v>MEB 8. Sınıf Fen Soruları</x:v>
      </x:c>
      <x:c r="N818" s="14" t="str">
        <x:v>https://odsgm.meb.gov.tr/www/8sinif-calisma-sorulari/icerik/1632</x:v>
      </x:c>
      <x:c r="O818" s="14" t="n">
        <x:v>0</x:v>
      </x:c>
      <x:c r="P818" s="14" t="str">
        <x:v>Hayır</x:v>
      </x:c>
      <x:c r="Q818" s="14" t="str">
        <x:v>Evet</x:v>
      </x:c>
      <x:c r="R818" s="14" t="str">
        <x:v>Planlandı</x:v>
      </x:c>
      <x:c r="S818" s="15" t="str"/>
      <x:c r="T818" s="14" t="str">
        <x:v>Fen için Hız → gerekiyorsa Mozaik; MEB doğrulaması konu bitiminde.</x:v>
      </x:c>
    </x:row>
    <x:row r="819">
      <x:c r="A819" s="14" t="n">
        <x:v>818</x:v>
      </x:c>
      <x:c r="B819" s="15" t="n">
        <x:v>46361</x:v>
      </x:c>
      <x:c r="C819" s="14" t="str">
        <x:v>Cumartesi</x:v>
      </x:c>
      <x:c r="D819" s="14" t="str">
        <x:v>Hafta Sonu</x:v>
      </x:c>
      <x:c r="E819" s="14" t="str">
        <x:v>Tam gün</x:v>
      </x:c>
      <x:c r="F819" s="14" t="str">
        <x:v>F1 - Temel Kurma</x:v>
      </x:c>
      <x:c r="G819" s="14" t="str">
        <x:v>18:25</x:v>
      </x:c>
      <x:c r="H819" s="14" t="str">
        <x:v>18:45</x:v>
      </x:c>
      <x:c r="I819" s="14" t="str">
        <x:v>Genel</x:v>
      </x:c>
      <x:c r="J819" s="14" t="str">
        <x:v>Yanlış / Boş Analizi</x:v>
      </x:c>
      <x:c r="K819" s="14" t="str">
        <x:v>Günlük</x:v>
      </x:c>
      <x:c r="L819" s="14" t="str">
        <x:v>Bugünkü yanlış/boşları kaydet; çözümünü öğrenmeden kapatma. Hata türünü sınıflandır.</x:v>
      </x:c>
      <x:c r="M819" s="14" t="str">
        <x:v>Yanlış Defteri</x:v>
      </x:c>
      <x:c r="N819" s="14" t="str"/>
      <x:c r="O819" s="14" t="n">
        <x:v>0</x:v>
      </x:c>
      <x:c r="P819" s="14" t="str">
        <x:v>Hayır</x:v>
      </x:c>
      <x:c r="Q819" s="14" t="str">
        <x:v>Evet</x:v>
      </x:c>
      <x:c r="R819" s="14" t="str">
        <x:v>Planlandı</x:v>
      </x:c>
      <x:c r="S819" s="15" t="str"/>
      <x:c r="T819" s="14" t="str"/>
    </x:row>
    <x:row r="820">
      <x:c r="A820" s="14" t="n">
        <x:v>819</x:v>
      </x:c>
      <x:c r="B820" s="15" t="n">
        <x:v>46361</x:v>
      </x:c>
      <x:c r="C820" s="14" t="str">
        <x:v>Cumartesi</x:v>
      </x:c>
      <x:c r="D820" s="14" t="str">
        <x:v>Hafta Sonu</x:v>
      </x:c>
      <x:c r="E820" s="14" t="str">
        <x:v>Tam gün</x:v>
      </x:c>
      <x:c r="F820" s="14" t="str">
        <x:v>F1 - Temel Kurma</x:v>
      </x:c>
      <x:c r="G820" s="14" t="str">
        <x:v>18:45</x:v>
      </x:c>
      <x:c r="H820" s="14" t="str">
        <x:v>19:05</x:v>
      </x:c>
      <x:c r="I820" s="14" t="str">
        <x:v>Genel</x:v>
      </x:c>
      <x:c r="J820" s="14" t="str">
        <x:v>Aralıklı Hata Tekrarı</x:v>
      </x:c>
      <x:c r="K820" s="14" t="str">
        <x:v>+1 / +7 / +21</x:v>
      </x:c>
      <x:c r="L820" s="14" t="str">
        <x:v>Bugün vadesi gelen yanlış soruları tekrar çöz. Vadesi yoksa bu süre serbest/okuma olabilir.</x:v>
      </x:c>
      <x:c r="M820" s="14" t="str">
        <x:v>Yanlış Defteri</x:v>
      </x:c>
      <x:c r="N820" s="14" t="str"/>
      <x:c r="O820" s="14" t="n">
        <x:v>0</x:v>
      </x:c>
      <x:c r="P820" s="14" t="str">
        <x:v>Hayır</x:v>
      </x:c>
      <x:c r="Q820" s="14" t="str">
        <x:v>Koşullu</x:v>
      </x:c>
      <x:c r="R820" s="14" t="str">
        <x:v>Planlandı</x:v>
      </x:c>
      <x:c r="S820" s="15" t="str"/>
      <x:c r="T820" s="14" t="str">
        <x:v>Yanlışlar +1, +7 ve +21 gün aralıklarıyla tekrar edilir; hâlâ yanlışsa konu mastery durumu düşürülür.</x:v>
      </x:c>
    </x:row>
    <x:row r="821">
      <x:c r="A821" s="14" t="n">
        <x:v>820</x:v>
      </x:c>
      <x:c r="B821" s="15" t="n">
        <x:v>46361</x:v>
      </x:c>
      <x:c r="C821" s="14" t="str">
        <x:v>Cumartesi</x:v>
      </x:c>
      <x:c r="D821" s="14" t="str">
        <x:v>Hafta Sonu</x:v>
      </x:c>
      <x:c r="E821" s="14" t="str">
        <x:v>Tam gün</x:v>
      </x:c>
      <x:c r="F821" s="14" t="str">
        <x:v>F1 - Temel Kurma</x:v>
      </x:c>
      <x:c r="G821" s="14" t="str">
        <x:v>20:00</x:v>
      </x:c>
      <x:c r="H821" s="14" t="str">
        <x:v>20:30</x:v>
      </x:c>
      <x:c r="I821" s="14" t="str">
        <x:v>Okuma</x:v>
      </x:c>
      <x:c r="J821" s="14" t="str">
        <x:v>İsteğe Bağlı</x:v>
      </x:c>
      <x:c r="K821" s="14" t="str">
        <x:v>Serbest Kitap</x:v>
      </x:c>
      <x:c r="L821" s="14" t="str">
        <x:v>Zorunlu çalışmalar bittiyse isteğe bağlı kitap oku.</x:v>
      </x:c>
      <x:c r="M821" s="14" t="str">
        <x:v>Serbest Kitap</x:v>
      </x:c>
      <x:c r="N821" s="14" t="str"/>
      <x:c r="O821" s="14" t="n">
        <x:v>0</x:v>
      </x:c>
      <x:c r="P821" s="14" t="str">
        <x:v>İsteğe Bağlı</x:v>
      </x:c>
      <x:c r="Q821" s="14" t="str">
        <x:v>Hayır</x:v>
      </x:c>
      <x:c r="R821" s="14" t="str">
        <x:v>Planlandı</x:v>
      </x:c>
      <x:c r="S821" s="15" t="str"/>
      <x:c r="T821" s="14" t="str">
        <x:v>Minimum süre yok.</x:v>
      </x:c>
    </x:row>
    <x:row r="822">
      <x:c r="A822" s="14" t="n">
        <x:v>821</x:v>
      </x:c>
      <x:c r="B822" s="15" t="n">
        <x:v>46361</x:v>
      </x:c>
      <x:c r="C822" s="14" t="str">
        <x:v>Cumartesi</x:v>
      </x:c>
      <x:c r="D822" s="14" t="str">
        <x:v>Hafta Sonu</x:v>
      </x:c>
      <x:c r="E822" s="14" t="str">
        <x:v>Tam gün</x:v>
      </x:c>
      <x:c r="F822" s="14" t="str">
        <x:v>F1 - Temel Kurma</x:v>
      </x:c>
      <x:c r="G822" s="14" t="str">
        <x:v>21:50</x:v>
      </x:c>
      <x:c r="H822" s="14" t="str">
        <x:v>22:00</x:v>
      </x:c>
      <x:c r="I822" s="14" t="str">
        <x:v>Genel</x:v>
      </x:c>
      <x:c r="J822" s="14" t="str">
        <x:v>Uyku Hazırlığı</x:v>
      </x:c>
      <x:c r="K822" s="14" t="str"/>
      <x:c r="L822" s="14" t="str">
        <x:v>22:00'de yatakta ve uyku.</x:v>
      </x:c>
      <x:c r="M822" s="14" t="str"/>
      <x:c r="N822" s="14" t="str"/>
      <x:c r="O822" s="14" t="n">
        <x:v>0</x:v>
      </x:c>
      <x:c r="P822" s="14" t="str">
        <x:v>Hayır</x:v>
      </x:c>
      <x:c r="Q822" s="14" t="str">
        <x:v>Hayır</x:v>
      </x:c>
      <x:c r="R822" s="14" t="str">
        <x:v>Planlandı</x:v>
      </x:c>
      <x:c r="S822" s="15" t="str"/>
      <x:c r="T822" s="14" t="str"/>
    </x:row>
    <x:row r="823">
      <x:c r="A823" s="14" t="n">
        <x:v>822</x:v>
      </x:c>
      <x:c r="B823" s="15" t="n">
        <x:v>46362</x:v>
      </x:c>
      <x:c r="C823" s="14" t="str">
        <x:v>Pazar</x:v>
      </x:c>
      <x:c r="D823" s="14" t="str">
        <x:v>Hafta Sonu</x:v>
      </x:c>
      <x:c r="E823" s="14" t="str">
        <x:v>Tam gün</x:v>
      </x:c>
      <x:c r="F823" s="14" t="str">
        <x:v>F1 - Temel Kurma</x:v>
      </x:c>
      <x:c r="G823" s="14" t="str">
        <x:v>09:30</x:v>
      </x:c>
      <x:c r="H823" s="14" t="str">
        <x:v>10:15</x:v>
      </x:c>
      <x:c r="I823" s="14" t="str">
        <x:v>Matematik</x:v>
      </x:c>
      <x:c r="J823" s="14" t="str">
        <x:v>Konu / Tekrar</x:v>
      </x:c>
      <x:c r="K823" s="14" t="str">
        <x:v>Yüzde ve Temel Problem Çeşitleri</x:v>
      </x:c>
      <x:c r="L823" s="14" t="str">
        <x:v>Yüzde ve Temel Problem Çeşitleri — genel oynatma listesinden ilgili videoyu izle (2/4).</x:v>
      </x:c>
      <x:c r="M823" s="14" t="str">
        <x:v>Matematik Ana Oynatma Listesi</x:v>
      </x:c>
      <x:c r="N823" s="14" t="str">
        <x:v>https://www.youtube.com/watch?v=EuJ89QzqrAg&amp;list=PLicNtF7vp6fnfDqrRLH6H7fIbzYT4ct4F&amp;index=11</x:v>
      </x:c>
      <x:c r="O823" s="14" t="n">
        <x:v>0</x:v>
      </x:c>
      <x:c r="P823" s="14" t="str">
        <x:v>Hayır</x:v>
      </x:c>
      <x:c r="Q823" s="14" t="str">
        <x:v>Evet</x:v>
      </x:c>
      <x:c r="R823" s="14" t="str">
        <x:v>Planlandı</x:v>
      </x:c>
      <x:c r="S823" s="15" t="str"/>
      <x:c r="T823" s="14" t="str">
        <x:v>Yeni konu ancak plan sırasıyla açılır; LGS dışı ileri TYT içeriği zorunlu değildir.</x:v>
      </x:c>
    </x:row>
    <x:row r="824">
      <x:c r="A824" s="14" t="n">
        <x:v>823</x:v>
      </x:c>
      <x:c r="B824" s="15" t="n">
        <x:v>46362</x:v>
      </x:c>
      <x:c r="C824" s="14" t="str">
        <x:v>Pazar</x:v>
      </x:c>
      <x:c r="D824" s="14" t="str">
        <x:v>Hafta Sonu</x:v>
      </x:c>
      <x:c r="E824" s="14" t="str">
        <x:v>Tam gün</x:v>
      </x:c>
      <x:c r="F824" s="14" t="str">
        <x:v>F1 - Temel Kurma</x:v>
      </x:c>
      <x:c r="G824" s="14" t="str">
        <x:v>10:25</x:v>
      </x:c>
      <x:c r="H824" s="14" t="str">
        <x:v>11:15</x:v>
      </x:c>
      <x:c r="I824" s="14" t="str">
        <x:v>Matematik</x:v>
      </x:c>
      <x:c r="J824" s="14" t="str">
        <x:v>Kitap / MEB / Mastery</x:v>
      </x:c>
      <x:c r="K824" s="14" t="str">
        <x:v>Yüzde ve Temel Problem Çeşitleri</x:v>
      </x:c>
      <x:c r="L824" s="14" t="str">
        <x:v>Yüzde ve Temel Problem Çeşitleri ile ilgili soru kitabından en az 25 soru / bugünkü test payını çöz.</x:v>
      </x:c>
      <x:c r="M824" s="14" t="str">
        <x:v>MUBA 8. Sınıf Başlangıç Matematik (ISBN 9789756526972) (eşleşen bölüm) + MEB temel destek</x:v>
      </x:c>
      <x:c r="N824" s="14" t="str">
        <x:v>https://odsgm.meb.gov.tr/www/5-6-7-ve-9-sinif-duzeylerinde-calisma-sorulari-yayimlandi/icerik/775</x:v>
      </x:c>
      <x:c r="O824" s="14" t="n">
        <x:v>25</x:v>
      </x:c>
      <x:c r="P824" s="14" t="str">
        <x:v>İlk 20 soru</x:v>
      </x:c>
      <x:c r="Q824" s="14" t="str">
        <x:v>Evet</x:v>
      </x:c>
      <x:c r="R824" s="14" t="str">
        <x:v>Planlandı</x:v>
      </x:c>
      <x:c r="S824" s="15" t="str"/>
      <x:c r="T824" s="14" t="str">
        <x:v>Ayrı/rastgele matematik benchmark yoktur. Süreli ilk 20 soru o gün çalışılan konunun içindedir.</x:v>
      </x:c>
    </x:row>
    <x:row r="825">
      <x:c r="A825" s="14" t="n">
        <x:v>824</x:v>
      </x:c>
      <x:c r="B825" s="15" t="n">
        <x:v>46362</x:v>
      </x:c>
      <x:c r="C825" s="14" t="str">
        <x:v>Pazar</x:v>
      </x:c>
      <x:c r="D825" s="14" t="str">
        <x:v>Hafta Sonu</x:v>
      </x:c>
      <x:c r="E825" s="14" t="str">
        <x:v>Tam gün</x:v>
      </x:c>
      <x:c r="F825" s="14" t="str">
        <x:v>F1 - Temel Kurma</x:v>
      </x:c>
      <x:c r="G825" s="14" t="str">
        <x:v>12:00</x:v>
      </x:c>
      <x:c r="H825" s="14" t="str">
        <x:v>14:00</x:v>
      </x:c>
      <x:c r="I825" s="14" t="str">
        <x:v>Genel</x:v>
      </x:c>
      <x:c r="J825" s="14" t="str">
        <x:v>Yemek / Serbest Zaman</x:v>
      </x:c>
      <x:c r="K825" s="14" t="str"/>
      <x:c r="L825" s="14" t="str">
        <x:v>Yemek, hareket ve dinlenme.</x:v>
      </x:c>
      <x:c r="M825" s="14" t="str"/>
      <x:c r="N825" s="14" t="str"/>
      <x:c r="O825" s="14" t="n">
        <x:v>0</x:v>
      </x:c>
      <x:c r="P825" s="14" t="str">
        <x:v>Hayır</x:v>
      </x:c>
      <x:c r="Q825" s="14" t="str">
        <x:v>Hayır</x:v>
      </x:c>
      <x:c r="R825" s="14" t="str">
        <x:v>Planlandı</x:v>
      </x:c>
      <x:c r="S825" s="15" t="str"/>
      <x:c r="T825" s="14" t="str"/>
    </x:row>
    <x:row r="826">
      <x:c r="A826" s="14" t="n">
        <x:v>825</x:v>
      </x:c>
      <x:c r="B826" s="15" t="n">
        <x:v>46362</x:v>
      </x:c>
      <x:c r="C826" s="14" t="str">
        <x:v>Pazar</x:v>
      </x:c>
      <x:c r="D826" s="14" t="str">
        <x:v>Hafta Sonu</x:v>
      </x:c>
      <x:c r="E826" s="14" t="str">
        <x:v>Tam gün</x:v>
      </x:c>
      <x:c r="F826" s="14" t="str">
        <x:v>F1 - Temel Kurma</x:v>
      </x:c>
      <x:c r="G826" s="14" t="str">
        <x:v>11:25</x:v>
      </x:c>
      <x:c r="H826" s="14" t="str">
        <x:v>11:55</x:v>
      </x:c>
      <x:c r="I826" s="14" t="str">
        <x:v>Türkçe</x:v>
      </x:c>
      <x:c r="J826" s="14" t="str">
        <x:v>Paragraf Rutini</x:v>
      </x:c>
      <x:c r="K826" s="14" t="str">
        <x:v>Paragraf</x:v>
      </x:c>
      <x:c r="L826" s="14" t="str">
        <x:v>En az 25 paragraf sorusu çöz; ilk 20 soruyu ileri sayımla ölç, D/Y/B + süre kaydet.</x:v>
      </x:c>
      <x:c r="M826" s="14" t="str">
        <x:v>Hız 8. Sınıf Türkçe Paragraf (ISBN 9786258394498)</x:v>
      </x:c>
      <x:c r="N826" s="14" t="str"/>
      <x:c r="O826" s="14" t="n">
        <x:v>25</x:v>
      </x:c>
      <x:c r="P826" s="14" t="str">
        <x:v>İlk 20 soru</x:v>
      </x:c>
      <x:c r="Q826" s="14" t="str">
        <x:v>Evet</x:v>
      </x:c>
      <x:c r="R826" s="14" t="str">
        <x:v>Planlandı</x:v>
      </x:c>
      <x:c r="S826" s="15" t="str"/>
      <x:c r="T826" s="14" t="str">
        <x:v>Geri sayım ve hedef süre yok.</x:v>
      </x:c>
    </x:row>
    <x:row r="827">
      <x:c r="A827" s="14" t="n">
        <x:v>826</x:v>
      </x:c>
      <x:c r="B827" s="15" t="n">
        <x:v>46362</x:v>
      </x:c>
      <x:c r="C827" s="14" t="str">
        <x:v>Pazar</x:v>
      </x:c>
      <x:c r="D827" s="14" t="str">
        <x:v>Hafta Sonu</x:v>
      </x:c>
      <x:c r="E827" s="14" t="str">
        <x:v>Tam gün</x:v>
      </x:c>
      <x:c r="F827" s="14" t="str">
        <x:v>F1 - Temel Kurma</x:v>
      </x:c>
      <x:c r="G827" s="14" t="str">
        <x:v>14:00</x:v>
      </x:c>
      <x:c r="H827" s="14" t="str">
        <x:v>14:40</x:v>
      </x:c>
      <x:c r="I827" s="14" t="str">
        <x:v>Türkçe</x:v>
      </x:c>
      <x:c r="J827" s="14" t="str">
        <x:v>Konu / Tekrar</x:v>
      </x:c>
      <x:c r="K827" s="14" t="str">
        <x:v>Fiilimsiler</x:v>
      </x:c>
      <x:c r="L827" s="14" t="str">
        <x:v>Fiilimsiler — genel oynatma listesinden ilgili videoyu izle (1/4).</x:v>
      </x:c>
      <x:c r="M827" s="14" t="str">
        <x:v>Türkçe Ana Oynatma Listesi</x:v>
      </x:c>
      <x:c r="N827" s="14" t="str">
        <x:v>https://www.youtube.com/watch?v=VYsPntNKVdw&amp;list=PLIBjFaUoJJ91bz7QQEBlxNJNZka5YQRr6</x:v>
      </x:c>
      <x:c r="O827" s="14" t="n">
        <x:v>0</x:v>
      </x:c>
      <x:c r="P827" s="14" t="str">
        <x:v>Hayır</x:v>
      </x:c>
      <x:c r="Q827" s="14" t="str">
        <x:v>Evet</x:v>
      </x:c>
      <x:c r="R827" s="14" t="str">
        <x:v>Planlandı</x:v>
      </x:c>
      <x:c r="S827" s="15" t="str"/>
      <x:c r="T827" s="14" t="str">
        <x:v>TYT etiketli kaynak temelden başlamak için sabittir; LGS dışı gereksiz ayrıntı zorunlu değildir.</x:v>
      </x:c>
    </x:row>
    <x:row r="828">
      <x:c r="A828" s="14" t="n">
        <x:v>827</x:v>
      </x:c>
      <x:c r="B828" s="15" t="n">
        <x:v>46362</x:v>
      </x:c>
      <x:c r="C828" s="14" t="str">
        <x:v>Pazar</x:v>
      </x:c>
      <x:c r="D828" s="14" t="str">
        <x:v>Hafta Sonu</x:v>
      </x:c>
      <x:c r="E828" s="14" t="str">
        <x:v>Tam gün</x:v>
      </x:c>
      <x:c r="F828" s="14" t="str">
        <x:v>F1 - Temel Kurma</x:v>
      </x:c>
      <x:c r="G828" s="14" t="str">
        <x:v>14:50</x:v>
      </x:c>
      <x:c r="H828" s="14" t="str">
        <x:v>15:30</x:v>
      </x:c>
      <x:c r="I828" s="14" t="str">
        <x:v>Türkçe</x:v>
      </x:c>
      <x:c r="J828" s="14" t="str">
        <x:v>Kitap / MEB / Mastery</x:v>
      </x:c>
      <x:c r="K828" s="14" t="str">
        <x:v>Fiilimsiler</x:v>
      </x:c>
      <x:c r="L828" s="14" t="str">
        <x:v>Fiilimsiler ile ilgili soru kitabından en az 15 soru / bugünkü test payını çöz.</x:v>
      </x:c>
      <x:c r="M828" s="14" t="str">
        <x:v>Ankara 8. Sınıf Dil Bilgisi Güçlendiren</x:v>
      </x:c>
      <x:c r="N828" s="14" t="str">
        <x:v>https://odsgm.meb.gov.tr/www/8sinif-calisma-sorulari/icerik/1632</x:v>
      </x:c>
      <x:c r="O828" s="14" t="n">
        <x:v>15</x:v>
      </x:c>
      <x:c r="P828" s="14" t="str">
        <x:v>Hayır</x:v>
      </x:c>
      <x:c r="Q828" s="14" t="str">
        <x:v>Evet</x:v>
      </x:c>
      <x:c r="R828" s="14" t="str">
        <x:v>Planlandı</x:v>
      </x:c>
      <x:c r="S828" s="15" t="str"/>
      <x:c r="T828" s="14" t="str"/>
    </x:row>
    <x:row r="829">
      <x:c r="A829" s="14" t="n">
        <x:v>828</x:v>
      </x:c>
      <x:c r="B829" s="15" t="n">
        <x:v>46362</x:v>
      </x:c>
      <x:c r="C829" s="14" t="str">
        <x:v>Pazar</x:v>
      </x:c>
      <x:c r="D829" s="14" t="str">
        <x:v>Hafta Sonu</x:v>
      </x:c>
      <x:c r="E829" s="14" t="str">
        <x:v>Tam gün</x:v>
      </x:c>
      <x:c r="F829" s="14" t="str">
        <x:v>F1 - Temel Kurma</x:v>
      </x:c>
      <x:c r="G829" s="14" t="str">
        <x:v>15:45</x:v>
      </x:c>
      <x:c r="H829" s="14" t="str">
        <x:v>16:25</x:v>
      </x:c>
      <x:c r="I829" s="14" t="str">
        <x:v>İnkılap</x:v>
      </x:c>
      <x:c r="J829" s="14" t="str">
        <x:v>Konu / Tekrar</x:v>
      </x:c>
      <x:c r="K829" s="14" t="str">
        <x:v>Genelgeler, Kongreler, Misakımillî ve TBMM</x:v>
      </x:c>
      <x:c r="L829" s="14" t="str">
        <x:v>Genelgeler, Kongreler, Misakımillî ve TBMM — genel oynatma listesinden ilgili konu/soru çalışmasını yap.</x:v>
      </x:c>
      <x:c r="M829" s="14" t="str">
        <x:v>İnkılap Genel Oynatma Listesi</x:v>
      </x:c>
      <x:c r="N829" s="14" t="str">
        <x:v>https://www.youtube.com/watch?v=MltIX0oKpYU&amp;list=PLsAsBPsriHNbXit4Ra3iuBrk1ZHZWxsOR&amp;index=78</x:v>
      </x:c>
      <x:c r="O829" s="14" t="n">
        <x:v>0</x:v>
      </x:c>
      <x:c r="P829" s="14" t="str">
        <x:v>Hayır</x:v>
      </x:c>
      <x:c r="Q829" s="14" t="str">
        <x:v>Evet</x:v>
      </x:c>
      <x:c r="R829" s="14" t="str">
        <x:v>Planlandı</x:v>
      </x:c>
      <x:c r="S829" s="15" t="str"/>
      <x:c r="T829" s="14" t="str">
        <x:v>İnkılapta okul yazılısı videoları zorunlu değildir.</x:v>
      </x:c>
    </x:row>
    <x:row r="830">
      <x:c r="A830" s="14" t="n">
        <x:v>829</x:v>
      </x:c>
      <x:c r="B830" s="15" t="n">
        <x:v>46362</x:v>
      </x:c>
      <x:c r="C830" s="14" t="str">
        <x:v>Pazar</x:v>
      </x:c>
      <x:c r="D830" s="14" t="str">
        <x:v>Hafta Sonu</x:v>
      </x:c>
      <x:c r="E830" s="14" t="str">
        <x:v>Tam gün</x:v>
      </x:c>
      <x:c r="F830" s="14" t="str">
        <x:v>F1 - Temel Kurma</x:v>
      </x:c>
      <x:c r="G830" s="14" t="str">
        <x:v>16:35</x:v>
      </x:c>
      <x:c r="H830" s="14" t="str">
        <x:v>17:15</x:v>
      </x:c>
      <x:c r="I830" s="14" t="str">
        <x:v>İnkılap</x:v>
      </x:c>
      <x:c r="J830" s="14" t="str">
        <x:v>Kitap / MEB / Mastery</x:v>
      </x:c>
      <x:c r="K830" s="14" t="str">
        <x:v>Genelgeler, Kongreler, Misakımillî ve TBMM</x:v>
      </x:c>
      <x:c r="L830" s="14" t="str">
        <x:v>Genelgeler, Kongreler, Misakımillî ve TBMM ile ilgili soru kitabından en az 18 soru / bugünkü test payını çöz.</x:v>
      </x:c>
      <x:c r="M830" s="14" t="str">
        <x:v>Hız 8. Sınıf T.C. İnkılap Tarihi ve Atatürkçülük</x:v>
      </x:c>
      <x:c r="N830" s="14" t="str">
        <x:v>https://www.youtube.com/watch?v=MltIX0oKpYU&amp;list=PLsAsBPsriHNbXit4Ra3iuBrk1ZHZWxsOR&amp;index=78</x:v>
      </x:c>
      <x:c r="O830" s="14" t="n">
        <x:v>18</x:v>
      </x:c>
      <x:c r="P830" s="14" t="str">
        <x:v>Hayır</x:v>
      </x:c>
      <x:c r="Q830" s="14" t="str">
        <x:v>Evet</x:v>
      </x:c>
      <x:c r="R830" s="14" t="str">
        <x:v>Planlandı</x:v>
      </x:c>
      <x:c r="S830" s="15" t="str"/>
      <x:c r="T830" s="14" t="str"/>
    </x:row>
    <x:row r="831">
      <x:c r="A831" s="14" t="n">
        <x:v>830</x:v>
      </x:c>
      <x:c r="B831" s="15" t="n">
        <x:v>46362</x:v>
      </x:c>
      <x:c r="C831" s="14" t="str">
        <x:v>Pazar</x:v>
      </x:c>
      <x:c r="D831" s="14" t="str">
        <x:v>Hafta Sonu</x:v>
      </x:c>
      <x:c r="E831" s="14" t="str">
        <x:v>Tam gün</x:v>
      </x:c>
      <x:c r="F831" s="14" t="str">
        <x:v>F1 - Temel Kurma</x:v>
      </x:c>
      <x:c r="G831" s="14" t="str">
        <x:v>17:25</x:v>
      </x:c>
      <x:c r="H831" s="14" t="str">
        <x:v>18:25</x:v>
      </x:c>
      <x:c r="I831" s="14" t="str">
        <x:v>Genel</x:v>
      </x:c>
      <x:c r="J831" s="14" t="str">
        <x:v>Kaynak Tamamlama</x:v>
      </x:c>
      <x:c r="K831" s="14" t="str">
        <x:v>En Geride Kalan Kaynak</x:v>
      </x:c>
      <x:c r="L831" s="14" t="str">
        <x:v>Kaynak_Ilerleme sayfasında hedef yüzdesinin en gerisinde kalan ZORUNLU soru kaynağına 60 dk ayır. Öğrenilmemiş konudan ileri gitme.</x:v>
      </x:c>
      <x:c r="M831" s="14" t="str">
        <x:v>Kaynak İlerleme</x:v>
      </x:c>
      <x:c r="N831" s="14" t="str"/>
      <x:c r="O831" s="14" t="n">
        <x:v>0</x:v>
      </x:c>
      <x:c r="P831" s="14" t="str">
        <x:v>Hayır</x:v>
      </x:c>
      <x:c r="Q831" s="14" t="str">
        <x:v>Evet</x:v>
      </x:c>
      <x:c r="R831" s="14" t="str">
        <x:v>Planlandı</x:v>
      </x:c>
      <x:c r="S831" s="15" t="str"/>
      <x:c r="T831" s="14" t="str">
        <x:v>Amaç 13.04.2027'de zorunlu soru kitapları + ilgili MEB setlerini %100 tamamlamak.</x:v>
      </x:c>
    </x:row>
    <x:row r="832">
      <x:c r="A832" s="14" t="n">
        <x:v>831</x:v>
      </x:c>
      <x:c r="B832" s="15" t="n">
        <x:v>46362</x:v>
      </x:c>
      <x:c r="C832" s="14" t="str">
        <x:v>Pazar</x:v>
      </x:c>
      <x:c r="D832" s="14" t="str">
        <x:v>Hafta Sonu</x:v>
      </x:c>
      <x:c r="E832" s="14" t="str">
        <x:v>Tam gün</x:v>
      </x:c>
      <x:c r="F832" s="14" t="str">
        <x:v>F1 - Temel Kurma</x:v>
      </x:c>
      <x:c r="G832" s="14" t="str">
        <x:v>18:25</x:v>
      </x:c>
      <x:c r="H832" s="14" t="str">
        <x:v>18:45</x:v>
      </x:c>
      <x:c r="I832" s="14" t="str">
        <x:v>Genel</x:v>
      </x:c>
      <x:c r="J832" s="14" t="str">
        <x:v>Yanlış / Boş Analizi</x:v>
      </x:c>
      <x:c r="K832" s="14" t="str">
        <x:v>Günlük</x:v>
      </x:c>
      <x:c r="L832" s="14" t="str">
        <x:v>Bugünkü yanlış/boşları kaydet; çözümünü öğrenmeden kapatma. Hata türünü sınıflandır.</x:v>
      </x:c>
      <x:c r="M832" s="14" t="str">
        <x:v>Yanlış Defteri</x:v>
      </x:c>
      <x:c r="N832" s="14" t="str"/>
      <x:c r="O832" s="14" t="n">
        <x:v>0</x:v>
      </x:c>
      <x:c r="P832" s="14" t="str">
        <x:v>Hayır</x:v>
      </x:c>
      <x:c r="Q832" s="14" t="str">
        <x:v>Evet</x:v>
      </x:c>
      <x:c r="R832" s="14" t="str">
        <x:v>Planlandı</x:v>
      </x:c>
      <x:c r="S832" s="15" t="str"/>
      <x:c r="T832" s="14" t="str"/>
    </x:row>
    <x:row r="833">
      <x:c r="A833" s="14" t="n">
        <x:v>832</x:v>
      </x:c>
      <x:c r="B833" s="15" t="n">
        <x:v>46362</x:v>
      </x:c>
      <x:c r="C833" s="14" t="str">
        <x:v>Pazar</x:v>
      </x:c>
      <x:c r="D833" s="14" t="str">
        <x:v>Hafta Sonu</x:v>
      </x:c>
      <x:c r="E833" s="14" t="str">
        <x:v>Tam gün</x:v>
      </x:c>
      <x:c r="F833" s="14" t="str">
        <x:v>F1 - Temel Kurma</x:v>
      </x:c>
      <x:c r="G833" s="14" t="str">
        <x:v>18:45</x:v>
      </x:c>
      <x:c r="H833" s="14" t="str">
        <x:v>19:05</x:v>
      </x:c>
      <x:c r="I833" s="14" t="str">
        <x:v>Genel</x:v>
      </x:c>
      <x:c r="J833" s="14" t="str">
        <x:v>Aralıklı Hata Tekrarı</x:v>
      </x:c>
      <x:c r="K833" s="14" t="str">
        <x:v>+1 / +7 / +21</x:v>
      </x:c>
      <x:c r="L833" s="14" t="str">
        <x:v>Bugün vadesi gelen yanlış soruları tekrar çöz. Vadesi yoksa bu süre serbest/okuma olabilir.</x:v>
      </x:c>
      <x:c r="M833" s="14" t="str">
        <x:v>Yanlış Defteri</x:v>
      </x:c>
      <x:c r="N833" s="14" t="str"/>
      <x:c r="O833" s="14" t="n">
        <x:v>0</x:v>
      </x:c>
      <x:c r="P833" s="14" t="str">
        <x:v>Hayır</x:v>
      </x:c>
      <x:c r="Q833" s="14" t="str">
        <x:v>Koşullu</x:v>
      </x:c>
      <x:c r="R833" s="14" t="str">
        <x:v>Planlandı</x:v>
      </x:c>
      <x:c r="S833" s="15" t="str"/>
      <x:c r="T833" s="14" t="str">
        <x:v>Yanlışlar +1, +7 ve +21 gün aralıklarıyla tekrar edilir; hâlâ yanlışsa konu mastery durumu düşürülür.</x:v>
      </x:c>
    </x:row>
    <x:row r="834">
      <x:c r="A834" s="14" t="n">
        <x:v>833</x:v>
      </x:c>
      <x:c r="B834" s="15" t="n">
        <x:v>46362</x:v>
      </x:c>
      <x:c r="C834" s="14" t="str">
        <x:v>Pazar</x:v>
      </x:c>
      <x:c r="D834" s="14" t="str">
        <x:v>Hafta Sonu</x:v>
      </x:c>
      <x:c r="E834" s="14" t="str">
        <x:v>Tam gün</x:v>
      </x:c>
      <x:c r="F834" s="14" t="str">
        <x:v>F1 - Temel Kurma</x:v>
      </x:c>
      <x:c r="G834" s="14" t="str">
        <x:v>20:00</x:v>
      </x:c>
      <x:c r="H834" s="14" t="str">
        <x:v>20:30</x:v>
      </x:c>
      <x:c r="I834" s="14" t="str">
        <x:v>Okuma</x:v>
      </x:c>
      <x:c r="J834" s="14" t="str">
        <x:v>İsteğe Bağlı</x:v>
      </x:c>
      <x:c r="K834" s="14" t="str">
        <x:v>Serbest Kitap</x:v>
      </x:c>
      <x:c r="L834" s="14" t="str">
        <x:v>Zorunlu çalışmalar bittiyse isteğe bağlı kitap oku.</x:v>
      </x:c>
      <x:c r="M834" s="14" t="str">
        <x:v>Serbest Kitap</x:v>
      </x:c>
      <x:c r="N834" s="14" t="str"/>
      <x:c r="O834" s="14" t="n">
        <x:v>0</x:v>
      </x:c>
      <x:c r="P834" s="14" t="str">
        <x:v>İsteğe Bağlı</x:v>
      </x:c>
      <x:c r="Q834" s="14" t="str">
        <x:v>Hayır</x:v>
      </x:c>
      <x:c r="R834" s="14" t="str">
        <x:v>Planlandı</x:v>
      </x:c>
      <x:c r="S834" s="15" t="str"/>
      <x:c r="T834" s="14" t="str">
        <x:v>Minimum süre yok.</x:v>
      </x:c>
    </x:row>
    <x:row r="835">
      <x:c r="A835" s="14" t="n">
        <x:v>834</x:v>
      </x:c>
      <x:c r="B835" s="15" t="n">
        <x:v>46362</x:v>
      </x:c>
      <x:c r="C835" s="14" t="str">
        <x:v>Pazar</x:v>
      </x:c>
      <x:c r="D835" s="14" t="str">
        <x:v>Hafta Sonu</x:v>
      </x:c>
      <x:c r="E835" s="14" t="str">
        <x:v>Tam gün</x:v>
      </x:c>
      <x:c r="F835" s="14" t="str">
        <x:v>F1 - Temel Kurma</x:v>
      </x:c>
      <x:c r="G835" s="14" t="str">
        <x:v>21:50</x:v>
      </x:c>
      <x:c r="H835" s="14" t="str">
        <x:v>22:00</x:v>
      </x:c>
      <x:c r="I835" s="14" t="str">
        <x:v>Genel</x:v>
      </x:c>
      <x:c r="J835" s="14" t="str">
        <x:v>Uyku Hazırlığı</x:v>
      </x:c>
      <x:c r="K835" s="14" t="str"/>
      <x:c r="L835" s="14" t="str">
        <x:v>22:00'de yatakta ve uyku.</x:v>
      </x:c>
      <x:c r="M835" s="14" t="str"/>
      <x:c r="N835" s="14" t="str"/>
      <x:c r="O835" s="14" t="n">
        <x:v>0</x:v>
      </x:c>
      <x:c r="P835" s="14" t="str">
        <x:v>Hayır</x:v>
      </x:c>
      <x:c r="Q835" s="14" t="str">
        <x:v>Hayır</x:v>
      </x:c>
      <x:c r="R835" s="14" t="str">
        <x:v>Planlandı</x:v>
      </x:c>
      <x:c r="S835" s="15" t="str"/>
      <x:c r="T835" s="14" t="str"/>
    </x:row>
    <x:row r="836">
      <x:c r="A836" s="14" t="n">
        <x:v>835</x:v>
      </x:c>
      <x:c r="B836" s="15" t="n">
        <x:v>46363</x:v>
      </x:c>
      <x:c r="C836" s="14" t="str">
        <x:v>Pazartesi</x:v>
      </x:c>
      <x:c r="D836" s="14" t="str">
        <x:v>Okul Günü</x:v>
      </x:c>
      <x:c r="E836" s="14" t="str">
        <x:v>16:00 sonrası</x:v>
      </x:c>
      <x:c r="F836" s="14" t="str">
        <x:v>F1 - Temel Kurma</x:v>
      </x:c>
      <x:c r="G836" s="14" t="str">
        <x:v>16:00</x:v>
      </x:c>
      <x:c r="H836" s="14" t="str">
        <x:v>16:25</x:v>
      </x:c>
      <x:c r="I836" s="14" t="str">
        <x:v>Genel</x:v>
      </x:c>
      <x:c r="J836" s="14" t="str">
        <x:v>Dinlenme</x:v>
      </x:c>
      <x:c r="K836" s="14" t="str"/>
      <x:c r="L836" s="14" t="str">
        <x:v>Eve geliş, atıştırma ve dinlenme.</x:v>
      </x:c>
      <x:c r="M836" s="14" t="str"/>
      <x:c r="N836" s="14" t="str"/>
      <x:c r="O836" s="14" t="n">
        <x:v>0</x:v>
      </x:c>
      <x:c r="P836" s="14" t="str">
        <x:v>Hayır</x:v>
      </x:c>
      <x:c r="Q836" s="14" t="str">
        <x:v>Hayır</x:v>
      </x:c>
      <x:c r="R836" s="14" t="str">
        <x:v>Planlandı</x:v>
      </x:c>
      <x:c r="S836" s="15" t="str"/>
      <x:c r="T836" s="14" t="str"/>
    </x:row>
    <x:row r="837">
      <x:c r="A837" s="14" t="n">
        <x:v>836</x:v>
      </x:c>
      <x:c r="B837" s="15" t="n">
        <x:v>46363</x:v>
      </x:c>
      <x:c r="C837" s="14" t="str">
        <x:v>Pazartesi</x:v>
      </x:c>
      <x:c r="D837" s="14" t="str">
        <x:v>Okul Günü</x:v>
      </x:c>
      <x:c r="E837" s="14" t="str">
        <x:v>16:00 sonrası</x:v>
      </x:c>
      <x:c r="F837" s="14" t="str">
        <x:v>F1 - Temel Kurma</x:v>
      </x:c>
      <x:c r="G837" s="14" t="str">
        <x:v>16:25</x:v>
      </x:c>
      <x:c r="H837" s="14" t="str">
        <x:v>17:05</x:v>
      </x:c>
      <x:c r="I837" s="14" t="str">
        <x:v>Matematik</x:v>
      </x:c>
      <x:c r="J837" s="14" t="str">
        <x:v>Konu / Tekrar</x:v>
      </x:c>
      <x:c r="K837" s="14" t="str">
        <x:v>Yüzde ve Temel Problem Çeşitleri</x:v>
      </x:c>
      <x:c r="L837" s="14" t="str">
        <x:v>Yüzde ve Temel Problem Çeşitleri — genel oynatma listesinden ilgili videoyu izle (3/4).</x:v>
      </x:c>
      <x:c r="M837" s="14" t="str">
        <x:v>Matematik Ana Oynatma Listesi</x:v>
      </x:c>
      <x:c r="N837" s="14" t="str">
        <x:v>https://www.youtube.com/watch?v=EuJ89QzqrAg&amp;list=PLicNtF7vp6fnfDqrRLH6H7fIbzYT4ct4F&amp;index=11</x:v>
      </x:c>
      <x:c r="O837" s="14" t="n">
        <x:v>0</x:v>
      </x:c>
      <x:c r="P837" s="14" t="str">
        <x:v>Hayır</x:v>
      </x:c>
      <x:c r="Q837" s="14" t="str">
        <x:v>Evet</x:v>
      </x:c>
      <x:c r="R837" s="14" t="str">
        <x:v>Planlandı</x:v>
      </x:c>
      <x:c r="S837" s="15" t="str"/>
      <x:c r="T837" s="14" t="str">
        <x:v>Yeni konu ancak plan sırasıyla açılır; LGS dışı ileri TYT içeriği zorunlu değildir.</x:v>
      </x:c>
    </x:row>
    <x:row r="838">
      <x:c r="A838" s="14" t="n">
        <x:v>837</x:v>
      </x:c>
      <x:c r="B838" s="15" t="n">
        <x:v>46363</x:v>
      </x:c>
      <x:c r="C838" s="14" t="str">
        <x:v>Pazartesi</x:v>
      </x:c>
      <x:c r="D838" s="14" t="str">
        <x:v>Okul Günü</x:v>
      </x:c>
      <x:c r="E838" s="14" t="str">
        <x:v>16:00 sonrası</x:v>
      </x:c>
      <x:c r="F838" s="14" t="str">
        <x:v>F1 - Temel Kurma</x:v>
      </x:c>
      <x:c r="G838" s="14" t="str">
        <x:v>17:10</x:v>
      </x:c>
      <x:c r="H838" s="14" t="str">
        <x:v>17:55</x:v>
      </x:c>
      <x:c r="I838" s="14" t="str">
        <x:v>Matematik</x:v>
      </x:c>
      <x:c r="J838" s="14" t="str">
        <x:v>Kitap / MEB / Mastery</x:v>
      </x:c>
      <x:c r="K838" s="14" t="str">
        <x:v>Yüzde ve Temel Problem Çeşitleri</x:v>
      </x:c>
      <x:c r="L838" s="14" t="str">
        <x:v>Yüzde ve Temel Problem Çeşitleri ile ilgili soru kitabından en az 25 soru / bugünkü test payını çöz.</x:v>
      </x:c>
      <x:c r="M838" s="14" t="str">
        <x:v>MUBA 8. Sınıf Başlangıç Matematik (ISBN 9789756526972) (eşleşen bölüm) + MEB temel destek</x:v>
      </x:c>
      <x:c r="N838" s="14" t="str">
        <x:v>https://odsgm.meb.gov.tr/www/5-6-7-ve-9-sinif-duzeylerinde-calisma-sorulari-yayimlandi/icerik/775</x:v>
      </x:c>
      <x:c r="O838" s="14" t="n">
        <x:v>25</x:v>
      </x:c>
      <x:c r="P838" s="14" t="str">
        <x:v>İlk 20 soru</x:v>
      </x:c>
      <x:c r="Q838" s="14" t="str">
        <x:v>Evet</x:v>
      </x:c>
      <x:c r="R838" s="14" t="str">
        <x:v>Planlandı</x:v>
      </x:c>
      <x:c r="S838" s="15" t="str"/>
      <x:c r="T838" s="14" t="str">
        <x:v>Ayrı/rastgele matematik benchmark yoktur. Süreli ilk 20 soru o gün çalışılan konunun içindedir.</x:v>
      </x:c>
    </x:row>
    <x:row r="839">
      <x:c r="A839" s="14" t="n">
        <x:v>838</x:v>
      </x:c>
      <x:c r="B839" s="15" t="n">
        <x:v>46363</x:v>
      </x:c>
      <x:c r="C839" s="14" t="str">
        <x:v>Pazartesi</x:v>
      </x:c>
      <x:c r="D839" s="14" t="str">
        <x:v>Okul Günü</x:v>
      </x:c>
      <x:c r="E839" s="14" t="str">
        <x:v>16:00 sonrası</x:v>
      </x:c>
      <x:c r="F839" s="14" t="str">
        <x:v>F1 - Temel Kurma</x:v>
      </x:c>
      <x:c r="G839" s="14" t="str">
        <x:v>17:55</x:v>
      </x:c>
      <x:c r="H839" s="14" t="str">
        <x:v>18:25</x:v>
      </x:c>
      <x:c r="I839" s="14" t="str">
        <x:v>Genel</x:v>
      </x:c>
      <x:c r="J839" s="14" t="str">
        <x:v>Yemek / Serbest Zaman</x:v>
      </x:c>
      <x:c r="K839" s="14" t="str"/>
      <x:c r="L839" s="14" t="str">
        <x:v>Yemek, hareket ve dinlenme.</x:v>
      </x:c>
      <x:c r="M839" s="14" t="str"/>
      <x:c r="N839" s="14" t="str"/>
      <x:c r="O839" s="14" t="n">
        <x:v>0</x:v>
      </x:c>
      <x:c r="P839" s="14" t="str">
        <x:v>Hayır</x:v>
      </x:c>
      <x:c r="Q839" s="14" t="str">
        <x:v>Hayır</x:v>
      </x:c>
      <x:c r="R839" s="14" t="str">
        <x:v>Planlandı</x:v>
      </x:c>
      <x:c r="S839" s="15" t="str"/>
      <x:c r="T839" s="14" t="str"/>
    </x:row>
    <x:row r="840">
      <x:c r="A840" s="14" t="n">
        <x:v>839</x:v>
      </x:c>
      <x:c r="B840" s="15" t="n">
        <x:v>46363</x:v>
      </x:c>
      <x:c r="C840" s="14" t="str">
        <x:v>Pazartesi</x:v>
      </x:c>
      <x:c r="D840" s="14" t="str">
        <x:v>Okul Günü</x:v>
      </x:c>
      <x:c r="E840" s="14" t="str">
        <x:v>16:00 sonrası</x:v>
      </x:c>
      <x:c r="F840" s="14" t="str">
        <x:v>F1 - Temel Kurma</x:v>
      </x:c>
      <x:c r="G840" s="14" t="str">
        <x:v>18:25</x:v>
      </x:c>
      <x:c r="H840" s="14" t="str">
        <x:v>18:55</x:v>
      </x:c>
      <x:c r="I840" s="14" t="str">
        <x:v>Türkçe</x:v>
      </x:c>
      <x:c r="J840" s="14" t="str">
        <x:v>Paragraf Rutini</x:v>
      </x:c>
      <x:c r="K840" s="14" t="str">
        <x:v>Paragraf</x:v>
      </x:c>
      <x:c r="L840" s="14" t="str">
        <x:v>En az 25 paragraf sorusu çöz; ilk 20 soruyu ileri sayımla ölç, D/Y/B + süre kaydet.</x:v>
      </x:c>
      <x:c r="M840" s="14" t="str">
        <x:v>Hız 8. Sınıf Türkçe Paragraf (ISBN 9786258394498)</x:v>
      </x:c>
      <x:c r="N840" s="14" t="str"/>
      <x:c r="O840" s="14" t="n">
        <x:v>25</x:v>
      </x:c>
      <x:c r="P840" s="14" t="str">
        <x:v>İlk 20 soru</x:v>
      </x:c>
      <x:c r="Q840" s="14" t="str">
        <x:v>Evet</x:v>
      </x:c>
      <x:c r="R840" s="14" t="str">
        <x:v>Planlandı</x:v>
      </x:c>
      <x:c r="S840" s="15" t="str"/>
      <x:c r="T840" s="14" t="str">
        <x:v>Geri sayım ve hedef süre yok.</x:v>
      </x:c>
    </x:row>
    <x:row r="841">
      <x:c r="A841" s="14" t="n">
        <x:v>840</x:v>
      </x:c>
      <x:c r="B841" s="15" t="n">
        <x:v>46363</x:v>
      </x:c>
      <x:c r="C841" s="14" t="str">
        <x:v>Pazartesi</x:v>
      </x:c>
      <x:c r="D841" s="14" t="str">
        <x:v>Okul Günü</x:v>
      </x:c>
      <x:c r="E841" s="14" t="str">
        <x:v>16:00 sonrası</x:v>
      </x:c>
      <x:c r="F841" s="14" t="str">
        <x:v>F1 - Temel Kurma</x:v>
      </x:c>
      <x:c r="G841" s="14" t="str">
        <x:v>19:00</x:v>
      </x:c>
      <x:c r="H841" s="14" t="str">
        <x:v>19:35</x:v>
      </x:c>
      <x:c r="I841" s="14" t="str">
        <x:v>Türkçe</x:v>
      </x:c>
      <x:c r="J841" s="14" t="str">
        <x:v>Konu / Tekrar</x:v>
      </x:c>
      <x:c r="K841" s="14" t="str">
        <x:v>Fiilimsiler</x:v>
      </x:c>
      <x:c r="L841" s="14" t="str">
        <x:v>Fiilimsiler — genel oynatma listesinden ilgili videoyu izle (2/4).</x:v>
      </x:c>
      <x:c r="M841" s="14" t="str">
        <x:v>Türkçe Ana Oynatma Listesi</x:v>
      </x:c>
      <x:c r="N841" s="14" t="str">
        <x:v>https://www.youtube.com/watch?v=VYsPntNKVdw&amp;list=PLIBjFaUoJJ91bz7QQEBlxNJNZka5YQRr6</x:v>
      </x:c>
      <x:c r="O841" s="14" t="n">
        <x:v>0</x:v>
      </x:c>
      <x:c r="P841" s="14" t="str">
        <x:v>Hayır</x:v>
      </x:c>
      <x:c r="Q841" s="14" t="str">
        <x:v>Evet</x:v>
      </x:c>
      <x:c r="R841" s="14" t="str">
        <x:v>Planlandı</x:v>
      </x:c>
      <x:c r="S841" s="15" t="str"/>
      <x:c r="T841" s="14" t="str">
        <x:v>TYT etiketli kaynak temelden başlamak için sabittir; LGS dışı gereksiz ayrıntı zorunlu değildir.</x:v>
      </x:c>
    </x:row>
    <x:row r="842">
      <x:c r="A842" s="14" t="n">
        <x:v>841</x:v>
      </x:c>
      <x:c r="B842" s="15" t="n">
        <x:v>46363</x:v>
      </x:c>
      <x:c r="C842" s="14" t="str">
        <x:v>Pazartesi</x:v>
      </x:c>
      <x:c r="D842" s="14" t="str">
        <x:v>Okul Günü</x:v>
      </x:c>
      <x:c r="E842" s="14" t="str">
        <x:v>16:00 sonrası</x:v>
      </x:c>
      <x:c r="F842" s="14" t="str">
        <x:v>F1 - Temel Kurma</x:v>
      </x:c>
      <x:c r="G842" s="14" t="str">
        <x:v>19:40</x:v>
      </x:c>
      <x:c r="H842" s="14" t="str">
        <x:v>20:10</x:v>
      </x:c>
      <x:c r="I842" s="14" t="str">
        <x:v>Türkçe</x:v>
      </x:c>
      <x:c r="J842" s="14" t="str">
        <x:v>Kitap / MEB / Mastery</x:v>
      </x:c>
      <x:c r="K842" s="14" t="str">
        <x:v>Fiilimsiler</x:v>
      </x:c>
      <x:c r="L842" s="14" t="str">
        <x:v>Fiilimsiler ile ilgili soru kitabından en az 15 soru / bugünkü test payını çöz.</x:v>
      </x:c>
      <x:c r="M842" s="14" t="str">
        <x:v>Ankara 8. Sınıf Dil Bilgisi Güçlendiren</x:v>
      </x:c>
      <x:c r="N842" s="14" t="str">
        <x:v>https://odsgm.meb.gov.tr/www/8sinif-calisma-sorulari/icerik/1632</x:v>
      </x:c>
      <x:c r="O842" s="14" t="n">
        <x:v>15</x:v>
      </x:c>
      <x:c r="P842" s="14" t="str">
        <x:v>Hayır</x:v>
      </x:c>
      <x:c r="Q842" s="14" t="str">
        <x:v>Evet</x:v>
      </x:c>
      <x:c r="R842" s="14" t="str">
        <x:v>Planlandı</x:v>
      </x:c>
      <x:c r="S842" s="15" t="str"/>
      <x:c r="T842" s="14" t="str"/>
    </x:row>
    <x:row r="843">
      <x:c r="A843" s="14" t="n">
        <x:v>842</x:v>
      </x:c>
      <x:c r="B843" s="15" t="n">
        <x:v>46363</x:v>
      </x:c>
      <x:c r="C843" s="14" t="str">
        <x:v>Pazartesi</x:v>
      </x:c>
      <x:c r="D843" s="14" t="str">
        <x:v>Okul Günü</x:v>
      </x:c>
      <x:c r="E843" s="14" t="str">
        <x:v>16:00 sonrası</x:v>
      </x:c>
      <x:c r="F843" s="14" t="str">
        <x:v>F1 - Temel Kurma</x:v>
      </x:c>
      <x:c r="G843" s="14" t="str">
        <x:v>20:15</x:v>
      </x:c>
      <x:c r="H843" s="14" t="str">
        <x:v>20:50</x:v>
      </x:c>
      <x:c r="I843" s="14" t="str">
        <x:v>İngilizce</x:v>
      </x:c>
      <x:c r="J843" s="14" t="str">
        <x:v>Konu / Tekrar</x:v>
      </x:c>
      <x:c r="K843" s="14" t="str">
        <x:v>Unit 5 - The Internet</x:v>
      </x:c>
      <x:c r="L843" s="14" t="str">
        <x:v>Unit 5 - The Internet — Content çalışmasını playlistten yap.</x:v>
      </x:c>
      <x:c r="M843" s="14" t="str">
        <x:v>İngilizce Genel Oynatma Listesi</x:v>
      </x:c>
      <x:c r="N843" s="14" t="str">
        <x:v>https://www.youtube.com/watch?v=FaY3dFjZbns&amp;list=PLSgpQDrUSYp94WgE9pzpHiOG5FwxnZBrr</x:v>
      </x:c>
      <x:c r="O843" s="14" t="n">
        <x:v>0</x:v>
      </x:c>
      <x:c r="P843" s="14" t="str">
        <x:v>Hayır</x:v>
      </x:c>
      <x:c r="Q843" s="14" t="str">
        <x:v>Evet</x:v>
      </x:c>
      <x:c r="R843" s="14" t="str">
        <x:v>Planlandı</x:v>
      </x:c>
      <x:c r="S843" s="15" t="str"/>
      <x:c r="T843" s="14" t="str"/>
    </x:row>
    <x:row r="844">
      <x:c r="A844" s="14" t="n">
        <x:v>843</x:v>
      </x:c>
      <x:c r="B844" s="15" t="n">
        <x:v>46363</x:v>
      </x:c>
      <x:c r="C844" s="14" t="str">
        <x:v>Pazartesi</x:v>
      </x:c>
      <x:c r="D844" s="14" t="str">
        <x:v>Okul Günü</x:v>
      </x:c>
      <x:c r="E844" s="14" t="str">
        <x:v>16:00 sonrası</x:v>
      </x:c>
      <x:c r="F844" s="14" t="str">
        <x:v>F1 - Temel Kurma</x:v>
      </x:c>
      <x:c r="G844" s="14" t="str">
        <x:v>20:55</x:v>
      </x:c>
      <x:c r="H844" s="14" t="str">
        <x:v>21:20</x:v>
      </x:c>
      <x:c r="I844" s="14" t="str">
        <x:v>İngilizce</x:v>
      </x:c>
      <x:c r="J844" s="14" t="str">
        <x:v>Kitap / MEB / Mastery</x:v>
      </x:c>
      <x:c r="K844" s="14" t="str">
        <x:v>Unit 5 - The Internet</x:v>
      </x:c>
      <x:c r="L844" s="14" t="str">
        <x:v>Unit 5 - The Internet ile ilgili soru kitabından en az 18 soru / bugünkü test payını çöz.</x:v>
      </x:c>
      <x:c r="M844" s="14" t="str">
        <x:v>More &amp; More 8 Worksheets Notebook</x:v>
      </x:c>
      <x:c r="N844" s="14" t="str">
        <x:v>https://www.youtube.com/watch?v=FaY3dFjZbns&amp;list=PLSgpQDrUSYp94WgE9pzpHiOG5FwxnZBrr</x:v>
      </x:c>
      <x:c r="O844" s="14" t="n">
        <x:v>18</x:v>
      </x:c>
      <x:c r="P844" s="14" t="str">
        <x:v>Hayır</x:v>
      </x:c>
      <x:c r="Q844" s="14" t="str">
        <x:v>Evet</x:v>
      </x:c>
      <x:c r="R844" s="14" t="str">
        <x:v>Planlandı</x:v>
      </x:c>
      <x:c r="S844" s="15" t="str"/>
      <x:c r="T844" s="14" t="str"/>
    </x:row>
    <x:row r="845">
      <x:c r="A845" s="14" t="n">
        <x:v>844</x:v>
      </x:c>
      <x:c r="B845" s="15" t="n">
        <x:v>46363</x:v>
      </x:c>
      <x:c r="C845" s="14" t="str">
        <x:v>Pazartesi</x:v>
      </x:c>
      <x:c r="D845" s="14" t="str">
        <x:v>Okul Günü</x:v>
      </x:c>
      <x:c r="E845" s="14" t="str">
        <x:v>16:00 sonrası</x:v>
      </x:c>
      <x:c r="F845" s="14" t="str">
        <x:v>F1 - Temel Kurma</x:v>
      </x:c>
      <x:c r="G845" s="14" t="str">
        <x:v>21:20</x:v>
      </x:c>
      <x:c r="H845" s="14" t="str">
        <x:v>21:35</x:v>
      </x:c>
      <x:c r="I845" s="14" t="str">
        <x:v>Genel</x:v>
      </x:c>
      <x:c r="J845" s="14" t="str">
        <x:v>Yanlış / Boş Analizi</x:v>
      </x:c>
      <x:c r="K845" s="14" t="str">
        <x:v>Günlük</x:v>
      </x:c>
      <x:c r="L845" s="14" t="str">
        <x:v>Bugünkü yanlış/boşları kaydet; çözümünü öğrenmeden kapatma. Hata türünü sınıflandır.</x:v>
      </x:c>
      <x:c r="M845" s="14" t="str">
        <x:v>Yanlış Defteri</x:v>
      </x:c>
      <x:c r="N845" s="14" t="str"/>
      <x:c r="O845" s="14" t="n">
        <x:v>0</x:v>
      </x:c>
      <x:c r="P845" s="14" t="str">
        <x:v>Hayır</x:v>
      </x:c>
      <x:c r="Q845" s="14" t="str">
        <x:v>Evet</x:v>
      </x:c>
      <x:c r="R845" s="14" t="str">
        <x:v>Planlandı</x:v>
      </x:c>
      <x:c r="S845" s="15" t="str"/>
      <x:c r="T845" s="14" t="str"/>
    </x:row>
    <x:row r="846">
      <x:c r="A846" s="14" t="n">
        <x:v>845</x:v>
      </x:c>
      <x:c r="B846" s="15" t="n">
        <x:v>46363</x:v>
      </x:c>
      <x:c r="C846" s="14" t="str">
        <x:v>Pazartesi</x:v>
      </x:c>
      <x:c r="D846" s="14" t="str">
        <x:v>Okul Günü</x:v>
      </x:c>
      <x:c r="E846" s="14" t="str">
        <x:v>16:00 sonrası</x:v>
      </x:c>
      <x:c r="F846" s="14" t="str">
        <x:v>F1 - Temel Kurma</x:v>
      </x:c>
      <x:c r="G846" s="14" t="str">
        <x:v>21:35</x:v>
      </x:c>
      <x:c r="H846" s="14" t="str">
        <x:v>21:50</x:v>
      </x:c>
      <x:c r="I846" s="14" t="str">
        <x:v>Genel</x:v>
      </x:c>
      <x:c r="J846" s="14" t="str">
        <x:v>Aralıklı Hata Tekrarı</x:v>
      </x:c>
      <x:c r="K846" s="14" t="str">
        <x:v>+1 / +7 / +21</x:v>
      </x:c>
      <x:c r="L846" s="14" t="str">
        <x:v>Bugün vadesi gelen yanlış soruları tekrar çöz. Vadesi yoksa bu süre serbest/okuma olabilir.</x:v>
      </x:c>
      <x:c r="M846" s="14" t="str">
        <x:v>Yanlış Defteri</x:v>
      </x:c>
      <x:c r="N846" s="14" t="str"/>
      <x:c r="O846" s="14" t="n">
        <x:v>0</x:v>
      </x:c>
      <x:c r="P846" s="14" t="str">
        <x:v>Hayır</x:v>
      </x:c>
      <x:c r="Q846" s="14" t="str">
        <x:v>Koşullu</x:v>
      </x:c>
      <x:c r="R846" s="14" t="str">
        <x:v>Planlandı</x:v>
      </x:c>
      <x:c r="S846" s="15" t="str"/>
      <x:c r="T846" s="14" t="str">
        <x:v>Yanlışlar +1, +7 ve +21 gün aralıklarıyla tekrar edilir; hâlâ yanlışsa konu mastery durumu düşürülür.</x:v>
      </x:c>
    </x:row>
    <x:row r="847">
      <x:c r="A847" s="14" t="n">
        <x:v>846</x:v>
      </x:c>
      <x:c r="B847" s="15" t="n">
        <x:v>46363</x:v>
      </x:c>
      <x:c r="C847" s="14" t="str">
        <x:v>Pazartesi</x:v>
      </x:c>
      <x:c r="D847" s="14" t="str">
        <x:v>Okul Günü</x:v>
      </x:c>
      <x:c r="E847" s="14" t="str">
        <x:v>16:00 sonrası</x:v>
      </x:c>
      <x:c r="F847" s="14" t="str">
        <x:v>F1 - Temel Kurma</x:v>
      </x:c>
      <x:c r="G847" s="14" t="str">
        <x:v>21:50</x:v>
      </x:c>
      <x:c r="H847" s="14" t="str">
        <x:v>22:00</x:v>
      </x:c>
      <x:c r="I847" s="14" t="str">
        <x:v>Genel</x:v>
      </x:c>
      <x:c r="J847" s="14" t="str">
        <x:v>Uyku Hazırlığı</x:v>
      </x:c>
      <x:c r="K847" s="14" t="str"/>
      <x:c r="L847" s="14" t="str">
        <x:v>22:00'de yatakta ve uyku.</x:v>
      </x:c>
      <x:c r="M847" s="14" t="str"/>
      <x:c r="N847" s="14" t="str"/>
      <x:c r="O847" s="14" t="n">
        <x:v>0</x:v>
      </x:c>
      <x:c r="P847" s="14" t="str">
        <x:v>Hayır</x:v>
      </x:c>
      <x:c r="Q847" s="14" t="str">
        <x:v>Hayır</x:v>
      </x:c>
      <x:c r="R847" s="14" t="str">
        <x:v>Planlandı</x:v>
      </x:c>
      <x:c r="S847" s="15" t="str"/>
      <x:c r="T847" s="14" t="str"/>
    </x:row>
    <x:row r="848">
      <x:c r="A848" s="14" t="n">
        <x:v>847</x:v>
      </x:c>
      <x:c r="B848" s="15" t="n">
        <x:v>46364</x:v>
      </x:c>
      <x:c r="C848" s="14" t="str">
        <x:v>Salı</x:v>
      </x:c>
      <x:c r="D848" s="14" t="str">
        <x:v>Okul Günü</x:v>
      </x:c>
      <x:c r="E848" s="14" t="str">
        <x:v>16:00 sonrası</x:v>
      </x:c>
      <x:c r="F848" s="14" t="str">
        <x:v>F1 - Temel Kurma</x:v>
      </x:c>
      <x:c r="G848" s="14" t="str">
        <x:v>16:00</x:v>
      </x:c>
      <x:c r="H848" s="14" t="str">
        <x:v>16:25</x:v>
      </x:c>
      <x:c r="I848" s="14" t="str">
        <x:v>Genel</x:v>
      </x:c>
      <x:c r="J848" s="14" t="str">
        <x:v>Dinlenme</x:v>
      </x:c>
      <x:c r="K848" s="14" t="str"/>
      <x:c r="L848" s="14" t="str">
        <x:v>Eve geliş, atıştırma ve dinlenme.</x:v>
      </x:c>
      <x:c r="M848" s="14" t="str"/>
      <x:c r="N848" s="14" t="str"/>
      <x:c r="O848" s="14" t="n">
        <x:v>0</x:v>
      </x:c>
      <x:c r="P848" s="14" t="str">
        <x:v>Hayır</x:v>
      </x:c>
      <x:c r="Q848" s="14" t="str">
        <x:v>Hayır</x:v>
      </x:c>
      <x:c r="R848" s="14" t="str">
        <x:v>Planlandı</x:v>
      </x:c>
      <x:c r="S848" s="15" t="str"/>
      <x:c r="T848" s="14" t="str"/>
    </x:row>
    <x:row r="849">
      <x:c r="A849" s="14" t="n">
        <x:v>848</x:v>
      </x:c>
      <x:c r="B849" s="15" t="n">
        <x:v>46364</x:v>
      </x:c>
      <x:c r="C849" s="14" t="str">
        <x:v>Salı</x:v>
      </x:c>
      <x:c r="D849" s="14" t="str">
        <x:v>Okul Günü</x:v>
      </x:c>
      <x:c r="E849" s="14" t="str">
        <x:v>16:00 sonrası</x:v>
      </x:c>
      <x:c r="F849" s="14" t="str">
        <x:v>F1 - Temel Kurma</x:v>
      </x:c>
      <x:c r="G849" s="14" t="str">
        <x:v>16:25</x:v>
      </x:c>
      <x:c r="H849" s="14" t="str">
        <x:v>17:05</x:v>
      </x:c>
      <x:c r="I849" s="14" t="str">
        <x:v>Matematik</x:v>
      </x:c>
      <x:c r="J849" s="14" t="str">
        <x:v>Konu / Tekrar</x:v>
      </x:c>
      <x:c r="K849" s="14" t="str">
        <x:v>Yüzde ve Temel Problem Çeşitleri</x:v>
      </x:c>
      <x:c r="L849" s="14" t="str">
        <x:v>Yüzde ve Temel Problem Çeşitleri — genel oynatma listesinden ilgili videoyu izle (4/4).</x:v>
      </x:c>
      <x:c r="M849" s="14" t="str">
        <x:v>Matematik Ana Oynatma Listesi</x:v>
      </x:c>
      <x:c r="N849" s="14" t="str">
        <x:v>https://www.youtube.com/watch?v=EuJ89QzqrAg&amp;list=PLicNtF7vp6fnfDqrRLH6H7fIbzYT4ct4F&amp;index=11</x:v>
      </x:c>
      <x:c r="O849" s="14" t="n">
        <x:v>0</x:v>
      </x:c>
      <x:c r="P849" s="14" t="str">
        <x:v>Hayır</x:v>
      </x:c>
      <x:c r="Q849" s="14" t="str">
        <x:v>Evet</x:v>
      </x:c>
      <x:c r="R849" s="14" t="str">
        <x:v>Planlandı</x:v>
      </x:c>
      <x:c r="S849" s="15" t="str"/>
      <x:c r="T849" s="14" t="str">
        <x:v>Yeni konu ancak plan sırasıyla açılır; LGS dışı ileri TYT içeriği zorunlu değildir.</x:v>
      </x:c>
    </x:row>
    <x:row r="850">
      <x:c r="A850" s="14" t="n">
        <x:v>849</x:v>
      </x:c>
      <x:c r="B850" s="15" t="n">
        <x:v>46364</x:v>
      </x:c>
      <x:c r="C850" s="14" t="str">
        <x:v>Salı</x:v>
      </x:c>
      <x:c r="D850" s="14" t="str">
        <x:v>Okul Günü</x:v>
      </x:c>
      <x:c r="E850" s="14" t="str">
        <x:v>16:00 sonrası</x:v>
      </x:c>
      <x:c r="F850" s="14" t="str">
        <x:v>F1 - Temel Kurma</x:v>
      </x:c>
      <x:c r="G850" s="14" t="str">
        <x:v>17:10</x:v>
      </x:c>
      <x:c r="H850" s="14" t="str">
        <x:v>17:55</x:v>
      </x:c>
      <x:c r="I850" s="14" t="str">
        <x:v>Matematik</x:v>
      </x:c>
      <x:c r="J850" s="14" t="str">
        <x:v>Kitap / MEB / Mastery</x:v>
      </x:c>
      <x:c r="K850" s="14" t="str">
        <x:v>Yüzde ve Temel Problem Çeşitleri</x:v>
      </x:c>
      <x:c r="L850" s="14" t="str">
        <x:v>Yüzde ve Temel Problem Çeşitleri ile ilgili soru kitabından en az 25 soru / bugünkü test payını çöz. İlgili kitap konu bölümünü bu oturumda bitirmeyi hedefle; sonraki oturum MEB doğrulaması.</x:v>
      </x:c>
      <x:c r="M850" s="14" t="str">
        <x:v>MUBA 8. Sınıf Başlangıç Matematik (ISBN 9789756526972) (eşleşen bölüm) + MEB temel destek</x:v>
      </x:c>
      <x:c r="N850" s="14" t="str">
        <x:v>https://odsgm.meb.gov.tr/www/5-6-7-ve-9-sinif-duzeylerinde-calisma-sorulari-yayimlandi/icerik/775</x:v>
      </x:c>
      <x:c r="O850" s="14" t="n">
        <x:v>25</x:v>
      </x:c>
      <x:c r="P850" s="14" t="str">
        <x:v>İlk 20 soru</x:v>
      </x:c>
      <x:c r="Q850" s="14" t="str">
        <x:v>Evet</x:v>
      </x:c>
      <x:c r="R850" s="14" t="str">
        <x:v>Planlandı</x:v>
      </x:c>
      <x:c r="S850" s="15" t="str"/>
      <x:c r="T850" s="14" t="str">
        <x:v>Ayrı/rastgele matematik benchmark yoktur. Süreli ilk 20 soru o gün çalışılan konunun içindedir.</x:v>
      </x:c>
    </x:row>
    <x:row r="851">
      <x:c r="A851" s="14" t="n">
        <x:v>850</x:v>
      </x:c>
      <x:c r="B851" s="15" t="n">
        <x:v>46364</x:v>
      </x:c>
      <x:c r="C851" s="14" t="str">
        <x:v>Salı</x:v>
      </x:c>
      <x:c r="D851" s="14" t="str">
        <x:v>Okul Günü</x:v>
      </x:c>
      <x:c r="E851" s="14" t="str">
        <x:v>16:00 sonrası</x:v>
      </x:c>
      <x:c r="F851" s="14" t="str">
        <x:v>F1 - Temel Kurma</x:v>
      </x:c>
      <x:c r="G851" s="14" t="str">
        <x:v>17:55</x:v>
      </x:c>
      <x:c r="H851" s="14" t="str">
        <x:v>18:25</x:v>
      </x:c>
      <x:c r="I851" s="14" t="str">
        <x:v>Genel</x:v>
      </x:c>
      <x:c r="J851" s="14" t="str">
        <x:v>Yemek / Serbest Zaman</x:v>
      </x:c>
      <x:c r="K851" s="14" t="str"/>
      <x:c r="L851" s="14" t="str">
        <x:v>Yemek, hareket ve dinlenme.</x:v>
      </x:c>
      <x:c r="M851" s="14" t="str"/>
      <x:c r="N851" s="14" t="str"/>
      <x:c r="O851" s="14" t="n">
        <x:v>0</x:v>
      </x:c>
      <x:c r="P851" s="14" t="str">
        <x:v>Hayır</x:v>
      </x:c>
      <x:c r="Q851" s="14" t="str">
        <x:v>Hayır</x:v>
      </x:c>
      <x:c r="R851" s="14" t="str">
        <x:v>Planlandı</x:v>
      </x:c>
      <x:c r="S851" s="15" t="str"/>
      <x:c r="T851" s="14" t="str"/>
    </x:row>
    <x:row r="852">
      <x:c r="A852" s="14" t="n">
        <x:v>851</x:v>
      </x:c>
      <x:c r="B852" s="15" t="n">
        <x:v>46364</x:v>
      </x:c>
      <x:c r="C852" s="14" t="str">
        <x:v>Salı</x:v>
      </x:c>
      <x:c r="D852" s="14" t="str">
        <x:v>Okul Günü</x:v>
      </x:c>
      <x:c r="E852" s="14" t="str">
        <x:v>16:00 sonrası</x:v>
      </x:c>
      <x:c r="F852" s="14" t="str">
        <x:v>F1 - Temel Kurma</x:v>
      </x:c>
      <x:c r="G852" s="14" t="str">
        <x:v>18:25</x:v>
      </x:c>
      <x:c r="H852" s="14" t="str">
        <x:v>18:55</x:v>
      </x:c>
      <x:c r="I852" s="14" t="str">
        <x:v>Türkçe</x:v>
      </x:c>
      <x:c r="J852" s="14" t="str">
        <x:v>Paragraf Rutini</x:v>
      </x:c>
      <x:c r="K852" s="14" t="str">
        <x:v>Paragraf</x:v>
      </x:c>
      <x:c r="L852" s="14" t="str">
        <x:v>En az 25 paragraf sorusu çöz; ilk 20 soruyu ileri sayımla ölç, D/Y/B + süre kaydet.</x:v>
      </x:c>
      <x:c r="M852" s="14" t="str">
        <x:v>Hız 8. Sınıf Türkçe Paragraf (ISBN 9786258394498)</x:v>
      </x:c>
      <x:c r="N852" s="14" t="str"/>
      <x:c r="O852" s="14" t="n">
        <x:v>25</x:v>
      </x:c>
      <x:c r="P852" s="14" t="str">
        <x:v>İlk 20 soru</x:v>
      </x:c>
      <x:c r="Q852" s="14" t="str">
        <x:v>Evet</x:v>
      </x:c>
      <x:c r="R852" s="14" t="str">
        <x:v>Planlandı</x:v>
      </x:c>
      <x:c r="S852" s="15" t="str"/>
      <x:c r="T852" s="14" t="str">
        <x:v>Geri sayım ve hedef süre yok.</x:v>
      </x:c>
    </x:row>
    <x:row r="853">
      <x:c r="A853" s="14" t="n">
        <x:v>852</x:v>
      </x:c>
      <x:c r="B853" s="15" t="n">
        <x:v>46364</x:v>
      </x:c>
      <x:c r="C853" s="14" t="str">
        <x:v>Salı</x:v>
      </x:c>
      <x:c r="D853" s="14" t="str">
        <x:v>Okul Günü</x:v>
      </x:c>
      <x:c r="E853" s="14" t="str">
        <x:v>16:00 sonrası</x:v>
      </x:c>
      <x:c r="F853" s="14" t="str">
        <x:v>F1 - Temel Kurma</x:v>
      </x:c>
      <x:c r="G853" s="14" t="str">
        <x:v>19:00</x:v>
      </x:c>
      <x:c r="H853" s="14" t="str">
        <x:v>19:35</x:v>
      </x:c>
      <x:c r="I853" s="14" t="str">
        <x:v>Türkçe</x:v>
      </x:c>
      <x:c r="J853" s="14" t="str">
        <x:v>Konu / Tekrar</x:v>
      </x:c>
      <x:c r="K853" s="14" t="str">
        <x:v>Fiilimsiler</x:v>
      </x:c>
      <x:c r="L853" s="14" t="str">
        <x:v>Fiilimsiler — genel oynatma listesinden ilgili videoyu izle (3/4).</x:v>
      </x:c>
      <x:c r="M853" s="14" t="str">
        <x:v>Türkçe Ana Oynatma Listesi</x:v>
      </x:c>
      <x:c r="N853" s="14" t="str">
        <x:v>https://www.youtube.com/watch?v=VYsPntNKVdw&amp;list=PLIBjFaUoJJ91bz7QQEBlxNJNZka5YQRr6</x:v>
      </x:c>
      <x:c r="O853" s="14" t="n">
        <x:v>0</x:v>
      </x:c>
      <x:c r="P853" s="14" t="str">
        <x:v>Hayır</x:v>
      </x:c>
      <x:c r="Q853" s="14" t="str">
        <x:v>Evet</x:v>
      </x:c>
      <x:c r="R853" s="14" t="str">
        <x:v>Planlandı</x:v>
      </x:c>
      <x:c r="S853" s="15" t="str"/>
      <x:c r="T853" s="14" t="str">
        <x:v>TYT etiketli kaynak temelden başlamak için sabittir; LGS dışı gereksiz ayrıntı zorunlu değildir.</x:v>
      </x:c>
    </x:row>
    <x:row r="854">
      <x:c r="A854" s="14" t="n">
        <x:v>853</x:v>
      </x:c>
      <x:c r="B854" s="15" t="n">
        <x:v>46364</x:v>
      </x:c>
      <x:c r="C854" s="14" t="str">
        <x:v>Salı</x:v>
      </x:c>
      <x:c r="D854" s="14" t="str">
        <x:v>Okul Günü</x:v>
      </x:c>
      <x:c r="E854" s="14" t="str">
        <x:v>16:00 sonrası</x:v>
      </x:c>
      <x:c r="F854" s="14" t="str">
        <x:v>F1 - Temel Kurma</x:v>
      </x:c>
      <x:c r="G854" s="14" t="str">
        <x:v>19:40</x:v>
      </x:c>
      <x:c r="H854" s="14" t="str">
        <x:v>20:10</x:v>
      </x:c>
      <x:c r="I854" s="14" t="str">
        <x:v>Türkçe</x:v>
      </x:c>
      <x:c r="J854" s="14" t="str">
        <x:v>Kitap / MEB / Mastery</x:v>
      </x:c>
      <x:c r="K854" s="14" t="str">
        <x:v>Fiilimsiler</x:v>
      </x:c>
      <x:c r="L854" s="14" t="str">
        <x:v>Fiilimsiler ile ilgili soru kitabından en az 15 soru / bugünkü test payını çöz.</x:v>
      </x:c>
      <x:c r="M854" s="14" t="str">
        <x:v>Ankara 8. Sınıf Dil Bilgisi Güçlendiren</x:v>
      </x:c>
      <x:c r="N854" s="14" t="str">
        <x:v>https://odsgm.meb.gov.tr/www/8sinif-calisma-sorulari/icerik/1632</x:v>
      </x:c>
      <x:c r="O854" s="14" t="n">
        <x:v>15</x:v>
      </x:c>
      <x:c r="P854" s="14" t="str">
        <x:v>Hayır</x:v>
      </x:c>
      <x:c r="Q854" s="14" t="str">
        <x:v>Evet</x:v>
      </x:c>
      <x:c r="R854" s="14" t="str">
        <x:v>Planlandı</x:v>
      </x:c>
      <x:c r="S854" s="15" t="str"/>
      <x:c r="T854" s="14" t="str"/>
    </x:row>
    <x:row r="855">
      <x:c r="A855" s="14" t="n">
        <x:v>854</x:v>
      </x:c>
      <x:c r="B855" s="15" t="n">
        <x:v>46364</x:v>
      </x:c>
      <x:c r="C855" s="14" t="str">
        <x:v>Salı</x:v>
      </x:c>
      <x:c r="D855" s="14" t="str">
        <x:v>Okul Günü</x:v>
      </x:c>
      <x:c r="E855" s="14" t="str">
        <x:v>16:00 sonrası</x:v>
      </x:c>
      <x:c r="F855" s="14" t="str">
        <x:v>F1 - Temel Kurma</x:v>
      </x:c>
      <x:c r="G855" s="14" t="str">
        <x:v>20:15</x:v>
      </x:c>
      <x:c r="H855" s="14" t="str">
        <x:v>20:50</x:v>
      </x:c>
      <x:c r="I855" s="14" t="str">
        <x:v>Fen</x:v>
      </x:c>
      <x:c r="J855" s="14" t="str">
        <x:v>Konu / Tekrar</x:v>
      </x:c>
      <x:c r="K855" s="14" t="str">
        <x:v>Periyodik Sistem</x:v>
      </x:c>
      <x:c r="L855" s="14" t="str">
        <x:v>Periyodik Sistem — Fen konu anlatım playlistinden ilgili videoyu izle.</x:v>
      </x:c>
      <x:c r="M855" s="14" t="str">
        <x:v>Fen Konu Anlatım</x:v>
      </x:c>
      <x:c r="N855" s="14" t="str">
        <x:v>https://www.youtube.com/watch?v=AHdk01aR4Ko&amp;list=PLrQm7mt99FRV_Oe9xFavWzFpCIl7_XiWj</x:v>
      </x:c>
      <x:c r="O855" s="14" t="n">
        <x:v>0</x:v>
      </x:c>
      <x:c r="P855" s="14" t="str">
        <x:v>Hayır</x:v>
      </x:c>
      <x:c r="Q855" s="14" t="str">
        <x:v>Evet</x:v>
      </x:c>
      <x:c r="R855" s="14" t="str">
        <x:v>Planlandı</x:v>
      </x:c>
      <x:c r="S855" s="15" t="str"/>
      <x:c r="T855" s="14" t="str"/>
    </x:row>
    <x:row r="856">
      <x:c r="A856" s="14" t="n">
        <x:v>855</x:v>
      </x:c>
      <x:c r="B856" s="15" t="n">
        <x:v>46364</x:v>
      </x:c>
      <x:c r="C856" s="14" t="str">
        <x:v>Salı</x:v>
      </x:c>
      <x:c r="D856" s="14" t="str">
        <x:v>Okul Günü</x:v>
      </x:c>
      <x:c r="E856" s="14" t="str">
        <x:v>16:00 sonrası</x:v>
      </x:c>
      <x:c r="F856" s="14" t="str">
        <x:v>F1 - Temel Kurma</x:v>
      </x:c>
      <x:c r="G856" s="14" t="str">
        <x:v>20:55</x:v>
      </x:c>
      <x:c r="H856" s="14" t="str">
        <x:v>21:20</x:v>
      </x:c>
      <x:c r="I856" s="14" t="str">
        <x:v>Fen</x:v>
      </x:c>
      <x:c r="J856" s="14" t="str">
        <x:v>Kitap / MEB / Mastery</x:v>
      </x:c>
      <x:c r="K856" s="14" t="str">
        <x:v>Periyodik Sistem</x:v>
      </x:c>
      <x:c r="L856" s="14" t="str">
        <x:v>Periyodik Sistem ile ilgili soru kitabından en az 18 soru / bugünkü test payını çöz.</x:v>
      </x:c>
      <x:c r="M856" s="14" t="str">
        <x:v>Hız 8. Sınıf Fen (ISBN 9786257514859); tamamlandıysa Mozaik 8. Sınıf Fen</x:v>
      </x:c>
      <x:c r="N856" s="14" t="str">
        <x:v>https://www.youtube.com/watch?v=AHdk01aR4Ko&amp;list=PLrQm7mt99FRV_Oe9xFavWzFpCIl7_XiWj</x:v>
      </x:c>
      <x:c r="O856" s="14" t="n">
        <x:v>18</x:v>
      </x:c>
      <x:c r="P856" s="14" t="str">
        <x:v>Hayır</x:v>
      </x:c>
      <x:c r="Q856" s="14" t="str">
        <x:v>Evet</x:v>
      </x:c>
      <x:c r="R856" s="14" t="str">
        <x:v>Planlandı</x:v>
      </x:c>
      <x:c r="S856" s="15" t="str"/>
      <x:c r="T856" s="14" t="str"/>
    </x:row>
    <x:row r="857">
      <x:c r="A857" s="14" t="n">
        <x:v>856</x:v>
      </x:c>
      <x:c r="B857" s="15" t="n">
        <x:v>46364</x:v>
      </x:c>
      <x:c r="C857" s="14" t="str">
        <x:v>Salı</x:v>
      </x:c>
      <x:c r="D857" s="14" t="str">
        <x:v>Okul Günü</x:v>
      </x:c>
      <x:c r="E857" s="14" t="str">
        <x:v>16:00 sonrası</x:v>
      </x:c>
      <x:c r="F857" s="14" t="str">
        <x:v>F1 - Temel Kurma</x:v>
      </x:c>
      <x:c r="G857" s="14" t="str">
        <x:v>21:20</x:v>
      </x:c>
      <x:c r="H857" s="14" t="str">
        <x:v>21:35</x:v>
      </x:c>
      <x:c r="I857" s="14" t="str">
        <x:v>Genel</x:v>
      </x:c>
      <x:c r="J857" s="14" t="str">
        <x:v>Yanlış / Boş Analizi</x:v>
      </x:c>
      <x:c r="K857" s="14" t="str">
        <x:v>Günlük</x:v>
      </x:c>
      <x:c r="L857" s="14" t="str">
        <x:v>Bugünkü yanlış/boşları kaydet; çözümünü öğrenmeden kapatma. Hata türünü sınıflandır.</x:v>
      </x:c>
      <x:c r="M857" s="14" t="str">
        <x:v>Yanlış Defteri</x:v>
      </x:c>
      <x:c r="N857" s="14" t="str"/>
      <x:c r="O857" s="14" t="n">
        <x:v>0</x:v>
      </x:c>
      <x:c r="P857" s="14" t="str">
        <x:v>Hayır</x:v>
      </x:c>
      <x:c r="Q857" s="14" t="str">
        <x:v>Evet</x:v>
      </x:c>
      <x:c r="R857" s="14" t="str">
        <x:v>Planlandı</x:v>
      </x:c>
      <x:c r="S857" s="15" t="str"/>
      <x:c r="T857" s="14" t="str"/>
    </x:row>
    <x:row r="858">
      <x:c r="A858" s="14" t="n">
        <x:v>857</x:v>
      </x:c>
      <x:c r="B858" s="15" t="n">
        <x:v>46364</x:v>
      </x:c>
      <x:c r="C858" s="14" t="str">
        <x:v>Salı</x:v>
      </x:c>
      <x:c r="D858" s="14" t="str">
        <x:v>Okul Günü</x:v>
      </x:c>
      <x:c r="E858" s="14" t="str">
        <x:v>16:00 sonrası</x:v>
      </x:c>
      <x:c r="F858" s="14" t="str">
        <x:v>F1 - Temel Kurma</x:v>
      </x:c>
      <x:c r="G858" s="14" t="str">
        <x:v>21:35</x:v>
      </x:c>
      <x:c r="H858" s="14" t="str">
        <x:v>21:50</x:v>
      </x:c>
      <x:c r="I858" s="14" t="str">
        <x:v>Genel</x:v>
      </x:c>
      <x:c r="J858" s="14" t="str">
        <x:v>Aralıklı Hata Tekrarı</x:v>
      </x:c>
      <x:c r="K858" s="14" t="str">
        <x:v>+1 / +7 / +21</x:v>
      </x:c>
      <x:c r="L858" s="14" t="str">
        <x:v>Bugün vadesi gelen yanlış soruları tekrar çöz. Vadesi yoksa bu süre serbest/okuma olabilir.</x:v>
      </x:c>
      <x:c r="M858" s="14" t="str">
        <x:v>Yanlış Defteri</x:v>
      </x:c>
      <x:c r="N858" s="14" t="str"/>
      <x:c r="O858" s="14" t="n">
        <x:v>0</x:v>
      </x:c>
      <x:c r="P858" s="14" t="str">
        <x:v>Hayır</x:v>
      </x:c>
      <x:c r="Q858" s="14" t="str">
        <x:v>Koşullu</x:v>
      </x:c>
      <x:c r="R858" s="14" t="str">
        <x:v>Planlandı</x:v>
      </x:c>
      <x:c r="S858" s="15" t="str"/>
      <x:c r="T858" s="14" t="str">
        <x:v>Yanlışlar +1, +7 ve +21 gün aralıklarıyla tekrar edilir; hâlâ yanlışsa konu mastery durumu düşürülür.</x:v>
      </x:c>
    </x:row>
    <x:row r="859">
      <x:c r="A859" s="14" t="n">
        <x:v>858</x:v>
      </x:c>
      <x:c r="B859" s="15" t="n">
        <x:v>46364</x:v>
      </x:c>
      <x:c r="C859" s="14" t="str">
        <x:v>Salı</x:v>
      </x:c>
      <x:c r="D859" s="14" t="str">
        <x:v>Okul Günü</x:v>
      </x:c>
      <x:c r="E859" s="14" t="str">
        <x:v>16:00 sonrası</x:v>
      </x:c>
      <x:c r="F859" s="14" t="str">
        <x:v>F1 - Temel Kurma</x:v>
      </x:c>
      <x:c r="G859" s="14" t="str">
        <x:v>21:50</x:v>
      </x:c>
      <x:c r="H859" s="14" t="str">
        <x:v>22:00</x:v>
      </x:c>
      <x:c r="I859" s="14" t="str">
        <x:v>Genel</x:v>
      </x:c>
      <x:c r="J859" s="14" t="str">
        <x:v>Uyku Hazırlığı</x:v>
      </x:c>
      <x:c r="K859" s="14" t="str"/>
      <x:c r="L859" s="14" t="str">
        <x:v>22:00'de yatakta ve uyku.</x:v>
      </x:c>
      <x:c r="M859" s="14" t="str"/>
      <x:c r="N859" s="14" t="str"/>
      <x:c r="O859" s="14" t="n">
        <x:v>0</x:v>
      </x:c>
      <x:c r="P859" s="14" t="str">
        <x:v>Hayır</x:v>
      </x:c>
      <x:c r="Q859" s="14" t="str">
        <x:v>Hayır</x:v>
      </x:c>
      <x:c r="R859" s="14" t="str">
        <x:v>Planlandı</x:v>
      </x:c>
      <x:c r="S859" s="15" t="str"/>
      <x:c r="T859" s="14" t="str"/>
    </x:row>
    <x:row r="860">
      <x:c r="A860" s="14" t="n">
        <x:v>859</x:v>
      </x:c>
      <x:c r="B860" s="15" t="n">
        <x:v>46365</x:v>
      </x:c>
      <x:c r="C860" s="14" t="str">
        <x:v>Çarşamba</x:v>
      </x:c>
      <x:c r="D860" s="14" t="str">
        <x:v>Okul Günü</x:v>
      </x:c>
      <x:c r="E860" s="14" t="str">
        <x:v>16:00 sonrası</x:v>
      </x:c>
      <x:c r="F860" s="14" t="str">
        <x:v>F1 - Temel Kurma</x:v>
      </x:c>
      <x:c r="G860" s="14" t="str">
        <x:v>16:00</x:v>
      </x:c>
      <x:c r="H860" s="14" t="str">
        <x:v>16:25</x:v>
      </x:c>
      <x:c r="I860" s="14" t="str">
        <x:v>Genel</x:v>
      </x:c>
      <x:c r="J860" s="14" t="str">
        <x:v>Dinlenme</x:v>
      </x:c>
      <x:c r="K860" s="14" t="str"/>
      <x:c r="L860" s="14" t="str">
        <x:v>Eve geliş, atıştırma ve dinlenme.</x:v>
      </x:c>
      <x:c r="M860" s="14" t="str"/>
      <x:c r="N860" s="14" t="str"/>
      <x:c r="O860" s="14" t="n">
        <x:v>0</x:v>
      </x:c>
      <x:c r="P860" s="14" t="str">
        <x:v>Hayır</x:v>
      </x:c>
      <x:c r="Q860" s="14" t="str">
        <x:v>Hayır</x:v>
      </x:c>
      <x:c r="R860" s="14" t="str">
        <x:v>Planlandı</x:v>
      </x:c>
      <x:c r="S860" s="15" t="str"/>
      <x:c r="T860" s="14" t="str"/>
    </x:row>
    <x:row r="861">
      <x:c r="A861" s="14" t="n">
        <x:v>860</x:v>
      </x:c>
      <x:c r="B861" s="15" t="n">
        <x:v>46365</x:v>
      </x:c>
      <x:c r="C861" s="14" t="str">
        <x:v>Çarşamba</x:v>
      </x:c>
      <x:c r="D861" s="14" t="str">
        <x:v>Okul Günü</x:v>
      </x:c>
      <x:c r="E861" s="14" t="str">
        <x:v>16:00 sonrası</x:v>
      </x:c>
      <x:c r="F861" s="14" t="str">
        <x:v>F1 - Temel Kurma</x:v>
      </x:c>
      <x:c r="G861" s="14" t="str">
        <x:v>16:25</x:v>
      </x:c>
      <x:c r="H861" s="14" t="str">
        <x:v>17:05</x:v>
      </x:c>
      <x:c r="I861" s="14" t="str">
        <x:v>Matematik</x:v>
      </x:c>
      <x:c r="J861" s="14" t="str">
        <x:v>Konu / Tekrar</x:v>
      </x:c>
      <x:c r="K861" s="14" t="str">
        <x:v>Yüzde ve Temel Problem Çeşitleri</x:v>
      </x:c>
      <x:c r="L861" s="14" t="str">
        <x:v>Yüzde ve Temel Problem Çeşitleri — MEB doğrulaması öncesi 5-10 dk aktif hatırlama; gerekiyorsa ilgili playlist videosuna kısa dönüş yap.</x:v>
      </x:c>
      <x:c r="M861" s="14" t="str">
        <x:v>Matematik Ana Oynatma Listesi</x:v>
      </x:c>
      <x:c r="N861" s="14" t="str">
        <x:v>https://www.youtube.com/watch?v=EuJ89QzqrAg&amp;list=PLicNtF7vp6fnfDqrRLH6H7fIbzYT4ct4F&amp;index=11</x:v>
      </x:c>
      <x:c r="O861" s="14" t="n">
        <x:v>0</x:v>
      </x:c>
      <x:c r="P861" s="14" t="str">
        <x:v>Hayır</x:v>
      </x:c>
      <x:c r="Q861" s="14" t="str">
        <x:v>Evet</x:v>
      </x:c>
      <x:c r="R861" s="14" t="str">
        <x:v>Planlandı</x:v>
      </x:c>
      <x:c r="S861" s="15" t="str"/>
      <x:c r="T861" s="14" t="str">
        <x:v>Yeni konu ancak plan sırasıyla açılır; LGS dışı ileri TYT içeriği zorunlu değildir.</x:v>
      </x:c>
    </x:row>
    <x:row r="862">
      <x:c r="A862" s="14" t="n">
        <x:v>861</x:v>
      </x:c>
      <x:c r="B862" s="15" t="n">
        <x:v>46365</x:v>
      </x:c>
      <x:c r="C862" s="14" t="str">
        <x:v>Çarşamba</x:v>
      </x:c>
      <x:c r="D862" s="14" t="str">
        <x:v>Okul Günü</x:v>
      </x:c>
      <x:c r="E862" s="14" t="str">
        <x:v>16:00 sonrası</x:v>
      </x:c>
      <x:c r="F862" s="14" t="str">
        <x:v>F1 - Temel Kurma</x:v>
      </x:c>
      <x:c r="G862" s="14" t="str">
        <x:v>17:10</x:v>
      </x:c>
      <x:c r="H862" s="14" t="str">
        <x:v>17:55</x:v>
      </x:c>
      <x:c r="I862" s="14" t="str">
        <x:v>Matematik</x:v>
      </x:c>
      <x:c r="J862" s="14" t="str">
        <x:v>Kitap / MEB / Mastery</x:v>
      </x:c>
      <x:c r="K862" s="14" t="str">
        <x:v>Yüzde ve Temel Problem Çeşitleri</x:v>
      </x:c>
      <x:c r="L862" s="14" t="str">
        <x:v>Yüzde ve Temel Problem Çeşitleri için ilgili MEB sorularını TAMAMLA; D/Y/B kaydet. Bu oturum konu mastery gate'idir.</x:v>
      </x:c>
      <x:c r="M862" s="14" t="str">
        <x:v>MEB Resmî Soru Seti</x:v>
      </x:c>
      <x:c r="N862" s="14" t="str">
        <x:v>https://odsgm.meb.gov.tr/www/5-6-7-ve-9-sinif-duzeylerinde-calisma-sorulari-yayimlandi/icerik/775</x:v>
      </x:c>
      <x:c r="O862" s="14" t="n">
        <x:v>0</x:v>
      </x:c>
      <x:c r="P862" s="14" t="str">
        <x:v>Hayır</x:v>
      </x:c>
      <x:c r="Q862" s="14" t="str">
        <x:v>Evet</x:v>
      </x:c>
      <x:c r="R862" s="14" t="str">
        <x:v>Planlandı</x:v>
      </x:c>
      <x:c r="S862" s="15" t="str"/>
      <x:c r="T862" s="14" t="str">
        <x:v>MEB sonucu Konu_Ustaligi sayfasına işlenir.</x:v>
      </x:c>
    </x:row>
    <x:row r="863">
      <x:c r="A863" s="14" t="n">
        <x:v>862</x:v>
      </x:c>
      <x:c r="B863" s="15" t="n">
        <x:v>46365</x:v>
      </x:c>
      <x:c r="C863" s="14" t="str">
        <x:v>Çarşamba</x:v>
      </x:c>
      <x:c r="D863" s="14" t="str">
        <x:v>Okul Günü</x:v>
      </x:c>
      <x:c r="E863" s="14" t="str">
        <x:v>16:00 sonrası</x:v>
      </x:c>
      <x:c r="F863" s="14" t="str">
        <x:v>F1 - Temel Kurma</x:v>
      </x:c>
      <x:c r="G863" s="14" t="str">
        <x:v>17:55</x:v>
      </x:c>
      <x:c r="H863" s="14" t="str">
        <x:v>18:25</x:v>
      </x:c>
      <x:c r="I863" s="14" t="str">
        <x:v>Genel</x:v>
      </x:c>
      <x:c r="J863" s="14" t="str">
        <x:v>Yemek / Serbest Zaman</x:v>
      </x:c>
      <x:c r="K863" s="14" t="str"/>
      <x:c r="L863" s="14" t="str">
        <x:v>Yemek, hareket ve dinlenme.</x:v>
      </x:c>
      <x:c r="M863" s="14" t="str"/>
      <x:c r="N863" s="14" t="str"/>
      <x:c r="O863" s="14" t="n">
        <x:v>0</x:v>
      </x:c>
      <x:c r="P863" s="14" t="str">
        <x:v>Hayır</x:v>
      </x:c>
      <x:c r="Q863" s="14" t="str">
        <x:v>Hayır</x:v>
      </x:c>
      <x:c r="R863" s="14" t="str">
        <x:v>Planlandı</x:v>
      </x:c>
      <x:c r="S863" s="15" t="str"/>
      <x:c r="T863" s="14" t="str"/>
    </x:row>
    <x:row r="864">
      <x:c r="A864" s="14" t="n">
        <x:v>863</x:v>
      </x:c>
      <x:c r="B864" s="15" t="n">
        <x:v>46365</x:v>
      </x:c>
      <x:c r="C864" s="14" t="str">
        <x:v>Çarşamba</x:v>
      </x:c>
      <x:c r="D864" s="14" t="str">
        <x:v>Okul Günü</x:v>
      </x:c>
      <x:c r="E864" s="14" t="str">
        <x:v>16:00 sonrası</x:v>
      </x:c>
      <x:c r="F864" s="14" t="str">
        <x:v>F1 - Temel Kurma</x:v>
      </x:c>
      <x:c r="G864" s="14" t="str">
        <x:v>18:25</x:v>
      </x:c>
      <x:c r="H864" s="14" t="str">
        <x:v>18:55</x:v>
      </x:c>
      <x:c r="I864" s="14" t="str">
        <x:v>Türkçe</x:v>
      </x:c>
      <x:c r="J864" s="14" t="str">
        <x:v>Paragraf Rutini</x:v>
      </x:c>
      <x:c r="K864" s="14" t="str">
        <x:v>Paragraf</x:v>
      </x:c>
      <x:c r="L864" s="14" t="str">
        <x:v>En az 25 paragraf sorusu çöz; ilk 20 soruyu ileri sayımla ölç, D/Y/B + süre kaydet.</x:v>
      </x:c>
      <x:c r="M864" s="14" t="str">
        <x:v>Hız 8. Sınıf Türkçe Paragraf (ISBN 9786258394498)</x:v>
      </x:c>
      <x:c r="N864" s="14" t="str"/>
      <x:c r="O864" s="14" t="n">
        <x:v>25</x:v>
      </x:c>
      <x:c r="P864" s="14" t="str">
        <x:v>İlk 20 soru</x:v>
      </x:c>
      <x:c r="Q864" s="14" t="str">
        <x:v>Evet</x:v>
      </x:c>
      <x:c r="R864" s="14" t="str">
        <x:v>Planlandı</x:v>
      </x:c>
      <x:c r="S864" s="15" t="str"/>
      <x:c r="T864" s="14" t="str">
        <x:v>Geri sayım ve hedef süre yok.</x:v>
      </x:c>
    </x:row>
    <x:row r="865">
      <x:c r="A865" s="14" t="n">
        <x:v>864</x:v>
      </x:c>
      <x:c r="B865" s="15" t="n">
        <x:v>46365</x:v>
      </x:c>
      <x:c r="C865" s="14" t="str">
        <x:v>Çarşamba</x:v>
      </x:c>
      <x:c r="D865" s="14" t="str">
        <x:v>Okul Günü</x:v>
      </x:c>
      <x:c r="E865" s="14" t="str">
        <x:v>16:00 sonrası</x:v>
      </x:c>
      <x:c r="F865" s="14" t="str">
        <x:v>F1 - Temel Kurma</x:v>
      </x:c>
      <x:c r="G865" s="14" t="str">
        <x:v>19:00</x:v>
      </x:c>
      <x:c r="H865" s="14" t="str">
        <x:v>19:35</x:v>
      </x:c>
      <x:c r="I865" s="14" t="str">
        <x:v>Türkçe</x:v>
      </x:c>
      <x:c r="J865" s="14" t="str">
        <x:v>Konu / Tekrar</x:v>
      </x:c>
      <x:c r="K865" s="14" t="str">
        <x:v>Fiilimsiler</x:v>
      </x:c>
      <x:c r="L865" s="14" t="str">
        <x:v>Fiilimsiler — genel oynatma listesinden ilgili videoyu izle (4/4).</x:v>
      </x:c>
      <x:c r="M865" s="14" t="str">
        <x:v>Türkçe Ana Oynatma Listesi</x:v>
      </x:c>
      <x:c r="N865" s="14" t="str">
        <x:v>https://www.youtube.com/watch?v=VYsPntNKVdw&amp;list=PLIBjFaUoJJ91bz7QQEBlxNJNZka5YQRr6</x:v>
      </x:c>
      <x:c r="O865" s="14" t="n">
        <x:v>0</x:v>
      </x:c>
      <x:c r="P865" s="14" t="str">
        <x:v>Hayır</x:v>
      </x:c>
      <x:c r="Q865" s="14" t="str">
        <x:v>Evet</x:v>
      </x:c>
      <x:c r="R865" s="14" t="str">
        <x:v>Planlandı</x:v>
      </x:c>
      <x:c r="S865" s="15" t="str"/>
      <x:c r="T865" s="14" t="str">
        <x:v>TYT etiketli kaynak temelden başlamak için sabittir; LGS dışı gereksiz ayrıntı zorunlu değildir.</x:v>
      </x:c>
    </x:row>
    <x:row r="866">
      <x:c r="A866" s="14" t="n">
        <x:v>865</x:v>
      </x:c>
      <x:c r="B866" s="15" t="n">
        <x:v>46365</x:v>
      </x:c>
      <x:c r="C866" s="14" t="str">
        <x:v>Çarşamba</x:v>
      </x:c>
      <x:c r="D866" s="14" t="str">
        <x:v>Okul Günü</x:v>
      </x:c>
      <x:c r="E866" s="14" t="str">
        <x:v>16:00 sonrası</x:v>
      </x:c>
      <x:c r="F866" s="14" t="str">
        <x:v>F1 - Temel Kurma</x:v>
      </x:c>
      <x:c r="G866" s="14" t="str">
        <x:v>19:40</x:v>
      </x:c>
      <x:c r="H866" s="14" t="str">
        <x:v>20:10</x:v>
      </x:c>
      <x:c r="I866" s="14" t="str">
        <x:v>Türkçe</x:v>
      </x:c>
      <x:c r="J866" s="14" t="str">
        <x:v>Kitap / MEB / Mastery</x:v>
      </x:c>
      <x:c r="K866" s="14" t="str">
        <x:v>Fiilimsiler</x:v>
      </x:c>
      <x:c r="L866" s="14" t="str">
        <x:v>Fiilimsiler ile ilgili soru kitabından en az 15 soru / bugünkü test payını çöz. İlgili kitap konu bölümünü bu oturumda bitirmeyi hedefle; sonraki oturum MEB doğrulaması.</x:v>
      </x:c>
      <x:c r="M866" s="14" t="str">
        <x:v>Ankara 8. Sınıf Dil Bilgisi Güçlendiren</x:v>
      </x:c>
      <x:c r="N866" s="14" t="str">
        <x:v>https://odsgm.meb.gov.tr/www/8sinif-calisma-sorulari/icerik/1632</x:v>
      </x:c>
      <x:c r="O866" s="14" t="n">
        <x:v>15</x:v>
      </x:c>
      <x:c r="P866" s="14" t="str">
        <x:v>Hayır</x:v>
      </x:c>
      <x:c r="Q866" s="14" t="str">
        <x:v>Evet</x:v>
      </x:c>
      <x:c r="R866" s="14" t="str">
        <x:v>Planlandı</x:v>
      </x:c>
      <x:c r="S866" s="15" t="str"/>
      <x:c r="T866" s="14" t="str"/>
    </x:row>
    <x:row r="867">
      <x:c r="A867" s="14" t="n">
        <x:v>866</x:v>
      </x:c>
      <x:c r="B867" s="15" t="n">
        <x:v>46365</x:v>
      </x:c>
      <x:c r="C867" s="14" t="str">
        <x:v>Çarşamba</x:v>
      </x:c>
      <x:c r="D867" s="14" t="str">
        <x:v>Okul Günü</x:v>
      </x:c>
      <x:c r="E867" s="14" t="str">
        <x:v>16:00 sonrası</x:v>
      </x:c>
      <x:c r="F867" s="14" t="str">
        <x:v>F1 - Temel Kurma</x:v>
      </x:c>
      <x:c r="G867" s="14" t="str">
        <x:v>20:15</x:v>
      </x:c>
      <x:c r="H867" s="14" t="str">
        <x:v>20:50</x:v>
      </x:c>
      <x:c r="I867" s="14" t="str">
        <x:v>Din</x:v>
      </x:c>
      <x:c r="J867" s="14" t="str">
        <x:v>Konu / Tekrar</x:v>
      </x:c>
      <x:c r="K867" s="14" t="str">
        <x:v>Din ve Hayat</x:v>
      </x:c>
      <x:c r="L867" s="14" t="str">
        <x:v>Din ve Hayat — MEB doğrulaması öncesi 5-10 dk aktif hatırlama; gerekiyorsa ilgili playlist videosuna kısa dönüş yap.</x:v>
      </x:c>
      <x:c r="M867" s="14" t="str">
        <x:v>Din Genel Oynatma Listesi</x:v>
      </x:c>
      <x:c r="N867" s="14" t="str">
        <x:v>https://www.youtube.com/watch?v=wvdOE_75VnA&amp;list=PLbRoPq-Zu-SWXGUbVt4t4UWo-4VjsMUo-&amp;index=2</x:v>
      </x:c>
      <x:c r="O867" s="14" t="n">
        <x:v>0</x:v>
      </x:c>
      <x:c r="P867" s="14" t="str">
        <x:v>Hayır</x:v>
      </x:c>
      <x:c r="Q867" s="14" t="str">
        <x:v>Evet</x:v>
      </x:c>
      <x:c r="R867" s="14" t="str">
        <x:v>Planlandı</x:v>
      </x:c>
      <x:c r="S867" s="15" t="str"/>
      <x:c r="T867" s="14" t="str"/>
    </x:row>
    <x:row r="868">
      <x:c r="A868" s="14" t="n">
        <x:v>867</x:v>
      </x:c>
      <x:c r="B868" s="15" t="n">
        <x:v>46365</x:v>
      </x:c>
      <x:c r="C868" s="14" t="str">
        <x:v>Çarşamba</x:v>
      </x:c>
      <x:c r="D868" s="14" t="str">
        <x:v>Okul Günü</x:v>
      </x:c>
      <x:c r="E868" s="14" t="str">
        <x:v>16:00 sonrası</x:v>
      </x:c>
      <x:c r="F868" s="14" t="str">
        <x:v>F1 - Temel Kurma</x:v>
      </x:c>
      <x:c r="G868" s="14" t="str">
        <x:v>20:55</x:v>
      </x:c>
      <x:c r="H868" s="14" t="str">
        <x:v>21:20</x:v>
      </x:c>
      <x:c r="I868" s="14" t="str">
        <x:v>Din</x:v>
      </x:c>
      <x:c r="J868" s="14" t="str">
        <x:v>Kitap / MEB / Mastery</x:v>
      </x:c>
      <x:c r="K868" s="14" t="str">
        <x:v>Din ve Hayat</x:v>
      </x:c>
      <x:c r="L868" s="14" t="str">
        <x:v>Din ve Hayat için ilgili MEB sorularını TAMAMLA; D/Y/B kaydet. Bu oturum konu mastery gate'idir.</x:v>
      </x:c>
      <x:c r="M868" s="14" t="str">
        <x:v>MEB 8. Sınıf Din Soruları</x:v>
      </x:c>
      <x:c r="N868" s="14" t="str">
        <x:v>https://odsgm.meb.gov.tr/www/8sinif-calisma-sorulari/icerik/1632</x:v>
      </x:c>
      <x:c r="O868" s="14" t="n">
        <x:v>0</x:v>
      </x:c>
      <x:c r="P868" s="14" t="str">
        <x:v>Hayır</x:v>
      </x:c>
      <x:c r="Q868" s="14" t="str">
        <x:v>Evet</x:v>
      </x:c>
      <x:c r="R868" s="14" t="str">
        <x:v>Planlandı</x:v>
      </x:c>
      <x:c r="S868" s="15" t="str"/>
      <x:c r="T868" s="14" t="str">
        <x:v>MEB sonucu Konu_Ustaligi sayfasına işlenir.</x:v>
      </x:c>
    </x:row>
    <x:row r="869">
      <x:c r="A869" s="14" t="n">
        <x:v>868</x:v>
      </x:c>
      <x:c r="B869" s="15" t="n">
        <x:v>46365</x:v>
      </x:c>
      <x:c r="C869" s="14" t="str">
        <x:v>Çarşamba</x:v>
      </x:c>
      <x:c r="D869" s="14" t="str">
        <x:v>Okul Günü</x:v>
      </x:c>
      <x:c r="E869" s="14" t="str">
        <x:v>16:00 sonrası</x:v>
      </x:c>
      <x:c r="F869" s="14" t="str">
        <x:v>F1 - Temel Kurma</x:v>
      </x:c>
      <x:c r="G869" s="14" t="str">
        <x:v>21:20</x:v>
      </x:c>
      <x:c r="H869" s="14" t="str">
        <x:v>21:35</x:v>
      </x:c>
      <x:c r="I869" s="14" t="str">
        <x:v>Genel</x:v>
      </x:c>
      <x:c r="J869" s="14" t="str">
        <x:v>Yanlış / Boş Analizi</x:v>
      </x:c>
      <x:c r="K869" s="14" t="str">
        <x:v>Günlük</x:v>
      </x:c>
      <x:c r="L869" s="14" t="str">
        <x:v>Bugünkü yanlış/boşları kaydet; çözümünü öğrenmeden kapatma. Hata türünü sınıflandır.</x:v>
      </x:c>
      <x:c r="M869" s="14" t="str">
        <x:v>Yanlış Defteri</x:v>
      </x:c>
      <x:c r="N869" s="14" t="str"/>
      <x:c r="O869" s="14" t="n">
        <x:v>0</x:v>
      </x:c>
      <x:c r="P869" s="14" t="str">
        <x:v>Hayır</x:v>
      </x:c>
      <x:c r="Q869" s="14" t="str">
        <x:v>Evet</x:v>
      </x:c>
      <x:c r="R869" s="14" t="str">
        <x:v>Planlandı</x:v>
      </x:c>
      <x:c r="S869" s="15" t="str"/>
      <x:c r="T869" s="14" t="str"/>
    </x:row>
    <x:row r="870">
      <x:c r="A870" s="14" t="n">
        <x:v>869</x:v>
      </x:c>
      <x:c r="B870" s="15" t="n">
        <x:v>46365</x:v>
      </x:c>
      <x:c r="C870" s="14" t="str">
        <x:v>Çarşamba</x:v>
      </x:c>
      <x:c r="D870" s="14" t="str">
        <x:v>Okul Günü</x:v>
      </x:c>
      <x:c r="E870" s="14" t="str">
        <x:v>16:00 sonrası</x:v>
      </x:c>
      <x:c r="F870" s="14" t="str">
        <x:v>F1 - Temel Kurma</x:v>
      </x:c>
      <x:c r="G870" s="14" t="str">
        <x:v>21:35</x:v>
      </x:c>
      <x:c r="H870" s="14" t="str">
        <x:v>21:50</x:v>
      </x:c>
      <x:c r="I870" s="14" t="str">
        <x:v>Genel</x:v>
      </x:c>
      <x:c r="J870" s="14" t="str">
        <x:v>Aralıklı Hata Tekrarı</x:v>
      </x:c>
      <x:c r="K870" s="14" t="str">
        <x:v>+1 / +7 / +21</x:v>
      </x:c>
      <x:c r="L870" s="14" t="str">
        <x:v>Bugün vadesi gelen yanlış soruları tekrar çöz. Vadesi yoksa bu süre serbest/okuma olabilir.</x:v>
      </x:c>
      <x:c r="M870" s="14" t="str">
        <x:v>Yanlış Defteri</x:v>
      </x:c>
      <x:c r="N870" s="14" t="str"/>
      <x:c r="O870" s="14" t="n">
        <x:v>0</x:v>
      </x:c>
      <x:c r="P870" s="14" t="str">
        <x:v>Hayır</x:v>
      </x:c>
      <x:c r="Q870" s="14" t="str">
        <x:v>Koşullu</x:v>
      </x:c>
      <x:c r="R870" s="14" t="str">
        <x:v>Planlandı</x:v>
      </x:c>
      <x:c r="S870" s="15" t="str"/>
      <x:c r="T870" s="14" t="str">
        <x:v>Yanlışlar +1, +7 ve +21 gün aralıklarıyla tekrar edilir; hâlâ yanlışsa konu mastery durumu düşürülür.</x:v>
      </x:c>
    </x:row>
    <x:row r="871">
      <x:c r="A871" s="14" t="n">
        <x:v>870</x:v>
      </x:c>
      <x:c r="B871" s="15" t="n">
        <x:v>46365</x:v>
      </x:c>
      <x:c r="C871" s="14" t="str">
        <x:v>Çarşamba</x:v>
      </x:c>
      <x:c r="D871" s="14" t="str">
        <x:v>Okul Günü</x:v>
      </x:c>
      <x:c r="E871" s="14" t="str">
        <x:v>16:00 sonrası</x:v>
      </x:c>
      <x:c r="F871" s="14" t="str">
        <x:v>F1 - Temel Kurma</x:v>
      </x:c>
      <x:c r="G871" s="14" t="str">
        <x:v>21:50</x:v>
      </x:c>
      <x:c r="H871" s="14" t="str">
        <x:v>22:00</x:v>
      </x:c>
      <x:c r="I871" s="14" t="str">
        <x:v>Genel</x:v>
      </x:c>
      <x:c r="J871" s="14" t="str">
        <x:v>Uyku Hazırlığı</x:v>
      </x:c>
      <x:c r="K871" s="14" t="str"/>
      <x:c r="L871" s="14" t="str">
        <x:v>22:00'de yatakta ve uyku.</x:v>
      </x:c>
      <x:c r="M871" s="14" t="str"/>
      <x:c r="N871" s="14" t="str"/>
      <x:c r="O871" s="14" t="n">
        <x:v>0</x:v>
      </x:c>
      <x:c r="P871" s="14" t="str">
        <x:v>Hayır</x:v>
      </x:c>
      <x:c r="Q871" s="14" t="str">
        <x:v>Hayır</x:v>
      </x:c>
      <x:c r="R871" s="14" t="str">
        <x:v>Planlandı</x:v>
      </x:c>
      <x:c r="S871" s="15" t="str"/>
      <x:c r="T871" s="14" t="str"/>
    </x:row>
    <x:row r="872">
      <x:c r="A872" s="14" t="n">
        <x:v>871</x:v>
      </x:c>
      <x:c r="B872" s="15" t="n">
        <x:v>46366</x:v>
      </x:c>
      <x:c r="C872" s="14" t="str">
        <x:v>Perşembe</x:v>
      </x:c>
      <x:c r="D872" s="14" t="str">
        <x:v>Okul Günü</x:v>
      </x:c>
      <x:c r="E872" s="14" t="str">
        <x:v>16:00 sonrası</x:v>
      </x:c>
      <x:c r="F872" s="14" t="str">
        <x:v>F1 - Temel Kurma</x:v>
      </x:c>
      <x:c r="G872" s="14" t="str">
        <x:v>16:00</x:v>
      </x:c>
      <x:c r="H872" s="14" t="str">
        <x:v>16:25</x:v>
      </x:c>
      <x:c r="I872" s="14" t="str">
        <x:v>Genel</x:v>
      </x:c>
      <x:c r="J872" s="14" t="str">
        <x:v>Dinlenme</x:v>
      </x:c>
      <x:c r="K872" s="14" t="str"/>
      <x:c r="L872" s="14" t="str">
        <x:v>Eve geliş, atıştırma ve dinlenme.</x:v>
      </x:c>
      <x:c r="M872" s="14" t="str"/>
      <x:c r="N872" s="14" t="str"/>
      <x:c r="O872" s="14" t="n">
        <x:v>0</x:v>
      </x:c>
      <x:c r="P872" s="14" t="str">
        <x:v>Hayır</x:v>
      </x:c>
      <x:c r="Q872" s="14" t="str">
        <x:v>Hayır</x:v>
      </x:c>
      <x:c r="R872" s="14" t="str">
        <x:v>Planlandı</x:v>
      </x:c>
      <x:c r="S872" s="15" t="str"/>
      <x:c r="T872" s="14" t="str"/>
    </x:row>
    <x:row r="873">
      <x:c r="A873" s="14" t="n">
        <x:v>872</x:v>
      </x:c>
      <x:c r="B873" s="15" t="n">
        <x:v>46366</x:v>
      </x:c>
      <x:c r="C873" s="14" t="str">
        <x:v>Perşembe</x:v>
      </x:c>
      <x:c r="D873" s="14" t="str">
        <x:v>Okul Günü</x:v>
      </x:c>
      <x:c r="E873" s="14" t="str">
        <x:v>16:00 sonrası</x:v>
      </x:c>
      <x:c r="F873" s="14" t="str">
        <x:v>F1 - Temel Kurma</x:v>
      </x:c>
      <x:c r="G873" s="14" t="str">
        <x:v>16:25</x:v>
      </x:c>
      <x:c r="H873" s="14" t="str">
        <x:v>17:05</x:v>
      </x:c>
      <x:c r="I873" s="14" t="str">
        <x:v>Matematik</x:v>
      </x:c>
      <x:c r="J873" s="14" t="str">
        <x:v>Konu / Tekrar</x:v>
      </x:c>
      <x:c r="K873" s="14" t="str">
        <x:v>Çarpanlar ve Katlar</x:v>
      </x:c>
      <x:c r="L873" s="14" t="str">
        <x:v>Çarpanlar ve Katlar — genel oynatma listesinden ilgili videoyu izle (1/3).</x:v>
      </x:c>
      <x:c r="M873" s="14" t="str">
        <x:v>Matematik Yedek Oynatma Listesi</x:v>
      </x:c>
      <x:c r="N873" s="14" t="str">
        <x:v>https://www.youtube.com/watch?v=Z7exqEHEqQA&amp;list=PLHN_SjKO7rCI&amp;index=3</x:v>
      </x:c>
      <x:c r="O873" s="14" t="n">
        <x:v>0</x:v>
      </x:c>
      <x:c r="P873" s="14" t="str">
        <x:v>Hayır</x:v>
      </x:c>
      <x:c r="Q873" s="14" t="str">
        <x:v>Evet</x:v>
      </x:c>
      <x:c r="R873" s="14" t="str">
        <x:v>Planlandı</x:v>
      </x:c>
      <x:c r="S873" s="15" t="str"/>
      <x:c r="T873" s="14" t="str">
        <x:v>Yeni konu ancak plan sırasıyla açılır; LGS dışı ileri TYT içeriği zorunlu değildir.</x:v>
      </x:c>
    </x:row>
    <x:row r="874">
      <x:c r="A874" s="14" t="n">
        <x:v>873</x:v>
      </x:c>
      <x:c r="B874" s="15" t="n">
        <x:v>46366</x:v>
      </x:c>
      <x:c r="C874" s="14" t="str">
        <x:v>Perşembe</x:v>
      </x:c>
      <x:c r="D874" s="14" t="str">
        <x:v>Okul Günü</x:v>
      </x:c>
      <x:c r="E874" s="14" t="str">
        <x:v>16:00 sonrası</x:v>
      </x:c>
      <x:c r="F874" s="14" t="str">
        <x:v>F1 - Temel Kurma</x:v>
      </x:c>
      <x:c r="G874" s="14" t="str">
        <x:v>17:10</x:v>
      </x:c>
      <x:c r="H874" s="14" t="str">
        <x:v>17:55</x:v>
      </x:c>
      <x:c r="I874" s="14" t="str">
        <x:v>Matematik</x:v>
      </x:c>
      <x:c r="J874" s="14" t="str">
        <x:v>Kitap / MEB / Mastery</x:v>
      </x:c>
      <x:c r="K874" s="14" t="str">
        <x:v>Çarpanlar ve Katlar</x:v>
      </x:c>
      <x:c r="L874" s="14" t="str">
        <x:v>Çarpanlar ve Katlar ile ilgili soru kitabından en az 25 soru / bugünkü test payını çöz.</x:v>
      </x:c>
      <x:c r="M874" s="14" t="str">
        <x:v>MUBA 8. Sınıf Başlangıç Matematik (ISBN 9789756526972); tamamlandıysa Mozaik 8. Sınıf Matematik</x:v>
      </x:c>
      <x:c r="N874" s="14" t="str">
        <x:v>https://odsgm.meb.gov.tr/www/8sinif-calisma-sorulari/icerik/1632</x:v>
      </x:c>
      <x:c r="O874" s="14" t="n">
        <x:v>25</x:v>
      </x:c>
      <x:c r="P874" s="14" t="str">
        <x:v>İlk 20 soru</x:v>
      </x:c>
      <x:c r="Q874" s="14" t="str">
        <x:v>Evet</x:v>
      </x:c>
      <x:c r="R874" s="14" t="str">
        <x:v>Planlandı</x:v>
      </x:c>
      <x:c r="S874" s="15" t="str"/>
      <x:c r="T874" s="14" t="str">
        <x:v>Ayrı/rastgele matematik benchmark yoktur. Süreli ilk 20 soru o gün çalışılan konunun içindedir.</x:v>
      </x:c>
    </x:row>
    <x:row r="875">
      <x:c r="A875" s="14" t="n">
        <x:v>874</x:v>
      </x:c>
      <x:c r="B875" s="15" t="n">
        <x:v>46366</x:v>
      </x:c>
      <x:c r="C875" s="14" t="str">
        <x:v>Perşembe</x:v>
      </x:c>
      <x:c r="D875" s="14" t="str">
        <x:v>Okul Günü</x:v>
      </x:c>
      <x:c r="E875" s="14" t="str">
        <x:v>16:00 sonrası</x:v>
      </x:c>
      <x:c r="F875" s="14" t="str">
        <x:v>F1 - Temel Kurma</x:v>
      </x:c>
      <x:c r="G875" s="14" t="str">
        <x:v>17:55</x:v>
      </x:c>
      <x:c r="H875" s="14" t="str">
        <x:v>18:25</x:v>
      </x:c>
      <x:c r="I875" s="14" t="str">
        <x:v>Genel</x:v>
      </x:c>
      <x:c r="J875" s="14" t="str">
        <x:v>Yemek / Serbest Zaman</x:v>
      </x:c>
      <x:c r="K875" s="14" t="str"/>
      <x:c r="L875" s="14" t="str">
        <x:v>Yemek, hareket ve dinlenme.</x:v>
      </x:c>
      <x:c r="M875" s="14" t="str"/>
      <x:c r="N875" s="14" t="str"/>
      <x:c r="O875" s="14" t="n">
        <x:v>0</x:v>
      </x:c>
      <x:c r="P875" s="14" t="str">
        <x:v>Hayır</x:v>
      </x:c>
      <x:c r="Q875" s="14" t="str">
        <x:v>Hayır</x:v>
      </x:c>
      <x:c r="R875" s="14" t="str">
        <x:v>Planlandı</x:v>
      </x:c>
      <x:c r="S875" s="15" t="str"/>
      <x:c r="T875" s="14" t="str"/>
    </x:row>
    <x:row r="876">
      <x:c r="A876" s="14" t="n">
        <x:v>875</x:v>
      </x:c>
      <x:c r="B876" s="15" t="n">
        <x:v>46366</x:v>
      </x:c>
      <x:c r="C876" s="14" t="str">
        <x:v>Perşembe</x:v>
      </x:c>
      <x:c r="D876" s="14" t="str">
        <x:v>Okul Günü</x:v>
      </x:c>
      <x:c r="E876" s="14" t="str">
        <x:v>16:00 sonrası</x:v>
      </x:c>
      <x:c r="F876" s="14" t="str">
        <x:v>F1 - Temel Kurma</x:v>
      </x:c>
      <x:c r="G876" s="14" t="str">
        <x:v>18:25</x:v>
      </x:c>
      <x:c r="H876" s="14" t="str">
        <x:v>18:55</x:v>
      </x:c>
      <x:c r="I876" s="14" t="str">
        <x:v>Türkçe</x:v>
      </x:c>
      <x:c r="J876" s="14" t="str">
        <x:v>Paragraf Rutini</x:v>
      </x:c>
      <x:c r="K876" s="14" t="str">
        <x:v>Paragraf</x:v>
      </x:c>
      <x:c r="L876" s="14" t="str">
        <x:v>En az 25 paragraf sorusu çöz; ilk 20 soruyu ileri sayımla ölç, D/Y/B + süre kaydet.</x:v>
      </x:c>
      <x:c r="M876" s="14" t="str">
        <x:v>Hız 8. Sınıf Türkçe Paragraf (ISBN 9786258394498)</x:v>
      </x:c>
      <x:c r="N876" s="14" t="str"/>
      <x:c r="O876" s="14" t="n">
        <x:v>25</x:v>
      </x:c>
      <x:c r="P876" s="14" t="str">
        <x:v>İlk 20 soru</x:v>
      </x:c>
      <x:c r="Q876" s="14" t="str">
        <x:v>Evet</x:v>
      </x:c>
      <x:c r="R876" s="14" t="str">
        <x:v>Planlandı</x:v>
      </x:c>
      <x:c r="S876" s="15" t="str"/>
      <x:c r="T876" s="14" t="str">
        <x:v>Geri sayım ve hedef süre yok.</x:v>
      </x:c>
    </x:row>
    <x:row r="877">
      <x:c r="A877" s="14" t="n">
        <x:v>876</x:v>
      </x:c>
      <x:c r="B877" s="15" t="n">
        <x:v>46366</x:v>
      </x:c>
      <x:c r="C877" s="14" t="str">
        <x:v>Perşembe</x:v>
      </x:c>
      <x:c r="D877" s="14" t="str">
        <x:v>Okul Günü</x:v>
      </x:c>
      <x:c r="E877" s="14" t="str">
        <x:v>16:00 sonrası</x:v>
      </x:c>
      <x:c r="F877" s="14" t="str">
        <x:v>F1 - Temel Kurma</x:v>
      </x:c>
      <x:c r="G877" s="14" t="str">
        <x:v>19:00</x:v>
      </x:c>
      <x:c r="H877" s="14" t="str">
        <x:v>19:35</x:v>
      </x:c>
      <x:c r="I877" s="14" t="str">
        <x:v>Türkçe</x:v>
      </x:c>
      <x:c r="J877" s="14" t="str">
        <x:v>Konu / Tekrar</x:v>
      </x:c>
      <x:c r="K877" s="14" t="str">
        <x:v>Fiilimsiler</x:v>
      </x:c>
      <x:c r="L877" s="14" t="str">
        <x:v>Fiilimsiler — MEB doğrulaması öncesi 5-10 dk aktif hatırlama; gerekiyorsa ilgili playlist videosuna kısa dönüş yap.</x:v>
      </x:c>
      <x:c r="M877" s="14" t="str">
        <x:v>Türkçe Ana Oynatma Listesi</x:v>
      </x:c>
      <x:c r="N877" s="14" t="str">
        <x:v>https://www.youtube.com/watch?v=VYsPntNKVdw&amp;list=PLIBjFaUoJJ91bz7QQEBlxNJNZka5YQRr6</x:v>
      </x:c>
      <x:c r="O877" s="14" t="n">
        <x:v>0</x:v>
      </x:c>
      <x:c r="P877" s="14" t="str">
        <x:v>Hayır</x:v>
      </x:c>
      <x:c r="Q877" s="14" t="str">
        <x:v>Evet</x:v>
      </x:c>
      <x:c r="R877" s="14" t="str">
        <x:v>Planlandı</x:v>
      </x:c>
      <x:c r="S877" s="15" t="str"/>
      <x:c r="T877" s="14" t="str">
        <x:v>TYT etiketli kaynak temelden başlamak için sabittir; LGS dışı gereksiz ayrıntı zorunlu değildir.</x:v>
      </x:c>
    </x:row>
    <x:row r="878">
      <x:c r="A878" s="14" t="n">
        <x:v>877</x:v>
      </x:c>
      <x:c r="B878" s="15" t="n">
        <x:v>46366</x:v>
      </x:c>
      <x:c r="C878" s="14" t="str">
        <x:v>Perşembe</x:v>
      </x:c>
      <x:c r="D878" s="14" t="str">
        <x:v>Okul Günü</x:v>
      </x:c>
      <x:c r="E878" s="14" t="str">
        <x:v>16:00 sonrası</x:v>
      </x:c>
      <x:c r="F878" s="14" t="str">
        <x:v>F1 - Temel Kurma</x:v>
      </x:c>
      <x:c r="G878" s="14" t="str">
        <x:v>19:40</x:v>
      </x:c>
      <x:c r="H878" s="14" t="str">
        <x:v>20:10</x:v>
      </x:c>
      <x:c r="I878" s="14" t="str">
        <x:v>Türkçe</x:v>
      </x:c>
      <x:c r="J878" s="14" t="str">
        <x:v>Kitap / MEB / Mastery</x:v>
      </x:c>
      <x:c r="K878" s="14" t="str">
        <x:v>Fiilimsiler</x:v>
      </x:c>
      <x:c r="L878" s="14" t="str">
        <x:v>Fiilimsiler için ilgili MEB sorularını TAMAMLA; D/Y/B kaydet. Bu oturum konu mastery gate'idir.</x:v>
      </x:c>
      <x:c r="M878" s="14" t="str">
        <x:v>MEB Resmî Soru Seti</x:v>
      </x:c>
      <x:c r="N878" s="14" t="str">
        <x:v>https://odsgm.meb.gov.tr/www/8sinif-calisma-sorulari/icerik/1632</x:v>
      </x:c>
      <x:c r="O878" s="14" t="n">
        <x:v>0</x:v>
      </x:c>
      <x:c r="P878" s="14" t="str">
        <x:v>Hayır</x:v>
      </x:c>
      <x:c r="Q878" s="14" t="str">
        <x:v>Evet</x:v>
      </x:c>
      <x:c r="R878" s="14" t="str">
        <x:v>Planlandı</x:v>
      </x:c>
      <x:c r="S878" s="15" t="str"/>
      <x:c r="T878" s="14" t="str">
        <x:v>MEB sonucu Konu_Ustaligi sayfasına işlenir.</x:v>
      </x:c>
    </x:row>
    <x:row r="879">
      <x:c r="A879" s="14" t="n">
        <x:v>878</x:v>
      </x:c>
      <x:c r="B879" s="15" t="n">
        <x:v>46366</x:v>
      </x:c>
      <x:c r="C879" s="14" t="str">
        <x:v>Perşembe</x:v>
      </x:c>
      <x:c r="D879" s="14" t="str">
        <x:v>Okul Günü</x:v>
      </x:c>
      <x:c r="E879" s="14" t="str">
        <x:v>16:00 sonrası</x:v>
      </x:c>
      <x:c r="F879" s="14" t="str">
        <x:v>F1 - Temel Kurma</x:v>
      </x:c>
      <x:c r="G879" s="14" t="str">
        <x:v>20:15</x:v>
      </x:c>
      <x:c r="H879" s="14" t="str">
        <x:v>20:50</x:v>
      </x:c>
      <x:c r="I879" s="14" t="str">
        <x:v>İnkılap</x:v>
      </x:c>
      <x:c r="J879" s="14" t="str">
        <x:v>Konu / Tekrar</x:v>
      </x:c>
      <x:c r="K879" s="14" t="str">
        <x:v>Genelgeler, Kongreler, Misakımillî ve TBMM</x:v>
      </x:c>
      <x:c r="L879" s="14" t="str">
        <x:v>Genelgeler, Kongreler, Misakımillî ve TBMM — genel oynatma listesinden ilgili konu/soru çalışmasını yap.</x:v>
      </x:c>
      <x:c r="M879" s="14" t="str">
        <x:v>İnkılap Genel Oynatma Listesi</x:v>
      </x:c>
      <x:c r="N879" s="14" t="str">
        <x:v>https://www.youtube.com/watch?v=MltIX0oKpYU&amp;list=PLsAsBPsriHNbXit4Ra3iuBrk1ZHZWxsOR&amp;index=78</x:v>
      </x:c>
      <x:c r="O879" s="14" t="n">
        <x:v>0</x:v>
      </x:c>
      <x:c r="P879" s="14" t="str">
        <x:v>Hayır</x:v>
      </x:c>
      <x:c r="Q879" s="14" t="str">
        <x:v>Evet</x:v>
      </x:c>
      <x:c r="R879" s="14" t="str">
        <x:v>Planlandı</x:v>
      </x:c>
      <x:c r="S879" s="15" t="str"/>
      <x:c r="T879" s="14" t="str">
        <x:v>İnkılapta okul yazılısı videoları zorunlu değildir.</x:v>
      </x:c>
    </x:row>
    <x:row r="880">
      <x:c r="A880" s="14" t="n">
        <x:v>879</x:v>
      </x:c>
      <x:c r="B880" s="15" t="n">
        <x:v>46366</x:v>
      </x:c>
      <x:c r="C880" s="14" t="str">
        <x:v>Perşembe</x:v>
      </x:c>
      <x:c r="D880" s="14" t="str">
        <x:v>Okul Günü</x:v>
      </x:c>
      <x:c r="E880" s="14" t="str">
        <x:v>16:00 sonrası</x:v>
      </x:c>
      <x:c r="F880" s="14" t="str">
        <x:v>F1 - Temel Kurma</x:v>
      </x:c>
      <x:c r="G880" s="14" t="str">
        <x:v>20:55</x:v>
      </x:c>
      <x:c r="H880" s="14" t="str">
        <x:v>21:20</x:v>
      </x:c>
      <x:c r="I880" s="14" t="str">
        <x:v>İnkılap</x:v>
      </x:c>
      <x:c r="J880" s="14" t="str">
        <x:v>Kitap / MEB / Mastery</x:v>
      </x:c>
      <x:c r="K880" s="14" t="str">
        <x:v>Genelgeler, Kongreler, Misakımillî ve TBMM</x:v>
      </x:c>
      <x:c r="L880" s="14" t="str">
        <x:v>Genelgeler, Kongreler, Misakımillî ve TBMM ile ilgili soru kitabından en az 18 soru / bugünkü test payını çöz.</x:v>
      </x:c>
      <x:c r="M880" s="14" t="str">
        <x:v>Hız 8. Sınıf T.C. İnkılap Tarihi ve Atatürkçülük</x:v>
      </x:c>
      <x:c r="N880" s="14" t="str">
        <x:v>https://www.youtube.com/watch?v=MltIX0oKpYU&amp;list=PLsAsBPsriHNbXit4Ra3iuBrk1ZHZWxsOR&amp;index=78</x:v>
      </x:c>
      <x:c r="O880" s="14" t="n">
        <x:v>18</x:v>
      </x:c>
      <x:c r="P880" s="14" t="str">
        <x:v>Hayır</x:v>
      </x:c>
      <x:c r="Q880" s="14" t="str">
        <x:v>Evet</x:v>
      </x:c>
      <x:c r="R880" s="14" t="str">
        <x:v>Planlandı</x:v>
      </x:c>
      <x:c r="S880" s="15" t="str"/>
      <x:c r="T880" s="14" t="str"/>
    </x:row>
    <x:row r="881">
      <x:c r="A881" s="14" t="n">
        <x:v>880</x:v>
      </x:c>
      <x:c r="B881" s="15" t="n">
        <x:v>46366</x:v>
      </x:c>
      <x:c r="C881" s="14" t="str">
        <x:v>Perşembe</x:v>
      </x:c>
      <x:c r="D881" s="14" t="str">
        <x:v>Okul Günü</x:v>
      </x:c>
      <x:c r="E881" s="14" t="str">
        <x:v>16:00 sonrası</x:v>
      </x:c>
      <x:c r="F881" s="14" t="str">
        <x:v>F1 - Temel Kurma</x:v>
      </x:c>
      <x:c r="G881" s="14" t="str">
        <x:v>21:20</x:v>
      </x:c>
      <x:c r="H881" s="14" t="str">
        <x:v>21:35</x:v>
      </x:c>
      <x:c r="I881" s="14" t="str">
        <x:v>Genel</x:v>
      </x:c>
      <x:c r="J881" s="14" t="str">
        <x:v>Yanlış / Boş Analizi</x:v>
      </x:c>
      <x:c r="K881" s="14" t="str">
        <x:v>Günlük</x:v>
      </x:c>
      <x:c r="L881" s="14" t="str">
        <x:v>Bugünkü yanlış/boşları kaydet; çözümünü öğrenmeden kapatma. Hata türünü sınıflandır.</x:v>
      </x:c>
      <x:c r="M881" s="14" t="str">
        <x:v>Yanlış Defteri</x:v>
      </x:c>
      <x:c r="N881" s="14" t="str"/>
      <x:c r="O881" s="14" t="n">
        <x:v>0</x:v>
      </x:c>
      <x:c r="P881" s="14" t="str">
        <x:v>Hayır</x:v>
      </x:c>
      <x:c r="Q881" s="14" t="str">
        <x:v>Evet</x:v>
      </x:c>
      <x:c r="R881" s="14" t="str">
        <x:v>Planlandı</x:v>
      </x:c>
      <x:c r="S881" s="15" t="str"/>
      <x:c r="T881" s="14" t="str"/>
    </x:row>
    <x:row r="882">
      <x:c r="A882" s="14" t="n">
        <x:v>881</x:v>
      </x:c>
      <x:c r="B882" s="15" t="n">
        <x:v>46366</x:v>
      </x:c>
      <x:c r="C882" s="14" t="str">
        <x:v>Perşembe</x:v>
      </x:c>
      <x:c r="D882" s="14" t="str">
        <x:v>Okul Günü</x:v>
      </x:c>
      <x:c r="E882" s="14" t="str">
        <x:v>16:00 sonrası</x:v>
      </x:c>
      <x:c r="F882" s="14" t="str">
        <x:v>F1 - Temel Kurma</x:v>
      </x:c>
      <x:c r="G882" s="14" t="str">
        <x:v>21:35</x:v>
      </x:c>
      <x:c r="H882" s="14" t="str">
        <x:v>21:50</x:v>
      </x:c>
      <x:c r="I882" s="14" t="str">
        <x:v>Genel</x:v>
      </x:c>
      <x:c r="J882" s="14" t="str">
        <x:v>Aralıklı Hata Tekrarı</x:v>
      </x:c>
      <x:c r="K882" s="14" t="str">
        <x:v>+1 / +7 / +21</x:v>
      </x:c>
      <x:c r="L882" s="14" t="str">
        <x:v>Bugün vadesi gelen yanlış soruları tekrar çöz. Vadesi yoksa bu süre serbest/okuma olabilir.</x:v>
      </x:c>
      <x:c r="M882" s="14" t="str">
        <x:v>Yanlış Defteri</x:v>
      </x:c>
      <x:c r="N882" s="14" t="str"/>
      <x:c r="O882" s="14" t="n">
        <x:v>0</x:v>
      </x:c>
      <x:c r="P882" s="14" t="str">
        <x:v>Hayır</x:v>
      </x:c>
      <x:c r="Q882" s="14" t="str">
        <x:v>Koşullu</x:v>
      </x:c>
      <x:c r="R882" s="14" t="str">
        <x:v>Planlandı</x:v>
      </x:c>
      <x:c r="S882" s="15" t="str"/>
      <x:c r="T882" s="14" t="str">
        <x:v>Yanlışlar +1, +7 ve +21 gün aralıklarıyla tekrar edilir; hâlâ yanlışsa konu mastery durumu düşürülür.</x:v>
      </x:c>
    </x:row>
    <x:row r="883">
      <x:c r="A883" s="14" t="n">
        <x:v>882</x:v>
      </x:c>
      <x:c r="B883" s="15" t="n">
        <x:v>46366</x:v>
      </x:c>
      <x:c r="C883" s="14" t="str">
        <x:v>Perşembe</x:v>
      </x:c>
      <x:c r="D883" s="14" t="str">
        <x:v>Okul Günü</x:v>
      </x:c>
      <x:c r="E883" s="14" t="str">
        <x:v>16:00 sonrası</x:v>
      </x:c>
      <x:c r="F883" s="14" t="str">
        <x:v>F1 - Temel Kurma</x:v>
      </x:c>
      <x:c r="G883" s="14" t="str">
        <x:v>21:50</x:v>
      </x:c>
      <x:c r="H883" s="14" t="str">
        <x:v>22:00</x:v>
      </x:c>
      <x:c r="I883" s="14" t="str">
        <x:v>Genel</x:v>
      </x:c>
      <x:c r="J883" s="14" t="str">
        <x:v>Uyku Hazırlığı</x:v>
      </x:c>
      <x:c r="K883" s="14" t="str"/>
      <x:c r="L883" s="14" t="str">
        <x:v>22:00'de yatakta ve uyku.</x:v>
      </x:c>
      <x:c r="M883" s="14" t="str"/>
      <x:c r="N883" s="14" t="str"/>
      <x:c r="O883" s="14" t="n">
        <x:v>0</x:v>
      </x:c>
      <x:c r="P883" s="14" t="str">
        <x:v>Hayır</x:v>
      </x:c>
      <x:c r="Q883" s="14" t="str">
        <x:v>Hayır</x:v>
      </x:c>
      <x:c r="R883" s="14" t="str">
        <x:v>Planlandı</x:v>
      </x:c>
      <x:c r="S883" s="15" t="str"/>
      <x:c r="T883" s="14" t="str"/>
    </x:row>
    <x:row r="884">
      <x:c r="A884" s="14" t="n">
        <x:v>883</x:v>
      </x:c>
      <x:c r="B884" s="15" t="n">
        <x:v>46367</x:v>
      </x:c>
      <x:c r="C884" s="14" t="str">
        <x:v>Cuma</x:v>
      </x:c>
      <x:c r="D884" s="14" t="str">
        <x:v>Okul Günü</x:v>
      </x:c>
      <x:c r="E884" s="14" t="str">
        <x:v>16:00 sonrası</x:v>
      </x:c>
      <x:c r="F884" s="14" t="str">
        <x:v>F1 - Temel Kurma</x:v>
      </x:c>
      <x:c r="G884" s="14" t="str">
        <x:v>16:00</x:v>
      </x:c>
      <x:c r="H884" s="14" t="str">
        <x:v>16:25</x:v>
      </x:c>
      <x:c r="I884" s="14" t="str">
        <x:v>Genel</x:v>
      </x:c>
      <x:c r="J884" s="14" t="str">
        <x:v>Dinlenme</x:v>
      </x:c>
      <x:c r="K884" s="14" t="str"/>
      <x:c r="L884" s="14" t="str">
        <x:v>Eve geliş, atıştırma ve dinlenme.</x:v>
      </x:c>
      <x:c r="M884" s="14" t="str"/>
      <x:c r="N884" s="14" t="str"/>
      <x:c r="O884" s="14" t="n">
        <x:v>0</x:v>
      </x:c>
      <x:c r="P884" s="14" t="str">
        <x:v>Hayır</x:v>
      </x:c>
      <x:c r="Q884" s="14" t="str">
        <x:v>Hayır</x:v>
      </x:c>
      <x:c r="R884" s="14" t="str">
        <x:v>Planlandı</x:v>
      </x:c>
      <x:c r="S884" s="15" t="str"/>
      <x:c r="T884" s="14" t="str"/>
    </x:row>
    <x:row r="885">
      <x:c r="A885" s="14" t="n">
        <x:v>884</x:v>
      </x:c>
      <x:c r="B885" s="15" t="n">
        <x:v>46367</x:v>
      </x:c>
      <x:c r="C885" s="14" t="str">
        <x:v>Cuma</x:v>
      </x:c>
      <x:c r="D885" s="14" t="str">
        <x:v>Okul Günü</x:v>
      </x:c>
      <x:c r="E885" s="14" t="str">
        <x:v>16:00 sonrası</x:v>
      </x:c>
      <x:c r="F885" s="14" t="str">
        <x:v>F1 - Temel Kurma</x:v>
      </x:c>
      <x:c r="G885" s="14" t="str">
        <x:v>16:25</x:v>
      </x:c>
      <x:c r="H885" s="14" t="str">
        <x:v>17:05</x:v>
      </x:c>
      <x:c r="I885" s="14" t="str">
        <x:v>Matematik</x:v>
      </x:c>
      <x:c r="J885" s="14" t="str">
        <x:v>Konu / Tekrar</x:v>
      </x:c>
      <x:c r="K885" s="14" t="str">
        <x:v>Çarpanlar ve Katlar</x:v>
      </x:c>
      <x:c r="L885" s="14" t="str">
        <x:v>Çarpanlar ve Katlar — genel oynatma listesinden ilgili videoyu izle (2/3).</x:v>
      </x:c>
      <x:c r="M885" s="14" t="str">
        <x:v>Matematik Yedek Oynatma Listesi</x:v>
      </x:c>
      <x:c r="N885" s="14" t="str">
        <x:v>https://www.youtube.com/watch?v=Z7exqEHEqQA&amp;list=PLHN_SjKO7rCI&amp;index=3</x:v>
      </x:c>
      <x:c r="O885" s="14" t="n">
        <x:v>0</x:v>
      </x:c>
      <x:c r="P885" s="14" t="str">
        <x:v>Hayır</x:v>
      </x:c>
      <x:c r="Q885" s="14" t="str">
        <x:v>Evet</x:v>
      </x:c>
      <x:c r="R885" s="14" t="str">
        <x:v>Planlandı</x:v>
      </x:c>
      <x:c r="S885" s="15" t="str"/>
      <x:c r="T885" s="14" t="str">
        <x:v>Yeni konu ancak plan sırasıyla açılır; LGS dışı ileri TYT içeriği zorunlu değildir.</x:v>
      </x:c>
    </x:row>
    <x:row r="886">
      <x:c r="A886" s="14" t="n">
        <x:v>885</x:v>
      </x:c>
      <x:c r="B886" s="15" t="n">
        <x:v>46367</x:v>
      </x:c>
      <x:c r="C886" s="14" t="str">
        <x:v>Cuma</x:v>
      </x:c>
      <x:c r="D886" s="14" t="str">
        <x:v>Okul Günü</x:v>
      </x:c>
      <x:c r="E886" s="14" t="str">
        <x:v>16:00 sonrası</x:v>
      </x:c>
      <x:c r="F886" s="14" t="str">
        <x:v>F1 - Temel Kurma</x:v>
      </x:c>
      <x:c r="G886" s="14" t="str">
        <x:v>17:10</x:v>
      </x:c>
      <x:c r="H886" s="14" t="str">
        <x:v>17:55</x:v>
      </x:c>
      <x:c r="I886" s="14" t="str">
        <x:v>Matematik</x:v>
      </x:c>
      <x:c r="J886" s="14" t="str">
        <x:v>Kitap / MEB / Mastery</x:v>
      </x:c>
      <x:c r="K886" s="14" t="str">
        <x:v>Çarpanlar ve Katlar</x:v>
      </x:c>
      <x:c r="L886" s="14" t="str">
        <x:v>Çarpanlar ve Katlar ile ilgili soru kitabından en az 25 soru / bugünkü test payını çöz.</x:v>
      </x:c>
      <x:c r="M886" s="14" t="str">
        <x:v>MUBA 8. Sınıf Başlangıç Matematik (ISBN 9789756526972); tamamlandıysa Mozaik 8. Sınıf Matematik</x:v>
      </x:c>
      <x:c r="N886" s="14" t="str">
        <x:v>https://odsgm.meb.gov.tr/www/8sinif-calisma-sorulari/icerik/1632</x:v>
      </x:c>
      <x:c r="O886" s="14" t="n">
        <x:v>25</x:v>
      </x:c>
      <x:c r="P886" s="14" t="str">
        <x:v>İlk 20 soru</x:v>
      </x:c>
      <x:c r="Q886" s="14" t="str">
        <x:v>Evet</x:v>
      </x:c>
      <x:c r="R886" s="14" t="str">
        <x:v>Planlandı</x:v>
      </x:c>
      <x:c r="S886" s="15" t="str"/>
      <x:c r="T886" s="14" t="str">
        <x:v>Ayrı/rastgele matematik benchmark yoktur. Süreli ilk 20 soru o gün çalışılan konunun içindedir.</x:v>
      </x:c>
    </x:row>
    <x:row r="887">
      <x:c r="A887" s="14" t="n">
        <x:v>886</x:v>
      </x:c>
      <x:c r="B887" s="15" t="n">
        <x:v>46367</x:v>
      </x:c>
      <x:c r="C887" s="14" t="str">
        <x:v>Cuma</x:v>
      </x:c>
      <x:c r="D887" s="14" t="str">
        <x:v>Okul Günü</x:v>
      </x:c>
      <x:c r="E887" s="14" t="str">
        <x:v>16:00 sonrası</x:v>
      </x:c>
      <x:c r="F887" s="14" t="str">
        <x:v>F1 - Temel Kurma</x:v>
      </x:c>
      <x:c r="G887" s="14" t="str">
        <x:v>17:55</x:v>
      </x:c>
      <x:c r="H887" s="14" t="str">
        <x:v>18:25</x:v>
      </x:c>
      <x:c r="I887" s="14" t="str">
        <x:v>Genel</x:v>
      </x:c>
      <x:c r="J887" s="14" t="str">
        <x:v>Yemek / Serbest Zaman</x:v>
      </x:c>
      <x:c r="K887" s="14" t="str"/>
      <x:c r="L887" s="14" t="str">
        <x:v>Yemek, hareket ve dinlenme.</x:v>
      </x:c>
      <x:c r="M887" s="14" t="str"/>
      <x:c r="N887" s="14" t="str"/>
      <x:c r="O887" s="14" t="n">
        <x:v>0</x:v>
      </x:c>
      <x:c r="P887" s="14" t="str">
        <x:v>Hayır</x:v>
      </x:c>
      <x:c r="Q887" s="14" t="str">
        <x:v>Hayır</x:v>
      </x:c>
      <x:c r="R887" s="14" t="str">
        <x:v>Planlandı</x:v>
      </x:c>
      <x:c r="S887" s="15" t="str"/>
      <x:c r="T887" s="14" t="str"/>
    </x:row>
    <x:row r="888">
      <x:c r="A888" s="14" t="n">
        <x:v>887</x:v>
      </x:c>
      <x:c r="B888" s="15" t="n">
        <x:v>46367</x:v>
      </x:c>
      <x:c r="C888" s="14" t="str">
        <x:v>Cuma</x:v>
      </x:c>
      <x:c r="D888" s="14" t="str">
        <x:v>Okul Günü</x:v>
      </x:c>
      <x:c r="E888" s="14" t="str">
        <x:v>16:00 sonrası</x:v>
      </x:c>
      <x:c r="F888" s="14" t="str">
        <x:v>F1 - Temel Kurma</x:v>
      </x:c>
      <x:c r="G888" s="14" t="str">
        <x:v>18:25</x:v>
      </x:c>
      <x:c r="H888" s="14" t="str">
        <x:v>18:55</x:v>
      </x:c>
      <x:c r="I888" s="14" t="str">
        <x:v>Türkçe</x:v>
      </x:c>
      <x:c r="J888" s="14" t="str">
        <x:v>Paragraf Rutini</x:v>
      </x:c>
      <x:c r="K888" s="14" t="str">
        <x:v>Paragraf</x:v>
      </x:c>
      <x:c r="L888" s="14" t="str">
        <x:v>En az 25 paragraf sorusu çöz; ilk 20 soruyu ileri sayımla ölç, D/Y/B + süre kaydet.</x:v>
      </x:c>
      <x:c r="M888" s="14" t="str">
        <x:v>Hız 8. Sınıf Türkçe Paragraf (ISBN 9786258394498)</x:v>
      </x:c>
      <x:c r="N888" s="14" t="str"/>
      <x:c r="O888" s="14" t="n">
        <x:v>25</x:v>
      </x:c>
      <x:c r="P888" s="14" t="str">
        <x:v>İlk 20 soru</x:v>
      </x:c>
      <x:c r="Q888" s="14" t="str">
        <x:v>Evet</x:v>
      </x:c>
      <x:c r="R888" s="14" t="str">
        <x:v>Planlandı</x:v>
      </x:c>
      <x:c r="S888" s="15" t="str"/>
      <x:c r="T888" s="14" t="str">
        <x:v>Geri sayım ve hedef süre yok.</x:v>
      </x:c>
    </x:row>
    <x:row r="889">
      <x:c r="A889" s="14" t="n">
        <x:v>888</x:v>
      </x:c>
      <x:c r="B889" s="15" t="n">
        <x:v>46367</x:v>
      </x:c>
      <x:c r="C889" s="14" t="str">
        <x:v>Cuma</x:v>
      </x:c>
      <x:c r="D889" s="14" t="str">
        <x:v>Okul Günü</x:v>
      </x:c>
      <x:c r="E889" s="14" t="str">
        <x:v>16:00 sonrası</x:v>
      </x:c>
      <x:c r="F889" s="14" t="str">
        <x:v>F1 - Temel Kurma</x:v>
      </x:c>
      <x:c r="G889" s="14" t="str">
        <x:v>19:00</x:v>
      </x:c>
      <x:c r="H889" s="14" t="str">
        <x:v>19:35</x:v>
      </x:c>
      <x:c r="I889" s="14" t="str">
        <x:v>Türkçe</x:v>
      </x:c>
      <x:c r="J889" s="14" t="str">
        <x:v>Konu / Tekrar</x:v>
      </x:c>
      <x:c r="K889" s="14" t="str">
        <x:v>Cümlenin Ögeleri</x:v>
      </x:c>
      <x:c r="L889" s="14" t="str">
        <x:v>Cümlenin Ögeleri — genel oynatma listesinden ilgili videoyu izle (1/4).</x:v>
      </x:c>
      <x:c r="M889" s="14" t="str">
        <x:v>Türkçe Ana Oynatma Listesi</x:v>
      </x:c>
      <x:c r="N889" s="14" t="str">
        <x:v>https://www.youtube.com/watch?v=VYsPntNKVdw&amp;list=PLIBjFaUoJJ91bz7QQEBlxNJNZka5YQRr6</x:v>
      </x:c>
      <x:c r="O889" s="14" t="n">
        <x:v>0</x:v>
      </x:c>
      <x:c r="P889" s="14" t="str">
        <x:v>Hayır</x:v>
      </x:c>
      <x:c r="Q889" s="14" t="str">
        <x:v>Evet</x:v>
      </x:c>
      <x:c r="R889" s="14" t="str">
        <x:v>Planlandı</x:v>
      </x:c>
      <x:c r="S889" s="15" t="str"/>
      <x:c r="T889" s="14" t="str">
        <x:v>TYT etiketli kaynak temelden başlamak için sabittir; LGS dışı gereksiz ayrıntı zorunlu değildir.</x:v>
      </x:c>
    </x:row>
    <x:row r="890">
      <x:c r="A890" s="14" t="n">
        <x:v>889</x:v>
      </x:c>
      <x:c r="B890" s="15" t="n">
        <x:v>46367</x:v>
      </x:c>
      <x:c r="C890" s="14" t="str">
        <x:v>Cuma</x:v>
      </x:c>
      <x:c r="D890" s="14" t="str">
        <x:v>Okul Günü</x:v>
      </x:c>
      <x:c r="E890" s="14" t="str">
        <x:v>16:00 sonrası</x:v>
      </x:c>
      <x:c r="F890" s="14" t="str">
        <x:v>F1 - Temel Kurma</x:v>
      </x:c>
      <x:c r="G890" s="14" t="str">
        <x:v>19:40</x:v>
      </x:c>
      <x:c r="H890" s="14" t="str">
        <x:v>20:10</x:v>
      </x:c>
      <x:c r="I890" s="14" t="str">
        <x:v>Türkçe</x:v>
      </x:c>
      <x:c r="J890" s="14" t="str">
        <x:v>Kitap / MEB / Mastery</x:v>
      </x:c>
      <x:c r="K890" s="14" t="str">
        <x:v>Cümlenin Ögeleri</x:v>
      </x:c>
      <x:c r="L890" s="14" t="str">
        <x:v>Cümlenin Ögeleri ile ilgili soru kitabından en az 15 soru / bugünkü test payını çöz.</x:v>
      </x:c>
      <x:c r="M890" s="14" t="str">
        <x:v>Ankara 8. Sınıf Dil Bilgisi Güçlendiren</x:v>
      </x:c>
      <x:c r="N890" s="14" t="str">
        <x:v>https://odsgm.meb.gov.tr/www/8sinif-calisma-sorulari/icerik/1632</x:v>
      </x:c>
      <x:c r="O890" s="14" t="n">
        <x:v>15</x:v>
      </x:c>
      <x:c r="P890" s="14" t="str">
        <x:v>Hayır</x:v>
      </x:c>
      <x:c r="Q890" s="14" t="str">
        <x:v>Evet</x:v>
      </x:c>
      <x:c r="R890" s="14" t="str">
        <x:v>Planlandı</x:v>
      </x:c>
      <x:c r="S890" s="15" t="str"/>
      <x:c r="T890" s="14" t="str"/>
    </x:row>
    <x:row r="891">
      <x:c r="A891" s="14" t="n">
        <x:v>890</x:v>
      </x:c>
      <x:c r="B891" s="15" t="n">
        <x:v>46367</x:v>
      </x:c>
      <x:c r="C891" s="14" t="str">
        <x:v>Cuma</x:v>
      </x:c>
      <x:c r="D891" s="14" t="str">
        <x:v>Okul Günü</x:v>
      </x:c>
      <x:c r="E891" s="14" t="str">
        <x:v>16:00 sonrası</x:v>
      </x:c>
      <x:c r="F891" s="14" t="str">
        <x:v>F1 - Temel Kurma</x:v>
      </x:c>
      <x:c r="G891" s="14" t="str">
        <x:v>20:15</x:v>
      </x:c>
      <x:c r="H891" s="14" t="str">
        <x:v>20:50</x:v>
      </x:c>
      <x:c r="I891" s="14" t="str">
        <x:v>İngilizce</x:v>
      </x:c>
      <x:c r="J891" s="14" t="str">
        <x:v>Konu / Tekrar</x:v>
      </x:c>
      <x:c r="K891" s="14" t="str">
        <x:v>Unit 5 - The Internet</x:v>
      </x:c>
      <x:c r="L891" s="14" t="str">
        <x:v>Unit 5 - The Internet — Reading çalışmasını playlistten yap.</x:v>
      </x:c>
      <x:c r="M891" s="14" t="str">
        <x:v>İngilizce Genel Oynatma Listesi</x:v>
      </x:c>
      <x:c r="N891" s="14" t="str">
        <x:v>https://www.youtube.com/watch?v=FaY3dFjZbns&amp;list=PLSgpQDrUSYp94WgE9pzpHiOG5FwxnZBrr</x:v>
      </x:c>
      <x:c r="O891" s="14" t="n">
        <x:v>0</x:v>
      </x:c>
      <x:c r="P891" s="14" t="str">
        <x:v>Hayır</x:v>
      </x:c>
      <x:c r="Q891" s="14" t="str">
        <x:v>Evet</x:v>
      </x:c>
      <x:c r="R891" s="14" t="str">
        <x:v>Planlandı</x:v>
      </x:c>
      <x:c r="S891" s="15" t="str"/>
      <x:c r="T891" s="14" t="str"/>
    </x:row>
    <x:row r="892">
      <x:c r="A892" s="14" t="n">
        <x:v>891</x:v>
      </x:c>
      <x:c r="B892" s="15" t="n">
        <x:v>46367</x:v>
      </x:c>
      <x:c r="C892" s="14" t="str">
        <x:v>Cuma</x:v>
      </x:c>
      <x:c r="D892" s="14" t="str">
        <x:v>Okul Günü</x:v>
      </x:c>
      <x:c r="E892" s="14" t="str">
        <x:v>16:00 sonrası</x:v>
      </x:c>
      <x:c r="F892" s="14" t="str">
        <x:v>F1 - Temel Kurma</x:v>
      </x:c>
      <x:c r="G892" s="14" t="str">
        <x:v>20:55</x:v>
      </x:c>
      <x:c r="H892" s="14" t="str">
        <x:v>21:20</x:v>
      </x:c>
      <x:c r="I892" s="14" t="str">
        <x:v>İngilizce</x:v>
      </x:c>
      <x:c r="J892" s="14" t="str">
        <x:v>Kitap / MEB / Mastery</x:v>
      </x:c>
      <x:c r="K892" s="14" t="str">
        <x:v>Unit 5 - The Internet</x:v>
      </x:c>
      <x:c r="L892" s="14" t="str">
        <x:v>Unit 5 - The Internet ile ilgili soru kitabından en az 18 soru / bugünkü test payını çöz.</x:v>
      </x:c>
      <x:c r="M892" s="14" t="str">
        <x:v>More &amp; More 8 Worksheets Notebook</x:v>
      </x:c>
      <x:c r="N892" s="14" t="str">
        <x:v>https://www.youtube.com/watch?v=FaY3dFjZbns&amp;list=PLSgpQDrUSYp94WgE9pzpHiOG5FwxnZBrr</x:v>
      </x:c>
      <x:c r="O892" s="14" t="n">
        <x:v>18</x:v>
      </x:c>
      <x:c r="P892" s="14" t="str">
        <x:v>Hayır</x:v>
      </x:c>
      <x:c r="Q892" s="14" t="str">
        <x:v>Evet</x:v>
      </x:c>
      <x:c r="R892" s="14" t="str">
        <x:v>Planlandı</x:v>
      </x:c>
      <x:c r="S892" s="15" t="str"/>
      <x:c r="T892" s="14" t="str"/>
    </x:row>
    <x:row r="893">
      <x:c r="A893" s="14" t="n">
        <x:v>892</x:v>
      </x:c>
      <x:c r="B893" s="15" t="n">
        <x:v>46367</x:v>
      </x:c>
      <x:c r="C893" s="14" t="str">
        <x:v>Cuma</x:v>
      </x:c>
      <x:c r="D893" s="14" t="str">
        <x:v>Okul Günü</x:v>
      </x:c>
      <x:c r="E893" s="14" t="str">
        <x:v>16:00 sonrası</x:v>
      </x:c>
      <x:c r="F893" s="14" t="str">
        <x:v>F1 - Temel Kurma</x:v>
      </x:c>
      <x:c r="G893" s="14" t="str">
        <x:v>21:20</x:v>
      </x:c>
      <x:c r="H893" s="14" t="str">
        <x:v>21:35</x:v>
      </x:c>
      <x:c r="I893" s="14" t="str">
        <x:v>Genel</x:v>
      </x:c>
      <x:c r="J893" s="14" t="str">
        <x:v>Yanlış / Boş Analizi</x:v>
      </x:c>
      <x:c r="K893" s="14" t="str">
        <x:v>Günlük</x:v>
      </x:c>
      <x:c r="L893" s="14" t="str">
        <x:v>Bugünkü yanlış/boşları kaydet; çözümünü öğrenmeden kapatma. Hata türünü sınıflandır.</x:v>
      </x:c>
      <x:c r="M893" s="14" t="str">
        <x:v>Yanlış Defteri</x:v>
      </x:c>
      <x:c r="N893" s="14" t="str"/>
      <x:c r="O893" s="14" t="n">
        <x:v>0</x:v>
      </x:c>
      <x:c r="P893" s="14" t="str">
        <x:v>Hayır</x:v>
      </x:c>
      <x:c r="Q893" s="14" t="str">
        <x:v>Evet</x:v>
      </x:c>
      <x:c r="R893" s="14" t="str">
        <x:v>Planlandı</x:v>
      </x:c>
      <x:c r="S893" s="15" t="str"/>
      <x:c r="T893" s="14" t="str"/>
    </x:row>
    <x:row r="894">
      <x:c r="A894" s="14" t="n">
        <x:v>893</x:v>
      </x:c>
      <x:c r="B894" s="15" t="n">
        <x:v>46367</x:v>
      </x:c>
      <x:c r="C894" s="14" t="str">
        <x:v>Cuma</x:v>
      </x:c>
      <x:c r="D894" s="14" t="str">
        <x:v>Okul Günü</x:v>
      </x:c>
      <x:c r="E894" s="14" t="str">
        <x:v>16:00 sonrası</x:v>
      </x:c>
      <x:c r="F894" s="14" t="str">
        <x:v>F1 - Temel Kurma</x:v>
      </x:c>
      <x:c r="G894" s="14" t="str">
        <x:v>21:35</x:v>
      </x:c>
      <x:c r="H894" s="14" t="str">
        <x:v>21:50</x:v>
      </x:c>
      <x:c r="I894" s="14" t="str">
        <x:v>Genel</x:v>
      </x:c>
      <x:c r="J894" s="14" t="str">
        <x:v>Aralıklı Hata Tekrarı</x:v>
      </x:c>
      <x:c r="K894" s="14" t="str">
        <x:v>+1 / +7 / +21</x:v>
      </x:c>
      <x:c r="L894" s="14" t="str">
        <x:v>Bugün vadesi gelen yanlış soruları tekrar çöz. Vadesi yoksa bu süre serbest/okuma olabilir.</x:v>
      </x:c>
      <x:c r="M894" s="14" t="str">
        <x:v>Yanlış Defteri</x:v>
      </x:c>
      <x:c r="N894" s="14" t="str"/>
      <x:c r="O894" s="14" t="n">
        <x:v>0</x:v>
      </x:c>
      <x:c r="P894" s="14" t="str">
        <x:v>Hayır</x:v>
      </x:c>
      <x:c r="Q894" s="14" t="str">
        <x:v>Koşullu</x:v>
      </x:c>
      <x:c r="R894" s="14" t="str">
        <x:v>Planlandı</x:v>
      </x:c>
      <x:c r="S894" s="15" t="str"/>
      <x:c r="T894" s="14" t="str">
        <x:v>Yanlışlar +1, +7 ve +21 gün aralıklarıyla tekrar edilir; hâlâ yanlışsa konu mastery durumu düşürülür.</x:v>
      </x:c>
    </x:row>
    <x:row r="895">
      <x:c r="A895" s="14" t="n">
        <x:v>894</x:v>
      </x:c>
      <x:c r="B895" s="15" t="n">
        <x:v>46367</x:v>
      </x:c>
      <x:c r="C895" s="14" t="str">
        <x:v>Cuma</x:v>
      </x:c>
      <x:c r="D895" s="14" t="str">
        <x:v>Okul Günü</x:v>
      </x:c>
      <x:c r="E895" s="14" t="str">
        <x:v>16:00 sonrası</x:v>
      </x:c>
      <x:c r="F895" s="14" t="str">
        <x:v>F1 - Temel Kurma</x:v>
      </x:c>
      <x:c r="G895" s="14" t="str">
        <x:v>21:50</x:v>
      </x:c>
      <x:c r="H895" s="14" t="str">
        <x:v>22:00</x:v>
      </x:c>
      <x:c r="I895" s="14" t="str">
        <x:v>Genel</x:v>
      </x:c>
      <x:c r="J895" s="14" t="str">
        <x:v>Uyku Hazırlığı</x:v>
      </x:c>
      <x:c r="K895" s="14" t="str"/>
      <x:c r="L895" s="14" t="str">
        <x:v>22:00'de yatakta ve uyku.</x:v>
      </x:c>
      <x:c r="M895" s="14" t="str"/>
      <x:c r="N895" s="14" t="str"/>
      <x:c r="O895" s="14" t="n">
        <x:v>0</x:v>
      </x:c>
      <x:c r="P895" s="14" t="str">
        <x:v>Hayır</x:v>
      </x:c>
      <x:c r="Q895" s="14" t="str">
        <x:v>Hayır</x:v>
      </x:c>
      <x:c r="R895" s="14" t="str">
        <x:v>Planlandı</x:v>
      </x:c>
      <x:c r="S895" s="15" t="str"/>
      <x:c r="T895" s="14" t="str"/>
    </x:row>
    <x:row r="896">
      <x:c r="A896" s="14" t="n">
        <x:v>895</x:v>
      </x:c>
      <x:c r="B896" s="15" t="n">
        <x:v>46368</x:v>
      </x:c>
      <x:c r="C896" s="14" t="str">
        <x:v>Cumartesi</x:v>
      </x:c>
      <x:c r="D896" s="14" t="str">
        <x:v>Hafta Sonu</x:v>
      </x:c>
      <x:c r="E896" s="14" t="str">
        <x:v>Tam gün</x:v>
      </x:c>
      <x:c r="F896" s="14" t="str">
        <x:v>F1 - Temel Kurma</x:v>
      </x:c>
      <x:c r="G896" s="14" t="str">
        <x:v>09:30</x:v>
      </x:c>
      <x:c r="H896" s="14" t="str">
        <x:v>10:15</x:v>
      </x:c>
      <x:c r="I896" s="14" t="str">
        <x:v>Matematik</x:v>
      </x:c>
      <x:c r="J896" s="14" t="str">
        <x:v>Konu / Tekrar</x:v>
      </x:c>
      <x:c r="K896" s="14" t="str">
        <x:v>Çarpanlar ve Katlar</x:v>
      </x:c>
      <x:c r="L896" s="14" t="str">
        <x:v>Çarpanlar ve Katlar — genel oynatma listesinden ilgili videoyu izle (3/3).</x:v>
      </x:c>
      <x:c r="M896" s="14" t="str">
        <x:v>Matematik Yedek Oynatma Listesi</x:v>
      </x:c>
      <x:c r="N896" s="14" t="str">
        <x:v>https://www.youtube.com/watch?v=Z7exqEHEqQA&amp;list=PLHN_SjKO7rCI&amp;index=3</x:v>
      </x:c>
      <x:c r="O896" s="14" t="n">
        <x:v>0</x:v>
      </x:c>
      <x:c r="P896" s="14" t="str">
        <x:v>Hayır</x:v>
      </x:c>
      <x:c r="Q896" s="14" t="str">
        <x:v>Evet</x:v>
      </x:c>
      <x:c r="R896" s="14" t="str">
        <x:v>Planlandı</x:v>
      </x:c>
      <x:c r="S896" s="15" t="str"/>
      <x:c r="T896" s="14" t="str">
        <x:v>Yeni konu ancak plan sırasıyla açılır; LGS dışı ileri TYT içeriği zorunlu değildir.</x:v>
      </x:c>
    </x:row>
    <x:row r="897">
      <x:c r="A897" s="14" t="n">
        <x:v>896</x:v>
      </x:c>
      <x:c r="B897" s="15" t="n">
        <x:v>46368</x:v>
      </x:c>
      <x:c r="C897" s="14" t="str">
        <x:v>Cumartesi</x:v>
      </x:c>
      <x:c r="D897" s="14" t="str">
        <x:v>Hafta Sonu</x:v>
      </x:c>
      <x:c r="E897" s="14" t="str">
        <x:v>Tam gün</x:v>
      </x:c>
      <x:c r="F897" s="14" t="str">
        <x:v>F1 - Temel Kurma</x:v>
      </x:c>
      <x:c r="G897" s="14" t="str">
        <x:v>10:25</x:v>
      </x:c>
      <x:c r="H897" s="14" t="str">
        <x:v>11:15</x:v>
      </x:c>
      <x:c r="I897" s="14" t="str">
        <x:v>Matematik</x:v>
      </x:c>
      <x:c r="J897" s="14" t="str">
        <x:v>Kitap / MEB / Mastery</x:v>
      </x:c>
      <x:c r="K897" s="14" t="str">
        <x:v>Çarpanlar ve Katlar</x:v>
      </x:c>
      <x:c r="L897" s="14" t="str">
        <x:v>Çarpanlar ve Katlar ile ilgili soru kitabından en az 25 soru / bugünkü test payını çöz. İlgili kitap konu bölümünü bu oturumda bitirmeyi hedefle; sonraki oturum MEB doğrulaması.</x:v>
      </x:c>
      <x:c r="M897" s="14" t="str">
        <x:v>MUBA 8. Sınıf Başlangıç Matematik (ISBN 9789756526972); tamamlandıysa Mozaik 8. Sınıf Matematik</x:v>
      </x:c>
      <x:c r="N897" s="14" t="str">
        <x:v>https://odsgm.meb.gov.tr/www/8sinif-calisma-sorulari/icerik/1632</x:v>
      </x:c>
      <x:c r="O897" s="14" t="n">
        <x:v>25</x:v>
      </x:c>
      <x:c r="P897" s="14" t="str">
        <x:v>İlk 20 soru</x:v>
      </x:c>
      <x:c r="Q897" s="14" t="str">
        <x:v>Evet</x:v>
      </x:c>
      <x:c r="R897" s="14" t="str">
        <x:v>Planlandı</x:v>
      </x:c>
      <x:c r="S897" s="15" t="str"/>
      <x:c r="T897" s="14" t="str">
        <x:v>Ayrı/rastgele matematik benchmark yoktur. Süreli ilk 20 soru o gün çalışılan konunun içindedir.</x:v>
      </x:c>
    </x:row>
    <x:row r="898">
      <x:c r="A898" s="14" t="n">
        <x:v>897</x:v>
      </x:c>
      <x:c r="B898" s="15" t="n">
        <x:v>46368</x:v>
      </x:c>
      <x:c r="C898" s="14" t="str">
        <x:v>Cumartesi</x:v>
      </x:c>
      <x:c r="D898" s="14" t="str">
        <x:v>Hafta Sonu</x:v>
      </x:c>
      <x:c r="E898" s="14" t="str">
        <x:v>Tam gün</x:v>
      </x:c>
      <x:c r="F898" s="14" t="str">
        <x:v>F1 - Temel Kurma</x:v>
      </x:c>
      <x:c r="G898" s="14" t="str">
        <x:v>12:00</x:v>
      </x:c>
      <x:c r="H898" s="14" t="str">
        <x:v>14:00</x:v>
      </x:c>
      <x:c r="I898" s="14" t="str">
        <x:v>Genel</x:v>
      </x:c>
      <x:c r="J898" s="14" t="str">
        <x:v>Yemek / Serbest Zaman</x:v>
      </x:c>
      <x:c r="K898" s="14" t="str"/>
      <x:c r="L898" s="14" t="str">
        <x:v>Yemek, hareket ve dinlenme.</x:v>
      </x:c>
      <x:c r="M898" s="14" t="str"/>
      <x:c r="N898" s="14" t="str"/>
      <x:c r="O898" s="14" t="n">
        <x:v>0</x:v>
      </x:c>
      <x:c r="P898" s="14" t="str">
        <x:v>Hayır</x:v>
      </x:c>
      <x:c r="Q898" s="14" t="str">
        <x:v>Hayır</x:v>
      </x:c>
      <x:c r="R898" s="14" t="str">
        <x:v>Planlandı</x:v>
      </x:c>
      <x:c r="S898" s="15" t="str"/>
      <x:c r="T898" s="14" t="str"/>
    </x:row>
    <x:row r="899">
      <x:c r="A899" s="14" t="n">
        <x:v>898</x:v>
      </x:c>
      <x:c r="B899" s="15" t="n">
        <x:v>46368</x:v>
      </x:c>
      <x:c r="C899" s="14" t="str">
        <x:v>Cumartesi</x:v>
      </x:c>
      <x:c r="D899" s="14" t="str">
        <x:v>Hafta Sonu</x:v>
      </x:c>
      <x:c r="E899" s="14" t="str">
        <x:v>Tam gün</x:v>
      </x:c>
      <x:c r="F899" s="14" t="str">
        <x:v>F1 - Temel Kurma</x:v>
      </x:c>
      <x:c r="G899" s="14" t="str">
        <x:v>11:25</x:v>
      </x:c>
      <x:c r="H899" s="14" t="str">
        <x:v>11:55</x:v>
      </x:c>
      <x:c r="I899" s="14" t="str">
        <x:v>Türkçe</x:v>
      </x:c>
      <x:c r="J899" s="14" t="str">
        <x:v>Paragraf Rutini</x:v>
      </x:c>
      <x:c r="K899" s="14" t="str">
        <x:v>Paragraf</x:v>
      </x:c>
      <x:c r="L899" s="14" t="str">
        <x:v>En az 25 paragraf sorusu çöz; ilk 20 soruyu ileri sayımla ölç, D/Y/B + süre kaydet.</x:v>
      </x:c>
      <x:c r="M899" s="14" t="str">
        <x:v>Hız 8. Sınıf Türkçe Paragraf (ISBN 9786258394498)</x:v>
      </x:c>
      <x:c r="N899" s="14" t="str"/>
      <x:c r="O899" s="14" t="n">
        <x:v>25</x:v>
      </x:c>
      <x:c r="P899" s="14" t="str">
        <x:v>İlk 20 soru</x:v>
      </x:c>
      <x:c r="Q899" s="14" t="str">
        <x:v>Evet</x:v>
      </x:c>
      <x:c r="R899" s="14" t="str">
        <x:v>Planlandı</x:v>
      </x:c>
      <x:c r="S899" s="15" t="str"/>
      <x:c r="T899" s="14" t="str">
        <x:v>Geri sayım ve hedef süre yok.</x:v>
      </x:c>
    </x:row>
    <x:row r="900">
      <x:c r="A900" s="14" t="n">
        <x:v>899</x:v>
      </x:c>
      <x:c r="B900" s="15" t="n">
        <x:v>46368</x:v>
      </x:c>
      <x:c r="C900" s="14" t="str">
        <x:v>Cumartesi</x:v>
      </x:c>
      <x:c r="D900" s="14" t="str">
        <x:v>Hafta Sonu</x:v>
      </x:c>
      <x:c r="E900" s="14" t="str">
        <x:v>Tam gün</x:v>
      </x:c>
      <x:c r="F900" s="14" t="str">
        <x:v>F1 - Temel Kurma</x:v>
      </x:c>
      <x:c r="G900" s="14" t="str">
        <x:v>14:00</x:v>
      </x:c>
      <x:c r="H900" s="14" t="str">
        <x:v>14:40</x:v>
      </x:c>
      <x:c r="I900" s="14" t="str">
        <x:v>Türkçe</x:v>
      </x:c>
      <x:c r="J900" s="14" t="str">
        <x:v>Konu / Tekrar</x:v>
      </x:c>
      <x:c r="K900" s="14" t="str">
        <x:v>Cümlenin Ögeleri</x:v>
      </x:c>
      <x:c r="L900" s="14" t="str">
        <x:v>Cümlenin Ögeleri — genel oynatma listesinden ilgili videoyu izle (2/4).</x:v>
      </x:c>
      <x:c r="M900" s="14" t="str">
        <x:v>Türkçe Ana Oynatma Listesi</x:v>
      </x:c>
      <x:c r="N900" s="14" t="str">
        <x:v>https://www.youtube.com/watch?v=VYsPntNKVdw&amp;list=PLIBjFaUoJJ91bz7QQEBlxNJNZka5YQRr6</x:v>
      </x:c>
      <x:c r="O900" s="14" t="n">
        <x:v>0</x:v>
      </x:c>
      <x:c r="P900" s="14" t="str">
        <x:v>Hayır</x:v>
      </x:c>
      <x:c r="Q900" s="14" t="str">
        <x:v>Evet</x:v>
      </x:c>
      <x:c r="R900" s="14" t="str">
        <x:v>Planlandı</x:v>
      </x:c>
      <x:c r="S900" s="15" t="str"/>
      <x:c r="T900" s="14" t="str">
        <x:v>TYT etiketli kaynak temelden başlamak için sabittir; LGS dışı gereksiz ayrıntı zorunlu değildir.</x:v>
      </x:c>
    </x:row>
    <x:row r="901">
      <x:c r="A901" s="14" t="n">
        <x:v>900</x:v>
      </x:c>
      <x:c r="B901" s="15" t="n">
        <x:v>46368</x:v>
      </x:c>
      <x:c r="C901" s="14" t="str">
        <x:v>Cumartesi</x:v>
      </x:c>
      <x:c r="D901" s="14" t="str">
        <x:v>Hafta Sonu</x:v>
      </x:c>
      <x:c r="E901" s="14" t="str">
        <x:v>Tam gün</x:v>
      </x:c>
      <x:c r="F901" s="14" t="str">
        <x:v>F1 - Temel Kurma</x:v>
      </x:c>
      <x:c r="G901" s="14" t="str">
        <x:v>14:50</x:v>
      </x:c>
      <x:c r="H901" s="14" t="str">
        <x:v>15:30</x:v>
      </x:c>
      <x:c r="I901" s="14" t="str">
        <x:v>Türkçe</x:v>
      </x:c>
      <x:c r="J901" s="14" t="str">
        <x:v>Kitap / MEB / Mastery</x:v>
      </x:c>
      <x:c r="K901" s="14" t="str">
        <x:v>Cümlenin Ögeleri</x:v>
      </x:c>
      <x:c r="L901" s="14" t="str">
        <x:v>Cümlenin Ögeleri ile ilgili soru kitabından en az 15 soru / bugünkü test payını çöz.</x:v>
      </x:c>
      <x:c r="M901" s="14" t="str">
        <x:v>Ankara 8. Sınıf Dil Bilgisi Güçlendiren</x:v>
      </x:c>
      <x:c r="N901" s="14" t="str">
        <x:v>https://odsgm.meb.gov.tr/www/8sinif-calisma-sorulari/icerik/1632</x:v>
      </x:c>
      <x:c r="O901" s="14" t="n">
        <x:v>15</x:v>
      </x:c>
      <x:c r="P901" s="14" t="str">
        <x:v>Hayır</x:v>
      </x:c>
      <x:c r="Q901" s="14" t="str">
        <x:v>Evet</x:v>
      </x:c>
      <x:c r="R901" s="14" t="str">
        <x:v>Planlandı</x:v>
      </x:c>
      <x:c r="S901" s="15" t="str"/>
      <x:c r="T901" s="14" t="str"/>
    </x:row>
    <x:row r="902">
      <x:c r="A902" s="14" t="n">
        <x:v>901</x:v>
      </x:c>
      <x:c r="B902" s="15" t="n">
        <x:v>46368</x:v>
      </x:c>
      <x:c r="C902" s="14" t="str">
        <x:v>Cumartesi</x:v>
      </x:c>
      <x:c r="D902" s="14" t="str">
        <x:v>Hafta Sonu</x:v>
      </x:c>
      <x:c r="E902" s="14" t="str">
        <x:v>Tam gün</x:v>
      </x:c>
      <x:c r="F902" s="14" t="str">
        <x:v>F1 - Temel Kurma</x:v>
      </x:c>
      <x:c r="G902" s="14" t="str">
        <x:v>15:45</x:v>
      </x:c>
      <x:c r="H902" s="14" t="str">
        <x:v>16:25</x:v>
      </x:c>
      <x:c r="I902" s="14" t="str">
        <x:v>Fen</x:v>
      </x:c>
      <x:c r="J902" s="14" t="str">
        <x:v>Konu / Tekrar</x:v>
      </x:c>
      <x:c r="K902" s="14" t="str">
        <x:v>Periyodik Sistem</x:v>
      </x:c>
      <x:c r="L902" s="14" t="str">
        <x:v>Periyodik Sistem — Fen soru çözüm playlistinden ilgili videoyu izle.</x:v>
      </x:c>
      <x:c r="M902" s="14" t="str">
        <x:v>Fen Soru Çözüm / Tekrar</x:v>
      </x:c>
      <x:c r="N902" s="14" t="str">
        <x:v>https://www.youtube.com/watch?v=pQXhWnDZ3vM&amp;list=PLrQm7mt99FRXcBnorCttd31HJEvg0En26&amp;index=23</x:v>
      </x:c>
      <x:c r="O902" s="14" t="n">
        <x:v>0</x:v>
      </x:c>
      <x:c r="P902" s="14" t="str">
        <x:v>Hayır</x:v>
      </x:c>
      <x:c r="Q902" s="14" t="str">
        <x:v>Evet</x:v>
      </x:c>
      <x:c r="R902" s="14" t="str">
        <x:v>Planlandı</x:v>
      </x:c>
      <x:c r="S902" s="15" t="str"/>
      <x:c r="T902" s="14" t="str"/>
    </x:row>
    <x:row r="903">
      <x:c r="A903" s="14" t="n">
        <x:v>902</x:v>
      </x:c>
      <x:c r="B903" s="15" t="n">
        <x:v>46368</x:v>
      </x:c>
      <x:c r="C903" s="14" t="str">
        <x:v>Cumartesi</x:v>
      </x:c>
      <x:c r="D903" s="14" t="str">
        <x:v>Hafta Sonu</x:v>
      </x:c>
      <x:c r="E903" s="14" t="str">
        <x:v>Tam gün</x:v>
      </x:c>
      <x:c r="F903" s="14" t="str">
        <x:v>F1 - Temel Kurma</x:v>
      </x:c>
      <x:c r="G903" s="14" t="str">
        <x:v>16:35</x:v>
      </x:c>
      <x:c r="H903" s="14" t="str">
        <x:v>17:15</x:v>
      </x:c>
      <x:c r="I903" s="14" t="str">
        <x:v>Fen</x:v>
      </x:c>
      <x:c r="J903" s="14" t="str">
        <x:v>Kitap / MEB / Mastery</x:v>
      </x:c>
      <x:c r="K903" s="14" t="str">
        <x:v>Periyodik Sistem</x:v>
      </x:c>
      <x:c r="L903" s="14" t="str">
        <x:v>Periyodik Sistem ile ilgili soru kitabından en az 18 soru / bugünkü test payını çöz.</x:v>
      </x:c>
      <x:c r="M903" s="14" t="str">
        <x:v>Hız 8. Sınıf Fen (ISBN 9786257514859); tamamlandıysa Mozaik 8. Sınıf Fen</x:v>
      </x:c>
      <x:c r="N903" s="14" t="str">
        <x:v>https://www.youtube.com/watch?v=pQXhWnDZ3vM&amp;list=PLrQm7mt99FRXcBnorCttd31HJEvg0En26&amp;index=23</x:v>
      </x:c>
      <x:c r="O903" s="14" t="n">
        <x:v>18</x:v>
      </x:c>
      <x:c r="P903" s="14" t="str">
        <x:v>Hayır</x:v>
      </x:c>
      <x:c r="Q903" s="14" t="str">
        <x:v>Evet</x:v>
      </x:c>
      <x:c r="R903" s="14" t="str">
        <x:v>Planlandı</x:v>
      </x:c>
      <x:c r="S903" s="15" t="str"/>
      <x:c r="T903" s="14" t="str"/>
    </x:row>
    <x:row r="904">
      <x:c r="A904" s="14" t="n">
        <x:v>903</x:v>
      </x:c>
      <x:c r="B904" s="15" t="n">
        <x:v>46368</x:v>
      </x:c>
      <x:c r="C904" s="14" t="str">
        <x:v>Cumartesi</x:v>
      </x:c>
      <x:c r="D904" s="14" t="str">
        <x:v>Hafta Sonu</x:v>
      </x:c>
      <x:c r="E904" s="14" t="str">
        <x:v>Tam gün</x:v>
      </x:c>
      <x:c r="F904" s="14" t="str">
        <x:v>F1 - Temel Kurma</x:v>
      </x:c>
      <x:c r="G904" s="14" t="str">
        <x:v>17:25</x:v>
      </x:c>
      <x:c r="H904" s="14" t="str">
        <x:v>17:55</x:v>
      </x:c>
      <x:c r="I904" s="14" t="str">
        <x:v>Fen</x:v>
      </x:c>
      <x:c r="J904" s="14" t="str">
        <x:v>Ek Fen Pekiştirme</x:v>
      </x:c>
      <x:c r="K904" s="14" t="str">
        <x:v>Periyodik Sistem</x:v>
      </x:c>
      <x:c r="L904" s="14" t="str">
        <x:v>Periyodik Sistem — MEB doğrulaması öncesi 5-10 dk aktif hatırlama; gerekiyorsa ilgili playlist videosuna kısa dönüş yap.</x:v>
      </x:c>
      <x:c r="M904" s="14" t="str">
        <x:v>Fen Konu/Soru Oynatma Listesi</x:v>
      </x:c>
      <x:c r="N904" s="14" t="str">
        <x:v>https://www.youtube.com/watch?v=pQXhWnDZ3vM&amp;list=PLrQm7mt99FRXcBnorCttd31HJEvg0En26&amp;index=23</x:v>
      </x:c>
      <x:c r="O904" s="14" t="n">
        <x:v>0</x:v>
      </x:c>
      <x:c r="P904" s="14" t="str">
        <x:v>Hayır</x:v>
      </x:c>
      <x:c r="Q904" s="14" t="str">
        <x:v>Evet</x:v>
      </x:c>
      <x:c r="R904" s="14" t="str">
        <x:v>Planlandı</x:v>
      </x:c>
      <x:c r="S904" s="15" t="str"/>
      <x:c r="T904" s="14" t="str">
        <x:v>Fen haftalık temas sıklığını artırmak için ek Cumartesi oturumu.</x:v>
      </x:c>
    </x:row>
    <x:row r="905">
      <x:c r="A905" s="14" t="n">
        <x:v>904</x:v>
      </x:c>
      <x:c r="B905" s="15" t="n">
        <x:v>46368</x:v>
      </x:c>
      <x:c r="C905" s="14" t="str">
        <x:v>Cumartesi</x:v>
      </x:c>
      <x:c r="D905" s="14" t="str">
        <x:v>Hafta Sonu</x:v>
      </x:c>
      <x:c r="E905" s="14" t="str">
        <x:v>Tam gün</x:v>
      </x:c>
      <x:c r="F905" s="14" t="str">
        <x:v>F1 - Temel Kurma</x:v>
      </x:c>
      <x:c r="G905" s="14" t="str">
        <x:v>17:55</x:v>
      </x:c>
      <x:c r="H905" s="14" t="str">
        <x:v>18:25</x:v>
      </x:c>
      <x:c r="I905" s="14" t="str">
        <x:v>Fen</x:v>
      </x:c>
      <x:c r="J905" s="14" t="str">
        <x:v>Ek Fen Kitap / MEB</x:v>
      </x:c>
      <x:c r="K905" s="14" t="str">
        <x:v>Periyodik Sistem</x:v>
      </x:c>
      <x:c r="L905" s="14" t="str">
        <x:v>Periyodik Sistem için ilgili MEB sorularını TAMAMLA; D/Y/B kaydet. Bu oturum konu mastery gate'idir.</x:v>
      </x:c>
      <x:c r="M905" s="14" t="str">
        <x:v>MEB 8. Sınıf Fen Soruları</x:v>
      </x:c>
      <x:c r="N905" s="14" t="str">
        <x:v>https://odsgm.meb.gov.tr/www/8sinif-calisma-sorulari/icerik/1632</x:v>
      </x:c>
      <x:c r="O905" s="14" t="n">
        <x:v>0</x:v>
      </x:c>
      <x:c r="P905" s="14" t="str">
        <x:v>Hayır</x:v>
      </x:c>
      <x:c r="Q905" s="14" t="str">
        <x:v>Evet</x:v>
      </x:c>
      <x:c r="R905" s="14" t="str">
        <x:v>Planlandı</x:v>
      </x:c>
      <x:c r="S905" s="15" t="str"/>
      <x:c r="T905" s="14" t="str">
        <x:v>Fen için Hız → gerekiyorsa Mozaik; MEB doğrulaması konu bitiminde.</x:v>
      </x:c>
    </x:row>
    <x:row r="906">
      <x:c r="A906" s="14" t="n">
        <x:v>905</x:v>
      </x:c>
      <x:c r="B906" s="15" t="n">
        <x:v>46368</x:v>
      </x:c>
      <x:c r="C906" s="14" t="str">
        <x:v>Cumartesi</x:v>
      </x:c>
      <x:c r="D906" s="14" t="str">
        <x:v>Hafta Sonu</x:v>
      </x:c>
      <x:c r="E906" s="14" t="str">
        <x:v>Tam gün</x:v>
      </x:c>
      <x:c r="F906" s="14" t="str">
        <x:v>F1 - Temel Kurma</x:v>
      </x:c>
      <x:c r="G906" s="14" t="str">
        <x:v>18:25</x:v>
      </x:c>
      <x:c r="H906" s="14" t="str">
        <x:v>18:45</x:v>
      </x:c>
      <x:c r="I906" s="14" t="str">
        <x:v>Genel</x:v>
      </x:c>
      <x:c r="J906" s="14" t="str">
        <x:v>Yanlış / Boş Analizi</x:v>
      </x:c>
      <x:c r="K906" s="14" t="str">
        <x:v>Günlük</x:v>
      </x:c>
      <x:c r="L906" s="14" t="str">
        <x:v>Bugünkü yanlış/boşları kaydet; çözümünü öğrenmeden kapatma. Hata türünü sınıflandır.</x:v>
      </x:c>
      <x:c r="M906" s="14" t="str">
        <x:v>Yanlış Defteri</x:v>
      </x:c>
      <x:c r="N906" s="14" t="str"/>
      <x:c r="O906" s="14" t="n">
        <x:v>0</x:v>
      </x:c>
      <x:c r="P906" s="14" t="str">
        <x:v>Hayır</x:v>
      </x:c>
      <x:c r="Q906" s="14" t="str">
        <x:v>Evet</x:v>
      </x:c>
      <x:c r="R906" s="14" t="str">
        <x:v>Planlandı</x:v>
      </x:c>
      <x:c r="S906" s="15" t="str"/>
      <x:c r="T906" s="14" t="str"/>
    </x:row>
    <x:row r="907">
      <x:c r="A907" s="14" t="n">
        <x:v>906</x:v>
      </x:c>
      <x:c r="B907" s="15" t="n">
        <x:v>46368</x:v>
      </x:c>
      <x:c r="C907" s="14" t="str">
        <x:v>Cumartesi</x:v>
      </x:c>
      <x:c r="D907" s="14" t="str">
        <x:v>Hafta Sonu</x:v>
      </x:c>
      <x:c r="E907" s="14" t="str">
        <x:v>Tam gün</x:v>
      </x:c>
      <x:c r="F907" s="14" t="str">
        <x:v>F1 - Temel Kurma</x:v>
      </x:c>
      <x:c r="G907" s="14" t="str">
        <x:v>18:45</x:v>
      </x:c>
      <x:c r="H907" s="14" t="str">
        <x:v>19:05</x:v>
      </x:c>
      <x:c r="I907" s="14" t="str">
        <x:v>Genel</x:v>
      </x:c>
      <x:c r="J907" s="14" t="str">
        <x:v>Aralıklı Hata Tekrarı</x:v>
      </x:c>
      <x:c r="K907" s="14" t="str">
        <x:v>+1 / +7 / +21</x:v>
      </x:c>
      <x:c r="L907" s="14" t="str">
        <x:v>Bugün vadesi gelen yanlış soruları tekrar çöz. Vadesi yoksa bu süre serbest/okuma olabilir.</x:v>
      </x:c>
      <x:c r="M907" s="14" t="str">
        <x:v>Yanlış Defteri</x:v>
      </x:c>
      <x:c r="N907" s="14" t="str"/>
      <x:c r="O907" s="14" t="n">
        <x:v>0</x:v>
      </x:c>
      <x:c r="P907" s="14" t="str">
        <x:v>Hayır</x:v>
      </x:c>
      <x:c r="Q907" s="14" t="str">
        <x:v>Koşullu</x:v>
      </x:c>
      <x:c r="R907" s="14" t="str">
        <x:v>Planlandı</x:v>
      </x:c>
      <x:c r="S907" s="15" t="str"/>
      <x:c r="T907" s="14" t="str">
        <x:v>Yanlışlar +1, +7 ve +21 gün aralıklarıyla tekrar edilir; hâlâ yanlışsa konu mastery durumu düşürülür.</x:v>
      </x:c>
    </x:row>
    <x:row r="908">
      <x:c r="A908" s="14" t="n">
        <x:v>907</x:v>
      </x:c>
      <x:c r="B908" s="15" t="n">
        <x:v>46368</x:v>
      </x:c>
      <x:c r="C908" s="14" t="str">
        <x:v>Cumartesi</x:v>
      </x:c>
      <x:c r="D908" s="14" t="str">
        <x:v>Hafta Sonu</x:v>
      </x:c>
      <x:c r="E908" s="14" t="str">
        <x:v>Tam gün</x:v>
      </x:c>
      <x:c r="F908" s="14" t="str">
        <x:v>F1 - Temel Kurma</x:v>
      </x:c>
      <x:c r="G908" s="14" t="str">
        <x:v>20:00</x:v>
      </x:c>
      <x:c r="H908" s="14" t="str">
        <x:v>20:30</x:v>
      </x:c>
      <x:c r="I908" s="14" t="str">
        <x:v>Okuma</x:v>
      </x:c>
      <x:c r="J908" s="14" t="str">
        <x:v>İsteğe Bağlı</x:v>
      </x:c>
      <x:c r="K908" s="14" t="str">
        <x:v>Serbest Kitap</x:v>
      </x:c>
      <x:c r="L908" s="14" t="str">
        <x:v>Zorunlu çalışmalar bittiyse isteğe bağlı kitap oku.</x:v>
      </x:c>
      <x:c r="M908" s="14" t="str">
        <x:v>Serbest Kitap</x:v>
      </x:c>
      <x:c r="N908" s="14" t="str"/>
      <x:c r="O908" s="14" t="n">
        <x:v>0</x:v>
      </x:c>
      <x:c r="P908" s="14" t="str">
        <x:v>İsteğe Bağlı</x:v>
      </x:c>
      <x:c r="Q908" s="14" t="str">
        <x:v>Hayır</x:v>
      </x:c>
      <x:c r="R908" s="14" t="str">
        <x:v>Planlandı</x:v>
      </x:c>
      <x:c r="S908" s="15" t="str"/>
      <x:c r="T908" s="14" t="str">
        <x:v>Minimum süre yok.</x:v>
      </x:c>
    </x:row>
    <x:row r="909">
      <x:c r="A909" s="14" t="n">
        <x:v>908</x:v>
      </x:c>
      <x:c r="B909" s="15" t="n">
        <x:v>46368</x:v>
      </x:c>
      <x:c r="C909" s="14" t="str">
        <x:v>Cumartesi</x:v>
      </x:c>
      <x:c r="D909" s="14" t="str">
        <x:v>Hafta Sonu</x:v>
      </x:c>
      <x:c r="E909" s="14" t="str">
        <x:v>Tam gün</x:v>
      </x:c>
      <x:c r="F909" s="14" t="str">
        <x:v>F1 - Temel Kurma</x:v>
      </x:c>
      <x:c r="G909" s="14" t="str">
        <x:v>21:50</x:v>
      </x:c>
      <x:c r="H909" s="14" t="str">
        <x:v>22:00</x:v>
      </x:c>
      <x:c r="I909" s="14" t="str">
        <x:v>Genel</x:v>
      </x:c>
      <x:c r="J909" s="14" t="str">
        <x:v>Uyku Hazırlığı</x:v>
      </x:c>
      <x:c r="K909" s="14" t="str"/>
      <x:c r="L909" s="14" t="str">
        <x:v>22:00'de yatakta ve uyku.</x:v>
      </x:c>
      <x:c r="M909" s="14" t="str"/>
      <x:c r="N909" s="14" t="str"/>
      <x:c r="O909" s="14" t="n">
        <x:v>0</x:v>
      </x:c>
      <x:c r="P909" s="14" t="str">
        <x:v>Hayır</x:v>
      </x:c>
      <x:c r="Q909" s="14" t="str">
        <x:v>Hayır</x:v>
      </x:c>
      <x:c r="R909" s="14" t="str">
        <x:v>Planlandı</x:v>
      </x:c>
      <x:c r="S909" s="15" t="str"/>
      <x:c r="T909" s="14" t="str"/>
    </x:row>
    <x:row r="910">
      <x:c r="A910" s="14" t="n">
        <x:v>909</x:v>
      </x:c>
      <x:c r="B910" s="15" t="n">
        <x:v>46369</x:v>
      </x:c>
      <x:c r="C910" s="14" t="str">
        <x:v>Pazar</x:v>
      </x:c>
      <x:c r="D910" s="14" t="str">
        <x:v>Hafta Sonu</x:v>
      </x:c>
      <x:c r="E910" s="14" t="str">
        <x:v>Tam gün</x:v>
      </x:c>
      <x:c r="F910" s="14" t="str">
        <x:v>F1 - Temel Kurma</x:v>
      </x:c>
      <x:c r="G910" s="14" t="str">
        <x:v>09:30</x:v>
      </x:c>
      <x:c r="H910" s="14" t="str">
        <x:v>10:15</x:v>
      </x:c>
      <x:c r="I910" s="14" t="str">
        <x:v>Matematik</x:v>
      </x:c>
      <x:c r="J910" s="14" t="str">
        <x:v>Konu / Tekrar</x:v>
      </x:c>
      <x:c r="K910" s="14" t="str">
        <x:v>Çarpanlar ve Katlar</x:v>
      </x:c>
      <x:c r="L910" s="14" t="str">
        <x:v>Çarpanlar ve Katlar — MEB doğrulaması öncesi 5-10 dk aktif hatırlama; gerekiyorsa ilgili playlist videosuna kısa dönüş yap.</x:v>
      </x:c>
      <x:c r="M910" s="14" t="str">
        <x:v>Matematik Yedek Oynatma Listesi</x:v>
      </x:c>
      <x:c r="N910" s="14" t="str">
        <x:v>https://www.youtube.com/watch?v=Z7exqEHEqQA&amp;list=PLHN_SjKO7rCI&amp;index=3</x:v>
      </x:c>
      <x:c r="O910" s="14" t="n">
        <x:v>0</x:v>
      </x:c>
      <x:c r="P910" s="14" t="str">
        <x:v>Hayır</x:v>
      </x:c>
      <x:c r="Q910" s="14" t="str">
        <x:v>Evet</x:v>
      </x:c>
      <x:c r="R910" s="14" t="str">
        <x:v>Planlandı</x:v>
      </x:c>
      <x:c r="S910" s="15" t="str"/>
      <x:c r="T910" s="14" t="str">
        <x:v>Yeni konu ancak plan sırasıyla açılır; LGS dışı ileri TYT içeriği zorunlu değildir.</x:v>
      </x:c>
    </x:row>
    <x:row r="911">
      <x:c r="A911" s="14" t="n">
        <x:v>910</x:v>
      </x:c>
      <x:c r="B911" s="15" t="n">
        <x:v>46369</x:v>
      </x:c>
      <x:c r="C911" s="14" t="str">
        <x:v>Pazar</x:v>
      </x:c>
      <x:c r="D911" s="14" t="str">
        <x:v>Hafta Sonu</x:v>
      </x:c>
      <x:c r="E911" s="14" t="str">
        <x:v>Tam gün</x:v>
      </x:c>
      <x:c r="F911" s="14" t="str">
        <x:v>F1 - Temel Kurma</x:v>
      </x:c>
      <x:c r="G911" s="14" t="str">
        <x:v>10:25</x:v>
      </x:c>
      <x:c r="H911" s="14" t="str">
        <x:v>11:15</x:v>
      </x:c>
      <x:c r="I911" s="14" t="str">
        <x:v>Matematik</x:v>
      </x:c>
      <x:c r="J911" s="14" t="str">
        <x:v>Kitap / MEB / Mastery</x:v>
      </x:c>
      <x:c r="K911" s="14" t="str">
        <x:v>Çarpanlar ve Katlar</x:v>
      </x:c>
      <x:c r="L911" s="14" t="str">
        <x:v>Çarpanlar ve Katlar için ilgili MEB sorularını TAMAMLA; D/Y/B kaydet. Bu oturum konu mastery gate'idir.</x:v>
      </x:c>
      <x:c r="M911" s="14" t="str">
        <x:v>MEB Resmî Soru Seti</x:v>
      </x:c>
      <x:c r="N911" s="14" t="str">
        <x:v>https://odsgm.meb.gov.tr/www/8sinif-calisma-sorulari/icerik/1632</x:v>
      </x:c>
      <x:c r="O911" s="14" t="n">
        <x:v>0</x:v>
      </x:c>
      <x:c r="P911" s="14" t="str">
        <x:v>Hayır</x:v>
      </x:c>
      <x:c r="Q911" s="14" t="str">
        <x:v>Evet</x:v>
      </x:c>
      <x:c r="R911" s="14" t="str">
        <x:v>Planlandı</x:v>
      </x:c>
      <x:c r="S911" s="15" t="str"/>
      <x:c r="T911" s="14" t="str">
        <x:v>MEB sonucu Konu_Ustaligi sayfasına işlenir.</x:v>
      </x:c>
    </x:row>
    <x:row r="912">
      <x:c r="A912" s="14" t="n">
        <x:v>911</x:v>
      </x:c>
      <x:c r="B912" s="15" t="n">
        <x:v>46369</x:v>
      </x:c>
      <x:c r="C912" s="14" t="str">
        <x:v>Pazar</x:v>
      </x:c>
      <x:c r="D912" s="14" t="str">
        <x:v>Hafta Sonu</x:v>
      </x:c>
      <x:c r="E912" s="14" t="str">
        <x:v>Tam gün</x:v>
      </x:c>
      <x:c r="F912" s="14" t="str">
        <x:v>F1 - Temel Kurma</x:v>
      </x:c>
      <x:c r="G912" s="14" t="str">
        <x:v>12:00</x:v>
      </x:c>
      <x:c r="H912" s="14" t="str">
        <x:v>14:00</x:v>
      </x:c>
      <x:c r="I912" s="14" t="str">
        <x:v>Genel</x:v>
      </x:c>
      <x:c r="J912" s="14" t="str">
        <x:v>Yemek / Serbest Zaman</x:v>
      </x:c>
      <x:c r="K912" s="14" t="str"/>
      <x:c r="L912" s="14" t="str">
        <x:v>Yemek, hareket ve dinlenme.</x:v>
      </x:c>
      <x:c r="M912" s="14" t="str"/>
      <x:c r="N912" s="14" t="str"/>
      <x:c r="O912" s="14" t="n">
        <x:v>0</x:v>
      </x:c>
      <x:c r="P912" s="14" t="str">
        <x:v>Hayır</x:v>
      </x:c>
      <x:c r="Q912" s="14" t="str">
        <x:v>Hayır</x:v>
      </x:c>
      <x:c r="R912" s="14" t="str">
        <x:v>Planlandı</x:v>
      </x:c>
      <x:c r="S912" s="15" t="str"/>
      <x:c r="T912" s="14" t="str"/>
    </x:row>
    <x:row r="913">
      <x:c r="A913" s="14" t="n">
        <x:v>912</x:v>
      </x:c>
      <x:c r="B913" s="15" t="n">
        <x:v>46369</x:v>
      </x:c>
      <x:c r="C913" s="14" t="str">
        <x:v>Pazar</x:v>
      </x:c>
      <x:c r="D913" s="14" t="str">
        <x:v>Hafta Sonu</x:v>
      </x:c>
      <x:c r="E913" s="14" t="str">
        <x:v>Tam gün</x:v>
      </x:c>
      <x:c r="F913" s="14" t="str">
        <x:v>F1 - Temel Kurma</x:v>
      </x:c>
      <x:c r="G913" s="14" t="str">
        <x:v>11:25</x:v>
      </x:c>
      <x:c r="H913" s="14" t="str">
        <x:v>11:55</x:v>
      </x:c>
      <x:c r="I913" s="14" t="str">
        <x:v>Türkçe</x:v>
      </x:c>
      <x:c r="J913" s="14" t="str">
        <x:v>Paragraf Rutini</x:v>
      </x:c>
      <x:c r="K913" s="14" t="str">
        <x:v>Paragraf</x:v>
      </x:c>
      <x:c r="L913" s="14" t="str">
        <x:v>En az 25 paragraf sorusu çöz; ilk 20 soruyu ileri sayımla ölç, D/Y/B + süre kaydet.</x:v>
      </x:c>
      <x:c r="M913" s="14" t="str">
        <x:v>Hız 8. Sınıf Türkçe Paragraf (ISBN 9786258394498)</x:v>
      </x:c>
      <x:c r="N913" s="14" t="str"/>
      <x:c r="O913" s="14" t="n">
        <x:v>25</x:v>
      </x:c>
      <x:c r="P913" s="14" t="str">
        <x:v>İlk 20 soru</x:v>
      </x:c>
      <x:c r="Q913" s="14" t="str">
        <x:v>Evet</x:v>
      </x:c>
      <x:c r="R913" s="14" t="str">
        <x:v>Planlandı</x:v>
      </x:c>
      <x:c r="S913" s="15" t="str"/>
      <x:c r="T913" s="14" t="str">
        <x:v>Geri sayım ve hedef süre yok.</x:v>
      </x:c>
    </x:row>
    <x:row r="914">
      <x:c r="A914" s="14" t="n">
        <x:v>913</x:v>
      </x:c>
      <x:c r="B914" s="15" t="n">
        <x:v>46369</x:v>
      </x:c>
      <x:c r="C914" s="14" t="str">
        <x:v>Pazar</x:v>
      </x:c>
      <x:c r="D914" s="14" t="str">
        <x:v>Hafta Sonu</x:v>
      </x:c>
      <x:c r="E914" s="14" t="str">
        <x:v>Tam gün</x:v>
      </x:c>
      <x:c r="F914" s="14" t="str">
        <x:v>F1 - Temel Kurma</x:v>
      </x:c>
      <x:c r="G914" s="14" t="str">
        <x:v>14:00</x:v>
      </x:c>
      <x:c r="H914" s="14" t="str">
        <x:v>14:40</x:v>
      </x:c>
      <x:c r="I914" s="14" t="str">
        <x:v>Türkçe</x:v>
      </x:c>
      <x:c r="J914" s="14" t="str">
        <x:v>Konu / Tekrar</x:v>
      </x:c>
      <x:c r="K914" s="14" t="str">
        <x:v>Cümlenin Ögeleri</x:v>
      </x:c>
      <x:c r="L914" s="14" t="str">
        <x:v>Cümlenin Ögeleri — genel oynatma listesinden ilgili videoyu izle (3/4).</x:v>
      </x:c>
      <x:c r="M914" s="14" t="str">
        <x:v>Türkçe Ana Oynatma Listesi</x:v>
      </x:c>
      <x:c r="N914" s="14" t="str">
        <x:v>https://www.youtube.com/watch?v=VYsPntNKVdw&amp;list=PLIBjFaUoJJ91bz7QQEBlxNJNZka5YQRr6</x:v>
      </x:c>
      <x:c r="O914" s="14" t="n">
        <x:v>0</x:v>
      </x:c>
      <x:c r="P914" s="14" t="str">
        <x:v>Hayır</x:v>
      </x:c>
      <x:c r="Q914" s="14" t="str">
        <x:v>Evet</x:v>
      </x:c>
      <x:c r="R914" s="14" t="str">
        <x:v>Planlandı</x:v>
      </x:c>
      <x:c r="S914" s="15" t="str"/>
      <x:c r="T914" s="14" t="str">
        <x:v>TYT etiketli kaynak temelden başlamak için sabittir; LGS dışı gereksiz ayrıntı zorunlu değildir.</x:v>
      </x:c>
    </x:row>
    <x:row r="915">
      <x:c r="A915" s="14" t="n">
        <x:v>914</x:v>
      </x:c>
      <x:c r="B915" s="15" t="n">
        <x:v>46369</x:v>
      </x:c>
      <x:c r="C915" s="14" t="str">
        <x:v>Pazar</x:v>
      </x:c>
      <x:c r="D915" s="14" t="str">
        <x:v>Hafta Sonu</x:v>
      </x:c>
      <x:c r="E915" s="14" t="str">
        <x:v>Tam gün</x:v>
      </x:c>
      <x:c r="F915" s="14" t="str">
        <x:v>F1 - Temel Kurma</x:v>
      </x:c>
      <x:c r="G915" s="14" t="str">
        <x:v>14:50</x:v>
      </x:c>
      <x:c r="H915" s="14" t="str">
        <x:v>15:30</x:v>
      </x:c>
      <x:c r="I915" s="14" t="str">
        <x:v>Türkçe</x:v>
      </x:c>
      <x:c r="J915" s="14" t="str">
        <x:v>Kitap / MEB / Mastery</x:v>
      </x:c>
      <x:c r="K915" s="14" t="str">
        <x:v>Cümlenin Ögeleri</x:v>
      </x:c>
      <x:c r="L915" s="14" t="str">
        <x:v>Cümlenin Ögeleri ile ilgili soru kitabından en az 15 soru / bugünkü test payını çöz.</x:v>
      </x:c>
      <x:c r="M915" s="14" t="str">
        <x:v>Ankara 8. Sınıf Dil Bilgisi Güçlendiren</x:v>
      </x:c>
      <x:c r="N915" s="14" t="str">
        <x:v>https://odsgm.meb.gov.tr/www/8sinif-calisma-sorulari/icerik/1632</x:v>
      </x:c>
      <x:c r="O915" s="14" t="n">
        <x:v>15</x:v>
      </x:c>
      <x:c r="P915" s="14" t="str">
        <x:v>Hayır</x:v>
      </x:c>
      <x:c r="Q915" s="14" t="str">
        <x:v>Evet</x:v>
      </x:c>
      <x:c r="R915" s="14" t="str">
        <x:v>Planlandı</x:v>
      </x:c>
      <x:c r="S915" s="15" t="str"/>
      <x:c r="T915" s="14" t="str"/>
    </x:row>
    <x:row r="916">
      <x:c r="A916" s="14" t="n">
        <x:v>915</x:v>
      </x:c>
      <x:c r="B916" s="15" t="n">
        <x:v>46369</x:v>
      </x:c>
      <x:c r="C916" s="14" t="str">
        <x:v>Pazar</x:v>
      </x:c>
      <x:c r="D916" s="14" t="str">
        <x:v>Hafta Sonu</x:v>
      </x:c>
      <x:c r="E916" s="14" t="str">
        <x:v>Tam gün</x:v>
      </x:c>
      <x:c r="F916" s="14" t="str">
        <x:v>F1 - Temel Kurma</x:v>
      </x:c>
      <x:c r="G916" s="14" t="str">
        <x:v>15:45</x:v>
      </x:c>
      <x:c r="H916" s="14" t="str">
        <x:v>16:25</x:v>
      </x:c>
      <x:c r="I916" s="14" t="str">
        <x:v>Din</x:v>
      </x:c>
      <x:c r="J916" s="14" t="str">
        <x:v>Konu / Tekrar</x:v>
      </x:c>
      <x:c r="K916" s="14" t="str">
        <x:v>Dinin Temel Gayesi / Hz. Yusuf / Asr Suresi</x:v>
      </x:c>
      <x:c r="L916" s="14" t="str">
        <x:v>Dinin Temel Gayesi / Hz. Yusuf / Asr Suresi — genel oynatma listesinden ilgili konu/soru çalışmasını yap.</x:v>
      </x:c>
      <x:c r="M916" s="14" t="str">
        <x:v>Din Genel Oynatma Listesi</x:v>
      </x:c>
      <x:c r="N916" s="14" t="str">
        <x:v>https://www.youtube.com/watch?v=wvdOE_75VnA&amp;list=PLbRoPq-Zu-SWXGUbVt4t4UWo-4VjsMUo-&amp;index=2</x:v>
      </x:c>
      <x:c r="O916" s="14" t="n">
        <x:v>0</x:v>
      </x:c>
      <x:c r="P916" s="14" t="str">
        <x:v>Hayır</x:v>
      </x:c>
      <x:c r="Q916" s="14" t="str">
        <x:v>Evet</x:v>
      </x:c>
      <x:c r="R916" s="14" t="str">
        <x:v>Planlandı</x:v>
      </x:c>
      <x:c r="S916" s="15" t="str"/>
      <x:c r="T916" s="14" t="str"/>
    </x:row>
    <x:row r="917">
      <x:c r="A917" s="14" t="n">
        <x:v>916</x:v>
      </x:c>
      <x:c r="B917" s="15" t="n">
        <x:v>46369</x:v>
      </x:c>
      <x:c r="C917" s="14" t="str">
        <x:v>Pazar</x:v>
      </x:c>
      <x:c r="D917" s="14" t="str">
        <x:v>Hafta Sonu</x:v>
      </x:c>
      <x:c r="E917" s="14" t="str">
        <x:v>Tam gün</x:v>
      </x:c>
      <x:c r="F917" s="14" t="str">
        <x:v>F1 - Temel Kurma</x:v>
      </x:c>
      <x:c r="G917" s="14" t="str">
        <x:v>16:35</x:v>
      </x:c>
      <x:c r="H917" s="14" t="str">
        <x:v>17:15</x:v>
      </x:c>
      <x:c r="I917" s="14" t="str">
        <x:v>Din</x:v>
      </x:c>
      <x:c r="J917" s="14" t="str">
        <x:v>Kitap / MEB / Mastery</x:v>
      </x:c>
      <x:c r="K917" s="14" t="str">
        <x:v>Dinin Temel Gayesi / Hz. Yusuf / Asr Suresi</x:v>
      </x:c>
      <x:c r="L917" s="14" t="str">
        <x:v>Dinin Temel Gayesi / Hz. Yusuf / Asr Suresi ile ilgili soru kitabından en az 18 soru / bugünkü test payını çöz.</x:v>
      </x:c>
      <x:c r="M917" s="14" t="str">
        <x:v>Hız 8. Sınıf Din Kültürü ve Ahlak Bilgisi</x:v>
      </x:c>
      <x:c r="N917" s="14" t="str">
        <x:v>https://www.youtube.com/watch?v=wvdOE_75VnA&amp;list=PLbRoPq-Zu-SWXGUbVt4t4UWo-4VjsMUo-&amp;index=2</x:v>
      </x:c>
      <x:c r="O917" s="14" t="n">
        <x:v>18</x:v>
      </x:c>
      <x:c r="P917" s="14" t="str">
        <x:v>Hayır</x:v>
      </x:c>
      <x:c r="Q917" s="14" t="str">
        <x:v>Evet</x:v>
      </x:c>
      <x:c r="R917" s="14" t="str">
        <x:v>Planlandı</x:v>
      </x:c>
      <x:c r="S917" s="15" t="str"/>
      <x:c r="T917" s="14" t="str"/>
    </x:row>
    <x:row r="918">
      <x:c r="A918" s="14" t="n">
        <x:v>917</x:v>
      </x:c>
      <x:c r="B918" s="15" t="n">
        <x:v>46369</x:v>
      </x:c>
      <x:c r="C918" s="14" t="str">
        <x:v>Pazar</x:v>
      </x:c>
      <x:c r="D918" s="14" t="str">
        <x:v>Hafta Sonu</x:v>
      </x:c>
      <x:c r="E918" s="14" t="str">
        <x:v>Tam gün</x:v>
      </x:c>
      <x:c r="F918" s="14" t="str">
        <x:v>F1 - Temel Kurma</x:v>
      </x:c>
      <x:c r="G918" s="14" t="str">
        <x:v>17:25</x:v>
      </x:c>
      <x:c r="H918" s="14" t="str">
        <x:v>18:25</x:v>
      </x:c>
      <x:c r="I918" s="14" t="str">
        <x:v>Genel</x:v>
      </x:c>
      <x:c r="J918" s="14" t="str">
        <x:v>Kaynak Tamamlama</x:v>
      </x:c>
      <x:c r="K918" s="14" t="str">
        <x:v>En Geride Kalan Kaynak</x:v>
      </x:c>
      <x:c r="L918" s="14" t="str">
        <x:v>Kaynak_Ilerleme sayfasında hedef yüzdesinin en gerisinde kalan ZORUNLU soru kaynağına 60 dk ayır. Öğrenilmemiş konudan ileri gitme.</x:v>
      </x:c>
      <x:c r="M918" s="14" t="str">
        <x:v>Kaynak İlerleme</x:v>
      </x:c>
      <x:c r="N918" s="14" t="str"/>
      <x:c r="O918" s="14" t="n">
        <x:v>0</x:v>
      </x:c>
      <x:c r="P918" s="14" t="str">
        <x:v>Hayır</x:v>
      </x:c>
      <x:c r="Q918" s="14" t="str">
        <x:v>Evet</x:v>
      </x:c>
      <x:c r="R918" s="14" t="str">
        <x:v>Planlandı</x:v>
      </x:c>
      <x:c r="S918" s="15" t="str"/>
      <x:c r="T918" s="14" t="str">
        <x:v>Amaç 13.04.2027'de zorunlu soru kitapları + ilgili MEB setlerini %100 tamamlamak.</x:v>
      </x:c>
    </x:row>
    <x:row r="919">
      <x:c r="A919" s="14" t="n">
        <x:v>918</x:v>
      </x:c>
      <x:c r="B919" s="15" t="n">
        <x:v>46369</x:v>
      </x:c>
      <x:c r="C919" s="14" t="str">
        <x:v>Pazar</x:v>
      </x:c>
      <x:c r="D919" s="14" t="str">
        <x:v>Hafta Sonu</x:v>
      </x:c>
      <x:c r="E919" s="14" t="str">
        <x:v>Tam gün</x:v>
      </x:c>
      <x:c r="F919" s="14" t="str">
        <x:v>F1 - Temel Kurma</x:v>
      </x:c>
      <x:c r="G919" s="14" t="str">
        <x:v>18:25</x:v>
      </x:c>
      <x:c r="H919" s="14" t="str">
        <x:v>18:45</x:v>
      </x:c>
      <x:c r="I919" s="14" t="str">
        <x:v>Genel</x:v>
      </x:c>
      <x:c r="J919" s="14" t="str">
        <x:v>Yanlış / Boş Analizi</x:v>
      </x:c>
      <x:c r="K919" s="14" t="str">
        <x:v>Günlük</x:v>
      </x:c>
      <x:c r="L919" s="14" t="str">
        <x:v>Bugünkü yanlış/boşları kaydet; çözümünü öğrenmeden kapatma. Hata türünü sınıflandır.</x:v>
      </x:c>
      <x:c r="M919" s="14" t="str">
        <x:v>Yanlış Defteri</x:v>
      </x:c>
      <x:c r="N919" s="14" t="str"/>
      <x:c r="O919" s="14" t="n">
        <x:v>0</x:v>
      </x:c>
      <x:c r="P919" s="14" t="str">
        <x:v>Hayır</x:v>
      </x:c>
      <x:c r="Q919" s="14" t="str">
        <x:v>Evet</x:v>
      </x:c>
      <x:c r="R919" s="14" t="str">
        <x:v>Planlandı</x:v>
      </x:c>
      <x:c r="S919" s="15" t="str"/>
      <x:c r="T919" s="14" t="str"/>
    </x:row>
    <x:row r="920">
      <x:c r="A920" s="14" t="n">
        <x:v>919</x:v>
      </x:c>
      <x:c r="B920" s="15" t="n">
        <x:v>46369</x:v>
      </x:c>
      <x:c r="C920" s="14" t="str">
        <x:v>Pazar</x:v>
      </x:c>
      <x:c r="D920" s="14" t="str">
        <x:v>Hafta Sonu</x:v>
      </x:c>
      <x:c r="E920" s="14" t="str">
        <x:v>Tam gün</x:v>
      </x:c>
      <x:c r="F920" s="14" t="str">
        <x:v>F1 - Temel Kurma</x:v>
      </x:c>
      <x:c r="G920" s="14" t="str">
        <x:v>18:45</x:v>
      </x:c>
      <x:c r="H920" s="14" t="str">
        <x:v>19:05</x:v>
      </x:c>
      <x:c r="I920" s="14" t="str">
        <x:v>Genel</x:v>
      </x:c>
      <x:c r="J920" s="14" t="str">
        <x:v>Aralıklı Hata Tekrarı</x:v>
      </x:c>
      <x:c r="K920" s="14" t="str">
        <x:v>+1 / +7 / +21</x:v>
      </x:c>
      <x:c r="L920" s="14" t="str">
        <x:v>Bugün vadesi gelen yanlış soruları tekrar çöz. Vadesi yoksa bu süre serbest/okuma olabilir.</x:v>
      </x:c>
      <x:c r="M920" s="14" t="str">
        <x:v>Yanlış Defteri</x:v>
      </x:c>
      <x:c r="N920" s="14" t="str"/>
      <x:c r="O920" s="14" t="n">
        <x:v>0</x:v>
      </x:c>
      <x:c r="P920" s="14" t="str">
        <x:v>Hayır</x:v>
      </x:c>
      <x:c r="Q920" s="14" t="str">
        <x:v>Koşullu</x:v>
      </x:c>
      <x:c r="R920" s="14" t="str">
        <x:v>Planlandı</x:v>
      </x:c>
      <x:c r="S920" s="15" t="str"/>
      <x:c r="T920" s="14" t="str">
        <x:v>Yanlışlar +1, +7 ve +21 gün aralıklarıyla tekrar edilir; hâlâ yanlışsa konu mastery durumu düşürülür.</x:v>
      </x:c>
    </x:row>
    <x:row r="921">
      <x:c r="A921" s="14" t="n">
        <x:v>920</x:v>
      </x:c>
      <x:c r="B921" s="15" t="n">
        <x:v>46369</x:v>
      </x:c>
      <x:c r="C921" s="14" t="str">
        <x:v>Pazar</x:v>
      </x:c>
      <x:c r="D921" s="14" t="str">
        <x:v>Hafta Sonu</x:v>
      </x:c>
      <x:c r="E921" s="14" t="str">
        <x:v>Tam gün</x:v>
      </x:c>
      <x:c r="F921" s="14" t="str">
        <x:v>F1 - Temel Kurma</x:v>
      </x:c>
      <x:c r="G921" s="14" t="str">
        <x:v>20:00</x:v>
      </x:c>
      <x:c r="H921" s="14" t="str">
        <x:v>20:30</x:v>
      </x:c>
      <x:c r="I921" s="14" t="str">
        <x:v>Okuma</x:v>
      </x:c>
      <x:c r="J921" s="14" t="str">
        <x:v>İsteğe Bağlı</x:v>
      </x:c>
      <x:c r="K921" s="14" t="str">
        <x:v>Serbest Kitap</x:v>
      </x:c>
      <x:c r="L921" s="14" t="str">
        <x:v>Zorunlu çalışmalar bittiyse isteğe bağlı kitap oku.</x:v>
      </x:c>
      <x:c r="M921" s="14" t="str">
        <x:v>Serbest Kitap</x:v>
      </x:c>
      <x:c r="N921" s="14" t="str"/>
      <x:c r="O921" s="14" t="n">
        <x:v>0</x:v>
      </x:c>
      <x:c r="P921" s="14" t="str">
        <x:v>İsteğe Bağlı</x:v>
      </x:c>
      <x:c r="Q921" s="14" t="str">
        <x:v>Hayır</x:v>
      </x:c>
      <x:c r="R921" s="14" t="str">
        <x:v>Planlandı</x:v>
      </x:c>
      <x:c r="S921" s="15" t="str"/>
      <x:c r="T921" s="14" t="str">
        <x:v>Minimum süre yok.</x:v>
      </x:c>
    </x:row>
    <x:row r="922">
      <x:c r="A922" s="14" t="n">
        <x:v>921</x:v>
      </x:c>
      <x:c r="B922" s="15" t="n">
        <x:v>46369</x:v>
      </x:c>
      <x:c r="C922" s="14" t="str">
        <x:v>Pazar</x:v>
      </x:c>
      <x:c r="D922" s="14" t="str">
        <x:v>Hafta Sonu</x:v>
      </x:c>
      <x:c r="E922" s="14" t="str">
        <x:v>Tam gün</x:v>
      </x:c>
      <x:c r="F922" s="14" t="str">
        <x:v>F1 - Temel Kurma</x:v>
      </x:c>
      <x:c r="G922" s="14" t="str">
        <x:v>21:50</x:v>
      </x:c>
      <x:c r="H922" s="14" t="str">
        <x:v>22:00</x:v>
      </x:c>
      <x:c r="I922" s="14" t="str">
        <x:v>Genel</x:v>
      </x:c>
      <x:c r="J922" s="14" t="str">
        <x:v>Uyku Hazırlığı</x:v>
      </x:c>
      <x:c r="K922" s="14" t="str"/>
      <x:c r="L922" s="14" t="str">
        <x:v>22:00'de yatakta ve uyku.</x:v>
      </x:c>
      <x:c r="M922" s="14" t="str"/>
      <x:c r="N922" s="14" t="str"/>
      <x:c r="O922" s="14" t="n">
        <x:v>0</x:v>
      </x:c>
      <x:c r="P922" s="14" t="str">
        <x:v>Hayır</x:v>
      </x:c>
      <x:c r="Q922" s="14" t="str">
        <x:v>Hayır</x:v>
      </x:c>
      <x:c r="R922" s="14" t="str">
        <x:v>Planlandı</x:v>
      </x:c>
      <x:c r="S922" s="15" t="str"/>
      <x:c r="T922" s="14" t="str"/>
    </x:row>
    <x:row r="923">
      <x:c r="A923" s="14" t="n">
        <x:v>922</x:v>
      </x:c>
      <x:c r="B923" s="15" t="n">
        <x:v>46370</x:v>
      </x:c>
      <x:c r="C923" s="14" t="str">
        <x:v>Pazartesi</x:v>
      </x:c>
      <x:c r="D923" s="14" t="str">
        <x:v>Okul Günü</x:v>
      </x:c>
      <x:c r="E923" s="14" t="str">
        <x:v>16:00 sonrası</x:v>
      </x:c>
      <x:c r="F923" s="14" t="str">
        <x:v>F1 - Temel Kurma</x:v>
      </x:c>
      <x:c r="G923" s="14" t="str">
        <x:v>16:00</x:v>
      </x:c>
      <x:c r="H923" s="14" t="str">
        <x:v>16:25</x:v>
      </x:c>
      <x:c r="I923" s="14" t="str">
        <x:v>Genel</x:v>
      </x:c>
      <x:c r="J923" s="14" t="str">
        <x:v>Dinlenme</x:v>
      </x:c>
      <x:c r="K923" s="14" t="str"/>
      <x:c r="L923" s="14" t="str">
        <x:v>Eve geliş, atıştırma ve dinlenme.</x:v>
      </x:c>
      <x:c r="M923" s="14" t="str"/>
      <x:c r="N923" s="14" t="str"/>
      <x:c r="O923" s="14" t="n">
        <x:v>0</x:v>
      </x:c>
      <x:c r="P923" s="14" t="str">
        <x:v>Hayır</x:v>
      </x:c>
      <x:c r="Q923" s="14" t="str">
        <x:v>Hayır</x:v>
      </x:c>
      <x:c r="R923" s="14" t="str">
        <x:v>Planlandı</x:v>
      </x:c>
      <x:c r="S923" s="15" t="str"/>
      <x:c r="T923" s="14" t="str"/>
    </x:row>
    <x:row r="924">
      <x:c r="A924" s="14" t="n">
        <x:v>923</x:v>
      </x:c>
      <x:c r="B924" s="15" t="n">
        <x:v>46370</x:v>
      </x:c>
      <x:c r="C924" s="14" t="str">
        <x:v>Pazartesi</x:v>
      </x:c>
      <x:c r="D924" s="14" t="str">
        <x:v>Okul Günü</x:v>
      </x:c>
      <x:c r="E924" s="14" t="str">
        <x:v>16:00 sonrası</x:v>
      </x:c>
      <x:c r="F924" s="14" t="str">
        <x:v>F1 - Temel Kurma</x:v>
      </x:c>
      <x:c r="G924" s="14" t="str">
        <x:v>16:25</x:v>
      </x:c>
      <x:c r="H924" s="14" t="str">
        <x:v>17:05</x:v>
      </x:c>
      <x:c r="I924" s="14" t="str">
        <x:v>Matematik</x:v>
      </x:c>
      <x:c r="J924" s="14" t="str">
        <x:v>Konu / Tekrar</x:v>
      </x:c>
      <x:c r="K924" s="14" t="str">
        <x:v>Üslü İfadeler</x:v>
      </x:c>
      <x:c r="L924" s="14" t="str">
        <x:v>Üslü İfadeler — genel oynatma listesinden ilgili videoyu izle (1/3).</x:v>
      </x:c>
      <x:c r="M924" s="14" t="str">
        <x:v>Matematik Ana Oynatma Listesi</x:v>
      </x:c>
      <x:c r="N924" s="14" t="str">
        <x:v>https://www.youtube.com/watch?v=EuJ89QzqrAg&amp;list=PLicNtF7vp6fnfDqrRLH6H7fIbzYT4ct4F&amp;index=11</x:v>
      </x:c>
      <x:c r="O924" s="14" t="n">
        <x:v>0</x:v>
      </x:c>
      <x:c r="P924" s="14" t="str">
        <x:v>Hayır</x:v>
      </x:c>
      <x:c r="Q924" s="14" t="str">
        <x:v>Evet</x:v>
      </x:c>
      <x:c r="R924" s="14" t="str">
        <x:v>Planlandı</x:v>
      </x:c>
      <x:c r="S924" s="15" t="str"/>
      <x:c r="T924" s="14" t="str">
        <x:v>Yeni konu ancak plan sırasıyla açılır; LGS dışı ileri TYT içeriği zorunlu değildir.</x:v>
      </x:c>
    </x:row>
    <x:row r="925">
      <x:c r="A925" s="14" t="n">
        <x:v>924</x:v>
      </x:c>
      <x:c r="B925" s="15" t="n">
        <x:v>46370</x:v>
      </x:c>
      <x:c r="C925" s="14" t="str">
        <x:v>Pazartesi</x:v>
      </x:c>
      <x:c r="D925" s="14" t="str">
        <x:v>Okul Günü</x:v>
      </x:c>
      <x:c r="E925" s="14" t="str">
        <x:v>16:00 sonrası</x:v>
      </x:c>
      <x:c r="F925" s="14" t="str">
        <x:v>F1 - Temel Kurma</x:v>
      </x:c>
      <x:c r="G925" s="14" t="str">
        <x:v>17:10</x:v>
      </x:c>
      <x:c r="H925" s="14" t="str">
        <x:v>17:55</x:v>
      </x:c>
      <x:c r="I925" s="14" t="str">
        <x:v>Matematik</x:v>
      </x:c>
      <x:c r="J925" s="14" t="str">
        <x:v>Kitap / MEB / Mastery</x:v>
      </x:c>
      <x:c r="K925" s="14" t="str">
        <x:v>Üslü İfadeler</x:v>
      </x:c>
      <x:c r="L925" s="14" t="str">
        <x:v>Üslü İfadeler ile ilgili soru kitabından en az 25 soru / bugünkü test payını çöz.</x:v>
      </x:c>
      <x:c r="M925" s="14" t="str">
        <x:v>MUBA 8. Sınıf Başlangıç Matematik (ISBN 9789756526972); tamamlandıysa Mozaik 8. Sınıf Matematik</x:v>
      </x:c>
      <x:c r="N925" s="14" t="str">
        <x:v>https://odsgm.meb.gov.tr/www/8sinif-calisma-sorulari/icerik/1632</x:v>
      </x:c>
      <x:c r="O925" s="14" t="n">
        <x:v>25</x:v>
      </x:c>
      <x:c r="P925" s="14" t="str">
        <x:v>İlk 20 soru</x:v>
      </x:c>
      <x:c r="Q925" s="14" t="str">
        <x:v>Evet</x:v>
      </x:c>
      <x:c r="R925" s="14" t="str">
        <x:v>Planlandı</x:v>
      </x:c>
      <x:c r="S925" s="15" t="str"/>
      <x:c r="T925" s="14" t="str">
        <x:v>Ayrı/rastgele matematik benchmark yoktur. Süreli ilk 20 soru o gün çalışılan konunun içindedir.</x:v>
      </x:c>
    </x:row>
    <x:row r="926">
      <x:c r="A926" s="14" t="n">
        <x:v>925</x:v>
      </x:c>
      <x:c r="B926" s="15" t="n">
        <x:v>46370</x:v>
      </x:c>
      <x:c r="C926" s="14" t="str">
        <x:v>Pazartesi</x:v>
      </x:c>
      <x:c r="D926" s="14" t="str">
        <x:v>Okul Günü</x:v>
      </x:c>
      <x:c r="E926" s="14" t="str">
        <x:v>16:00 sonrası</x:v>
      </x:c>
      <x:c r="F926" s="14" t="str">
        <x:v>F1 - Temel Kurma</x:v>
      </x:c>
      <x:c r="G926" s="14" t="str">
        <x:v>17:55</x:v>
      </x:c>
      <x:c r="H926" s="14" t="str">
        <x:v>18:25</x:v>
      </x:c>
      <x:c r="I926" s="14" t="str">
        <x:v>Genel</x:v>
      </x:c>
      <x:c r="J926" s="14" t="str">
        <x:v>Yemek / Serbest Zaman</x:v>
      </x:c>
      <x:c r="K926" s="14" t="str"/>
      <x:c r="L926" s="14" t="str">
        <x:v>Yemek, hareket ve dinlenme.</x:v>
      </x:c>
      <x:c r="M926" s="14" t="str"/>
      <x:c r="N926" s="14" t="str"/>
      <x:c r="O926" s="14" t="n">
        <x:v>0</x:v>
      </x:c>
      <x:c r="P926" s="14" t="str">
        <x:v>Hayır</x:v>
      </x:c>
      <x:c r="Q926" s="14" t="str">
        <x:v>Hayır</x:v>
      </x:c>
      <x:c r="R926" s="14" t="str">
        <x:v>Planlandı</x:v>
      </x:c>
      <x:c r="S926" s="15" t="str"/>
      <x:c r="T926" s="14" t="str"/>
    </x:row>
    <x:row r="927">
      <x:c r="A927" s="14" t="n">
        <x:v>926</x:v>
      </x:c>
      <x:c r="B927" s="15" t="n">
        <x:v>46370</x:v>
      </x:c>
      <x:c r="C927" s="14" t="str">
        <x:v>Pazartesi</x:v>
      </x:c>
      <x:c r="D927" s="14" t="str">
        <x:v>Okul Günü</x:v>
      </x:c>
      <x:c r="E927" s="14" t="str">
        <x:v>16:00 sonrası</x:v>
      </x:c>
      <x:c r="F927" s="14" t="str">
        <x:v>F1 - Temel Kurma</x:v>
      </x:c>
      <x:c r="G927" s="14" t="str">
        <x:v>18:25</x:v>
      </x:c>
      <x:c r="H927" s="14" t="str">
        <x:v>18:55</x:v>
      </x:c>
      <x:c r="I927" s="14" t="str">
        <x:v>Türkçe</x:v>
      </x:c>
      <x:c r="J927" s="14" t="str">
        <x:v>Paragraf Rutini</x:v>
      </x:c>
      <x:c r="K927" s="14" t="str">
        <x:v>Paragraf</x:v>
      </x:c>
      <x:c r="L927" s="14" t="str">
        <x:v>En az 25 paragraf sorusu çöz; ilk 20 soruyu ileri sayımla ölç, D/Y/B + süre kaydet.</x:v>
      </x:c>
      <x:c r="M927" s="14" t="str">
        <x:v>Hız 8. Sınıf Türkçe Paragraf (ISBN 9786258394498)</x:v>
      </x:c>
      <x:c r="N927" s="14" t="str"/>
      <x:c r="O927" s="14" t="n">
        <x:v>25</x:v>
      </x:c>
      <x:c r="P927" s="14" t="str">
        <x:v>İlk 20 soru</x:v>
      </x:c>
      <x:c r="Q927" s="14" t="str">
        <x:v>Evet</x:v>
      </x:c>
      <x:c r="R927" s="14" t="str">
        <x:v>Planlandı</x:v>
      </x:c>
      <x:c r="S927" s="15" t="str"/>
      <x:c r="T927" s="14" t="str">
        <x:v>Geri sayım ve hedef süre yok.</x:v>
      </x:c>
    </x:row>
    <x:row r="928">
      <x:c r="A928" s="14" t="n">
        <x:v>927</x:v>
      </x:c>
      <x:c r="B928" s="15" t="n">
        <x:v>46370</x:v>
      </x:c>
      <x:c r="C928" s="14" t="str">
        <x:v>Pazartesi</x:v>
      </x:c>
      <x:c r="D928" s="14" t="str">
        <x:v>Okul Günü</x:v>
      </x:c>
      <x:c r="E928" s="14" t="str">
        <x:v>16:00 sonrası</x:v>
      </x:c>
      <x:c r="F928" s="14" t="str">
        <x:v>F1 - Temel Kurma</x:v>
      </x:c>
      <x:c r="G928" s="14" t="str">
        <x:v>19:00</x:v>
      </x:c>
      <x:c r="H928" s="14" t="str">
        <x:v>19:35</x:v>
      </x:c>
      <x:c r="I928" s="14" t="str">
        <x:v>Türkçe</x:v>
      </x:c>
      <x:c r="J928" s="14" t="str">
        <x:v>Konu / Tekrar</x:v>
      </x:c>
      <x:c r="K928" s="14" t="str">
        <x:v>Cümlenin Ögeleri</x:v>
      </x:c>
      <x:c r="L928" s="14" t="str">
        <x:v>Cümlenin Ögeleri — genel oynatma listesinden ilgili videoyu izle (4/4).</x:v>
      </x:c>
      <x:c r="M928" s="14" t="str">
        <x:v>Türkçe Ana Oynatma Listesi</x:v>
      </x:c>
      <x:c r="N928" s="14" t="str">
        <x:v>https://www.youtube.com/watch?v=VYsPntNKVdw&amp;list=PLIBjFaUoJJ91bz7QQEBlxNJNZka5YQRr6</x:v>
      </x:c>
      <x:c r="O928" s="14" t="n">
        <x:v>0</x:v>
      </x:c>
      <x:c r="P928" s="14" t="str">
        <x:v>Hayır</x:v>
      </x:c>
      <x:c r="Q928" s="14" t="str">
        <x:v>Evet</x:v>
      </x:c>
      <x:c r="R928" s="14" t="str">
        <x:v>Planlandı</x:v>
      </x:c>
      <x:c r="S928" s="15" t="str"/>
      <x:c r="T928" s="14" t="str">
        <x:v>TYT etiketli kaynak temelden başlamak için sabittir; LGS dışı gereksiz ayrıntı zorunlu değildir.</x:v>
      </x:c>
    </x:row>
    <x:row r="929">
      <x:c r="A929" s="14" t="n">
        <x:v>928</x:v>
      </x:c>
      <x:c r="B929" s="15" t="n">
        <x:v>46370</x:v>
      </x:c>
      <x:c r="C929" s="14" t="str">
        <x:v>Pazartesi</x:v>
      </x:c>
      <x:c r="D929" s="14" t="str">
        <x:v>Okul Günü</x:v>
      </x:c>
      <x:c r="E929" s="14" t="str">
        <x:v>16:00 sonrası</x:v>
      </x:c>
      <x:c r="F929" s="14" t="str">
        <x:v>F1 - Temel Kurma</x:v>
      </x:c>
      <x:c r="G929" s="14" t="str">
        <x:v>19:40</x:v>
      </x:c>
      <x:c r="H929" s="14" t="str">
        <x:v>20:10</x:v>
      </x:c>
      <x:c r="I929" s="14" t="str">
        <x:v>Türkçe</x:v>
      </x:c>
      <x:c r="J929" s="14" t="str">
        <x:v>Kitap / MEB / Mastery</x:v>
      </x:c>
      <x:c r="K929" s="14" t="str">
        <x:v>Cümlenin Ögeleri</x:v>
      </x:c>
      <x:c r="L929" s="14" t="str">
        <x:v>Cümlenin Ögeleri ile ilgili soru kitabından en az 15 soru / bugünkü test payını çöz. İlgili kitap konu bölümünü bu oturumda bitirmeyi hedefle; sonraki oturum MEB doğrulaması.</x:v>
      </x:c>
      <x:c r="M929" s="14" t="str">
        <x:v>Ankara 8. Sınıf Dil Bilgisi Güçlendiren</x:v>
      </x:c>
      <x:c r="N929" s="14" t="str">
        <x:v>https://odsgm.meb.gov.tr/www/8sinif-calisma-sorulari/icerik/1632</x:v>
      </x:c>
      <x:c r="O929" s="14" t="n">
        <x:v>15</x:v>
      </x:c>
      <x:c r="P929" s="14" t="str">
        <x:v>Hayır</x:v>
      </x:c>
      <x:c r="Q929" s="14" t="str">
        <x:v>Evet</x:v>
      </x:c>
      <x:c r="R929" s="14" t="str">
        <x:v>Planlandı</x:v>
      </x:c>
      <x:c r="S929" s="15" t="str"/>
      <x:c r="T929" s="14" t="str"/>
    </x:row>
    <x:row r="930">
      <x:c r="A930" s="14" t="n">
        <x:v>929</x:v>
      </x:c>
      <x:c r="B930" s="15" t="n">
        <x:v>46370</x:v>
      </x:c>
      <x:c r="C930" s="14" t="str">
        <x:v>Pazartesi</x:v>
      </x:c>
      <x:c r="D930" s="14" t="str">
        <x:v>Okul Günü</x:v>
      </x:c>
      <x:c r="E930" s="14" t="str">
        <x:v>16:00 sonrası</x:v>
      </x:c>
      <x:c r="F930" s="14" t="str">
        <x:v>F1 - Temel Kurma</x:v>
      </x:c>
      <x:c r="G930" s="14" t="str">
        <x:v>20:15</x:v>
      </x:c>
      <x:c r="H930" s="14" t="str">
        <x:v>20:50</x:v>
      </x:c>
      <x:c r="I930" s="14" t="str">
        <x:v>İnkılap</x:v>
      </x:c>
      <x:c r="J930" s="14" t="str">
        <x:v>Konu / Tekrar</x:v>
      </x:c>
      <x:c r="K930" s="14" t="str">
        <x:v>Genelgeler, Kongreler, Misakımillî ve TBMM</x:v>
      </x:c>
      <x:c r="L930" s="14" t="str">
        <x:v>Genelgeler, Kongreler, Misakımillî ve TBMM — genel oynatma listesinden ilgili konu/soru çalışmasını yap.</x:v>
      </x:c>
      <x:c r="M930" s="14" t="str">
        <x:v>İnkılap Genel Oynatma Listesi</x:v>
      </x:c>
      <x:c r="N930" s="14" t="str">
        <x:v>https://www.youtube.com/watch?v=MltIX0oKpYU&amp;list=PLsAsBPsriHNbXit4Ra3iuBrk1ZHZWxsOR&amp;index=78</x:v>
      </x:c>
      <x:c r="O930" s="14" t="n">
        <x:v>0</x:v>
      </x:c>
      <x:c r="P930" s="14" t="str">
        <x:v>Hayır</x:v>
      </x:c>
      <x:c r="Q930" s="14" t="str">
        <x:v>Evet</x:v>
      </x:c>
      <x:c r="R930" s="14" t="str">
        <x:v>Planlandı</x:v>
      </x:c>
      <x:c r="S930" s="15" t="str"/>
      <x:c r="T930" s="14" t="str">
        <x:v>İnkılapta okul yazılısı videoları zorunlu değildir.</x:v>
      </x:c>
    </x:row>
    <x:row r="931">
      <x:c r="A931" s="14" t="n">
        <x:v>930</x:v>
      </x:c>
      <x:c r="B931" s="15" t="n">
        <x:v>46370</x:v>
      </x:c>
      <x:c r="C931" s="14" t="str">
        <x:v>Pazartesi</x:v>
      </x:c>
      <x:c r="D931" s="14" t="str">
        <x:v>Okul Günü</x:v>
      </x:c>
      <x:c r="E931" s="14" t="str">
        <x:v>16:00 sonrası</x:v>
      </x:c>
      <x:c r="F931" s="14" t="str">
        <x:v>F1 - Temel Kurma</x:v>
      </x:c>
      <x:c r="G931" s="14" t="str">
        <x:v>20:55</x:v>
      </x:c>
      <x:c r="H931" s="14" t="str">
        <x:v>21:20</x:v>
      </x:c>
      <x:c r="I931" s="14" t="str">
        <x:v>İnkılap</x:v>
      </x:c>
      <x:c r="J931" s="14" t="str">
        <x:v>Kitap / MEB / Mastery</x:v>
      </x:c>
      <x:c r="K931" s="14" t="str">
        <x:v>Genelgeler, Kongreler, Misakımillî ve TBMM</x:v>
      </x:c>
      <x:c r="L931" s="14" t="str">
        <x:v>Genelgeler, Kongreler, Misakımillî ve TBMM ile ilgili soru kitabından en az 18 soru / bugünkü test payını çöz.</x:v>
      </x:c>
      <x:c r="M931" s="14" t="str">
        <x:v>Hız 8. Sınıf T.C. İnkılap Tarihi ve Atatürkçülük</x:v>
      </x:c>
      <x:c r="N931" s="14" t="str">
        <x:v>https://www.youtube.com/watch?v=MltIX0oKpYU&amp;list=PLsAsBPsriHNbXit4Ra3iuBrk1ZHZWxsOR&amp;index=78</x:v>
      </x:c>
      <x:c r="O931" s="14" t="n">
        <x:v>18</x:v>
      </x:c>
      <x:c r="P931" s="14" t="str">
        <x:v>Hayır</x:v>
      </x:c>
      <x:c r="Q931" s="14" t="str">
        <x:v>Evet</x:v>
      </x:c>
      <x:c r="R931" s="14" t="str">
        <x:v>Planlandı</x:v>
      </x:c>
      <x:c r="S931" s="15" t="str"/>
      <x:c r="T931" s="14" t="str"/>
    </x:row>
    <x:row r="932">
      <x:c r="A932" s="14" t="n">
        <x:v>931</x:v>
      </x:c>
      <x:c r="B932" s="15" t="n">
        <x:v>46370</x:v>
      </x:c>
      <x:c r="C932" s="14" t="str">
        <x:v>Pazartesi</x:v>
      </x:c>
      <x:c r="D932" s="14" t="str">
        <x:v>Okul Günü</x:v>
      </x:c>
      <x:c r="E932" s="14" t="str">
        <x:v>16:00 sonrası</x:v>
      </x:c>
      <x:c r="F932" s="14" t="str">
        <x:v>F1 - Temel Kurma</x:v>
      </x:c>
      <x:c r="G932" s="14" t="str">
        <x:v>21:20</x:v>
      </x:c>
      <x:c r="H932" s="14" t="str">
        <x:v>21:35</x:v>
      </x:c>
      <x:c r="I932" s="14" t="str">
        <x:v>Genel</x:v>
      </x:c>
      <x:c r="J932" s="14" t="str">
        <x:v>Yanlış / Boş Analizi</x:v>
      </x:c>
      <x:c r="K932" s="14" t="str">
        <x:v>Günlük</x:v>
      </x:c>
      <x:c r="L932" s="14" t="str">
        <x:v>Bugünkü yanlış/boşları kaydet; çözümünü öğrenmeden kapatma. Hata türünü sınıflandır.</x:v>
      </x:c>
      <x:c r="M932" s="14" t="str">
        <x:v>Yanlış Defteri</x:v>
      </x:c>
      <x:c r="N932" s="14" t="str"/>
      <x:c r="O932" s="14" t="n">
        <x:v>0</x:v>
      </x:c>
      <x:c r="P932" s="14" t="str">
        <x:v>Hayır</x:v>
      </x:c>
      <x:c r="Q932" s="14" t="str">
        <x:v>Evet</x:v>
      </x:c>
      <x:c r="R932" s="14" t="str">
        <x:v>Planlandı</x:v>
      </x:c>
      <x:c r="S932" s="15" t="str"/>
      <x:c r="T932" s="14" t="str"/>
    </x:row>
    <x:row r="933">
      <x:c r="A933" s="14" t="n">
        <x:v>932</x:v>
      </x:c>
      <x:c r="B933" s="15" t="n">
        <x:v>46370</x:v>
      </x:c>
      <x:c r="C933" s="14" t="str">
        <x:v>Pazartesi</x:v>
      </x:c>
      <x:c r="D933" s="14" t="str">
        <x:v>Okul Günü</x:v>
      </x:c>
      <x:c r="E933" s="14" t="str">
        <x:v>16:00 sonrası</x:v>
      </x:c>
      <x:c r="F933" s="14" t="str">
        <x:v>F1 - Temel Kurma</x:v>
      </x:c>
      <x:c r="G933" s="14" t="str">
        <x:v>21:35</x:v>
      </x:c>
      <x:c r="H933" s="14" t="str">
        <x:v>21:50</x:v>
      </x:c>
      <x:c r="I933" s="14" t="str">
        <x:v>Genel</x:v>
      </x:c>
      <x:c r="J933" s="14" t="str">
        <x:v>Aralıklı Hata Tekrarı</x:v>
      </x:c>
      <x:c r="K933" s="14" t="str">
        <x:v>+1 / +7 / +21</x:v>
      </x:c>
      <x:c r="L933" s="14" t="str">
        <x:v>Bugün vadesi gelen yanlış soruları tekrar çöz. Vadesi yoksa bu süre serbest/okuma olabilir.</x:v>
      </x:c>
      <x:c r="M933" s="14" t="str">
        <x:v>Yanlış Defteri</x:v>
      </x:c>
      <x:c r="N933" s="14" t="str"/>
      <x:c r="O933" s="14" t="n">
        <x:v>0</x:v>
      </x:c>
      <x:c r="P933" s="14" t="str">
        <x:v>Hayır</x:v>
      </x:c>
      <x:c r="Q933" s="14" t="str">
        <x:v>Koşullu</x:v>
      </x:c>
      <x:c r="R933" s="14" t="str">
        <x:v>Planlandı</x:v>
      </x:c>
      <x:c r="S933" s="15" t="str"/>
      <x:c r="T933" s="14" t="str">
        <x:v>Yanlışlar +1, +7 ve +21 gün aralıklarıyla tekrar edilir; hâlâ yanlışsa konu mastery durumu düşürülür.</x:v>
      </x:c>
    </x:row>
    <x:row r="934">
      <x:c r="A934" s="14" t="n">
        <x:v>933</x:v>
      </x:c>
      <x:c r="B934" s="15" t="n">
        <x:v>46370</x:v>
      </x:c>
      <x:c r="C934" s="14" t="str">
        <x:v>Pazartesi</x:v>
      </x:c>
      <x:c r="D934" s="14" t="str">
        <x:v>Okul Günü</x:v>
      </x:c>
      <x:c r="E934" s="14" t="str">
        <x:v>16:00 sonrası</x:v>
      </x:c>
      <x:c r="F934" s="14" t="str">
        <x:v>F1 - Temel Kurma</x:v>
      </x:c>
      <x:c r="G934" s="14" t="str">
        <x:v>21:50</x:v>
      </x:c>
      <x:c r="H934" s="14" t="str">
        <x:v>22:00</x:v>
      </x:c>
      <x:c r="I934" s="14" t="str">
        <x:v>Genel</x:v>
      </x:c>
      <x:c r="J934" s="14" t="str">
        <x:v>Uyku Hazırlığı</x:v>
      </x:c>
      <x:c r="K934" s="14" t="str"/>
      <x:c r="L934" s="14" t="str">
        <x:v>22:00'de yatakta ve uyku.</x:v>
      </x:c>
      <x:c r="M934" s="14" t="str"/>
      <x:c r="N934" s="14" t="str"/>
      <x:c r="O934" s="14" t="n">
        <x:v>0</x:v>
      </x:c>
      <x:c r="P934" s="14" t="str">
        <x:v>Hayır</x:v>
      </x:c>
      <x:c r="Q934" s="14" t="str">
        <x:v>Hayır</x:v>
      </x:c>
      <x:c r="R934" s="14" t="str">
        <x:v>Planlandı</x:v>
      </x:c>
      <x:c r="S934" s="15" t="str"/>
      <x:c r="T934" s="14" t="str"/>
    </x:row>
    <x:row r="935">
      <x:c r="A935" s="14" t="n">
        <x:v>934</x:v>
      </x:c>
      <x:c r="B935" s="15" t="n">
        <x:v>46371</x:v>
      </x:c>
      <x:c r="C935" s="14" t="str">
        <x:v>Salı</x:v>
      </x:c>
      <x:c r="D935" s="14" t="str">
        <x:v>Okul Günü</x:v>
      </x:c>
      <x:c r="E935" s="14" t="str">
        <x:v>16:00 sonrası</x:v>
      </x:c>
      <x:c r="F935" s="14" t="str">
        <x:v>F1 - Temel Kurma</x:v>
      </x:c>
      <x:c r="G935" s="14" t="str">
        <x:v>16:00</x:v>
      </x:c>
      <x:c r="H935" s="14" t="str">
        <x:v>16:25</x:v>
      </x:c>
      <x:c r="I935" s="14" t="str">
        <x:v>Genel</x:v>
      </x:c>
      <x:c r="J935" s="14" t="str">
        <x:v>Dinlenme</x:v>
      </x:c>
      <x:c r="K935" s="14" t="str"/>
      <x:c r="L935" s="14" t="str">
        <x:v>Eve geliş, atıştırma ve dinlenme.</x:v>
      </x:c>
      <x:c r="M935" s="14" t="str"/>
      <x:c r="N935" s="14" t="str"/>
      <x:c r="O935" s="14" t="n">
        <x:v>0</x:v>
      </x:c>
      <x:c r="P935" s="14" t="str">
        <x:v>Hayır</x:v>
      </x:c>
      <x:c r="Q935" s="14" t="str">
        <x:v>Hayır</x:v>
      </x:c>
      <x:c r="R935" s="14" t="str">
        <x:v>Planlandı</x:v>
      </x:c>
      <x:c r="S935" s="15" t="str"/>
      <x:c r="T935" s="14" t="str"/>
    </x:row>
    <x:row r="936">
      <x:c r="A936" s="14" t="n">
        <x:v>935</x:v>
      </x:c>
      <x:c r="B936" s="15" t="n">
        <x:v>46371</x:v>
      </x:c>
      <x:c r="C936" s="14" t="str">
        <x:v>Salı</x:v>
      </x:c>
      <x:c r="D936" s="14" t="str">
        <x:v>Okul Günü</x:v>
      </x:c>
      <x:c r="E936" s="14" t="str">
        <x:v>16:00 sonrası</x:v>
      </x:c>
      <x:c r="F936" s="14" t="str">
        <x:v>F1 - Temel Kurma</x:v>
      </x:c>
      <x:c r="G936" s="14" t="str">
        <x:v>16:25</x:v>
      </x:c>
      <x:c r="H936" s="14" t="str">
        <x:v>17:05</x:v>
      </x:c>
      <x:c r="I936" s="14" t="str">
        <x:v>Matematik</x:v>
      </x:c>
      <x:c r="J936" s="14" t="str">
        <x:v>Konu / Tekrar</x:v>
      </x:c>
      <x:c r="K936" s="14" t="str">
        <x:v>Üslü İfadeler</x:v>
      </x:c>
      <x:c r="L936" s="14" t="str">
        <x:v>Üslü İfadeler — genel oynatma listesinden ilgili videoyu izle (2/3).</x:v>
      </x:c>
      <x:c r="M936" s="14" t="str">
        <x:v>Matematik Ana Oynatma Listesi</x:v>
      </x:c>
      <x:c r="N936" s="14" t="str">
        <x:v>https://www.youtube.com/watch?v=EuJ89QzqrAg&amp;list=PLicNtF7vp6fnfDqrRLH6H7fIbzYT4ct4F&amp;index=11</x:v>
      </x:c>
      <x:c r="O936" s="14" t="n">
        <x:v>0</x:v>
      </x:c>
      <x:c r="P936" s="14" t="str">
        <x:v>Hayır</x:v>
      </x:c>
      <x:c r="Q936" s="14" t="str">
        <x:v>Evet</x:v>
      </x:c>
      <x:c r="R936" s="14" t="str">
        <x:v>Planlandı</x:v>
      </x:c>
      <x:c r="S936" s="15" t="str"/>
      <x:c r="T936" s="14" t="str">
        <x:v>Yeni konu ancak plan sırasıyla açılır; LGS dışı ileri TYT içeriği zorunlu değildir.</x:v>
      </x:c>
    </x:row>
    <x:row r="937">
      <x:c r="A937" s="14" t="n">
        <x:v>936</x:v>
      </x:c>
      <x:c r="B937" s="15" t="n">
        <x:v>46371</x:v>
      </x:c>
      <x:c r="C937" s="14" t="str">
        <x:v>Salı</x:v>
      </x:c>
      <x:c r="D937" s="14" t="str">
        <x:v>Okul Günü</x:v>
      </x:c>
      <x:c r="E937" s="14" t="str">
        <x:v>16:00 sonrası</x:v>
      </x:c>
      <x:c r="F937" s="14" t="str">
        <x:v>F1 - Temel Kurma</x:v>
      </x:c>
      <x:c r="G937" s="14" t="str">
        <x:v>17:10</x:v>
      </x:c>
      <x:c r="H937" s="14" t="str">
        <x:v>17:55</x:v>
      </x:c>
      <x:c r="I937" s="14" t="str">
        <x:v>Matematik</x:v>
      </x:c>
      <x:c r="J937" s="14" t="str">
        <x:v>Kitap / MEB / Mastery</x:v>
      </x:c>
      <x:c r="K937" s="14" t="str">
        <x:v>Üslü İfadeler</x:v>
      </x:c>
      <x:c r="L937" s="14" t="str">
        <x:v>Üslü İfadeler ile ilgili soru kitabından en az 25 soru / bugünkü test payını çöz.</x:v>
      </x:c>
      <x:c r="M937" s="14" t="str">
        <x:v>MUBA 8. Sınıf Başlangıç Matematik (ISBN 9789756526972); tamamlandıysa Mozaik 8. Sınıf Matematik</x:v>
      </x:c>
      <x:c r="N937" s="14" t="str">
        <x:v>https://odsgm.meb.gov.tr/www/8sinif-calisma-sorulari/icerik/1632</x:v>
      </x:c>
      <x:c r="O937" s="14" t="n">
        <x:v>25</x:v>
      </x:c>
      <x:c r="P937" s="14" t="str">
        <x:v>İlk 20 soru</x:v>
      </x:c>
      <x:c r="Q937" s="14" t="str">
        <x:v>Evet</x:v>
      </x:c>
      <x:c r="R937" s="14" t="str">
        <x:v>Planlandı</x:v>
      </x:c>
      <x:c r="S937" s="15" t="str"/>
      <x:c r="T937" s="14" t="str">
        <x:v>Ayrı/rastgele matematik benchmark yoktur. Süreli ilk 20 soru o gün çalışılan konunun içindedir.</x:v>
      </x:c>
    </x:row>
    <x:row r="938">
      <x:c r="A938" s="14" t="n">
        <x:v>937</x:v>
      </x:c>
      <x:c r="B938" s="15" t="n">
        <x:v>46371</x:v>
      </x:c>
      <x:c r="C938" s="14" t="str">
        <x:v>Salı</x:v>
      </x:c>
      <x:c r="D938" s="14" t="str">
        <x:v>Okul Günü</x:v>
      </x:c>
      <x:c r="E938" s="14" t="str">
        <x:v>16:00 sonrası</x:v>
      </x:c>
      <x:c r="F938" s="14" t="str">
        <x:v>F1 - Temel Kurma</x:v>
      </x:c>
      <x:c r="G938" s="14" t="str">
        <x:v>17:55</x:v>
      </x:c>
      <x:c r="H938" s="14" t="str">
        <x:v>18:25</x:v>
      </x:c>
      <x:c r="I938" s="14" t="str">
        <x:v>Genel</x:v>
      </x:c>
      <x:c r="J938" s="14" t="str">
        <x:v>Yemek / Serbest Zaman</x:v>
      </x:c>
      <x:c r="K938" s="14" t="str"/>
      <x:c r="L938" s="14" t="str">
        <x:v>Yemek, hareket ve dinlenme.</x:v>
      </x:c>
      <x:c r="M938" s="14" t="str"/>
      <x:c r="N938" s="14" t="str"/>
      <x:c r="O938" s="14" t="n">
        <x:v>0</x:v>
      </x:c>
      <x:c r="P938" s="14" t="str">
        <x:v>Hayır</x:v>
      </x:c>
      <x:c r="Q938" s="14" t="str">
        <x:v>Hayır</x:v>
      </x:c>
      <x:c r="R938" s="14" t="str">
        <x:v>Planlandı</x:v>
      </x:c>
      <x:c r="S938" s="15" t="str"/>
      <x:c r="T938" s="14" t="str"/>
    </x:row>
    <x:row r="939">
      <x:c r="A939" s="14" t="n">
        <x:v>938</x:v>
      </x:c>
      <x:c r="B939" s="15" t="n">
        <x:v>46371</x:v>
      </x:c>
      <x:c r="C939" s="14" t="str">
        <x:v>Salı</x:v>
      </x:c>
      <x:c r="D939" s="14" t="str">
        <x:v>Okul Günü</x:v>
      </x:c>
      <x:c r="E939" s="14" t="str">
        <x:v>16:00 sonrası</x:v>
      </x:c>
      <x:c r="F939" s="14" t="str">
        <x:v>F1 - Temel Kurma</x:v>
      </x:c>
      <x:c r="G939" s="14" t="str">
        <x:v>18:25</x:v>
      </x:c>
      <x:c r="H939" s="14" t="str">
        <x:v>18:55</x:v>
      </x:c>
      <x:c r="I939" s="14" t="str">
        <x:v>Türkçe</x:v>
      </x:c>
      <x:c r="J939" s="14" t="str">
        <x:v>Paragraf Rutini</x:v>
      </x:c>
      <x:c r="K939" s="14" t="str">
        <x:v>Paragraf</x:v>
      </x:c>
      <x:c r="L939" s="14" t="str">
        <x:v>En az 25 paragraf sorusu çöz; ilk 20 soruyu ileri sayımla ölç, D/Y/B + süre kaydet.</x:v>
      </x:c>
      <x:c r="M939" s="14" t="str">
        <x:v>Hız 8. Sınıf Türkçe Paragraf (ISBN 9786258394498)</x:v>
      </x:c>
      <x:c r="N939" s="14" t="str"/>
      <x:c r="O939" s="14" t="n">
        <x:v>25</x:v>
      </x:c>
      <x:c r="P939" s="14" t="str">
        <x:v>İlk 20 soru</x:v>
      </x:c>
      <x:c r="Q939" s="14" t="str">
        <x:v>Evet</x:v>
      </x:c>
      <x:c r="R939" s="14" t="str">
        <x:v>Planlandı</x:v>
      </x:c>
      <x:c r="S939" s="15" t="str"/>
      <x:c r="T939" s="14" t="str">
        <x:v>Geri sayım ve hedef süre yok.</x:v>
      </x:c>
    </x:row>
    <x:row r="940">
      <x:c r="A940" s="14" t="n">
        <x:v>939</x:v>
      </x:c>
      <x:c r="B940" s="15" t="n">
        <x:v>46371</x:v>
      </x:c>
      <x:c r="C940" s="14" t="str">
        <x:v>Salı</x:v>
      </x:c>
      <x:c r="D940" s="14" t="str">
        <x:v>Okul Günü</x:v>
      </x:c>
      <x:c r="E940" s="14" t="str">
        <x:v>16:00 sonrası</x:v>
      </x:c>
      <x:c r="F940" s="14" t="str">
        <x:v>F1 - Temel Kurma</x:v>
      </x:c>
      <x:c r="G940" s="14" t="str">
        <x:v>19:00</x:v>
      </x:c>
      <x:c r="H940" s="14" t="str">
        <x:v>19:35</x:v>
      </x:c>
      <x:c r="I940" s="14" t="str">
        <x:v>Türkçe</x:v>
      </x:c>
      <x:c r="J940" s="14" t="str">
        <x:v>Konu / Tekrar</x:v>
      </x:c>
      <x:c r="K940" s="14" t="str">
        <x:v>Cümlenin Ögeleri</x:v>
      </x:c>
      <x:c r="L940" s="14" t="str">
        <x:v>Cümlenin Ögeleri — MEB doğrulaması öncesi 5-10 dk aktif hatırlama; gerekiyorsa ilgili playlist videosuna kısa dönüş yap.</x:v>
      </x:c>
      <x:c r="M940" s="14" t="str">
        <x:v>Türkçe Ana Oynatma Listesi</x:v>
      </x:c>
      <x:c r="N940" s="14" t="str">
        <x:v>https://www.youtube.com/watch?v=VYsPntNKVdw&amp;list=PLIBjFaUoJJ91bz7QQEBlxNJNZka5YQRr6</x:v>
      </x:c>
      <x:c r="O940" s="14" t="n">
        <x:v>0</x:v>
      </x:c>
      <x:c r="P940" s="14" t="str">
        <x:v>Hayır</x:v>
      </x:c>
      <x:c r="Q940" s="14" t="str">
        <x:v>Evet</x:v>
      </x:c>
      <x:c r="R940" s="14" t="str">
        <x:v>Planlandı</x:v>
      </x:c>
      <x:c r="S940" s="15" t="str"/>
      <x:c r="T940" s="14" t="str">
        <x:v>TYT etiketli kaynak temelden başlamak için sabittir; LGS dışı gereksiz ayrıntı zorunlu değildir.</x:v>
      </x:c>
    </x:row>
    <x:row r="941">
      <x:c r="A941" s="14" t="n">
        <x:v>940</x:v>
      </x:c>
      <x:c r="B941" s="15" t="n">
        <x:v>46371</x:v>
      </x:c>
      <x:c r="C941" s="14" t="str">
        <x:v>Salı</x:v>
      </x:c>
      <x:c r="D941" s="14" t="str">
        <x:v>Okul Günü</x:v>
      </x:c>
      <x:c r="E941" s="14" t="str">
        <x:v>16:00 sonrası</x:v>
      </x:c>
      <x:c r="F941" s="14" t="str">
        <x:v>F1 - Temel Kurma</x:v>
      </x:c>
      <x:c r="G941" s="14" t="str">
        <x:v>19:40</x:v>
      </x:c>
      <x:c r="H941" s="14" t="str">
        <x:v>20:10</x:v>
      </x:c>
      <x:c r="I941" s="14" t="str">
        <x:v>Türkçe</x:v>
      </x:c>
      <x:c r="J941" s="14" t="str">
        <x:v>Kitap / MEB / Mastery</x:v>
      </x:c>
      <x:c r="K941" s="14" t="str">
        <x:v>Cümlenin Ögeleri</x:v>
      </x:c>
      <x:c r="L941" s="14" t="str">
        <x:v>Cümlenin Ögeleri için ilgili MEB sorularını TAMAMLA; D/Y/B kaydet. Bu oturum konu mastery gate'idir.</x:v>
      </x:c>
      <x:c r="M941" s="14" t="str">
        <x:v>MEB Resmî Soru Seti</x:v>
      </x:c>
      <x:c r="N941" s="14" t="str">
        <x:v>https://odsgm.meb.gov.tr/www/8sinif-calisma-sorulari/icerik/1632</x:v>
      </x:c>
      <x:c r="O941" s="14" t="n">
        <x:v>0</x:v>
      </x:c>
      <x:c r="P941" s="14" t="str">
        <x:v>Hayır</x:v>
      </x:c>
      <x:c r="Q941" s="14" t="str">
        <x:v>Evet</x:v>
      </x:c>
      <x:c r="R941" s="14" t="str">
        <x:v>Planlandı</x:v>
      </x:c>
      <x:c r="S941" s="15" t="str"/>
      <x:c r="T941" s="14" t="str">
        <x:v>MEB sonucu Konu_Ustaligi sayfasına işlenir.</x:v>
      </x:c>
    </x:row>
    <x:row r="942">
      <x:c r="A942" s="14" t="n">
        <x:v>941</x:v>
      </x:c>
      <x:c r="B942" s="15" t="n">
        <x:v>46371</x:v>
      </x:c>
      <x:c r="C942" s="14" t="str">
        <x:v>Salı</x:v>
      </x:c>
      <x:c r="D942" s="14" t="str">
        <x:v>Okul Günü</x:v>
      </x:c>
      <x:c r="E942" s="14" t="str">
        <x:v>16:00 sonrası</x:v>
      </x:c>
      <x:c r="F942" s="14" t="str">
        <x:v>F1 - Temel Kurma</x:v>
      </x:c>
      <x:c r="G942" s="14" t="str">
        <x:v>20:15</x:v>
      </x:c>
      <x:c r="H942" s="14" t="str">
        <x:v>20:50</x:v>
      </x:c>
      <x:c r="I942" s="14" t="str">
        <x:v>İngilizce</x:v>
      </x:c>
      <x:c r="J942" s="14" t="str">
        <x:v>Konu / Tekrar</x:v>
      </x:c>
      <x:c r="K942" s="14" t="str">
        <x:v>Unit 5 - The Internet</x:v>
      </x:c>
      <x:c r="L942" s="14" t="str">
        <x:v>Unit 5 - The Internet — Worksheet çalışmasını playlistten yap.</x:v>
      </x:c>
      <x:c r="M942" s="14" t="str">
        <x:v>İngilizce Genel Oynatma Listesi</x:v>
      </x:c>
      <x:c r="N942" s="14" t="str">
        <x:v>https://www.youtube.com/watch?v=FaY3dFjZbns&amp;list=PLSgpQDrUSYp94WgE9pzpHiOG5FwxnZBrr</x:v>
      </x:c>
      <x:c r="O942" s="14" t="n">
        <x:v>0</x:v>
      </x:c>
      <x:c r="P942" s="14" t="str">
        <x:v>Hayır</x:v>
      </x:c>
      <x:c r="Q942" s="14" t="str">
        <x:v>Evet</x:v>
      </x:c>
      <x:c r="R942" s="14" t="str">
        <x:v>Planlandı</x:v>
      </x:c>
      <x:c r="S942" s="15" t="str"/>
      <x:c r="T942" s="14" t="str"/>
    </x:row>
    <x:row r="943">
      <x:c r="A943" s="14" t="n">
        <x:v>942</x:v>
      </x:c>
      <x:c r="B943" s="15" t="n">
        <x:v>46371</x:v>
      </x:c>
      <x:c r="C943" s="14" t="str">
        <x:v>Salı</x:v>
      </x:c>
      <x:c r="D943" s="14" t="str">
        <x:v>Okul Günü</x:v>
      </x:c>
      <x:c r="E943" s="14" t="str">
        <x:v>16:00 sonrası</x:v>
      </x:c>
      <x:c r="F943" s="14" t="str">
        <x:v>F1 - Temel Kurma</x:v>
      </x:c>
      <x:c r="G943" s="14" t="str">
        <x:v>20:55</x:v>
      </x:c>
      <x:c r="H943" s="14" t="str">
        <x:v>21:20</x:v>
      </x:c>
      <x:c r="I943" s="14" t="str">
        <x:v>İngilizce</x:v>
      </x:c>
      <x:c r="J943" s="14" t="str">
        <x:v>Kitap / MEB / Mastery</x:v>
      </x:c>
      <x:c r="K943" s="14" t="str">
        <x:v>Unit 5 - The Internet</x:v>
      </x:c>
      <x:c r="L943" s="14" t="str">
        <x:v>Unit 5 - The Internet ile ilgili soru kitabından en az 18 soru / bugünkü test payını çöz.</x:v>
      </x:c>
      <x:c r="M943" s="14" t="str">
        <x:v>More &amp; More 8 Worksheets Notebook</x:v>
      </x:c>
      <x:c r="N943" s="14" t="str">
        <x:v>https://www.youtube.com/watch?v=FaY3dFjZbns&amp;list=PLSgpQDrUSYp94WgE9pzpHiOG5FwxnZBrr</x:v>
      </x:c>
      <x:c r="O943" s="14" t="n">
        <x:v>18</x:v>
      </x:c>
      <x:c r="P943" s="14" t="str">
        <x:v>Hayır</x:v>
      </x:c>
      <x:c r="Q943" s="14" t="str">
        <x:v>Evet</x:v>
      </x:c>
      <x:c r="R943" s="14" t="str">
        <x:v>Planlandı</x:v>
      </x:c>
      <x:c r="S943" s="15" t="str"/>
      <x:c r="T943" s="14" t="str"/>
    </x:row>
    <x:row r="944">
      <x:c r="A944" s="14" t="n">
        <x:v>943</x:v>
      </x:c>
      <x:c r="B944" s="15" t="n">
        <x:v>46371</x:v>
      </x:c>
      <x:c r="C944" s="14" t="str">
        <x:v>Salı</x:v>
      </x:c>
      <x:c r="D944" s="14" t="str">
        <x:v>Okul Günü</x:v>
      </x:c>
      <x:c r="E944" s="14" t="str">
        <x:v>16:00 sonrası</x:v>
      </x:c>
      <x:c r="F944" s="14" t="str">
        <x:v>F1 - Temel Kurma</x:v>
      </x:c>
      <x:c r="G944" s="14" t="str">
        <x:v>21:20</x:v>
      </x:c>
      <x:c r="H944" s="14" t="str">
        <x:v>21:35</x:v>
      </x:c>
      <x:c r="I944" s="14" t="str">
        <x:v>Genel</x:v>
      </x:c>
      <x:c r="J944" s="14" t="str">
        <x:v>Yanlış / Boş Analizi</x:v>
      </x:c>
      <x:c r="K944" s="14" t="str">
        <x:v>Günlük</x:v>
      </x:c>
      <x:c r="L944" s="14" t="str">
        <x:v>Bugünkü yanlış/boşları kaydet; çözümünü öğrenmeden kapatma. Hata türünü sınıflandır.</x:v>
      </x:c>
      <x:c r="M944" s="14" t="str">
        <x:v>Yanlış Defteri</x:v>
      </x:c>
      <x:c r="N944" s="14" t="str"/>
      <x:c r="O944" s="14" t="n">
        <x:v>0</x:v>
      </x:c>
      <x:c r="P944" s="14" t="str">
        <x:v>Hayır</x:v>
      </x:c>
      <x:c r="Q944" s="14" t="str">
        <x:v>Evet</x:v>
      </x:c>
      <x:c r="R944" s="14" t="str">
        <x:v>Planlandı</x:v>
      </x:c>
      <x:c r="S944" s="15" t="str"/>
      <x:c r="T944" s="14" t="str"/>
    </x:row>
    <x:row r="945">
      <x:c r="A945" s="14" t="n">
        <x:v>944</x:v>
      </x:c>
      <x:c r="B945" s="15" t="n">
        <x:v>46371</x:v>
      </x:c>
      <x:c r="C945" s="14" t="str">
        <x:v>Salı</x:v>
      </x:c>
      <x:c r="D945" s="14" t="str">
        <x:v>Okul Günü</x:v>
      </x:c>
      <x:c r="E945" s="14" t="str">
        <x:v>16:00 sonrası</x:v>
      </x:c>
      <x:c r="F945" s="14" t="str">
        <x:v>F1 - Temel Kurma</x:v>
      </x:c>
      <x:c r="G945" s="14" t="str">
        <x:v>21:35</x:v>
      </x:c>
      <x:c r="H945" s="14" t="str">
        <x:v>21:50</x:v>
      </x:c>
      <x:c r="I945" s="14" t="str">
        <x:v>Genel</x:v>
      </x:c>
      <x:c r="J945" s="14" t="str">
        <x:v>Aralıklı Hata Tekrarı</x:v>
      </x:c>
      <x:c r="K945" s="14" t="str">
        <x:v>+1 / +7 / +21</x:v>
      </x:c>
      <x:c r="L945" s="14" t="str">
        <x:v>Bugün vadesi gelen yanlış soruları tekrar çöz. Vadesi yoksa bu süre serbest/okuma olabilir.</x:v>
      </x:c>
      <x:c r="M945" s="14" t="str">
        <x:v>Yanlış Defteri</x:v>
      </x:c>
      <x:c r="N945" s="14" t="str"/>
      <x:c r="O945" s="14" t="n">
        <x:v>0</x:v>
      </x:c>
      <x:c r="P945" s="14" t="str">
        <x:v>Hayır</x:v>
      </x:c>
      <x:c r="Q945" s="14" t="str">
        <x:v>Koşullu</x:v>
      </x:c>
      <x:c r="R945" s="14" t="str">
        <x:v>Planlandı</x:v>
      </x:c>
      <x:c r="S945" s="15" t="str"/>
      <x:c r="T945" s="14" t="str">
        <x:v>Yanlışlar +1, +7 ve +21 gün aralıklarıyla tekrar edilir; hâlâ yanlışsa konu mastery durumu düşürülür.</x:v>
      </x:c>
    </x:row>
    <x:row r="946">
      <x:c r="A946" s="14" t="n">
        <x:v>945</x:v>
      </x:c>
      <x:c r="B946" s="15" t="n">
        <x:v>46371</x:v>
      </x:c>
      <x:c r="C946" s="14" t="str">
        <x:v>Salı</x:v>
      </x:c>
      <x:c r="D946" s="14" t="str">
        <x:v>Okul Günü</x:v>
      </x:c>
      <x:c r="E946" s="14" t="str">
        <x:v>16:00 sonrası</x:v>
      </x:c>
      <x:c r="F946" s="14" t="str">
        <x:v>F1 - Temel Kurma</x:v>
      </x:c>
      <x:c r="G946" s="14" t="str">
        <x:v>21:50</x:v>
      </x:c>
      <x:c r="H946" s="14" t="str">
        <x:v>22:00</x:v>
      </x:c>
      <x:c r="I946" s="14" t="str">
        <x:v>Genel</x:v>
      </x:c>
      <x:c r="J946" s="14" t="str">
        <x:v>Uyku Hazırlığı</x:v>
      </x:c>
      <x:c r="K946" s="14" t="str"/>
      <x:c r="L946" s="14" t="str">
        <x:v>22:00'de yatakta ve uyku.</x:v>
      </x:c>
      <x:c r="M946" s="14" t="str"/>
      <x:c r="N946" s="14" t="str"/>
      <x:c r="O946" s="14" t="n">
        <x:v>0</x:v>
      </x:c>
      <x:c r="P946" s="14" t="str">
        <x:v>Hayır</x:v>
      </x:c>
      <x:c r="Q946" s="14" t="str">
        <x:v>Hayır</x:v>
      </x:c>
      <x:c r="R946" s="14" t="str">
        <x:v>Planlandı</x:v>
      </x:c>
      <x:c r="S946" s="15" t="str"/>
      <x:c r="T946" s="14" t="str"/>
    </x:row>
    <x:row r="947">
      <x:c r="A947" s="14" t="n">
        <x:v>946</x:v>
      </x:c>
      <x:c r="B947" s="15" t="n">
        <x:v>46372</x:v>
      </x:c>
      <x:c r="C947" s="14" t="str">
        <x:v>Çarşamba</x:v>
      </x:c>
      <x:c r="D947" s="14" t="str">
        <x:v>Okul Günü</x:v>
      </x:c>
      <x:c r="E947" s="14" t="str">
        <x:v>16:00 sonrası</x:v>
      </x:c>
      <x:c r="F947" s="14" t="str">
        <x:v>F1 - Temel Kurma</x:v>
      </x:c>
      <x:c r="G947" s="14" t="str">
        <x:v>16:00</x:v>
      </x:c>
      <x:c r="H947" s="14" t="str">
        <x:v>16:25</x:v>
      </x:c>
      <x:c r="I947" s="14" t="str">
        <x:v>Genel</x:v>
      </x:c>
      <x:c r="J947" s="14" t="str">
        <x:v>Dinlenme</x:v>
      </x:c>
      <x:c r="K947" s="14" t="str"/>
      <x:c r="L947" s="14" t="str">
        <x:v>Eve geliş, atıştırma ve dinlenme.</x:v>
      </x:c>
      <x:c r="M947" s="14" t="str"/>
      <x:c r="N947" s="14" t="str"/>
      <x:c r="O947" s="14" t="n">
        <x:v>0</x:v>
      </x:c>
      <x:c r="P947" s="14" t="str">
        <x:v>Hayır</x:v>
      </x:c>
      <x:c r="Q947" s="14" t="str">
        <x:v>Hayır</x:v>
      </x:c>
      <x:c r="R947" s="14" t="str">
        <x:v>Planlandı</x:v>
      </x:c>
      <x:c r="S947" s="15" t="str"/>
      <x:c r="T947" s="14" t="str"/>
    </x:row>
    <x:row r="948">
      <x:c r="A948" s="14" t="n">
        <x:v>947</x:v>
      </x:c>
      <x:c r="B948" s="15" t="n">
        <x:v>46372</x:v>
      </x:c>
      <x:c r="C948" s="14" t="str">
        <x:v>Çarşamba</x:v>
      </x:c>
      <x:c r="D948" s="14" t="str">
        <x:v>Okul Günü</x:v>
      </x:c>
      <x:c r="E948" s="14" t="str">
        <x:v>16:00 sonrası</x:v>
      </x:c>
      <x:c r="F948" s="14" t="str">
        <x:v>F1 - Temel Kurma</x:v>
      </x:c>
      <x:c r="G948" s="14" t="str">
        <x:v>16:25</x:v>
      </x:c>
      <x:c r="H948" s="14" t="str">
        <x:v>17:05</x:v>
      </x:c>
      <x:c r="I948" s="14" t="str">
        <x:v>Matematik</x:v>
      </x:c>
      <x:c r="J948" s="14" t="str">
        <x:v>Konu / Tekrar</x:v>
      </x:c>
      <x:c r="K948" s="14" t="str">
        <x:v>Üslü İfadeler</x:v>
      </x:c>
      <x:c r="L948" s="14" t="str">
        <x:v>Üslü İfadeler — genel oynatma listesinden ilgili videoyu izle (3/3).</x:v>
      </x:c>
      <x:c r="M948" s="14" t="str">
        <x:v>Matematik Ana Oynatma Listesi</x:v>
      </x:c>
      <x:c r="N948" s="14" t="str">
        <x:v>https://www.youtube.com/watch?v=EuJ89QzqrAg&amp;list=PLicNtF7vp6fnfDqrRLH6H7fIbzYT4ct4F&amp;index=11</x:v>
      </x:c>
      <x:c r="O948" s="14" t="n">
        <x:v>0</x:v>
      </x:c>
      <x:c r="P948" s="14" t="str">
        <x:v>Hayır</x:v>
      </x:c>
      <x:c r="Q948" s="14" t="str">
        <x:v>Evet</x:v>
      </x:c>
      <x:c r="R948" s="14" t="str">
        <x:v>Planlandı</x:v>
      </x:c>
      <x:c r="S948" s="15" t="str"/>
      <x:c r="T948" s="14" t="str">
        <x:v>Yeni konu ancak plan sırasıyla açılır; LGS dışı ileri TYT içeriği zorunlu değildir.</x:v>
      </x:c>
    </x:row>
    <x:row r="949">
      <x:c r="A949" s="14" t="n">
        <x:v>948</x:v>
      </x:c>
      <x:c r="B949" s="15" t="n">
        <x:v>46372</x:v>
      </x:c>
      <x:c r="C949" s="14" t="str">
        <x:v>Çarşamba</x:v>
      </x:c>
      <x:c r="D949" s="14" t="str">
        <x:v>Okul Günü</x:v>
      </x:c>
      <x:c r="E949" s="14" t="str">
        <x:v>16:00 sonrası</x:v>
      </x:c>
      <x:c r="F949" s="14" t="str">
        <x:v>F1 - Temel Kurma</x:v>
      </x:c>
      <x:c r="G949" s="14" t="str">
        <x:v>17:10</x:v>
      </x:c>
      <x:c r="H949" s="14" t="str">
        <x:v>17:55</x:v>
      </x:c>
      <x:c r="I949" s="14" t="str">
        <x:v>Matematik</x:v>
      </x:c>
      <x:c r="J949" s="14" t="str">
        <x:v>Kitap / MEB / Mastery</x:v>
      </x:c>
      <x:c r="K949" s="14" t="str">
        <x:v>Üslü İfadeler</x:v>
      </x:c>
      <x:c r="L949" s="14" t="str">
        <x:v>Üslü İfadeler ile ilgili soru kitabından en az 25 soru / bugünkü test payını çöz. İlgili kitap konu bölümünü bu oturumda bitirmeyi hedefle; sonraki oturum MEB doğrulaması.</x:v>
      </x:c>
      <x:c r="M949" s="14" t="str">
        <x:v>MUBA 8. Sınıf Başlangıç Matematik (ISBN 9789756526972); tamamlandıysa Mozaik 8. Sınıf Matematik</x:v>
      </x:c>
      <x:c r="N949" s="14" t="str">
        <x:v>https://odsgm.meb.gov.tr/www/8sinif-calisma-sorulari/icerik/1632</x:v>
      </x:c>
      <x:c r="O949" s="14" t="n">
        <x:v>25</x:v>
      </x:c>
      <x:c r="P949" s="14" t="str">
        <x:v>İlk 20 soru</x:v>
      </x:c>
      <x:c r="Q949" s="14" t="str">
        <x:v>Evet</x:v>
      </x:c>
      <x:c r="R949" s="14" t="str">
        <x:v>Planlandı</x:v>
      </x:c>
      <x:c r="S949" s="15" t="str"/>
      <x:c r="T949" s="14" t="str">
        <x:v>Ayrı/rastgele matematik benchmark yoktur. Süreli ilk 20 soru o gün çalışılan konunun içindedir.</x:v>
      </x:c>
    </x:row>
    <x:row r="950">
      <x:c r="A950" s="14" t="n">
        <x:v>949</x:v>
      </x:c>
      <x:c r="B950" s="15" t="n">
        <x:v>46372</x:v>
      </x:c>
      <x:c r="C950" s="14" t="str">
        <x:v>Çarşamba</x:v>
      </x:c>
      <x:c r="D950" s="14" t="str">
        <x:v>Okul Günü</x:v>
      </x:c>
      <x:c r="E950" s="14" t="str">
        <x:v>16:00 sonrası</x:v>
      </x:c>
      <x:c r="F950" s="14" t="str">
        <x:v>F1 - Temel Kurma</x:v>
      </x:c>
      <x:c r="G950" s="14" t="str">
        <x:v>17:55</x:v>
      </x:c>
      <x:c r="H950" s="14" t="str">
        <x:v>18:25</x:v>
      </x:c>
      <x:c r="I950" s="14" t="str">
        <x:v>Genel</x:v>
      </x:c>
      <x:c r="J950" s="14" t="str">
        <x:v>Yemek / Serbest Zaman</x:v>
      </x:c>
      <x:c r="K950" s="14" t="str"/>
      <x:c r="L950" s="14" t="str">
        <x:v>Yemek, hareket ve dinlenme.</x:v>
      </x:c>
      <x:c r="M950" s="14" t="str"/>
      <x:c r="N950" s="14" t="str"/>
      <x:c r="O950" s="14" t="n">
        <x:v>0</x:v>
      </x:c>
      <x:c r="P950" s="14" t="str">
        <x:v>Hayır</x:v>
      </x:c>
      <x:c r="Q950" s="14" t="str">
        <x:v>Hayır</x:v>
      </x:c>
      <x:c r="R950" s="14" t="str">
        <x:v>Planlandı</x:v>
      </x:c>
      <x:c r="S950" s="15" t="str"/>
      <x:c r="T950" s="14" t="str"/>
    </x:row>
    <x:row r="951">
      <x:c r="A951" s="14" t="n">
        <x:v>950</x:v>
      </x:c>
      <x:c r="B951" s="15" t="n">
        <x:v>46372</x:v>
      </x:c>
      <x:c r="C951" s="14" t="str">
        <x:v>Çarşamba</x:v>
      </x:c>
      <x:c r="D951" s="14" t="str">
        <x:v>Okul Günü</x:v>
      </x:c>
      <x:c r="E951" s="14" t="str">
        <x:v>16:00 sonrası</x:v>
      </x:c>
      <x:c r="F951" s="14" t="str">
        <x:v>F1 - Temel Kurma</x:v>
      </x:c>
      <x:c r="G951" s="14" t="str">
        <x:v>18:25</x:v>
      </x:c>
      <x:c r="H951" s="14" t="str">
        <x:v>18:55</x:v>
      </x:c>
      <x:c r="I951" s="14" t="str">
        <x:v>Türkçe</x:v>
      </x:c>
      <x:c r="J951" s="14" t="str">
        <x:v>Paragraf Rutini</x:v>
      </x:c>
      <x:c r="K951" s="14" t="str">
        <x:v>Paragraf</x:v>
      </x:c>
      <x:c r="L951" s="14" t="str">
        <x:v>En az 25 paragraf sorusu çöz; ilk 20 soruyu ileri sayımla ölç, D/Y/B + süre kaydet.</x:v>
      </x:c>
      <x:c r="M951" s="14" t="str">
        <x:v>Hız 8. Sınıf Türkçe Paragraf (ISBN 9786258394498)</x:v>
      </x:c>
      <x:c r="N951" s="14" t="str"/>
      <x:c r="O951" s="14" t="n">
        <x:v>25</x:v>
      </x:c>
      <x:c r="P951" s="14" t="str">
        <x:v>İlk 20 soru</x:v>
      </x:c>
      <x:c r="Q951" s="14" t="str">
        <x:v>Evet</x:v>
      </x:c>
      <x:c r="R951" s="14" t="str">
        <x:v>Planlandı</x:v>
      </x:c>
      <x:c r="S951" s="15" t="str"/>
      <x:c r="T951" s="14" t="str">
        <x:v>Geri sayım ve hedef süre yok.</x:v>
      </x:c>
    </x:row>
    <x:row r="952">
      <x:c r="A952" s="14" t="n">
        <x:v>951</x:v>
      </x:c>
      <x:c r="B952" s="15" t="n">
        <x:v>46372</x:v>
      </x:c>
      <x:c r="C952" s="14" t="str">
        <x:v>Çarşamba</x:v>
      </x:c>
      <x:c r="D952" s="14" t="str">
        <x:v>Okul Günü</x:v>
      </x:c>
      <x:c r="E952" s="14" t="str">
        <x:v>16:00 sonrası</x:v>
      </x:c>
      <x:c r="F952" s="14" t="str">
        <x:v>F1 - Temel Kurma</x:v>
      </x:c>
      <x:c r="G952" s="14" t="str">
        <x:v>19:00</x:v>
      </x:c>
      <x:c r="H952" s="14" t="str">
        <x:v>19:35</x:v>
      </x:c>
      <x:c r="I952" s="14" t="str">
        <x:v>Türkçe</x:v>
      </x:c>
      <x:c r="J952" s="14" t="str">
        <x:v>Konu / Tekrar</x:v>
      </x:c>
      <x:c r="K952" s="14" t="str">
        <x:v>Fiilde Çatı</x:v>
      </x:c>
      <x:c r="L952" s="14" t="str">
        <x:v>Fiilde Çatı — genel oynatma listesinden ilgili videoyu izle (1/3).</x:v>
      </x:c>
      <x:c r="M952" s="14" t="str">
        <x:v>Türkçe Ana Oynatma Listesi</x:v>
      </x:c>
      <x:c r="N952" s="14" t="str">
        <x:v>https://www.youtube.com/watch?v=VYsPntNKVdw&amp;list=PLIBjFaUoJJ91bz7QQEBlxNJNZka5YQRr6</x:v>
      </x:c>
      <x:c r="O952" s="14" t="n">
        <x:v>0</x:v>
      </x:c>
      <x:c r="P952" s="14" t="str">
        <x:v>Hayır</x:v>
      </x:c>
      <x:c r="Q952" s="14" t="str">
        <x:v>Evet</x:v>
      </x:c>
      <x:c r="R952" s="14" t="str">
        <x:v>Planlandı</x:v>
      </x:c>
      <x:c r="S952" s="15" t="str"/>
      <x:c r="T952" s="14" t="str">
        <x:v>TYT etiketli kaynak temelden başlamak için sabittir; LGS dışı gereksiz ayrıntı zorunlu değildir.</x:v>
      </x:c>
    </x:row>
    <x:row r="953">
      <x:c r="A953" s="14" t="n">
        <x:v>952</x:v>
      </x:c>
      <x:c r="B953" s="15" t="n">
        <x:v>46372</x:v>
      </x:c>
      <x:c r="C953" s="14" t="str">
        <x:v>Çarşamba</x:v>
      </x:c>
      <x:c r="D953" s="14" t="str">
        <x:v>Okul Günü</x:v>
      </x:c>
      <x:c r="E953" s="14" t="str">
        <x:v>16:00 sonrası</x:v>
      </x:c>
      <x:c r="F953" s="14" t="str">
        <x:v>F1 - Temel Kurma</x:v>
      </x:c>
      <x:c r="G953" s="14" t="str">
        <x:v>19:40</x:v>
      </x:c>
      <x:c r="H953" s="14" t="str">
        <x:v>20:10</x:v>
      </x:c>
      <x:c r="I953" s="14" t="str">
        <x:v>Türkçe</x:v>
      </x:c>
      <x:c r="J953" s="14" t="str">
        <x:v>Kitap / MEB / Mastery</x:v>
      </x:c>
      <x:c r="K953" s="14" t="str">
        <x:v>Fiilde Çatı</x:v>
      </x:c>
      <x:c r="L953" s="14" t="str">
        <x:v>Fiilde Çatı ile ilgili soru kitabından en az 15 soru / bugünkü test payını çöz.</x:v>
      </x:c>
      <x:c r="M953" s="14" t="str">
        <x:v>Ankara 8. Sınıf Dil Bilgisi Güçlendiren</x:v>
      </x:c>
      <x:c r="N953" s="14" t="str">
        <x:v>https://odsgm.meb.gov.tr/www/8sinif-calisma-sorulari/icerik/1632</x:v>
      </x:c>
      <x:c r="O953" s="14" t="n">
        <x:v>15</x:v>
      </x:c>
      <x:c r="P953" s="14" t="str">
        <x:v>Hayır</x:v>
      </x:c>
      <x:c r="Q953" s="14" t="str">
        <x:v>Evet</x:v>
      </x:c>
      <x:c r="R953" s="14" t="str">
        <x:v>Planlandı</x:v>
      </x:c>
      <x:c r="S953" s="15" t="str"/>
      <x:c r="T953" s="14" t="str"/>
    </x:row>
    <x:row r="954">
      <x:c r="A954" s="14" t="n">
        <x:v>953</x:v>
      </x:c>
      <x:c r="B954" s="15" t="n">
        <x:v>46372</x:v>
      </x:c>
      <x:c r="C954" s="14" t="str">
        <x:v>Çarşamba</x:v>
      </x:c>
      <x:c r="D954" s="14" t="str">
        <x:v>Okul Günü</x:v>
      </x:c>
      <x:c r="E954" s="14" t="str">
        <x:v>16:00 sonrası</x:v>
      </x:c>
      <x:c r="F954" s="14" t="str">
        <x:v>F1 - Temel Kurma</x:v>
      </x:c>
      <x:c r="G954" s="14" t="str">
        <x:v>20:15</x:v>
      </x:c>
      <x:c r="H954" s="14" t="str">
        <x:v>20:50</x:v>
      </x:c>
      <x:c r="I954" s="14" t="str">
        <x:v>Fen</x:v>
      </x:c>
      <x:c r="J954" s="14" t="str">
        <x:v>Konu / Tekrar</x:v>
      </x:c>
      <x:c r="K954" s="14" t="str">
        <x:v>Fiziksel ve Kimyasal Değişimler / Kimyasal Tepkimeler</x:v>
      </x:c>
      <x:c r="L954" s="14" t="str">
        <x:v>Fiziksel ve Kimyasal Değişimler / Kimyasal Tepkimeler — Fen konu anlatım playlistinden ilgili videoyu izle.</x:v>
      </x:c>
      <x:c r="M954" s="14" t="str">
        <x:v>Fen Konu Anlatım</x:v>
      </x:c>
      <x:c r="N954" s="14" t="str">
        <x:v>https://www.youtube.com/watch?v=AHdk01aR4Ko&amp;list=PLrQm7mt99FRV_Oe9xFavWzFpCIl7_XiWj</x:v>
      </x:c>
      <x:c r="O954" s="14" t="n">
        <x:v>0</x:v>
      </x:c>
      <x:c r="P954" s="14" t="str">
        <x:v>Hayır</x:v>
      </x:c>
      <x:c r="Q954" s="14" t="str">
        <x:v>Evet</x:v>
      </x:c>
      <x:c r="R954" s="14" t="str">
        <x:v>Planlandı</x:v>
      </x:c>
      <x:c r="S954" s="15" t="str"/>
      <x:c r="T954" s="14" t="str"/>
    </x:row>
    <x:row r="955">
      <x:c r="A955" s="14" t="n">
        <x:v>954</x:v>
      </x:c>
      <x:c r="B955" s="15" t="n">
        <x:v>46372</x:v>
      </x:c>
      <x:c r="C955" s="14" t="str">
        <x:v>Çarşamba</x:v>
      </x:c>
      <x:c r="D955" s="14" t="str">
        <x:v>Okul Günü</x:v>
      </x:c>
      <x:c r="E955" s="14" t="str">
        <x:v>16:00 sonrası</x:v>
      </x:c>
      <x:c r="F955" s="14" t="str">
        <x:v>F1 - Temel Kurma</x:v>
      </x:c>
      <x:c r="G955" s="14" t="str">
        <x:v>20:55</x:v>
      </x:c>
      <x:c r="H955" s="14" t="str">
        <x:v>21:20</x:v>
      </x:c>
      <x:c r="I955" s="14" t="str">
        <x:v>Fen</x:v>
      </x:c>
      <x:c r="J955" s="14" t="str">
        <x:v>Kitap / MEB / Mastery</x:v>
      </x:c>
      <x:c r="K955" s="14" t="str">
        <x:v>Fiziksel ve Kimyasal Değişimler / Kimyasal Tepkimeler</x:v>
      </x:c>
      <x:c r="L955" s="14" t="str">
        <x:v>Fiziksel ve Kimyasal Değişimler / Kimyasal Tepkimeler ile ilgili soru kitabından en az 18 soru / bugünkü test payını çöz.</x:v>
      </x:c>
      <x:c r="M955" s="14" t="str">
        <x:v>Hız 8. Sınıf Fen (ISBN 9786257514859); tamamlandıysa Mozaik 8. Sınıf Fen</x:v>
      </x:c>
      <x:c r="N955" s="14" t="str">
        <x:v>https://www.youtube.com/watch?v=AHdk01aR4Ko&amp;list=PLrQm7mt99FRV_Oe9xFavWzFpCIl7_XiWj</x:v>
      </x:c>
      <x:c r="O955" s="14" t="n">
        <x:v>18</x:v>
      </x:c>
      <x:c r="P955" s="14" t="str">
        <x:v>Hayır</x:v>
      </x:c>
      <x:c r="Q955" s="14" t="str">
        <x:v>Evet</x:v>
      </x:c>
      <x:c r="R955" s="14" t="str">
        <x:v>Planlandı</x:v>
      </x:c>
      <x:c r="S955" s="15" t="str"/>
      <x:c r="T955" s="14" t="str"/>
    </x:row>
    <x:row r="956">
      <x:c r="A956" s="14" t="n">
        <x:v>955</x:v>
      </x:c>
      <x:c r="B956" s="15" t="n">
        <x:v>46372</x:v>
      </x:c>
      <x:c r="C956" s="14" t="str">
        <x:v>Çarşamba</x:v>
      </x:c>
      <x:c r="D956" s="14" t="str">
        <x:v>Okul Günü</x:v>
      </x:c>
      <x:c r="E956" s="14" t="str">
        <x:v>16:00 sonrası</x:v>
      </x:c>
      <x:c r="F956" s="14" t="str">
        <x:v>F1 - Temel Kurma</x:v>
      </x:c>
      <x:c r="G956" s="14" t="str">
        <x:v>21:20</x:v>
      </x:c>
      <x:c r="H956" s="14" t="str">
        <x:v>21:35</x:v>
      </x:c>
      <x:c r="I956" s="14" t="str">
        <x:v>Genel</x:v>
      </x:c>
      <x:c r="J956" s="14" t="str">
        <x:v>Yanlış / Boş Analizi</x:v>
      </x:c>
      <x:c r="K956" s="14" t="str">
        <x:v>Günlük</x:v>
      </x:c>
      <x:c r="L956" s="14" t="str">
        <x:v>Bugünkü yanlış/boşları kaydet; çözümünü öğrenmeden kapatma. Hata türünü sınıflandır.</x:v>
      </x:c>
      <x:c r="M956" s="14" t="str">
        <x:v>Yanlış Defteri</x:v>
      </x:c>
      <x:c r="N956" s="14" t="str"/>
      <x:c r="O956" s="14" t="n">
        <x:v>0</x:v>
      </x:c>
      <x:c r="P956" s="14" t="str">
        <x:v>Hayır</x:v>
      </x:c>
      <x:c r="Q956" s="14" t="str">
        <x:v>Evet</x:v>
      </x:c>
      <x:c r="R956" s="14" t="str">
        <x:v>Planlandı</x:v>
      </x:c>
      <x:c r="S956" s="15" t="str"/>
      <x:c r="T956" s="14" t="str"/>
    </x:row>
    <x:row r="957">
      <x:c r="A957" s="14" t="n">
        <x:v>956</x:v>
      </x:c>
      <x:c r="B957" s="15" t="n">
        <x:v>46372</x:v>
      </x:c>
      <x:c r="C957" s="14" t="str">
        <x:v>Çarşamba</x:v>
      </x:c>
      <x:c r="D957" s="14" t="str">
        <x:v>Okul Günü</x:v>
      </x:c>
      <x:c r="E957" s="14" t="str">
        <x:v>16:00 sonrası</x:v>
      </x:c>
      <x:c r="F957" s="14" t="str">
        <x:v>F1 - Temel Kurma</x:v>
      </x:c>
      <x:c r="G957" s="14" t="str">
        <x:v>21:35</x:v>
      </x:c>
      <x:c r="H957" s="14" t="str">
        <x:v>21:50</x:v>
      </x:c>
      <x:c r="I957" s="14" t="str">
        <x:v>Genel</x:v>
      </x:c>
      <x:c r="J957" s="14" t="str">
        <x:v>Aralıklı Hata Tekrarı</x:v>
      </x:c>
      <x:c r="K957" s="14" t="str">
        <x:v>+1 / +7 / +21</x:v>
      </x:c>
      <x:c r="L957" s="14" t="str">
        <x:v>Bugün vadesi gelen yanlış soruları tekrar çöz. Vadesi yoksa bu süre serbest/okuma olabilir.</x:v>
      </x:c>
      <x:c r="M957" s="14" t="str">
        <x:v>Yanlış Defteri</x:v>
      </x:c>
      <x:c r="N957" s="14" t="str"/>
      <x:c r="O957" s="14" t="n">
        <x:v>0</x:v>
      </x:c>
      <x:c r="P957" s="14" t="str">
        <x:v>Hayır</x:v>
      </x:c>
      <x:c r="Q957" s="14" t="str">
        <x:v>Koşullu</x:v>
      </x:c>
      <x:c r="R957" s="14" t="str">
        <x:v>Planlandı</x:v>
      </x:c>
      <x:c r="S957" s="15" t="str"/>
      <x:c r="T957" s="14" t="str">
        <x:v>Yanlışlar +1, +7 ve +21 gün aralıklarıyla tekrar edilir; hâlâ yanlışsa konu mastery durumu düşürülür.</x:v>
      </x:c>
    </x:row>
    <x:row r="958">
      <x:c r="A958" s="14" t="n">
        <x:v>957</x:v>
      </x:c>
      <x:c r="B958" s="15" t="n">
        <x:v>46372</x:v>
      </x:c>
      <x:c r="C958" s="14" t="str">
        <x:v>Çarşamba</x:v>
      </x:c>
      <x:c r="D958" s="14" t="str">
        <x:v>Okul Günü</x:v>
      </x:c>
      <x:c r="E958" s="14" t="str">
        <x:v>16:00 sonrası</x:v>
      </x:c>
      <x:c r="F958" s="14" t="str">
        <x:v>F1 - Temel Kurma</x:v>
      </x:c>
      <x:c r="G958" s="14" t="str">
        <x:v>21:50</x:v>
      </x:c>
      <x:c r="H958" s="14" t="str">
        <x:v>22:00</x:v>
      </x:c>
      <x:c r="I958" s="14" t="str">
        <x:v>Genel</x:v>
      </x:c>
      <x:c r="J958" s="14" t="str">
        <x:v>Uyku Hazırlığı</x:v>
      </x:c>
      <x:c r="K958" s="14" t="str"/>
      <x:c r="L958" s="14" t="str">
        <x:v>22:00'de yatakta ve uyku.</x:v>
      </x:c>
      <x:c r="M958" s="14" t="str"/>
      <x:c r="N958" s="14" t="str"/>
      <x:c r="O958" s="14" t="n">
        <x:v>0</x:v>
      </x:c>
      <x:c r="P958" s="14" t="str">
        <x:v>Hayır</x:v>
      </x:c>
      <x:c r="Q958" s="14" t="str">
        <x:v>Hayır</x:v>
      </x:c>
      <x:c r="R958" s="14" t="str">
        <x:v>Planlandı</x:v>
      </x:c>
      <x:c r="S958" s="15" t="str"/>
      <x:c r="T958" s="14" t="str"/>
    </x:row>
    <x:row r="959">
      <x:c r="A959" s="14" t="n">
        <x:v>958</x:v>
      </x:c>
      <x:c r="B959" s="15" t="n">
        <x:v>46373</x:v>
      </x:c>
      <x:c r="C959" s="14" t="str">
        <x:v>Perşembe</x:v>
      </x:c>
      <x:c r="D959" s="14" t="str">
        <x:v>Okul Günü</x:v>
      </x:c>
      <x:c r="E959" s="14" t="str">
        <x:v>16:00 sonrası</x:v>
      </x:c>
      <x:c r="F959" s="14" t="str">
        <x:v>F1 - Temel Kurma</x:v>
      </x:c>
      <x:c r="G959" s="14" t="str">
        <x:v>16:00</x:v>
      </x:c>
      <x:c r="H959" s="14" t="str">
        <x:v>16:25</x:v>
      </x:c>
      <x:c r="I959" s="14" t="str">
        <x:v>Genel</x:v>
      </x:c>
      <x:c r="J959" s="14" t="str">
        <x:v>Dinlenme</x:v>
      </x:c>
      <x:c r="K959" s="14" t="str"/>
      <x:c r="L959" s="14" t="str">
        <x:v>Eve geliş, atıştırma ve dinlenme.</x:v>
      </x:c>
      <x:c r="M959" s="14" t="str"/>
      <x:c r="N959" s="14" t="str"/>
      <x:c r="O959" s="14" t="n">
        <x:v>0</x:v>
      </x:c>
      <x:c r="P959" s="14" t="str">
        <x:v>Hayır</x:v>
      </x:c>
      <x:c r="Q959" s="14" t="str">
        <x:v>Hayır</x:v>
      </x:c>
      <x:c r="R959" s="14" t="str">
        <x:v>Planlandı</x:v>
      </x:c>
      <x:c r="S959" s="15" t="str"/>
      <x:c r="T959" s="14" t="str"/>
    </x:row>
    <x:row r="960">
      <x:c r="A960" s="14" t="n">
        <x:v>959</x:v>
      </x:c>
      <x:c r="B960" s="15" t="n">
        <x:v>46373</x:v>
      </x:c>
      <x:c r="C960" s="14" t="str">
        <x:v>Perşembe</x:v>
      </x:c>
      <x:c r="D960" s="14" t="str">
        <x:v>Okul Günü</x:v>
      </x:c>
      <x:c r="E960" s="14" t="str">
        <x:v>16:00 sonrası</x:v>
      </x:c>
      <x:c r="F960" s="14" t="str">
        <x:v>F1 - Temel Kurma</x:v>
      </x:c>
      <x:c r="G960" s="14" t="str">
        <x:v>16:25</x:v>
      </x:c>
      <x:c r="H960" s="14" t="str">
        <x:v>17:05</x:v>
      </x:c>
      <x:c r="I960" s="14" t="str">
        <x:v>Matematik</x:v>
      </x:c>
      <x:c r="J960" s="14" t="str">
        <x:v>Konu / Tekrar</x:v>
      </x:c>
      <x:c r="K960" s="14" t="str">
        <x:v>Üslü İfadeler</x:v>
      </x:c>
      <x:c r="L960" s="14" t="str">
        <x:v>Üslü İfadeler — MEB doğrulaması öncesi 5-10 dk aktif hatırlama; gerekiyorsa ilgili playlist videosuna kısa dönüş yap.</x:v>
      </x:c>
      <x:c r="M960" s="14" t="str">
        <x:v>Matematik Ana Oynatma Listesi</x:v>
      </x:c>
      <x:c r="N960" s="14" t="str">
        <x:v>https://www.youtube.com/watch?v=EuJ89QzqrAg&amp;list=PLicNtF7vp6fnfDqrRLH6H7fIbzYT4ct4F&amp;index=11</x:v>
      </x:c>
      <x:c r="O960" s="14" t="n">
        <x:v>0</x:v>
      </x:c>
      <x:c r="P960" s="14" t="str">
        <x:v>Hayır</x:v>
      </x:c>
      <x:c r="Q960" s="14" t="str">
        <x:v>Evet</x:v>
      </x:c>
      <x:c r="R960" s="14" t="str">
        <x:v>Planlandı</x:v>
      </x:c>
      <x:c r="S960" s="15" t="str"/>
      <x:c r="T960" s="14" t="str">
        <x:v>Yeni konu ancak plan sırasıyla açılır; LGS dışı ileri TYT içeriği zorunlu değildir.</x:v>
      </x:c>
    </x:row>
    <x:row r="961">
      <x:c r="A961" s="14" t="n">
        <x:v>960</x:v>
      </x:c>
      <x:c r="B961" s="15" t="n">
        <x:v>46373</x:v>
      </x:c>
      <x:c r="C961" s="14" t="str">
        <x:v>Perşembe</x:v>
      </x:c>
      <x:c r="D961" s="14" t="str">
        <x:v>Okul Günü</x:v>
      </x:c>
      <x:c r="E961" s="14" t="str">
        <x:v>16:00 sonrası</x:v>
      </x:c>
      <x:c r="F961" s="14" t="str">
        <x:v>F1 - Temel Kurma</x:v>
      </x:c>
      <x:c r="G961" s="14" t="str">
        <x:v>17:10</x:v>
      </x:c>
      <x:c r="H961" s="14" t="str">
        <x:v>17:55</x:v>
      </x:c>
      <x:c r="I961" s="14" t="str">
        <x:v>Matematik</x:v>
      </x:c>
      <x:c r="J961" s="14" t="str">
        <x:v>Kitap / MEB / Mastery</x:v>
      </x:c>
      <x:c r="K961" s="14" t="str">
        <x:v>Üslü İfadeler</x:v>
      </x:c>
      <x:c r="L961" s="14" t="str">
        <x:v>Üslü İfadeler için ilgili MEB sorularını TAMAMLA; D/Y/B kaydet. Bu oturum konu mastery gate'idir.</x:v>
      </x:c>
      <x:c r="M961" s="14" t="str">
        <x:v>MEB Resmî Soru Seti</x:v>
      </x:c>
      <x:c r="N961" s="14" t="str">
        <x:v>https://odsgm.meb.gov.tr/www/8sinif-calisma-sorulari/icerik/1632</x:v>
      </x:c>
      <x:c r="O961" s="14" t="n">
        <x:v>0</x:v>
      </x:c>
      <x:c r="P961" s="14" t="str">
        <x:v>Hayır</x:v>
      </x:c>
      <x:c r="Q961" s="14" t="str">
        <x:v>Evet</x:v>
      </x:c>
      <x:c r="R961" s="14" t="str">
        <x:v>Planlandı</x:v>
      </x:c>
      <x:c r="S961" s="15" t="str"/>
      <x:c r="T961" s="14" t="str">
        <x:v>MEB sonucu Konu_Ustaligi sayfasına işlenir.</x:v>
      </x:c>
    </x:row>
    <x:row r="962">
      <x:c r="A962" s="14" t="n">
        <x:v>961</x:v>
      </x:c>
      <x:c r="B962" s="15" t="n">
        <x:v>46373</x:v>
      </x:c>
      <x:c r="C962" s="14" t="str">
        <x:v>Perşembe</x:v>
      </x:c>
      <x:c r="D962" s="14" t="str">
        <x:v>Okul Günü</x:v>
      </x:c>
      <x:c r="E962" s="14" t="str">
        <x:v>16:00 sonrası</x:v>
      </x:c>
      <x:c r="F962" s="14" t="str">
        <x:v>F1 - Temel Kurma</x:v>
      </x:c>
      <x:c r="G962" s="14" t="str">
        <x:v>17:55</x:v>
      </x:c>
      <x:c r="H962" s="14" t="str">
        <x:v>18:25</x:v>
      </x:c>
      <x:c r="I962" s="14" t="str">
        <x:v>Genel</x:v>
      </x:c>
      <x:c r="J962" s="14" t="str">
        <x:v>Yemek / Serbest Zaman</x:v>
      </x:c>
      <x:c r="K962" s="14" t="str"/>
      <x:c r="L962" s="14" t="str">
        <x:v>Yemek, hareket ve dinlenme.</x:v>
      </x:c>
      <x:c r="M962" s="14" t="str"/>
      <x:c r="N962" s="14" t="str"/>
      <x:c r="O962" s="14" t="n">
        <x:v>0</x:v>
      </x:c>
      <x:c r="P962" s="14" t="str">
        <x:v>Hayır</x:v>
      </x:c>
      <x:c r="Q962" s="14" t="str">
        <x:v>Hayır</x:v>
      </x:c>
      <x:c r="R962" s="14" t="str">
        <x:v>Planlandı</x:v>
      </x:c>
      <x:c r="S962" s="15" t="str"/>
      <x:c r="T962" s="14" t="str"/>
    </x:row>
    <x:row r="963">
      <x:c r="A963" s="14" t="n">
        <x:v>962</x:v>
      </x:c>
      <x:c r="B963" s="15" t="n">
        <x:v>46373</x:v>
      </x:c>
      <x:c r="C963" s="14" t="str">
        <x:v>Perşembe</x:v>
      </x:c>
      <x:c r="D963" s="14" t="str">
        <x:v>Okul Günü</x:v>
      </x:c>
      <x:c r="E963" s="14" t="str">
        <x:v>16:00 sonrası</x:v>
      </x:c>
      <x:c r="F963" s="14" t="str">
        <x:v>F1 - Temel Kurma</x:v>
      </x:c>
      <x:c r="G963" s="14" t="str">
        <x:v>18:25</x:v>
      </x:c>
      <x:c r="H963" s="14" t="str">
        <x:v>18:55</x:v>
      </x:c>
      <x:c r="I963" s="14" t="str">
        <x:v>Türkçe</x:v>
      </x:c>
      <x:c r="J963" s="14" t="str">
        <x:v>Paragraf Rutini</x:v>
      </x:c>
      <x:c r="K963" s="14" t="str">
        <x:v>Paragraf</x:v>
      </x:c>
      <x:c r="L963" s="14" t="str">
        <x:v>En az 25 paragraf sorusu çöz; ilk 20 soruyu ileri sayımla ölç, D/Y/B + süre kaydet.</x:v>
      </x:c>
      <x:c r="M963" s="14" t="str">
        <x:v>Hız 8. Sınıf Türkçe Paragraf (ISBN 9786258394498)</x:v>
      </x:c>
      <x:c r="N963" s="14" t="str"/>
      <x:c r="O963" s="14" t="n">
        <x:v>25</x:v>
      </x:c>
      <x:c r="P963" s="14" t="str">
        <x:v>İlk 20 soru</x:v>
      </x:c>
      <x:c r="Q963" s="14" t="str">
        <x:v>Evet</x:v>
      </x:c>
      <x:c r="R963" s="14" t="str">
        <x:v>Planlandı</x:v>
      </x:c>
      <x:c r="S963" s="15" t="str"/>
      <x:c r="T963" s="14" t="str">
        <x:v>Geri sayım ve hedef süre yok.</x:v>
      </x:c>
    </x:row>
    <x:row r="964">
      <x:c r="A964" s="14" t="n">
        <x:v>963</x:v>
      </x:c>
      <x:c r="B964" s="15" t="n">
        <x:v>46373</x:v>
      </x:c>
      <x:c r="C964" s="14" t="str">
        <x:v>Perşembe</x:v>
      </x:c>
      <x:c r="D964" s="14" t="str">
        <x:v>Okul Günü</x:v>
      </x:c>
      <x:c r="E964" s="14" t="str">
        <x:v>16:00 sonrası</x:v>
      </x:c>
      <x:c r="F964" s="14" t="str">
        <x:v>F1 - Temel Kurma</x:v>
      </x:c>
      <x:c r="G964" s="14" t="str">
        <x:v>19:00</x:v>
      </x:c>
      <x:c r="H964" s="14" t="str">
        <x:v>19:35</x:v>
      </x:c>
      <x:c r="I964" s="14" t="str">
        <x:v>Türkçe</x:v>
      </x:c>
      <x:c r="J964" s="14" t="str">
        <x:v>Konu / Tekrar</x:v>
      </x:c>
      <x:c r="K964" s="14" t="str">
        <x:v>Fiilde Çatı</x:v>
      </x:c>
      <x:c r="L964" s="14" t="str">
        <x:v>Fiilde Çatı — genel oynatma listesinden ilgili videoyu izle (2/3).</x:v>
      </x:c>
      <x:c r="M964" s="14" t="str">
        <x:v>Türkçe Ana Oynatma Listesi</x:v>
      </x:c>
      <x:c r="N964" s="14" t="str">
        <x:v>https://www.youtube.com/watch?v=VYsPntNKVdw&amp;list=PLIBjFaUoJJ91bz7QQEBlxNJNZka5YQRr6</x:v>
      </x:c>
      <x:c r="O964" s="14" t="n">
        <x:v>0</x:v>
      </x:c>
      <x:c r="P964" s="14" t="str">
        <x:v>Hayır</x:v>
      </x:c>
      <x:c r="Q964" s="14" t="str">
        <x:v>Evet</x:v>
      </x:c>
      <x:c r="R964" s="14" t="str">
        <x:v>Planlandı</x:v>
      </x:c>
      <x:c r="S964" s="15" t="str"/>
      <x:c r="T964" s="14" t="str">
        <x:v>TYT etiketli kaynak temelden başlamak için sabittir; LGS dışı gereksiz ayrıntı zorunlu değildir.</x:v>
      </x:c>
    </x:row>
    <x:row r="965">
      <x:c r="A965" s="14" t="n">
        <x:v>964</x:v>
      </x:c>
      <x:c r="B965" s="15" t="n">
        <x:v>46373</x:v>
      </x:c>
      <x:c r="C965" s="14" t="str">
        <x:v>Perşembe</x:v>
      </x:c>
      <x:c r="D965" s="14" t="str">
        <x:v>Okul Günü</x:v>
      </x:c>
      <x:c r="E965" s="14" t="str">
        <x:v>16:00 sonrası</x:v>
      </x:c>
      <x:c r="F965" s="14" t="str">
        <x:v>F1 - Temel Kurma</x:v>
      </x:c>
      <x:c r="G965" s="14" t="str">
        <x:v>19:40</x:v>
      </x:c>
      <x:c r="H965" s="14" t="str">
        <x:v>20:10</x:v>
      </x:c>
      <x:c r="I965" s="14" t="str">
        <x:v>Türkçe</x:v>
      </x:c>
      <x:c r="J965" s="14" t="str">
        <x:v>Kitap / MEB / Mastery</x:v>
      </x:c>
      <x:c r="K965" s="14" t="str">
        <x:v>Fiilde Çatı</x:v>
      </x:c>
      <x:c r="L965" s="14" t="str">
        <x:v>Fiilde Çatı ile ilgili soru kitabından en az 15 soru / bugünkü test payını çöz.</x:v>
      </x:c>
      <x:c r="M965" s="14" t="str">
        <x:v>Ankara 8. Sınıf Dil Bilgisi Güçlendiren</x:v>
      </x:c>
      <x:c r="N965" s="14" t="str">
        <x:v>https://odsgm.meb.gov.tr/www/8sinif-calisma-sorulari/icerik/1632</x:v>
      </x:c>
      <x:c r="O965" s="14" t="n">
        <x:v>15</x:v>
      </x:c>
      <x:c r="P965" s="14" t="str">
        <x:v>Hayır</x:v>
      </x:c>
      <x:c r="Q965" s="14" t="str">
        <x:v>Evet</x:v>
      </x:c>
      <x:c r="R965" s="14" t="str">
        <x:v>Planlandı</x:v>
      </x:c>
      <x:c r="S965" s="15" t="str"/>
      <x:c r="T965" s="14" t="str"/>
    </x:row>
    <x:row r="966">
      <x:c r="A966" s="14" t="n">
        <x:v>965</x:v>
      </x:c>
      <x:c r="B966" s="15" t="n">
        <x:v>46373</x:v>
      </x:c>
      <x:c r="C966" s="14" t="str">
        <x:v>Perşembe</x:v>
      </x:c>
      <x:c r="D966" s="14" t="str">
        <x:v>Okul Günü</x:v>
      </x:c>
      <x:c r="E966" s="14" t="str">
        <x:v>16:00 sonrası</x:v>
      </x:c>
      <x:c r="F966" s="14" t="str">
        <x:v>F1 - Temel Kurma</x:v>
      </x:c>
      <x:c r="G966" s="14" t="str">
        <x:v>20:15</x:v>
      </x:c>
      <x:c r="H966" s="14" t="str">
        <x:v>20:50</x:v>
      </x:c>
      <x:c r="I966" s="14" t="str">
        <x:v>Din</x:v>
      </x:c>
      <x:c r="J966" s="14" t="str">
        <x:v>Konu / Tekrar</x:v>
      </x:c>
      <x:c r="K966" s="14" t="str">
        <x:v>Dinin Temel Gayesi / Hz. Yusuf / Asr Suresi</x:v>
      </x:c>
      <x:c r="L966" s="14" t="str">
        <x:v>Dinin Temel Gayesi / Hz. Yusuf / Asr Suresi — genel oynatma listesinden ilgili konu/soru çalışmasını yap.</x:v>
      </x:c>
      <x:c r="M966" s="14" t="str">
        <x:v>Din Genel Oynatma Listesi</x:v>
      </x:c>
      <x:c r="N966" s="14" t="str">
        <x:v>https://www.youtube.com/watch?v=wvdOE_75VnA&amp;list=PLbRoPq-Zu-SWXGUbVt4t4UWo-4VjsMUo-&amp;index=2</x:v>
      </x:c>
      <x:c r="O966" s="14" t="n">
        <x:v>0</x:v>
      </x:c>
      <x:c r="P966" s="14" t="str">
        <x:v>Hayır</x:v>
      </x:c>
      <x:c r="Q966" s="14" t="str">
        <x:v>Evet</x:v>
      </x:c>
      <x:c r="R966" s="14" t="str">
        <x:v>Planlandı</x:v>
      </x:c>
      <x:c r="S966" s="15" t="str"/>
      <x:c r="T966" s="14" t="str"/>
    </x:row>
    <x:row r="967">
      <x:c r="A967" s="14" t="n">
        <x:v>966</x:v>
      </x:c>
      <x:c r="B967" s="15" t="n">
        <x:v>46373</x:v>
      </x:c>
      <x:c r="C967" s="14" t="str">
        <x:v>Perşembe</x:v>
      </x:c>
      <x:c r="D967" s="14" t="str">
        <x:v>Okul Günü</x:v>
      </x:c>
      <x:c r="E967" s="14" t="str">
        <x:v>16:00 sonrası</x:v>
      </x:c>
      <x:c r="F967" s="14" t="str">
        <x:v>F1 - Temel Kurma</x:v>
      </x:c>
      <x:c r="G967" s="14" t="str">
        <x:v>20:55</x:v>
      </x:c>
      <x:c r="H967" s="14" t="str">
        <x:v>21:20</x:v>
      </x:c>
      <x:c r="I967" s="14" t="str">
        <x:v>Din</x:v>
      </x:c>
      <x:c r="J967" s="14" t="str">
        <x:v>Kitap / MEB / Mastery</x:v>
      </x:c>
      <x:c r="K967" s="14" t="str">
        <x:v>Dinin Temel Gayesi / Hz. Yusuf / Asr Suresi</x:v>
      </x:c>
      <x:c r="L967" s="14" t="str">
        <x:v>Dinin Temel Gayesi / Hz. Yusuf / Asr Suresi ile ilgili soru kitabından en az 18 soru / bugünkü test payını çöz.</x:v>
      </x:c>
      <x:c r="M967" s="14" t="str">
        <x:v>Hız 8. Sınıf Din Kültürü ve Ahlak Bilgisi</x:v>
      </x:c>
      <x:c r="N967" s="14" t="str">
        <x:v>https://www.youtube.com/watch?v=wvdOE_75VnA&amp;list=PLbRoPq-Zu-SWXGUbVt4t4UWo-4VjsMUo-&amp;index=2</x:v>
      </x:c>
      <x:c r="O967" s="14" t="n">
        <x:v>18</x:v>
      </x:c>
      <x:c r="P967" s="14" t="str">
        <x:v>Hayır</x:v>
      </x:c>
      <x:c r="Q967" s="14" t="str">
        <x:v>Evet</x:v>
      </x:c>
      <x:c r="R967" s="14" t="str">
        <x:v>Planlandı</x:v>
      </x:c>
      <x:c r="S967" s="15" t="str"/>
      <x:c r="T967" s="14" t="str"/>
    </x:row>
    <x:row r="968">
      <x:c r="A968" s="14" t="n">
        <x:v>967</x:v>
      </x:c>
      <x:c r="B968" s="15" t="n">
        <x:v>46373</x:v>
      </x:c>
      <x:c r="C968" s="14" t="str">
        <x:v>Perşembe</x:v>
      </x:c>
      <x:c r="D968" s="14" t="str">
        <x:v>Okul Günü</x:v>
      </x:c>
      <x:c r="E968" s="14" t="str">
        <x:v>16:00 sonrası</x:v>
      </x:c>
      <x:c r="F968" s="14" t="str">
        <x:v>F1 - Temel Kurma</x:v>
      </x:c>
      <x:c r="G968" s="14" t="str">
        <x:v>21:20</x:v>
      </x:c>
      <x:c r="H968" s="14" t="str">
        <x:v>21:35</x:v>
      </x:c>
      <x:c r="I968" s="14" t="str">
        <x:v>Genel</x:v>
      </x:c>
      <x:c r="J968" s="14" t="str">
        <x:v>Yanlış / Boş Analizi</x:v>
      </x:c>
      <x:c r="K968" s="14" t="str">
        <x:v>Günlük</x:v>
      </x:c>
      <x:c r="L968" s="14" t="str">
        <x:v>Bugünkü yanlış/boşları kaydet; çözümünü öğrenmeden kapatma. Hata türünü sınıflandır.</x:v>
      </x:c>
      <x:c r="M968" s="14" t="str">
        <x:v>Yanlış Defteri</x:v>
      </x:c>
      <x:c r="N968" s="14" t="str"/>
      <x:c r="O968" s="14" t="n">
        <x:v>0</x:v>
      </x:c>
      <x:c r="P968" s="14" t="str">
        <x:v>Hayır</x:v>
      </x:c>
      <x:c r="Q968" s="14" t="str">
        <x:v>Evet</x:v>
      </x:c>
      <x:c r="R968" s="14" t="str">
        <x:v>Planlandı</x:v>
      </x:c>
      <x:c r="S968" s="15" t="str"/>
      <x:c r="T968" s="14" t="str"/>
    </x:row>
    <x:row r="969">
      <x:c r="A969" s="14" t="n">
        <x:v>968</x:v>
      </x:c>
      <x:c r="B969" s="15" t="n">
        <x:v>46373</x:v>
      </x:c>
      <x:c r="C969" s="14" t="str">
        <x:v>Perşembe</x:v>
      </x:c>
      <x:c r="D969" s="14" t="str">
        <x:v>Okul Günü</x:v>
      </x:c>
      <x:c r="E969" s="14" t="str">
        <x:v>16:00 sonrası</x:v>
      </x:c>
      <x:c r="F969" s="14" t="str">
        <x:v>F1 - Temel Kurma</x:v>
      </x:c>
      <x:c r="G969" s="14" t="str">
        <x:v>21:35</x:v>
      </x:c>
      <x:c r="H969" s="14" t="str">
        <x:v>21:50</x:v>
      </x:c>
      <x:c r="I969" s="14" t="str">
        <x:v>Genel</x:v>
      </x:c>
      <x:c r="J969" s="14" t="str">
        <x:v>Aralıklı Hata Tekrarı</x:v>
      </x:c>
      <x:c r="K969" s="14" t="str">
        <x:v>+1 / +7 / +21</x:v>
      </x:c>
      <x:c r="L969" s="14" t="str">
        <x:v>Bugün vadesi gelen yanlış soruları tekrar çöz. Vadesi yoksa bu süre serbest/okuma olabilir.</x:v>
      </x:c>
      <x:c r="M969" s="14" t="str">
        <x:v>Yanlış Defteri</x:v>
      </x:c>
      <x:c r="N969" s="14" t="str"/>
      <x:c r="O969" s="14" t="n">
        <x:v>0</x:v>
      </x:c>
      <x:c r="P969" s="14" t="str">
        <x:v>Hayır</x:v>
      </x:c>
      <x:c r="Q969" s="14" t="str">
        <x:v>Koşullu</x:v>
      </x:c>
      <x:c r="R969" s="14" t="str">
        <x:v>Planlandı</x:v>
      </x:c>
      <x:c r="S969" s="15" t="str"/>
      <x:c r="T969" s="14" t="str">
        <x:v>Yanlışlar +1, +7 ve +21 gün aralıklarıyla tekrar edilir; hâlâ yanlışsa konu mastery durumu düşürülür.</x:v>
      </x:c>
    </x:row>
    <x:row r="970">
      <x:c r="A970" s="14" t="n">
        <x:v>969</x:v>
      </x:c>
      <x:c r="B970" s="15" t="n">
        <x:v>46373</x:v>
      </x:c>
      <x:c r="C970" s="14" t="str">
        <x:v>Perşembe</x:v>
      </x:c>
      <x:c r="D970" s="14" t="str">
        <x:v>Okul Günü</x:v>
      </x:c>
      <x:c r="E970" s="14" t="str">
        <x:v>16:00 sonrası</x:v>
      </x:c>
      <x:c r="F970" s="14" t="str">
        <x:v>F1 - Temel Kurma</x:v>
      </x:c>
      <x:c r="G970" s="14" t="str">
        <x:v>21:50</x:v>
      </x:c>
      <x:c r="H970" s="14" t="str">
        <x:v>22:00</x:v>
      </x:c>
      <x:c r="I970" s="14" t="str">
        <x:v>Genel</x:v>
      </x:c>
      <x:c r="J970" s="14" t="str">
        <x:v>Uyku Hazırlığı</x:v>
      </x:c>
      <x:c r="K970" s="14" t="str"/>
      <x:c r="L970" s="14" t="str">
        <x:v>22:00'de yatakta ve uyku.</x:v>
      </x:c>
      <x:c r="M970" s="14" t="str"/>
      <x:c r="N970" s="14" t="str"/>
      <x:c r="O970" s="14" t="n">
        <x:v>0</x:v>
      </x:c>
      <x:c r="P970" s="14" t="str">
        <x:v>Hayır</x:v>
      </x:c>
      <x:c r="Q970" s="14" t="str">
        <x:v>Hayır</x:v>
      </x:c>
      <x:c r="R970" s="14" t="str">
        <x:v>Planlandı</x:v>
      </x:c>
      <x:c r="S970" s="15" t="str"/>
      <x:c r="T970" s="14" t="str"/>
    </x:row>
    <x:row r="971">
      <x:c r="A971" s="14" t="n">
        <x:v>970</x:v>
      </x:c>
      <x:c r="B971" s="15" t="n">
        <x:v>46374</x:v>
      </x:c>
      <x:c r="C971" s="14" t="str">
        <x:v>Cuma</x:v>
      </x:c>
      <x:c r="D971" s="14" t="str">
        <x:v>Okul Günü</x:v>
      </x:c>
      <x:c r="E971" s="14" t="str">
        <x:v>16:00 sonrası</x:v>
      </x:c>
      <x:c r="F971" s="14" t="str">
        <x:v>F1 - Temel Kurma</x:v>
      </x:c>
      <x:c r="G971" s="14" t="str">
        <x:v>16:00</x:v>
      </x:c>
      <x:c r="H971" s="14" t="str">
        <x:v>16:25</x:v>
      </x:c>
      <x:c r="I971" s="14" t="str">
        <x:v>Genel</x:v>
      </x:c>
      <x:c r="J971" s="14" t="str">
        <x:v>Dinlenme</x:v>
      </x:c>
      <x:c r="K971" s="14" t="str"/>
      <x:c r="L971" s="14" t="str">
        <x:v>Eve geliş, atıştırma ve dinlenme.</x:v>
      </x:c>
      <x:c r="M971" s="14" t="str"/>
      <x:c r="N971" s="14" t="str"/>
      <x:c r="O971" s="14" t="n">
        <x:v>0</x:v>
      </x:c>
      <x:c r="P971" s="14" t="str">
        <x:v>Hayır</x:v>
      </x:c>
      <x:c r="Q971" s="14" t="str">
        <x:v>Hayır</x:v>
      </x:c>
      <x:c r="R971" s="14" t="str">
        <x:v>Planlandı</x:v>
      </x:c>
      <x:c r="S971" s="15" t="str"/>
      <x:c r="T971" s="14" t="str"/>
    </x:row>
    <x:row r="972">
      <x:c r="A972" s="14" t="n">
        <x:v>971</x:v>
      </x:c>
      <x:c r="B972" s="15" t="n">
        <x:v>46374</x:v>
      </x:c>
      <x:c r="C972" s="14" t="str">
        <x:v>Cuma</x:v>
      </x:c>
      <x:c r="D972" s="14" t="str">
        <x:v>Okul Günü</x:v>
      </x:c>
      <x:c r="E972" s="14" t="str">
        <x:v>16:00 sonrası</x:v>
      </x:c>
      <x:c r="F972" s="14" t="str">
        <x:v>F1 - Temel Kurma</x:v>
      </x:c>
      <x:c r="G972" s="14" t="str">
        <x:v>16:25</x:v>
      </x:c>
      <x:c r="H972" s="14" t="str">
        <x:v>17:05</x:v>
      </x:c>
      <x:c r="I972" s="14" t="str">
        <x:v>Matematik</x:v>
      </x:c>
      <x:c r="J972" s="14" t="str">
        <x:v>Konu / Tekrar</x:v>
      </x:c>
      <x:c r="K972" s="14" t="str">
        <x:v>Kareköklü İfadeler</x:v>
      </x:c>
      <x:c r="L972" s="14" t="str">
        <x:v>Kareköklü İfadeler — genel oynatma listesinden ilgili videoyu izle (1/4).</x:v>
      </x:c>
      <x:c r="M972" s="14" t="str">
        <x:v>Matematik Ana Oynatma Listesi</x:v>
      </x:c>
      <x:c r="N972" s="14" t="str">
        <x:v>https://www.youtube.com/watch?v=EuJ89QzqrAg&amp;list=PLicNtF7vp6fnfDqrRLH6H7fIbzYT4ct4F&amp;index=11</x:v>
      </x:c>
      <x:c r="O972" s="14" t="n">
        <x:v>0</x:v>
      </x:c>
      <x:c r="P972" s="14" t="str">
        <x:v>Hayır</x:v>
      </x:c>
      <x:c r="Q972" s="14" t="str">
        <x:v>Evet</x:v>
      </x:c>
      <x:c r="R972" s="14" t="str">
        <x:v>Planlandı</x:v>
      </x:c>
      <x:c r="S972" s="15" t="str"/>
      <x:c r="T972" s="14" t="str">
        <x:v>Yeni konu ancak plan sırasıyla açılır; LGS dışı ileri TYT içeriği zorunlu değildir.</x:v>
      </x:c>
    </x:row>
    <x:row r="973">
      <x:c r="A973" s="14" t="n">
        <x:v>972</x:v>
      </x:c>
      <x:c r="B973" s="15" t="n">
        <x:v>46374</x:v>
      </x:c>
      <x:c r="C973" s="14" t="str">
        <x:v>Cuma</x:v>
      </x:c>
      <x:c r="D973" s="14" t="str">
        <x:v>Okul Günü</x:v>
      </x:c>
      <x:c r="E973" s="14" t="str">
        <x:v>16:00 sonrası</x:v>
      </x:c>
      <x:c r="F973" s="14" t="str">
        <x:v>F1 - Temel Kurma</x:v>
      </x:c>
      <x:c r="G973" s="14" t="str">
        <x:v>17:10</x:v>
      </x:c>
      <x:c r="H973" s="14" t="str">
        <x:v>17:55</x:v>
      </x:c>
      <x:c r="I973" s="14" t="str">
        <x:v>Matematik</x:v>
      </x:c>
      <x:c r="J973" s="14" t="str">
        <x:v>Kitap / MEB / Mastery</x:v>
      </x:c>
      <x:c r="K973" s="14" t="str">
        <x:v>Kareköklü İfadeler</x:v>
      </x:c>
      <x:c r="L973" s="14" t="str">
        <x:v>Kareköklü İfadeler ile ilgili soru kitabından en az 25 soru / bugünkü test payını çöz.</x:v>
      </x:c>
      <x:c r="M973" s="14" t="str">
        <x:v>MUBA 8. Sınıf Başlangıç Matematik (ISBN 9789756526972); tamamlandıysa Mozaik 8. Sınıf Matematik</x:v>
      </x:c>
      <x:c r="N973" s="14" t="str">
        <x:v>https://odsgm.meb.gov.tr/www/8sinif-calisma-sorulari/icerik/1632</x:v>
      </x:c>
      <x:c r="O973" s="14" t="n">
        <x:v>25</x:v>
      </x:c>
      <x:c r="P973" s="14" t="str">
        <x:v>İlk 20 soru</x:v>
      </x:c>
      <x:c r="Q973" s="14" t="str">
        <x:v>Evet</x:v>
      </x:c>
      <x:c r="R973" s="14" t="str">
        <x:v>Planlandı</x:v>
      </x:c>
      <x:c r="S973" s="15" t="str"/>
      <x:c r="T973" s="14" t="str">
        <x:v>Ayrı/rastgele matematik benchmark yoktur. Süreli ilk 20 soru o gün çalışılan konunun içindedir.</x:v>
      </x:c>
    </x:row>
    <x:row r="974">
      <x:c r="A974" s="14" t="n">
        <x:v>973</x:v>
      </x:c>
      <x:c r="B974" s="15" t="n">
        <x:v>46374</x:v>
      </x:c>
      <x:c r="C974" s="14" t="str">
        <x:v>Cuma</x:v>
      </x:c>
      <x:c r="D974" s="14" t="str">
        <x:v>Okul Günü</x:v>
      </x:c>
      <x:c r="E974" s="14" t="str">
        <x:v>16:00 sonrası</x:v>
      </x:c>
      <x:c r="F974" s="14" t="str">
        <x:v>F1 - Temel Kurma</x:v>
      </x:c>
      <x:c r="G974" s="14" t="str">
        <x:v>17:55</x:v>
      </x:c>
      <x:c r="H974" s="14" t="str">
        <x:v>18:25</x:v>
      </x:c>
      <x:c r="I974" s="14" t="str">
        <x:v>Genel</x:v>
      </x:c>
      <x:c r="J974" s="14" t="str">
        <x:v>Yemek / Serbest Zaman</x:v>
      </x:c>
      <x:c r="K974" s="14" t="str"/>
      <x:c r="L974" s="14" t="str">
        <x:v>Yemek, hareket ve dinlenme.</x:v>
      </x:c>
      <x:c r="M974" s="14" t="str"/>
      <x:c r="N974" s="14" t="str"/>
      <x:c r="O974" s="14" t="n">
        <x:v>0</x:v>
      </x:c>
      <x:c r="P974" s="14" t="str">
        <x:v>Hayır</x:v>
      </x:c>
      <x:c r="Q974" s="14" t="str">
        <x:v>Hayır</x:v>
      </x:c>
      <x:c r="R974" s="14" t="str">
        <x:v>Planlandı</x:v>
      </x:c>
      <x:c r="S974" s="15" t="str"/>
      <x:c r="T974" s="14" t="str"/>
    </x:row>
    <x:row r="975">
      <x:c r="A975" s="14" t="n">
        <x:v>974</x:v>
      </x:c>
      <x:c r="B975" s="15" t="n">
        <x:v>46374</x:v>
      </x:c>
      <x:c r="C975" s="14" t="str">
        <x:v>Cuma</x:v>
      </x:c>
      <x:c r="D975" s="14" t="str">
        <x:v>Okul Günü</x:v>
      </x:c>
      <x:c r="E975" s="14" t="str">
        <x:v>16:00 sonrası</x:v>
      </x:c>
      <x:c r="F975" s="14" t="str">
        <x:v>F1 - Temel Kurma</x:v>
      </x:c>
      <x:c r="G975" s="14" t="str">
        <x:v>18:25</x:v>
      </x:c>
      <x:c r="H975" s="14" t="str">
        <x:v>18:55</x:v>
      </x:c>
      <x:c r="I975" s="14" t="str">
        <x:v>Türkçe</x:v>
      </x:c>
      <x:c r="J975" s="14" t="str">
        <x:v>Paragraf Rutini</x:v>
      </x:c>
      <x:c r="K975" s="14" t="str">
        <x:v>Paragraf</x:v>
      </x:c>
      <x:c r="L975" s="14" t="str">
        <x:v>En az 25 paragraf sorusu çöz; ilk 20 soruyu ileri sayımla ölç, D/Y/B + süre kaydet.</x:v>
      </x:c>
      <x:c r="M975" s="14" t="str">
        <x:v>Hız 8. Sınıf Türkçe Paragraf (ISBN 9786258394498)</x:v>
      </x:c>
      <x:c r="N975" s="14" t="str"/>
      <x:c r="O975" s="14" t="n">
        <x:v>25</x:v>
      </x:c>
      <x:c r="P975" s="14" t="str">
        <x:v>İlk 20 soru</x:v>
      </x:c>
      <x:c r="Q975" s="14" t="str">
        <x:v>Evet</x:v>
      </x:c>
      <x:c r="R975" s="14" t="str">
        <x:v>Planlandı</x:v>
      </x:c>
      <x:c r="S975" s="15" t="str"/>
      <x:c r="T975" s="14" t="str">
        <x:v>Geri sayım ve hedef süre yok.</x:v>
      </x:c>
    </x:row>
    <x:row r="976">
      <x:c r="A976" s="14" t="n">
        <x:v>975</x:v>
      </x:c>
      <x:c r="B976" s="15" t="n">
        <x:v>46374</x:v>
      </x:c>
      <x:c r="C976" s="14" t="str">
        <x:v>Cuma</x:v>
      </x:c>
      <x:c r="D976" s="14" t="str">
        <x:v>Okul Günü</x:v>
      </x:c>
      <x:c r="E976" s="14" t="str">
        <x:v>16:00 sonrası</x:v>
      </x:c>
      <x:c r="F976" s="14" t="str">
        <x:v>F1 - Temel Kurma</x:v>
      </x:c>
      <x:c r="G976" s="14" t="str">
        <x:v>19:00</x:v>
      </x:c>
      <x:c r="H976" s="14" t="str">
        <x:v>19:35</x:v>
      </x:c>
      <x:c r="I976" s="14" t="str">
        <x:v>Türkçe</x:v>
      </x:c>
      <x:c r="J976" s="14" t="str">
        <x:v>Konu / Tekrar</x:v>
      </x:c>
      <x:c r="K976" s="14" t="str">
        <x:v>Fiilde Çatı</x:v>
      </x:c>
      <x:c r="L976" s="14" t="str">
        <x:v>Fiilde Çatı — genel oynatma listesinden ilgili videoyu izle (3/3).</x:v>
      </x:c>
      <x:c r="M976" s="14" t="str">
        <x:v>Türkçe Ana Oynatma Listesi</x:v>
      </x:c>
      <x:c r="N976" s="14" t="str">
        <x:v>https://www.youtube.com/watch?v=VYsPntNKVdw&amp;list=PLIBjFaUoJJ91bz7QQEBlxNJNZka5YQRr6</x:v>
      </x:c>
      <x:c r="O976" s="14" t="n">
        <x:v>0</x:v>
      </x:c>
      <x:c r="P976" s="14" t="str">
        <x:v>Hayır</x:v>
      </x:c>
      <x:c r="Q976" s="14" t="str">
        <x:v>Evet</x:v>
      </x:c>
      <x:c r="R976" s="14" t="str">
        <x:v>Planlandı</x:v>
      </x:c>
      <x:c r="S976" s="15" t="str"/>
      <x:c r="T976" s="14" t="str">
        <x:v>TYT etiketli kaynak temelden başlamak için sabittir; LGS dışı gereksiz ayrıntı zorunlu değildir.</x:v>
      </x:c>
    </x:row>
    <x:row r="977">
      <x:c r="A977" s="14" t="n">
        <x:v>976</x:v>
      </x:c>
      <x:c r="B977" s="15" t="n">
        <x:v>46374</x:v>
      </x:c>
      <x:c r="C977" s="14" t="str">
        <x:v>Cuma</x:v>
      </x:c>
      <x:c r="D977" s="14" t="str">
        <x:v>Okul Günü</x:v>
      </x:c>
      <x:c r="E977" s="14" t="str">
        <x:v>16:00 sonrası</x:v>
      </x:c>
      <x:c r="F977" s="14" t="str">
        <x:v>F1 - Temel Kurma</x:v>
      </x:c>
      <x:c r="G977" s="14" t="str">
        <x:v>19:40</x:v>
      </x:c>
      <x:c r="H977" s="14" t="str">
        <x:v>20:10</x:v>
      </x:c>
      <x:c r="I977" s="14" t="str">
        <x:v>Türkçe</x:v>
      </x:c>
      <x:c r="J977" s="14" t="str">
        <x:v>Kitap / MEB / Mastery</x:v>
      </x:c>
      <x:c r="K977" s="14" t="str">
        <x:v>Fiilde Çatı</x:v>
      </x:c>
      <x:c r="L977" s="14" t="str">
        <x:v>Fiilde Çatı ile ilgili soru kitabından en az 15 soru / bugünkü test payını çöz. İlgili kitap konu bölümünü bu oturumda bitirmeyi hedefle; sonraki oturum MEB doğrulaması.</x:v>
      </x:c>
      <x:c r="M977" s="14" t="str">
        <x:v>Ankara 8. Sınıf Dil Bilgisi Güçlendiren</x:v>
      </x:c>
      <x:c r="N977" s="14" t="str">
        <x:v>https://odsgm.meb.gov.tr/www/8sinif-calisma-sorulari/icerik/1632</x:v>
      </x:c>
      <x:c r="O977" s="14" t="n">
        <x:v>15</x:v>
      </x:c>
      <x:c r="P977" s="14" t="str">
        <x:v>Hayır</x:v>
      </x:c>
      <x:c r="Q977" s="14" t="str">
        <x:v>Evet</x:v>
      </x:c>
      <x:c r="R977" s="14" t="str">
        <x:v>Planlandı</x:v>
      </x:c>
      <x:c r="S977" s="15" t="str"/>
      <x:c r="T977" s="14" t="str"/>
    </x:row>
    <x:row r="978">
      <x:c r="A978" s="14" t="n">
        <x:v>977</x:v>
      </x:c>
      <x:c r="B978" s="15" t="n">
        <x:v>46374</x:v>
      </x:c>
      <x:c r="C978" s="14" t="str">
        <x:v>Cuma</x:v>
      </x:c>
      <x:c r="D978" s="14" t="str">
        <x:v>Okul Günü</x:v>
      </x:c>
      <x:c r="E978" s="14" t="str">
        <x:v>16:00 sonrası</x:v>
      </x:c>
      <x:c r="F978" s="14" t="str">
        <x:v>F1 - Temel Kurma</x:v>
      </x:c>
      <x:c r="G978" s="14" t="str">
        <x:v>20:15</x:v>
      </x:c>
      <x:c r="H978" s="14" t="str">
        <x:v>20:50</x:v>
      </x:c>
      <x:c r="I978" s="14" t="str">
        <x:v>İnkılap</x:v>
      </x:c>
      <x:c r="J978" s="14" t="str">
        <x:v>Konu / Tekrar</x:v>
      </x:c>
      <x:c r="K978" s="14" t="str">
        <x:v>Genelgeler, Kongreler, Misakımillî ve TBMM</x:v>
      </x:c>
      <x:c r="L978" s="14" t="str">
        <x:v>Genelgeler, Kongreler, Misakımillî ve TBMM — MEB doğrulaması öncesi 5-10 dk aktif hatırlama; gerekiyorsa ilgili playlist videosuna kısa dönüş yap.</x:v>
      </x:c>
      <x:c r="M978" s="14" t="str">
        <x:v>İnkılap Genel Oynatma Listesi</x:v>
      </x:c>
      <x:c r="N978" s="14" t="str">
        <x:v>https://www.youtube.com/watch?v=MltIX0oKpYU&amp;list=PLsAsBPsriHNbXit4Ra3iuBrk1ZHZWxsOR&amp;index=78</x:v>
      </x:c>
      <x:c r="O978" s="14" t="n">
        <x:v>0</x:v>
      </x:c>
      <x:c r="P978" s="14" t="str">
        <x:v>Hayır</x:v>
      </x:c>
      <x:c r="Q978" s="14" t="str">
        <x:v>Evet</x:v>
      </x:c>
      <x:c r="R978" s="14" t="str">
        <x:v>Planlandı</x:v>
      </x:c>
      <x:c r="S978" s="15" t="str"/>
      <x:c r="T978" s="14" t="str">
        <x:v>İnkılapta okul yazılısı videoları zorunlu değildir.</x:v>
      </x:c>
    </x:row>
    <x:row r="979">
      <x:c r="A979" s="14" t="n">
        <x:v>978</x:v>
      </x:c>
      <x:c r="B979" s="15" t="n">
        <x:v>46374</x:v>
      </x:c>
      <x:c r="C979" s="14" t="str">
        <x:v>Cuma</x:v>
      </x:c>
      <x:c r="D979" s="14" t="str">
        <x:v>Okul Günü</x:v>
      </x:c>
      <x:c r="E979" s="14" t="str">
        <x:v>16:00 sonrası</x:v>
      </x:c>
      <x:c r="F979" s="14" t="str">
        <x:v>F1 - Temel Kurma</x:v>
      </x:c>
      <x:c r="G979" s="14" t="str">
        <x:v>20:55</x:v>
      </x:c>
      <x:c r="H979" s="14" t="str">
        <x:v>21:20</x:v>
      </x:c>
      <x:c r="I979" s="14" t="str">
        <x:v>İnkılap</x:v>
      </x:c>
      <x:c r="J979" s="14" t="str">
        <x:v>Kitap / MEB / Mastery</x:v>
      </x:c>
      <x:c r="K979" s="14" t="str">
        <x:v>Genelgeler, Kongreler, Misakımillî ve TBMM</x:v>
      </x:c>
      <x:c r="L979" s="14" t="str">
        <x:v>Genelgeler, Kongreler, Misakımillî ve TBMM için ilgili MEB sorularını TAMAMLA; D/Y/B kaydet. Bu oturum konu mastery gate'idir.</x:v>
      </x:c>
      <x:c r="M979" s="14" t="str">
        <x:v>MEB 8. Sınıf İnkılap Soruları</x:v>
      </x:c>
      <x:c r="N979" s="14" t="str">
        <x:v>https://odsgm.meb.gov.tr/www/8sinif-calisma-sorulari/icerik/1632</x:v>
      </x:c>
      <x:c r="O979" s="14" t="n">
        <x:v>0</x:v>
      </x:c>
      <x:c r="P979" s="14" t="str">
        <x:v>Hayır</x:v>
      </x:c>
      <x:c r="Q979" s="14" t="str">
        <x:v>Evet</x:v>
      </x:c>
      <x:c r="R979" s="14" t="str">
        <x:v>Planlandı</x:v>
      </x:c>
      <x:c r="S979" s="15" t="str"/>
      <x:c r="T979" s="14" t="str">
        <x:v>MEB sonucu Konu_Ustaligi sayfasına işlenir.</x:v>
      </x:c>
    </x:row>
    <x:row r="980">
      <x:c r="A980" s="14" t="n">
        <x:v>979</x:v>
      </x:c>
      <x:c r="B980" s="15" t="n">
        <x:v>46374</x:v>
      </x:c>
      <x:c r="C980" s="14" t="str">
        <x:v>Cuma</x:v>
      </x:c>
      <x:c r="D980" s="14" t="str">
        <x:v>Okul Günü</x:v>
      </x:c>
      <x:c r="E980" s="14" t="str">
        <x:v>16:00 sonrası</x:v>
      </x:c>
      <x:c r="F980" s="14" t="str">
        <x:v>F1 - Temel Kurma</x:v>
      </x:c>
      <x:c r="G980" s="14" t="str">
        <x:v>21:20</x:v>
      </x:c>
      <x:c r="H980" s="14" t="str">
        <x:v>21:35</x:v>
      </x:c>
      <x:c r="I980" s="14" t="str">
        <x:v>Genel</x:v>
      </x:c>
      <x:c r="J980" s="14" t="str">
        <x:v>Yanlış / Boş Analizi</x:v>
      </x:c>
      <x:c r="K980" s="14" t="str">
        <x:v>Günlük</x:v>
      </x:c>
      <x:c r="L980" s="14" t="str">
        <x:v>Bugünkü yanlış/boşları kaydet; çözümünü öğrenmeden kapatma. Hata türünü sınıflandır.</x:v>
      </x:c>
      <x:c r="M980" s="14" t="str">
        <x:v>Yanlış Defteri</x:v>
      </x:c>
      <x:c r="N980" s="14" t="str"/>
      <x:c r="O980" s="14" t="n">
        <x:v>0</x:v>
      </x:c>
      <x:c r="P980" s="14" t="str">
        <x:v>Hayır</x:v>
      </x:c>
      <x:c r="Q980" s="14" t="str">
        <x:v>Evet</x:v>
      </x:c>
      <x:c r="R980" s="14" t="str">
        <x:v>Planlandı</x:v>
      </x:c>
      <x:c r="S980" s="15" t="str"/>
      <x:c r="T980" s="14" t="str"/>
    </x:row>
    <x:row r="981">
      <x:c r="A981" s="14" t="n">
        <x:v>980</x:v>
      </x:c>
      <x:c r="B981" s="15" t="n">
        <x:v>46374</x:v>
      </x:c>
      <x:c r="C981" s="14" t="str">
        <x:v>Cuma</x:v>
      </x:c>
      <x:c r="D981" s="14" t="str">
        <x:v>Okul Günü</x:v>
      </x:c>
      <x:c r="E981" s="14" t="str">
        <x:v>16:00 sonrası</x:v>
      </x:c>
      <x:c r="F981" s="14" t="str">
        <x:v>F1 - Temel Kurma</x:v>
      </x:c>
      <x:c r="G981" s="14" t="str">
        <x:v>21:35</x:v>
      </x:c>
      <x:c r="H981" s="14" t="str">
        <x:v>21:50</x:v>
      </x:c>
      <x:c r="I981" s="14" t="str">
        <x:v>Genel</x:v>
      </x:c>
      <x:c r="J981" s="14" t="str">
        <x:v>Aralıklı Hata Tekrarı</x:v>
      </x:c>
      <x:c r="K981" s="14" t="str">
        <x:v>+1 / +7 / +21</x:v>
      </x:c>
      <x:c r="L981" s="14" t="str">
        <x:v>Bugün vadesi gelen yanlış soruları tekrar çöz. Vadesi yoksa bu süre serbest/okuma olabilir.</x:v>
      </x:c>
      <x:c r="M981" s="14" t="str">
        <x:v>Yanlış Defteri</x:v>
      </x:c>
      <x:c r="N981" s="14" t="str"/>
      <x:c r="O981" s="14" t="n">
        <x:v>0</x:v>
      </x:c>
      <x:c r="P981" s="14" t="str">
        <x:v>Hayır</x:v>
      </x:c>
      <x:c r="Q981" s="14" t="str">
        <x:v>Koşullu</x:v>
      </x:c>
      <x:c r="R981" s="14" t="str">
        <x:v>Planlandı</x:v>
      </x:c>
      <x:c r="S981" s="15" t="str"/>
      <x:c r="T981" s="14" t="str">
        <x:v>Yanlışlar +1, +7 ve +21 gün aralıklarıyla tekrar edilir; hâlâ yanlışsa konu mastery durumu düşürülür.</x:v>
      </x:c>
    </x:row>
    <x:row r="982">
      <x:c r="A982" s="14" t="n">
        <x:v>981</x:v>
      </x:c>
      <x:c r="B982" s="15" t="n">
        <x:v>46374</x:v>
      </x:c>
      <x:c r="C982" s="14" t="str">
        <x:v>Cuma</x:v>
      </x:c>
      <x:c r="D982" s="14" t="str">
        <x:v>Okul Günü</x:v>
      </x:c>
      <x:c r="E982" s="14" t="str">
        <x:v>16:00 sonrası</x:v>
      </x:c>
      <x:c r="F982" s="14" t="str">
        <x:v>F1 - Temel Kurma</x:v>
      </x:c>
      <x:c r="G982" s="14" t="str">
        <x:v>21:50</x:v>
      </x:c>
      <x:c r="H982" s="14" t="str">
        <x:v>22:00</x:v>
      </x:c>
      <x:c r="I982" s="14" t="str">
        <x:v>Genel</x:v>
      </x:c>
      <x:c r="J982" s="14" t="str">
        <x:v>Uyku Hazırlığı</x:v>
      </x:c>
      <x:c r="K982" s="14" t="str"/>
      <x:c r="L982" s="14" t="str">
        <x:v>22:00'de yatakta ve uyku.</x:v>
      </x:c>
      <x:c r="M982" s="14" t="str"/>
      <x:c r="N982" s="14" t="str"/>
      <x:c r="O982" s="14" t="n">
        <x:v>0</x:v>
      </x:c>
      <x:c r="P982" s="14" t="str">
        <x:v>Hayır</x:v>
      </x:c>
      <x:c r="Q982" s="14" t="str">
        <x:v>Hayır</x:v>
      </x:c>
      <x:c r="R982" s="14" t="str">
        <x:v>Planlandı</x:v>
      </x:c>
      <x:c r="S982" s="15" t="str"/>
      <x:c r="T982" s="14" t="str"/>
    </x:row>
    <x:row r="983">
      <x:c r="A983" s="14" t="n">
        <x:v>982</x:v>
      </x:c>
      <x:c r="B983" s="15" t="n">
        <x:v>46375</x:v>
      </x:c>
      <x:c r="C983" s="14" t="str">
        <x:v>Cumartesi</x:v>
      </x:c>
      <x:c r="D983" s="14" t="str">
        <x:v>Hafta Sonu</x:v>
      </x:c>
      <x:c r="E983" s="14" t="str">
        <x:v>Tam gün</x:v>
      </x:c>
      <x:c r="F983" s="14" t="str">
        <x:v>F1 - Temel Kurma</x:v>
      </x:c>
      <x:c r="G983" s="14" t="str">
        <x:v>09:30</x:v>
      </x:c>
      <x:c r="H983" s="14" t="str">
        <x:v>10:15</x:v>
      </x:c>
      <x:c r="I983" s="14" t="str">
        <x:v>Matematik</x:v>
      </x:c>
      <x:c r="J983" s="14" t="str">
        <x:v>Konu / Tekrar</x:v>
      </x:c>
      <x:c r="K983" s="14" t="str">
        <x:v>Kareköklü İfadeler</x:v>
      </x:c>
      <x:c r="L983" s="14" t="str">
        <x:v>Kareköklü İfadeler — genel oynatma listesinden ilgili videoyu izle (2/4).</x:v>
      </x:c>
      <x:c r="M983" s="14" t="str">
        <x:v>Matematik Ana Oynatma Listesi</x:v>
      </x:c>
      <x:c r="N983" s="14" t="str">
        <x:v>https://www.youtube.com/watch?v=EuJ89QzqrAg&amp;list=PLicNtF7vp6fnfDqrRLH6H7fIbzYT4ct4F&amp;index=11</x:v>
      </x:c>
      <x:c r="O983" s="14" t="n">
        <x:v>0</x:v>
      </x:c>
      <x:c r="P983" s="14" t="str">
        <x:v>Hayır</x:v>
      </x:c>
      <x:c r="Q983" s="14" t="str">
        <x:v>Evet</x:v>
      </x:c>
      <x:c r="R983" s="14" t="str">
        <x:v>Planlandı</x:v>
      </x:c>
      <x:c r="S983" s="15" t="str"/>
      <x:c r="T983" s="14" t="str">
        <x:v>Yeni konu ancak plan sırasıyla açılır; LGS dışı ileri TYT içeriği zorunlu değildir.</x:v>
      </x:c>
    </x:row>
    <x:row r="984">
      <x:c r="A984" s="14" t="n">
        <x:v>983</x:v>
      </x:c>
      <x:c r="B984" s="15" t="n">
        <x:v>46375</x:v>
      </x:c>
      <x:c r="C984" s="14" t="str">
        <x:v>Cumartesi</x:v>
      </x:c>
      <x:c r="D984" s="14" t="str">
        <x:v>Hafta Sonu</x:v>
      </x:c>
      <x:c r="E984" s="14" t="str">
        <x:v>Tam gün</x:v>
      </x:c>
      <x:c r="F984" s="14" t="str">
        <x:v>F1 - Temel Kurma</x:v>
      </x:c>
      <x:c r="G984" s="14" t="str">
        <x:v>10:25</x:v>
      </x:c>
      <x:c r="H984" s="14" t="str">
        <x:v>11:15</x:v>
      </x:c>
      <x:c r="I984" s="14" t="str">
        <x:v>Matematik</x:v>
      </x:c>
      <x:c r="J984" s="14" t="str">
        <x:v>Kitap / MEB / Mastery</x:v>
      </x:c>
      <x:c r="K984" s="14" t="str">
        <x:v>Kareköklü İfadeler</x:v>
      </x:c>
      <x:c r="L984" s="14" t="str">
        <x:v>Kareköklü İfadeler ile ilgili soru kitabından en az 25 soru / bugünkü test payını çöz.</x:v>
      </x:c>
      <x:c r="M984" s="14" t="str">
        <x:v>MUBA 8. Sınıf Başlangıç Matematik (ISBN 9789756526972); tamamlandıysa Mozaik 8. Sınıf Matematik</x:v>
      </x:c>
      <x:c r="N984" s="14" t="str">
        <x:v>https://odsgm.meb.gov.tr/www/8sinif-calisma-sorulari/icerik/1632</x:v>
      </x:c>
      <x:c r="O984" s="14" t="n">
        <x:v>25</x:v>
      </x:c>
      <x:c r="P984" s="14" t="str">
        <x:v>İlk 20 soru</x:v>
      </x:c>
      <x:c r="Q984" s="14" t="str">
        <x:v>Evet</x:v>
      </x:c>
      <x:c r="R984" s="14" t="str">
        <x:v>Planlandı</x:v>
      </x:c>
      <x:c r="S984" s="15" t="str"/>
      <x:c r="T984" s="14" t="str">
        <x:v>Ayrı/rastgele matematik benchmark yoktur. Süreli ilk 20 soru o gün çalışılan konunun içindedir.</x:v>
      </x:c>
    </x:row>
    <x:row r="985">
      <x:c r="A985" s="14" t="n">
        <x:v>984</x:v>
      </x:c>
      <x:c r="B985" s="15" t="n">
        <x:v>46375</x:v>
      </x:c>
      <x:c r="C985" s="14" t="str">
        <x:v>Cumartesi</x:v>
      </x:c>
      <x:c r="D985" s="14" t="str">
        <x:v>Hafta Sonu</x:v>
      </x:c>
      <x:c r="E985" s="14" t="str">
        <x:v>Tam gün</x:v>
      </x:c>
      <x:c r="F985" s="14" t="str">
        <x:v>F1 - Temel Kurma</x:v>
      </x:c>
      <x:c r="G985" s="14" t="str">
        <x:v>12:00</x:v>
      </x:c>
      <x:c r="H985" s="14" t="str">
        <x:v>14:00</x:v>
      </x:c>
      <x:c r="I985" s="14" t="str">
        <x:v>Genel</x:v>
      </x:c>
      <x:c r="J985" s="14" t="str">
        <x:v>Yemek / Serbest Zaman</x:v>
      </x:c>
      <x:c r="K985" s="14" t="str"/>
      <x:c r="L985" s="14" t="str">
        <x:v>Yemek, hareket ve dinlenme.</x:v>
      </x:c>
      <x:c r="M985" s="14" t="str"/>
      <x:c r="N985" s="14" t="str"/>
      <x:c r="O985" s="14" t="n">
        <x:v>0</x:v>
      </x:c>
      <x:c r="P985" s="14" t="str">
        <x:v>Hayır</x:v>
      </x:c>
      <x:c r="Q985" s="14" t="str">
        <x:v>Hayır</x:v>
      </x:c>
      <x:c r="R985" s="14" t="str">
        <x:v>Planlandı</x:v>
      </x:c>
      <x:c r="S985" s="15" t="str"/>
      <x:c r="T985" s="14" t="str"/>
    </x:row>
    <x:row r="986">
      <x:c r="A986" s="14" t="n">
        <x:v>985</x:v>
      </x:c>
      <x:c r="B986" s="15" t="n">
        <x:v>46375</x:v>
      </x:c>
      <x:c r="C986" s="14" t="str">
        <x:v>Cumartesi</x:v>
      </x:c>
      <x:c r="D986" s="14" t="str">
        <x:v>Hafta Sonu</x:v>
      </x:c>
      <x:c r="E986" s="14" t="str">
        <x:v>Tam gün</x:v>
      </x:c>
      <x:c r="F986" s="14" t="str">
        <x:v>F1 - Temel Kurma</x:v>
      </x:c>
      <x:c r="G986" s="14" t="str">
        <x:v>11:25</x:v>
      </x:c>
      <x:c r="H986" s="14" t="str">
        <x:v>11:55</x:v>
      </x:c>
      <x:c r="I986" s="14" t="str">
        <x:v>Türkçe</x:v>
      </x:c>
      <x:c r="J986" s="14" t="str">
        <x:v>Paragraf Rutini</x:v>
      </x:c>
      <x:c r="K986" s="14" t="str">
        <x:v>Paragraf</x:v>
      </x:c>
      <x:c r="L986" s="14" t="str">
        <x:v>En az 25 paragraf sorusu çöz; ilk 20 soruyu ileri sayımla ölç, D/Y/B + süre kaydet.</x:v>
      </x:c>
      <x:c r="M986" s="14" t="str">
        <x:v>Hız 8. Sınıf Türkçe Paragraf (ISBN 9786258394498)</x:v>
      </x:c>
      <x:c r="N986" s="14" t="str"/>
      <x:c r="O986" s="14" t="n">
        <x:v>25</x:v>
      </x:c>
      <x:c r="P986" s="14" t="str">
        <x:v>İlk 20 soru</x:v>
      </x:c>
      <x:c r="Q986" s="14" t="str">
        <x:v>Evet</x:v>
      </x:c>
      <x:c r="R986" s="14" t="str">
        <x:v>Planlandı</x:v>
      </x:c>
      <x:c r="S986" s="15" t="str"/>
      <x:c r="T986" s="14" t="str">
        <x:v>Geri sayım ve hedef süre yok.</x:v>
      </x:c>
    </x:row>
    <x:row r="987">
      <x:c r="A987" s="14" t="n">
        <x:v>986</x:v>
      </x:c>
      <x:c r="B987" s="15" t="n">
        <x:v>46375</x:v>
      </x:c>
      <x:c r="C987" s="14" t="str">
        <x:v>Cumartesi</x:v>
      </x:c>
      <x:c r="D987" s="14" t="str">
        <x:v>Hafta Sonu</x:v>
      </x:c>
      <x:c r="E987" s="14" t="str">
        <x:v>Tam gün</x:v>
      </x:c>
      <x:c r="F987" s="14" t="str">
        <x:v>F1 - Temel Kurma</x:v>
      </x:c>
      <x:c r="G987" s="14" t="str">
        <x:v>14:00</x:v>
      </x:c>
      <x:c r="H987" s="14" t="str">
        <x:v>14:40</x:v>
      </x:c>
      <x:c r="I987" s="14" t="str">
        <x:v>Türkçe</x:v>
      </x:c>
      <x:c r="J987" s="14" t="str">
        <x:v>Konu / Tekrar</x:v>
      </x:c>
      <x:c r="K987" s="14" t="str">
        <x:v>Fiilde Çatı</x:v>
      </x:c>
      <x:c r="L987" s="14" t="str">
        <x:v>Fiilde Çatı — MEB doğrulaması öncesi 5-10 dk aktif hatırlama; gerekiyorsa ilgili playlist videosuna kısa dönüş yap.</x:v>
      </x:c>
      <x:c r="M987" s="14" t="str">
        <x:v>Türkçe Ana Oynatma Listesi</x:v>
      </x:c>
      <x:c r="N987" s="14" t="str">
        <x:v>https://www.youtube.com/watch?v=VYsPntNKVdw&amp;list=PLIBjFaUoJJ91bz7QQEBlxNJNZka5YQRr6</x:v>
      </x:c>
      <x:c r="O987" s="14" t="n">
        <x:v>0</x:v>
      </x:c>
      <x:c r="P987" s="14" t="str">
        <x:v>Hayır</x:v>
      </x:c>
      <x:c r="Q987" s="14" t="str">
        <x:v>Evet</x:v>
      </x:c>
      <x:c r="R987" s="14" t="str">
        <x:v>Planlandı</x:v>
      </x:c>
      <x:c r="S987" s="15" t="str"/>
      <x:c r="T987" s="14" t="str">
        <x:v>TYT etiketli kaynak temelden başlamak için sabittir; LGS dışı gereksiz ayrıntı zorunlu değildir.</x:v>
      </x:c>
    </x:row>
    <x:row r="988">
      <x:c r="A988" s="14" t="n">
        <x:v>987</x:v>
      </x:c>
      <x:c r="B988" s="15" t="n">
        <x:v>46375</x:v>
      </x:c>
      <x:c r="C988" s="14" t="str">
        <x:v>Cumartesi</x:v>
      </x:c>
      <x:c r="D988" s="14" t="str">
        <x:v>Hafta Sonu</x:v>
      </x:c>
      <x:c r="E988" s="14" t="str">
        <x:v>Tam gün</x:v>
      </x:c>
      <x:c r="F988" s="14" t="str">
        <x:v>F1 - Temel Kurma</x:v>
      </x:c>
      <x:c r="G988" s="14" t="str">
        <x:v>14:50</x:v>
      </x:c>
      <x:c r="H988" s="14" t="str">
        <x:v>15:30</x:v>
      </x:c>
      <x:c r="I988" s="14" t="str">
        <x:v>Türkçe</x:v>
      </x:c>
      <x:c r="J988" s="14" t="str">
        <x:v>Kitap / MEB / Mastery</x:v>
      </x:c>
      <x:c r="K988" s="14" t="str">
        <x:v>Fiilde Çatı</x:v>
      </x:c>
      <x:c r="L988" s="14" t="str">
        <x:v>Fiilde Çatı için ilgili MEB sorularını TAMAMLA; D/Y/B kaydet. Bu oturum konu mastery gate'idir.</x:v>
      </x:c>
      <x:c r="M988" s="14" t="str">
        <x:v>MEB Resmî Soru Seti</x:v>
      </x:c>
      <x:c r="N988" s="14" t="str">
        <x:v>https://odsgm.meb.gov.tr/www/8sinif-calisma-sorulari/icerik/1632</x:v>
      </x:c>
      <x:c r="O988" s="14" t="n">
        <x:v>0</x:v>
      </x:c>
      <x:c r="P988" s="14" t="str">
        <x:v>Hayır</x:v>
      </x:c>
      <x:c r="Q988" s="14" t="str">
        <x:v>Evet</x:v>
      </x:c>
      <x:c r="R988" s="14" t="str">
        <x:v>Planlandı</x:v>
      </x:c>
      <x:c r="S988" s="15" t="str"/>
      <x:c r="T988" s="14" t="str">
        <x:v>MEB sonucu Konu_Ustaligi sayfasına işlenir.</x:v>
      </x:c>
    </x:row>
    <x:row r="989">
      <x:c r="A989" s="14" t="n">
        <x:v>988</x:v>
      </x:c>
      <x:c r="B989" s="15" t="n">
        <x:v>46375</x:v>
      </x:c>
      <x:c r="C989" s="14" t="str">
        <x:v>Cumartesi</x:v>
      </x:c>
      <x:c r="D989" s="14" t="str">
        <x:v>Hafta Sonu</x:v>
      </x:c>
      <x:c r="E989" s="14" t="str">
        <x:v>Tam gün</x:v>
      </x:c>
      <x:c r="F989" s="14" t="str">
        <x:v>F1 - Temel Kurma</x:v>
      </x:c>
      <x:c r="G989" s="14" t="str">
        <x:v>15:45</x:v>
      </x:c>
      <x:c r="H989" s="14" t="str">
        <x:v>16:25</x:v>
      </x:c>
      <x:c r="I989" s="14" t="str">
        <x:v>İngilizce</x:v>
      </x:c>
      <x:c r="J989" s="14" t="str">
        <x:v>Konu / Tekrar</x:v>
      </x:c>
      <x:c r="K989" s="14" t="str">
        <x:v>Unit 5 - The Internet</x:v>
      </x:c>
      <x:c r="L989" s="14" t="str">
        <x:v>Unit 5 - The Internet — MEB doğrulaması öncesi 5-10 dk aktif hatırlama; gerekiyorsa ilgili playlist videosuna kısa dönüş yap.</x:v>
      </x:c>
      <x:c r="M989" s="14" t="str">
        <x:v>İngilizce Genel Oynatma Listesi</x:v>
      </x:c>
      <x:c r="N989" s="14" t="str">
        <x:v>https://www.youtube.com/watch?v=FaY3dFjZbns&amp;list=PLSgpQDrUSYp94WgE9pzpHiOG5FwxnZBrr</x:v>
      </x:c>
      <x:c r="O989" s="14" t="n">
        <x:v>0</x:v>
      </x:c>
      <x:c r="P989" s="14" t="str">
        <x:v>Hayır</x:v>
      </x:c>
      <x:c r="Q989" s="14" t="str">
        <x:v>Evet</x:v>
      </x:c>
      <x:c r="R989" s="14" t="str">
        <x:v>Planlandı</x:v>
      </x:c>
      <x:c r="S989" s="15" t="str"/>
      <x:c r="T989" s="14" t="str"/>
    </x:row>
    <x:row r="990">
      <x:c r="A990" s="14" t="n">
        <x:v>989</x:v>
      </x:c>
      <x:c r="B990" s="15" t="n">
        <x:v>46375</x:v>
      </x:c>
      <x:c r="C990" s="14" t="str">
        <x:v>Cumartesi</x:v>
      </x:c>
      <x:c r="D990" s="14" t="str">
        <x:v>Hafta Sonu</x:v>
      </x:c>
      <x:c r="E990" s="14" t="str">
        <x:v>Tam gün</x:v>
      </x:c>
      <x:c r="F990" s="14" t="str">
        <x:v>F1 - Temel Kurma</x:v>
      </x:c>
      <x:c r="G990" s="14" t="str">
        <x:v>16:35</x:v>
      </x:c>
      <x:c r="H990" s="14" t="str">
        <x:v>17:15</x:v>
      </x:c>
      <x:c r="I990" s="14" t="str">
        <x:v>İngilizce</x:v>
      </x:c>
      <x:c r="J990" s="14" t="str">
        <x:v>Kitap / MEB / Mastery</x:v>
      </x:c>
      <x:c r="K990" s="14" t="str">
        <x:v>Unit 5 - The Internet</x:v>
      </x:c>
      <x:c r="L990" s="14" t="str">
        <x:v>Unit 5 - The Internet için ilgili MEB sorularını TAMAMLA; D/Y/B kaydet. Bu oturum konu mastery gate'idir.</x:v>
      </x:c>
      <x:c r="M990" s="14" t="str">
        <x:v>MEB 8. Sınıf İngilizce Soruları</x:v>
      </x:c>
      <x:c r="N990" s="14" t="str">
        <x:v>https://odsgm.meb.gov.tr/www/8sinif-calisma-sorulari/icerik/1632</x:v>
      </x:c>
      <x:c r="O990" s="14" t="n">
        <x:v>0</x:v>
      </x:c>
      <x:c r="P990" s="14" t="str">
        <x:v>Hayır</x:v>
      </x:c>
      <x:c r="Q990" s="14" t="str">
        <x:v>Evet</x:v>
      </x:c>
      <x:c r="R990" s="14" t="str">
        <x:v>Planlandı</x:v>
      </x:c>
      <x:c r="S990" s="15" t="str"/>
      <x:c r="T990" s="14" t="str">
        <x:v>MEB sonucu Konu_Ustaligi sayfasına işlenir.</x:v>
      </x:c>
    </x:row>
    <x:row r="991">
      <x:c r="A991" s="14" t="n">
        <x:v>990</x:v>
      </x:c>
      <x:c r="B991" s="15" t="n">
        <x:v>46375</x:v>
      </x:c>
      <x:c r="C991" s="14" t="str">
        <x:v>Cumartesi</x:v>
      </x:c>
      <x:c r="D991" s="14" t="str">
        <x:v>Hafta Sonu</x:v>
      </x:c>
      <x:c r="E991" s="14" t="str">
        <x:v>Tam gün</x:v>
      </x:c>
      <x:c r="F991" s="14" t="str">
        <x:v>F1 - Temel Kurma</x:v>
      </x:c>
      <x:c r="G991" s="14" t="str">
        <x:v>17:25</x:v>
      </x:c>
      <x:c r="H991" s="14" t="str">
        <x:v>17:55</x:v>
      </x:c>
      <x:c r="I991" s="14" t="str">
        <x:v>Fen</x:v>
      </x:c>
      <x:c r="J991" s="14" t="str">
        <x:v>Ek Fen Pekiştirme</x:v>
      </x:c>
      <x:c r="K991" s="14" t="str">
        <x:v>Fiziksel ve Kimyasal Değişimler / Kimyasal Tepkimeler</x:v>
      </x:c>
      <x:c r="L991" s="14" t="str">
        <x:v>Fiziksel ve Kimyasal Değişimler / Kimyasal Tepkimeler — Fen soru çözüm playlistinden ilgili videoyu izle.</x:v>
      </x:c>
      <x:c r="M991" s="14" t="str">
        <x:v>Fen Konu/Soru Oynatma Listesi</x:v>
      </x:c>
      <x:c r="N991" s="14" t="str">
        <x:v>https://www.youtube.com/watch?v=pQXhWnDZ3vM&amp;list=PLrQm7mt99FRXcBnorCttd31HJEvg0En26&amp;index=23</x:v>
      </x:c>
      <x:c r="O991" s="14" t="n">
        <x:v>0</x:v>
      </x:c>
      <x:c r="P991" s="14" t="str">
        <x:v>Hayır</x:v>
      </x:c>
      <x:c r="Q991" s="14" t="str">
        <x:v>Evet</x:v>
      </x:c>
      <x:c r="R991" s="14" t="str">
        <x:v>Planlandı</x:v>
      </x:c>
      <x:c r="S991" s="15" t="str"/>
      <x:c r="T991" s="14" t="str">
        <x:v>Fen haftalık temas sıklığını artırmak için ek Cumartesi oturumu.</x:v>
      </x:c>
    </x:row>
    <x:row r="992">
      <x:c r="A992" s="14" t="n">
        <x:v>991</x:v>
      </x:c>
      <x:c r="B992" s="15" t="n">
        <x:v>46375</x:v>
      </x:c>
      <x:c r="C992" s="14" t="str">
        <x:v>Cumartesi</x:v>
      </x:c>
      <x:c r="D992" s="14" t="str">
        <x:v>Hafta Sonu</x:v>
      </x:c>
      <x:c r="E992" s="14" t="str">
        <x:v>Tam gün</x:v>
      </x:c>
      <x:c r="F992" s="14" t="str">
        <x:v>F1 - Temel Kurma</x:v>
      </x:c>
      <x:c r="G992" s="14" t="str">
        <x:v>17:55</x:v>
      </x:c>
      <x:c r="H992" s="14" t="str">
        <x:v>18:25</x:v>
      </x:c>
      <x:c r="I992" s="14" t="str">
        <x:v>Fen</x:v>
      </x:c>
      <x:c r="J992" s="14" t="str">
        <x:v>Ek Fen Kitap / MEB</x:v>
      </x:c>
      <x:c r="K992" s="14" t="str">
        <x:v>Fiziksel ve Kimyasal Değişimler / Kimyasal Tepkimeler</x:v>
      </x:c>
      <x:c r="L992" s="14" t="str">
        <x:v>Fiziksel ve Kimyasal Değişimler / Kimyasal Tepkimeler ile ilgili soru kitabından en az 18 soru / bugünkü test payını çöz.</x:v>
      </x:c>
      <x:c r="M992" s="14" t="str">
        <x:v>Hız 8. Sınıf Fen (ISBN 9786257514859); tamamlandıysa Mozaik 8. Sınıf Fen</x:v>
      </x:c>
      <x:c r="N992" s="14" t="str">
        <x:v>https://www.youtube.com/watch?v=pQXhWnDZ3vM&amp;list=PLrQm7mt99FRXcBnorCttd31HJEvg0En26&amp;index=23</x:v>
      </x:c>
      <x:c r="O992" s="14" t="n">
        <x:v>18</x:v>
      </x:c>
      <x:c r="P992" s="14" t="str">
        <x:v>Hayır</x:v>
      </x:c>
      <x:c r="Q992" s="14" t="str">
        <x:v>Evet</x:v>
      </x:c>
      <x:c r="R992" s="14" t="str">
        <x:v>Planlandı</x:v>
      </x:c>
      <x:c r="S992" s="15" t="str"/>
      <x:c r="T992" s="14" t="str">
        <x:v>Fen için Hız → gerekiyorsa Mozaik; MEB doğrulaması konu bitiminde.</x:v>
      </x:c>
    </x:row>
    <x:row r="993">
      <x:c r="A993" s="14" t="n">
        <x:v>992</x:v>
      </x:c>
      <x:c r="B993" s="15" t="n">
        <x:v>46375</x:v>
      </x:c>
      <x:c r="C993" s="14" t="str">
        <x:v>Cumartesi</x:v>
      </x:c>
      <x:c r="D993" s="14" t="str">
        <x:v>Hafta Sonu</x:v>
      </x:c>
      <x:c r="E993" s="14" t="str">
        <x:v>Tam gün</x:v>
      </x:c>
      <x:c r="F993" s="14" t="str">
        <x:v>F1 - Temel Kurma</x:v>
      </x:c>
      <x:c r="G993" s="14" t="str">
        <x:v>18:25</x:v>
      </x:c>
      <x:c r="H993" s="14" t="str">
        <x:v>18:45</x:v>
      </x:c>
      <x:c r="I993" s="14" t="str">
        <x:v>Genel</x:v>
      </x:c>
      <x:c r="J993" s="14" t="str">
        <x:v>Yanlış / Boş Analizi</x:v>
      </x:c>
      <x:c r="K993" s="14" t="str">
        <x:v>Günlük</x:v>
      </x:c>
      <x:c r="L993" s="14" t="str">
        <x:v>Bugünkü yanlış/boşları kaydet; çözümünü öğrenmeden kapatma. Hata türünü sınıflandır.</x:v>
      </x:c>
      <x:c r="M993" s="14" t="str">
        <x:v>Yanlış Defteri</x:v>
      </x:c>
      <x:c r="N993" s="14" t="str"/>
      <x:c r="O993" s="14" t="n">
        <x:v>0</x:v>
      </x:c>
      <x:c r="P993" s="14" t="str">
        <x:v>Hayır</x:v>
      </x:c>
      <x:c r="Q993" s="14" t="str">
        <x:v>Evet</x:v>
      </x:c>
      <x:c r="R993" s="14" t="str">
        <x:v>Planlandı</x:v>
      </x:c>
      <x:c r="S993" s="15" t="str"/>
      <x:c r="T993" s="14" t="str"/>
    </x:row>
    <x:row r="994">
      <x:c r="A994" s="14" t="n">
        <x:v>993</x:v>
      </x:c>
      <x:c r="B994" s="15" t="n">
        <x:v>46375</x:v>
      </x:c>
      <x:c r="C994" s="14" t="str">
        <x:v>Cumartesi</x:v>
      </x:c>
      <x:c r="D994" s="14" t="str">
        <x:v>Hafta Sonu</x:v>
      </x:c>
      <x:c r="E994" s="14" t="str">
        <x:v>Tam gün</x:v>
      </x:c>
      <x:c r="F994" s="14" t="str">
        <x:v>F1 - Temel Kurma</x:v>
      </x:c>
      <x:c r="G994" s="14" t="str">
        <x:v>18:45</x:v>
      </x:c>
      <x:c r="H994" s="14" t="str">
        <x:v>19:05</x:v>
      </x:c>
      <x:c r="I994" s="14" t="str">
        <x:v>Genel</x:v>
      </x:c>
      <x:c r="J994" s="14" t="str">
        <x:v>Aralıklı Hata Tekrarı</x:v>
      </x:c>
      <x:c r="K994" s="14" t="str">
        <x:v>+1 / +7 / +21</x:v>
      </x:c>
      <x:c r="L994" s="14" t="str">
        <x:v>Bugün vadesi gelen yanlış soruları tekrar çöz. Vadesi yoksa bu süre serbest/okuma olabilir.</x:v>
      </x:c>
      <x:c r="M994" s="14" t="str">
        <x:v>Yanlış Defteri</x:v>
      </x:c>
      <x:c r="N994" s="14" t="str"/>
      <x:c r="O994" s="14" t="n">
        <x:v>0</x:v>
      </x:c>
      <x:c r="P994" s="14" t="str">
        <x:v>Hayır</x:v>
      </x:c>
      <x:c r="Q994" s="14" t="str">
        <x:v>Koşullu</x:v>
      </x:c>
      <x:c r="R994" s="14" t="str">
        <x:v>Planlandı</x:v>
      </x:c>
      <x:c r="S994" s="15" t="str"/>
      <x:c r="T994" s="14" t="str">
        <x:v>Yanlışlar +1, +7 ve +21 gün aralıklarıyla tekrar edilir; hâlâ yanlışsa konu mastery durumu düşürülür.</x:v>
      </x:c>
    </x:row>
    <x:row r="995">
      <x:c r="A995" s="14" t="n">
        <x:v>994</x:v>
      </x:c>
      <x:c r="B995" s="15" t="n">
        <x:v>46375</x:v>
      </x:c>
      <x:c r="C995" s="14" t="str">
        <x:v>Cumartesi</x:v>
      </x:c>
      <x:c r="D995" s="14" t="str">
        <x:v>Hafta Sonu</x:v>
      </x:c>
      <x:c r="E995" s="14" t="str">
        <x:v>Tam gün</x:v>
      </x:c>
      <x:c r="F995" s="14" t="str">
        <x:v>F1 - Temel Kurma</x:v>
      </x:c>
      <x:c r="G995" s="14" t="str">
        <x:v>20:00</x:v>
      </x:c>
      <x:c r="H995" s="14" t="str">
        <x:v>20:30</x:v>
      </x:c>
      <x:c r="I995" s="14" t="str">
        <x:v>Okuma</x:v>
      </x:c>
      <x:c r="J995" s="14" t="str">
        <x:v>İsteğe Bağlı</x:v>
      </x:c>
      <x:c r="K995" s="14" t="str">
        <x:v>Serbest Kitap</x:v>
      </x:c>
      <x:c r="L995" s="14" t="str">
        <x:v>Zorunlu çalışmalar bittiyse isteğe bağlı kitap oku.</x:v>
      </x:c>
      <x:c r="M995" s="14" t="str">
        <x:v>Serbest Kitap</x:v>
      </x:c>
      <x:c r="N995" s="14" t="str"/>
      <x:c r="O995" s="14" t="n">
        <x:v>0</x:v>
      </x:c>
      <x:c r="P995" s="14" t="str">
        <x:v>İsteğe Bağlı</x:v>
      </x:c>
      <x:c r="Q995" s="14" t="str">
        <x:v>Hayır</x:v>
      </x:c>
      <x:c r="R995" s="14" t="str">
        <x:v>Planlandı</x:v>
      </x:c>
      <x:c r="S995" s="15" t="str"/>
      <x:c r="T995" s="14" t="str">
        <x:v>Minimum süre yok.</x:v>
      </x:c>
    </x:row>
    <x:row r="996">
      <x:c r="A996" s="14" t="n">
        <x:v>995</x:v>
      </x:c>
      <x:c r="B996" s="15" t="n">
        <x:v>46375</x:v>
      </x:c>
      <x:c r="C996" s="14" t="str">
        <x:v>Cumartesi</x:v>
      </x:c>
      <x:c r="D996" s="14" t="str">
        <x:v>Hafta Sonu</x:v>
      </x:c>
      <x:c r="E996" s="14" t="str">
        <x:v>Tam gün</x:v>
      </x:c>
      <x:c r="F996" s="14" t="str">
        <x:v>F1 - Temel Kurma</x:v>
      </x:c>
      <x:c r="G996" s="14" t="str">
        <x:v>21:50</x:v>
      </x:c>
      <x:c r="H996" s="14" t="str">
        <x:v>22:00</x:v>
      </x:c>
      <x:c r="I996" s="14" t="str">
        <x:v>Genel</x:v>
      </x:c>
      <x:c r="J996" s="14" t="str">
        <x:v>Uyku Hazırlığı</x:v>
      </x:c>
      <x:c r="K996" s="14" t="str"/>
      <x:c r="L996" s="14" t="str">
        <x:v>22:00'de yatakta ve uyku.</x:v>
      </x:c>
      <x:c r="M996" s="14" t="str"/>
      <x:c r="N996" s="14" t="str"/>
      <x:c r="O996" s="14" t="n">
        <x:v>0</x:v>
      </x:c>
      <x:c r="P996" s="14" t="str">
        <x:v>Hayır</x:v>
      </x:c>
      <x:c r="Q996" s="14" t="str">
        <x:v>Hayır</x:v>
      </x:c>
      <x:c r="R996" s="14" t="str">
        <x:v>Planlandı</x:v>
      </x:c>
      <x:c r="S996" s="15" t="str"/>
      <x:c r="T996" s="14" t="str"/>
    </x:row>
    <x:row r="997">
      <x:c r="A997" s="14" t="n">
        <x:v>996</x:v>
      </x:c>
      <x:c r="B997" s="15" t="n">
        <x:v>46376</x:v>
      </x:c>
      <x:c r="C997" s="14" t="str">
        <x:v>Pazar</x:v>
      </x:c>
      <x:c r="D997" s="14" t="str">
        <x:v>Hafta Sonu</x:v>
      </x:c>
      <x:c r="E997" s="14" t="str">
        <x:v>Tam gün</x:v>
      </x:c>
      <x:c r="F997" s="14" t="str">
        <x:v>F1 - Temel Kurma</x:v>
      </x:c>
      <x:c r="G997" s="14" t="str">
        <x:v>09:30</x:v>
      </x:c>
      <x:c r="H997" s="14" t="str">
        <x:v>10:15</x:v>
      </x:c>
      <x:c r="I997" s="14" t="str">
        <x:v>Matematik</x:v>
      </x:c>
      <x:c r="J997" s="14" t="str">
        <x:v>Konu / Tekrar</x:v>
      </x:c>
      <x:c r="K997" s="14" t="str">
        <x:v>Kareköklü İfadeler</x:v>
      </x:c>
      <x:c r="L997" s="14" t="str">
        <x:v>Kareköklü İfadeler — genel oynatma listesinden ilgili videoyu izle (3/4).</x:v>
      </x:c>
      <x:c r="M997" s="14" t="str">
        <x:v>Matematik Ana Oynatma Listesi</x:v>
      </x:c>
      <x:c r="N997" s="14" t="str">
        <x:v>https://www.youtube.com/watch?v=EuJ89QzqrAg&amp;list=PLicNtF7vp6fnfDqrRLH6H7fIbzYT4ct4F&amp;index=11</x:v>
      </x:c>
      <x:c r="O997" s="14" t="n">
        <x:v>0</x:v>
      </x:c>
      <x:c r="P997" s="14" t="str">
        <x:v>Hayır</x:v>
      </x:c>
      <x:c r="Q997" s="14" t="str">
        <x:v>Evet</x:v>
      </x:c>
      <x:c r="R997" s="14" t="str">
        <x:v>Planlandı</x:v>
      </x:c>
      <x:c r="S997" s="15" t="str"/>
      <x:c r="T997" s="14" t="str">
        <x:v>Yeni konu ancak plan sırasıyla açılır; LGS dışı ileri TYT içeriği zorunlu değildir.</x:v>
      </x:c>
    </x:row>
    <x:row r="998">
      <x:c r="A998" s="14" t="n">
        <x:v>997</x:v>
      </x:c>
      <x:c r="B998" s="15" t="n">
        <x:v>46376</x:v>
      </x:c>
      <x:c r="C998" s="14" t="str">
        <x:v>Pazar</x:v>
      </x:c>
      <x:c r="D998" s="14" t="str">
        <x:v>Hafta Sonu</x:v>
      </x:c>
      <x:c r="E998" s="14" t="str">
        <x:v>Tam gün</x:v>
      </x:c>
      <x:c r="F998" s="14" t="str">
        <x:v>F1 - Temel Kurma</x:v>
      </x:c>
      <x:c r="G998" s="14" t="str">
        <x:v>10:25</x:v>
      </x:c>
      <x:c r="H998" s="14" t="str">
        <x:v>11:15</x:v>
      </x:c>
      <x:c r="I998" s="14" t="str">
        <x:v>Matematik</x:v>
      </x:c>
      <x:c r="J998" s="14" t="str">
        <x:v>Kitap / MEB / Mastery</x:v>
      </x:c>
      <x:c r="K998" s="14" t="str">
        <x:v>Kareköklü İfadeler</x:v>
      </x:c>
      <x:c r="L998" s="14" t="str">
        <x:v>Kareköklü İfadeler ile ilgili soru kitabından en az 25 soru / bugünkü test payını çöz.</x:v>
      </x:c>
      <x:c r="M998" s="14" t="str">
        <x:v>MUBA 8. Sınıf Başlangıç Matematik (ISBN 9789756526972); tamamlandıysa Mozaik 8. Sınıf Matematik</x:v>
      </x:c>
      <x:c r="N998" s="14" t="str">
        <x:v>https://odsgm.meb.gov.tr/www/8sinif-calisma-sorulari/icerik/1632</x:v>
      </x:c>
      <x:c r="O998" s="14" t="n">
        <x:v>25</x:v>
      </x:c>
      <x:c r="P998" s="14" t="str">
        <x:v>İlk 20 soru</x:v>
      </x:c>
      <x:c r="Q998" s="14" t="str">
        <x:v>Evet</x:v>
      </x:c>
      <x:c r="R998" s="14" t="str">
        <x:v>Planlandı</x:v>
      </x:c>
      <x:c r="S998" s="15" t="str"/>
      <x:c r="T998" s="14" t="str">
        <x:v>Ayrı/rastgele matematik benchmark yoktur. Süreli ilk 20 soru o gün çalışılan konunun içindedir.</x:v>
      </x:c>
    </x:row>
    <x:row r="999">
      <x:c r="A999" s="14" t="n">
        <x:v>998</x:v>
      </x:c>
      <x:c r="B999" s="15" t="n">
        <x:v>46376</x:v>
      </x:c>
      <x:c r="C999" s="14" t="str">
        <x:v>Pazar</x:v>
      </x:c>
      <x:c r="D999" s="14" t="str">
        <x:v>Hafta Sonu</x:v>
      </x:c>
      <x:c r="E999" s="14" t="str">
        <x:v>Tam gün</x:v>
      </x:c>
      <x:c r="F999" s="14" t="str">
        <x:v>F1 - Temel Kurma</x:v>
      </x:c>
      <x:c r="G999" s="14" t="str">
        <x:v>12:00</x:v>
      </x:c>
      <x:c r="H999" s="14" t="str">
        <x:v>14:00</x:v>
      </x:c>
      <x:c r="I999" s="14" t="str">
        <x:v>Genel</x:v>
      </x:c>
      <x:c r="J999" s="14" t="str">
        <x:v>Yemek / Serbest Zaman</x:v>
      </x:c>
      <x:c r="K999" s="14" t="str"/>
      <x:c r="L999" s="14" t="str">
        <x:v>Yemek, hareket ve dinlenme.</x:v>
      </x:c>
      <x:c r="M999" s="14" t="str"/>
      <x:c r="N999" s="14" t="str"/>
      <x:c r="O999" s="14" t="n">
        <x:v>0</x:v>
      </x:c>
      <x:c r="P999" s="14" t="str">
        <x:v>Hayır</x:v>
      </x:c>
      <x:c r="Q999" s="14" t="str">
        <x:v>Hayır</x:v>
      </x:c>
      <x:c r="R999" s="14" t="str">
        <x:v>Planlandı</x:v>
      </x:c>
      <x:c r="S999" s="15" t="str"/>
      <x:c r="T999" s="14" t="str"/>
    </x:row>
    <x:row r="1000">
      <x:c r="A1000" s="14" t="n">
        <x:v>999</x:v>
      </x:c>
      <x:c r="B1000" s="15" t="n">
        <x:v>46376</x:v>
      </x:c>
      <x:c r="C1000" s="14" t="str">
        <x:v>Pazar</x:v>
      </x:c>
      <x:c r="D1000" s="14" t="str">
        <x:v>Hafta Sonu</x:v>
      </x:c>
      <x:c r="E1000" s="14" t="str">
        <x:v>Tam gün</x:v>
      </x:c>
      <x:c r="F1000" s="14" t="str">
        <x:v>F1 - Temel Kurma</x:v>
      </x:c>
      <x:c r="G1000" s="14" t="str">
        <x:v>11:25</x:v>
      </x:c>
      <x:c r="H1000" s="14" t="str">
        <x:v>11:55</x:v>
      </x:c>
      <x:c r="I1000" s="14" t="str">
        <x:v>Türkçe</x:v>
      </x:c>
      <x:c r="J1000" s="14" t="str">
        <x:v>Paragraf Rutini</x:v>
      </x:c>
      <x:c r="K1000" s="14" t="str">
        <x:v>Paragraf</x:v>
      </x:c>
      <x:c r="L1000" s="14" t="str">
        <x:v>En az 25 paragraf sorusu çöz; ilk 20 soruyu ileri sayımla ölç, D/Y/B + süre kaydet.</x:v>
      </x:c>
      <x:c r="M1000" s="14" t="str">
        <x:v>Hız 8. Sınıf Türkçe Paragraf (ISBN 9786258394498)</x:v>
      </x:c>
      <x:c r="N1000" s="14" t="str"/>
      <x:c r="O1000" s="14" t="n">
        <x:v>25</x:v>
      </x:c>
      <x:c r="P1000" s="14" t="str">
        <x:v>İlk 20 soru</x:v>
      </x:c>
      <x:c r="Q1000" s="14" t="str">
        <x:v>Evet</x:v>
      </x:c>
      <x:c r="R1000" s="14" t="str">
        <x:v>Planlandı</x:v>
      </x:c>
      <x:c r="S1000" s="15" t="str"/>
      <x:c r="T1000" s="14" t="str">
        <x:v>Geri sayım ve hedef süre yok.</x:v>
      </x:c>
    </x:row>
    <x:row r="1001">
      <x:c r="A1001" s="14" t="n">
        <x:v>1000</x:v>
      </x:c>
      <x:c r="B1001" s="15" t="n">
        <x:v>46376</x:v>
      </x:c>
      <x:c r="C1001" s="14" t="str">
        <x:v>Pazar</x:v>
      </x:c>
      <x:c r="D1001" s="14" t="str">
        <x:v>Hafta Sonu</x:v>
      </x:c>
      <x:c r="E1001" s="14" t="str">
        <x:v>Tam gün</x:v>
      </x:c>
      <x:c r="F1001" s="14" t="str">
        <x:v>F1 - Temel Kurma</x:v>
      </x:c>
      <x:c r="G1001" s="14" t="str">
        <x:v>14:00</x:v>
      </x:c>
      <x:c r="H1001" s="14" t="str">
        <x:v>14:40</x:v>
      </x:c>
      <x:c r="I1001" s="14" t="str">
        <x:v>Türkçe</x:v>
      </x:c>
      <x:c r="J1001" s="14" t="str">
        <x:v>Konu / Tekrar</x:v>
      </x:c>
      <x:c r="K1001" s="14" t="str">
        <x:v>Cümle Türleri</x:v>
      </x:c>
      <x:c r="L1001" s="14" t="str">
        <x:v>Cümle Türleri — genel oynatma listesinden ilgili videoyu izle (1/3).</x:v>
      </x:c>
      <x:c r="M1001" s="14" t="str">
        <x:v>Türkçe Ana Oynatma Listesi</x:v>
      </x:c>
      <x:c r="N1001" s="14" t="str">
        <x:v>https://www.youtube.com/watch?v=VYsPntNKVdw&amp;list=PLIBjFaUoJJ91bz7QQEBlxNJNZka5YQRr6</x:v>
      </x:c>
      <x:c r="O1001" s="14" t="n">
        <x:v>0</x:v>
      </x:c>
      <x:c r="P1001" s="14" t="str">
        <x:v>Hayır</x:v>
      </x:c>
      <x:c r="Q1001" s="14" t="str">
        <x:v>Evet</x:v>
      </x:c>
      <x:c r="R1001" s="14" t="str">
        <x:v>Planlandı</x:v>
      </x:c>
      <x:c r="S1001" s="15" t="str"/>
      <x:c r="T1001" s="14" t="str">
        <x:v>TYT etiketli kaynak temelden başlamak için sabittir; LGS dışı gereksiz ayrıntı zorunlu değildir.</x:v>
      </x:c>
    </x:row>
    <x:row r="1002">
      <x:c r="A1002" s="14" t="n">
        <x:v>1001</x:v>
      </x:c>
      <x:c r="B1002" s="15" t="n">
        <x:v>46376</x:v>
      </x:c>
      <x:c r="C1002" s="14" t="str">
        <x:v>Pazar</x:v>
      </x:c>
      <x:c r="D1002" s="14" t="str">
        <x:v>Hafta Sonu</x:v>
      </x:c>
      <x:c r="E1002" s="14" t="str">
        <x:v>Tam gün</x:v>
      </x:c>
      <x:c r="F1002" s="14" t="str">
        <x:v>F1 - Temel Kurma</x:v>
      </x:c>
      <x:c r="G1002" s="14" t="str">
        <x:v>14:50</x:v>
      </x:c>
      <x:c r="H1002" s="14" t="str">
        <x:v>15:30</x:v>
      </x:c>
      <x:c r="I1002" s="14" t="str">
        <x:v>Türkçe</x:v>
      </x:c>
      <x:c r="J1002" s="14" t="str">
        <x:v>Kitap / MEB / Mastery</x:v>
      </x:c>
      <x:c r="K1002" s="14" t="str">
        <x:v>Cümle Türleri</x:v>
      </x:c>
      <x:c r="L1002" s="14" t="str">
        <x:v>Cümle Türleri ile ilgili soru kitabından en az 15 soru / bugünkü test payını çöz.</x:v>
      </x:c>
      <x:c r="M1002" s="14" t="str">
        <x:v>Ankara 8. Sınıf Dil Bilgisi Güçlendiren</x:v>
      </x:c>
      <x:c r="N1002" s="14" t="str">
        <x:v>https://odsgm.meb.gov.tr/www/8sinif-calisma-sorulari/icerik/1632</x:v>
      </x:c>
      <x:c r="O1002" s="14" t="n">
        <x:v>15</x:v>
      </x:c>
      <x:c r="P1002" s="14" t="str">
        <x:v>Hayır</x:v>
      </x:c>
      <x:c r="Q1002" s="14" t="str">
        <x:v>Evet</x:v>
      </x:c>
      <x:c r="R1002" s="14" t="str">
        <x:v>Planlandı</x:v>
      </x:c>
      <x:c r="S1002" s="15" t="str"/>
      <x:c r="T1002" s="14" t="str"/>
    </x:row>
    <x:row r="1003">
      <x:c r="A1003" s="14" t="n">
        <x:v>1002</x:v>
      </x:c>
      <x:c r="B1003" s="15" t="n">
        <x:v>46376</x:v>
      </x:c>
      <x:c r="C1003" s="14" t="str">
        <x:v>Pazar</x:v>
      </x:c>
      <x:c r="D1003" s="14" t="str">
        <x:v>Hafta Sonu</x:v>
      </x:c>
      <x:c r="E1003" s="14" t="str">
        <x:v>Tam gün</x:v>
      </x:c>
      <x:c r="F1003" s="14" t="str">
        <x:v>F1 - Temel Kurma</x:v>
      </x:c>
      <x:c r="G1003" s="14" t="str">
        <x:v>15:45</x:v>
      </x:c>
      <x:c r="H1003" s="14" t="str">
        <x:v>16:25</x:v>
      </x:c>
      <x:c r="I1003" s="14" t="str">
        <x:v>Fen</x:v>
      </x:c>
      <x:c r="J1003" s="14" t="str">
        <x:v>Konu / Tekrar</x:v>
      </x:c>
      <x:c r="K1003" s="14" t="str">
        <x:v>Fiziksel ve Kimyasal Değişimler / Kimyasal Tepkimeler</x:v>
      </x:c>
      <x:c r="L1003" s="14" t="str">
        <x:v>Fiziksel ve Kimyasal Değişimler / Kimyasal Tepkimeler — MEB doğrulaması öncesi 5-10 dk aktif hatırlama; gerekiyorsa ilgili playlist videosuna kısa dönüş yap.</x:v>
      </x:c>
      <x:c r="M1003" s="14" t="str">
        <x:v>Fen Soru Çözüm / Tekrar</x:v>
      </x:c>
      <x:c r="N1003" s="14" t="str">
        <x:v>https://www.youtube.com/watch?v=pQXhWnDZ3vM&amp;list=PLrQm7mt99FRXcBnorCttd31HJEvg0En26&amp;index=23</x:v>
      </x:c>
      <x:c r="O1003" s="14" t="n">
        <x:v>0</x:v>
      </x:c>
      <x:c r="P1003" s="14" t="str">
        <x:v>Hayır</x:v>
      </x:c>
      <x:c r="Q1003" s="14" t="str">
        <x:v>Evet</x:v>
      </x:c>
      <x:c r="R1003" s="14" t="str">
        <x:v>Planlandı</x:v>
      </x:c>
      <x:c r="S1003" s="15" t="str"/>
      <x:c r="T1003" s="14" t="str"/>
    </x:row>
    <x:row r="1004">
      <x:c r="A1004" s="14" t="n">
        <x:v>1003</x:v>
      </x:c>
      <x:c r="B1004" s="15" t="n">
        <x:v>46376</x:v>
      </x:c>
      <x:c r="C1004" s="14" t="str">
        <x:v>Pazar</x:v>
      </x:c>
      <x:c r="D1004" s="14" t="str">
        <x:v>Hafta Sonu</x:v>
      </x:c>
      <x:c r="E1004" s="14" t="str">
        <x:v>Tam gün</x:v>
      </x:c>
      <x:c r="F1004" s="14" t="str">
        <x:v>F1 - Temel Kurma</x:v>
      </x:c>
      <x:c r="G1004" s="14" t="str">
        <x:v>16:35</x:v>
      </x:c>
      <x:c r="H1004" s="14" t="str">
        <x:v>17:15</x:v>
      </x:c>
      <x:c r="I1004" s="14" t="str">
        <x:v>Fen</x:v>
      </x:c>
      <x:c r="J1004" s="14" t="str">
        <x:v>Kitap / MEB / Mastery</x:v>
      </x:c>
      <x:c r="K1004" s="14" t="str">
        <x:v>Fiziksel ve Kimyasal Değişimler / Kimyasal Tepkimeler</x:v>
      </x:c>
      <x:c r="L1004" s="14" t="str">
        <x:v>Fiziksel ve Kimyasal Değişimler / Kimyasal Tepkimeler için ilgili MEB sorularını TAMAMLA; D/Y/B kaydet. Bu oturum konu mastery gate'idir.</x:v>
      </x:c>
      <x:c r="M1004" s="14" t="str">
        <x:v>MEB 8. Sınıf Fen Soruları</x:v>
      </x:c>
      <x:c r="N1004" s="14" t="str">
        <x:v>https://odsgm.meb.gov.tr/www/8sinif-calisma-sorulari/icerik/1632</x:v>
      </x:c>
      <x:c r="O1004" s="14" t="n">
        <x:v>0</x:v>
      </x:c>
      <x:c r="P1004" s="14" t="str">
        <x:v>Hayır</x:v>
      </x:c>
      <x:c r="Q1004" s="14" t="str">
        <x:v>Evet</x:v>
      </x:c>
      <x:c r="R1004" s="14" t="str">
        <x:v>Planlandı</x:v>
      </x:c>
      <x:c r="S1004" s="15" t="str"/>
      <x:c r="T1004" s="14" t="str">
        <x:v>MEB sonucu Konu_Ustaligi sayfasına işlenir.</x:v>
      </x:c>
    </x:row>
    <x:row r="1005">
      <x:c r="A1005" s="14" t="n">
        <x:v>1004</x:v>
      </x:c>
      <x:c r="B1005" s="15" t="n">
        <x:v>46376</x:v>
      </x:c>
      <x:c r="C1005" s="14" t="str">
        <x:v>Pazar</x:v>
      </x:c>
      <x:c r="D1005" s="14" t="str">
        <x:v>Hafta Sonu</x:v>
      </x:c>
      <x:c r="E1005" s="14" t="str">
        <x:v>Tam gün</x:v>
      </x:c>
      <x:c r="F1005" s="14" t="str">
        <x:v>F1 - Temel Kurma</x:v>
      </x:c>
      <x:c r="G1005" s="14" t="str">
        <x:v>17:25</x:v>
      </x:c>
      <x:c r="H1005" s="14" t="str">
        <x:v>18:25</x:v>
      </x:c>
      <x:c r="I1005" s="14" t="str">
        <x:v>Genel</x:v>
      </x:c>
      <x:c r="J1005" s="14" t="str">
        <x:v>Kaynak Tamamlama</x:v>
      </x:c>
      <x:c r="K1005" s="14" t="str">
        <x:v>En Geride Kalan Kaynak</x:v>
      </x:c>
      <x:c r="L1005" s="14" t="str">
        <x:v>Kaynak_Ilerleme sayfasında hedef yüzdesinin en gerisinde kalan ZORUNLU soru kaynağına 60 dk ayır. Öğrenilmemiş konudan ileri gitme.</x:v>
      </x:c>
      <x:c r="M1005" s="14" t="str">
        <x:v>Kaynak İlerleme</x:v>
      </x:c>
      <x:c r="N1005" s="14" t="str"/>
      <x:c r="O1005" s="14" t="n">
        <x:v>0</x:v>
      </x:c>
      <x:c r="P1005" s="14" t="str">
        <x:v>Hayır</x:v>
      </x:c>
      <x:c r="Q1005" s="14" t="str">
        <x:v>Evet</x:v>
      </x:c>
      <x:c r="R1005" s="14" t="str">
        <x:v>Planlandı</x:v>
      </x:c>
      <x:c r="S1005" s="15" t="str"/>
      <x:c r="T1005" s="14" t="str">
        <x:v>Amaç 13.04.2027'de zorunlu soru kitapları + ilgili MEB setlerini %100 tamamlamak.</x:v>
      </x:c>
    </x:row>
    <x:row r="1006">
      <x:c r="A1006" s="14" t="n">
        <x:v>1005</x:v>
      </x:c>
      <x:c r="B1006" s="15" t="n">
        <x:v>46376</x:v>
      </x:c>
      <x:c r="C1006" s="14" t="str">
        <x:v>Pazar</x:v>
      </x:c>
      <x:c r="D1006" s="14" t="str">
        <x:v>Hafta Sonu</x:v>
      </x:c>
      <x:c r="E1006" s="14" t="str">
        <x:v>Tam gün</x:v>
      </x:c>
      <x:c r="F1006" s="14" t="str">
        <x:v>F1 - Temel Kurma</x:v>
      </x:c>
      <x:c r="G1006" s="14" t="str">
        <x:v>18:25</x:v>
      </x:c>
      <x:c r="H1006" s="14" t="str">
        <x:v>18:45</x:v>
      </x:c>
      <x:c r="I1006" s="14" t="str">
        <x:v>Genel</x:v>
      </x:c>
      <x:c r="J1006" s="14" t="str">
        <x:v>Yanlış / Boş Analizi</x:v>
      </x:c>
      <x:c r="K1006" s="14" t="str">
        <x:v>Günlük</x:v>
      </x:c>
      <x:c r="L1006" s="14" t="str">
        <x:v>Bugünkü yanlış/boşları kaydet; çözümünü öğrenmeden kapatma. Hata türünü sınıflandır.</x:v>
      </x:c>
      <x:c r="M1006" s="14" t="str">
        <x:v>Yanlış Defteri</x:v>
      </x:c>
      <x:c r="N1006" s="14" t="str"/>
      <x:c r="O1006" s="14" t="n">
        <x:v>0</x:v>
      </x:c>
      <x:c r="P1006" s="14" t="str">
        <x:v>Hayır</x:v>
      </x:c>
      <x:c r="Q1006" s="14" t="str">
        <x:v>Evet</x:v>
      </x:c>
      <x:c r="R1006" s="14" t="str">
        <x:v>Planlandı</x:v>
      </x:c>
      <x:c r="S1006" s="15" t="str"/>
      <x:c r="T1006" s="14" t="str"/>
    </x:row>
    <x:row r="1007">
      <x:c r="A1007" s="14" t="n">
        <x:v>1006</x:v>
      </x:c>
      <x:c r="B1007" s="15" t="n">
        <x:v>46376</x:v>
      </x:c>
      <x:c r="C1007" s="14" t="str">
        <x:v>Pazar</x:v>
      </x:c>
      <x:c r="D1007" s="14" t="str">
        <x:v>Hafta Sonu</x:v>
      </x:c>
      <x:c r="E1007" s="14" t="str">
        <x:v>Tam gün</x:v>
      </x:c>
      <x:c r="F1007" s="14" t="str">
        <x:v>F1 - Temel Kurma</x:v>
      </x:c>
      <x:c r="G1007" s="14" t="str">
        <x:v>18:45</x:v>
      </x:c>
      <x:c r="H1007" s="14" t="str">
        <x:v>19:05</x:v>
      </x:c>
      <x:c r="I1007" s="14" t="str">
        <x:v>Genel</x:v>
      </x:c>
      <x:c r="J1007" s="14" t="str">
        <x:v>Aralıklı Hata Tekrarı</x:v>
      </x:c>
      <x:c r="K1007" s="14" t="str">
        <x:v>+1 / +7 / +21</x:v>
      </x:c>
      <x:c r="L1007" s="14" t="str">
        <x:v>Bugün vadesi gelen yanlış soruları tekrar çöz. Vadesi yoksa bu süre serbest/okuma olabilir.</x:v>
      </x:c>
      <x:c r="M1007" s="14" t="str">
        <x:v>Yanlış Defteri</x:v>
      </x:c>
      <x:c r="N1007" s="14" t="str"/>
      <x:c r="O1007" s="14" t="n">
        <x:v>0</x:v>
      </x:c>
      <x:c r="P1007" s="14" t="str">
        <x:v>Hayır</x:v>
      </x:c>
      <x:c r="Q1007" s="14" t="str">
        <x:v>Koşullu</x:v>
      </x:c>
      <x:c r="R1007" s="14" t="str">
        <x:v>Planlandı</x:v>
      </x:c>
      <x:c r="S1007" s="15" t="str"/>
      <x:c r="T1007" s="14" t="str">
        <x:v>Yanlışlar +1, +7 ve +21 gün aralıklarıyla tekrar edilir; hâlâ yanlışsa konu mastery durumu düşürülür.</x:v>
      </x:c>
    </x:row>
    <x:row r="1008">
      <x:c r="A1008" s="14" t="n">
        <x:v>1007</x:v>
      </x:c>
      <x:c r="B1008" s="15" t="n">
        <x:v>46376</x:v>
      </x:c>
      <x:c r="C1008" s="14" t="str">
        <x:v>Pazar</x:v>
      </x:c>
      <x:c r="D1008" s="14" t="str">
        <x:v>Hafta Sonu</x:v>
      </x:c>
      <x:c r="E1008" s="14" t="str">
        <x:v>Tam gün</x:v>
      </x:c>
      <x:c r="F1008" s="14" t="str">
        <x:v>F1 - Temel Kurma</x:v>
      </x:c>
      <x:c r="G1008" s="14" t="str">
        <x:v>20:00</x:v>
      </x:c>
      <x:c r="H1008" s="14" t="str">
        <x:v>20:30</x:v>
      </x:c>
      <x:c r="I1008" s="14" t="str">
        <x:v>Okuma</x:v>
      </x:c>
      <x:c r="J1008" s="14" t="str">
        <x:v>İsteğe Bağlı</x:v>
      </x:c>
      <x:c r="K1008" s="14" t="str">
        <x:v>Serbest Kitap</x:v>
      </x:c>
      <x:c r="L1008" s="14" t="str">
        <x:v>Zorunlu çalışmalar bittiyse isteğe bağlı kitap oku.</x:v>
      </x:c>
      <x:c r="M1008" s="14" t="str">
        <x:v>Serbest Kitap</x:v>
      </x:c>
      <x:c r="N1008" s="14" t="str"/>
      <x:c r="O1008" s="14" t="n">
        <x:v>0</x:v>
      </x:c>
      <x:c r="P1008" s="14" t="str">
        <x:v>İsteğe Bağlı</x:v>
      </x:c>
      <x:c r="Q1008" s="14" t="str">
        <x:v>Hayır</x:v>
      </x:c>
      <x:c r="R1008" s="14" t="str">
        <x:v>Planlandı</x:v>
      </x:c>
      <x:c r="S1008" s="15" t="str"/>
      <x:c r="T1008" s="14" t="str">
        <x:v>Minimum süre yok.</x:v>
      </x:c>
    </x:row>
    <x:row r="1009">
      <x:c r="A1009" s="14" t="n">
        <x:v>1008</x:v>
      </x:c>
      <x:c r="B1009" s="15" t="n">
        <x:v>46376</x:v>
      </x:c>
      <x:c r="C1009" s="14" t="str">
        <x:v>Pazar</x:v>
      </x:c>
      <x:c r="D1009" s="14" t="str">
        <x:v>Hafta Sonu</x:v>
      </x:c>
      <x:c r="E1009" s="14" t="str">
        <x:v>Tam gün</x:v>
      </x:c>
      <x:c r="F1009" s="14" t="str">
        <x:v>F1 - Temel Kurma</x:v>
      </x:c>
      <x:c r="G1009" s="14" t="str">
        <x:v>21:50</x:v>
      </x:c>
      <x:c r="H1009" s="14" t="str">
        <x:v>22:00</x:v>
      </x:c>
      <x:c r="I1009" s="14" t="str">
        <x:v>Genel</x:v>
      </x:c>
      <x:c r="J1009" s="14" t="str">
        <x:v>Uyku Hazırlığı</x:v>
      </x:c>
      <x:c r="K1009" s="14" t="str"/>
      <x:c r="L1009" s="14" t="str">
        <x:v>22:00'de yatakta ve uyku.</x:v>
      </x:c>
      <x:c r="M1009" s="14" t="str"/>
      <x:c r="N1009" s="14" t="str"/>
      <x:c r="O1009" s="14" t="n">
        <x:v>0</x:v>
      </x:c>
      <x:c r="P1009" s="14" t="str">
        <x:v>Hayır</x:v>
      </x:c>
      <x:c r="Q1009" s="14" t="str">
        <x:v>Hayır</x:v>
      </x:c>
      <x:c r="R1009" s="14" t="str">
        <x:v>Planlandı</x:v>
      </x:c>
      <x:c r="S1009" s="15" t="str"/>
      <x:c r="T1009" s="14" t="str"/>
    </x:row>
    <x:row r="1010">
      <x:c r="A1010" s="14" t="n">
        <x:v>1009</x:v>
      </x:c>
      <x:c r="B1010" s="15" t="n">
        <x:v>46377</x:v>
      </x:c>
      <x:c r="C1010" s="14" t="str">
        <x:v>Pazartesi</x:v>
      </x:c>
      <x:c r="D1010" s="14" t="str">
        <x:v>Okul Günü</x:v>
      </x:c>
      <x:c r="E1010" s="14" t="str">
        <x:v>16:00 sonrası</x:v>
      </x:c>
      <x:c r="F1010" s="14" t="str">
        <x:v>F1 - Temel Kurma</x:v>
      </x:c>
      <x:c r="G1010" s="14" t="str">
        <x:v>16:00</x:v>
      </x:c>
      <x:c r="H1010" s="14" t="str">
        <x:v>16:25</x:v>
      </x:c>
      <x:c r="I1010" s="14" t="str">
        <x:v>Genel</x:v>
      </x:c>
      <x:c r="J1010" s="14" t="str">
        <x:v>Dinlenme</x:v>
      </x:c>
      <x:c r="K1010" s="14" t="str"/>
      <x:c r="L1010" s="14" t="str">
        <x:v>Eve geliş, atıştırma ve dinlenme.</x:v>
      </x:c>
      <x:c r="M1010" s="14" t="str"/>
      <x:c r="N1010" s="14" t="str"/>
      <x:c r="O1010" s="14" t="n">
        <x:v>0</x:v>
      </x:c>
      <x:c r="P1010" s="14" t="str">
        <x:v>Hayır</x:v>
      </x:c>
      <x:c r="Q1010" s="14" t="str">
        <x:v>Hayır</x:v>
      </x:c>
      <x:c r="R1010" s="14" t="str">
        <x:v>Planlandı</x:v>
      </x:c>
      <x:c r="S1010" s="15" t="str"/>
      <x:c r="T1010" s="14" t="str"/>
    </x:row>
    <x:row r="1011">
      <x:c r="A1011" s="14" t="n">
        <x:v>1010</x:v>
      </x:c>
      <x:c r="B1011" s="15" t="n">
        <x:v>46377</x:v>
      </x:c>
      <x:c r="C1011" s="14" t="str">
        <x:v>Pazartesi</x:v>
      </x:c>
      <x:c r="D1011" s="14" t="str">
        <x:v>Okul Günü</x:v>
      </x:c>
      <x:c r="E1011" s="14" t="str">
        <x:v>16:00 sonrası</x:v>
      </x:c>
      <x:c r="F1011" s="14" t="str">
        <x:v>F1 - Temel Kurma</x:v>
      </x:c>
      <x:c r="G1011" s="14" t="str">
        <x:v>16:25</x:v>
      </x:c>
      <x:c r="H1011" s="14" t="str">
        <x:v>17:05</x:v>
      </x:c>
      <x:c r="I1011" s="14" t="str">
        <x:v>Matematik</x:v>
      </x:c>
      <x:c r="J1011" s="14" t="str">
        <x:v>Konu / Tekrar</x:v>
      </x:c>
      <x:c r="K1011" s="14" t="str">
        <x:v>Kareköklü İfadeler</x:v>
      </x:c>
      <x:c r="L1011" s="14" t="str">
        <x:v>Kareköklü İfadeler — genel oynatma listesinden ilgili videoyu izle (4/4).</x:v>
      </x:c>
      <x:c r="M1011" s="14" t="str">
        <x:v>Matematik Ana Oynatma Listesi</x:v>
      </x:c>
      <x:c r="N1011" s="14" t="str">
        <x:v>https://www.youtube.com/watch?v=EuJ89QzqrAg&amp;list=PLicNtF7vp6fnfDqrRLH6H7fIbzYT4ct4F&amp;index=11</x:v>
      </x:c>
      <x:c r="O1011" s="14" t="n">
        <x:v>0</x:v>
      </x:c>
      <x:c r="P1011" s="14" t="str">
        <x:v>Hayır</x:v>
      </x:c>
      <x:c r="Q1011" s="14" t="str">
        <x:v>Evet</x:v>
      </x:c>
      <x:c r="R1011" s="14" t="str">
        <x:v>Planlandı</x:v>
      </x:c>
      <x:c r="S1011" s="15" t="str"/>
      <x:c r="T1011" s="14" t="str">
        <x:v>Yeni konu ancak plan sırasıyla açılır; LGS dışı ileri TYT içeriği zorunlu değildir.</x:v>
      </x:c>
    </x:row>
    <x:row r="1012">
      <x:c r="A1012" s="14" t="n">
        <x:v>1011</x:v>
      </x:c>
      <x:c r="B1012" s="15" t="n">
        <x:v>46377</x:v>
      </x:c>
      <x:c r="C1012" s="14" t="str">
        <x:v>Pazartesi</x:v>
      </x:c>
      <x:c r="D1012" s="14" t="str">
        <x:v>Okul Günü</x:v>
      </x:c>
      <x:c r="E1012" s="14" t="str">
        <x:v>16:00 sonrası</x:v>
      </x:c>
      <x:c r="F1012" s="14" t="str">
        <x:v>F1 - Temel Kurma</x:v>
      </x:c>
      <x:c r="G1012" s="14" t="str">
        <x:v>17:10</x:v>
      </x:c>
      <x:c r="H1012" s="14" t="str">
        <x:v>17:55</x:v>
      </x:c>
      <x:c r="I1012" s="14" t="str">
        <x:v>Matematik</x:v>
      </x:c>
      <x:c r="J1012" s="14" t="str">
        <x:v>Kitap / MEB / Mastery</x:v>
      </x:c>
      <x:c r="K1012" s="14" t="str">
        <x:v>Kareköklü İfadeler</x:v>
      </x:c>
      <x:c r="L1012" s="14" t="str">
        <x:v>Kareköklü İfadeler ile ilgili soru kitabından en az 25 soru / bugünkü test payını çöz. İlgili kitap konu bölümünü bu oturumda bitirmeyi hedefle; sonraki oturum MEB doğrulaması.</x:v>
      </x:c>
      <x:c r="M1012" s="14" t="str">
        <x:v>MUBA 8. Sınıf Başlangıç Matematik (ISBN 9789756526972); tamamlandıysa Mozaik 8. Sınıf Matematik</x:v>
      </x:c>
      <x:c r="N1012" s="14" t="str">
        <x:v>https://odsgm.meb.gov.tr/www/8sinif-calisma-sorulari/icerik/1632</x:v>
      </x:c>
      <x:c r="O1012" s="14" t="n">
        <x:v>25</x:v>
      </x:c>
      <x:c r="P1012" s="14" t="str">
        <x:v>İlk 20 soru</x:v>
      </x:c>
      <x:c r="Q1012" s="14" t="str">
        <x:v>Evet</x:v>
      </x:c>
      <x:c r="R1012" s="14" t="str">
        <x:v>Planlandı</x:v>
      </x:c>
      <x:c r="S1012" s="15" t="str"/>
      <x:c r="T1012" s="14" t="str">
        <x:v>Ayrı/rastgele matematik benchmark yoktur. Süreli ilk 20 soru o gün çalışılan konunun içindedir.</x:v>
      </x:c>
    </x:row>
    <x:row r="1013">
      <x:c r="A1013" s="14" t="n">
        <x:v>1012</x:v>
      </x:c>
      <x:c r="B1013" s="15" t="n">
        <x:v>46377</x:v>
      </x:c>
      <x:c r="C1013" s="14" t="str">
        <x:v>Pazartesi</x:v>
      </x:c>
      <x:c r="D1013" s="14" t="str">
        <x:v>Okul Günü</x:v>
      </x:c>
      <x:c r="E1013" s="14" t="str">
        <x:v>16:00 sonrası</x:v>
      </x:c>
      <x:c r="F1013" s="14" t="str">
        <x:v>F1 - Temel Kurma</x:v>
      </x:c>
      <x:c r="G1013" s="14" t="str">
        <x:v>17:55</x:v>
      </x:c>
      <x:c r="H1013" s="14" t="str">
        <x:v>18:25</x:v>
      </x:c>
      <x:c r="I1013" s="14" t="str">
        <x:v>Genel</x:v>
      </x:c>
      <x:c r="J1013" s="14" t="str">
        <x:v>Yemek / Serbest Zaman</x:v>
      </x:c>
      <x:c r="K1013" s="14" t="str"/>
      <x:c r="L1013" s="14" t="str">
        <x:v>Yemek, hareket ve dinlenme.</x:v>
      </x:c>
      <x:c r="M1013" s="14" t="str"/>
      <x:c r="N1013" s="14" t="str"/>
      <x:c r="O1013" s="14" t="n">
        <x:v>0</x:v>
      </x:c>
      <x:c r="P1013" s="14" t="str">
        <x:v>Hayır</x:v>
      </x:c>
      <x:c r="Q1013" s="14" t="str">
        <x:v>Hayır</x:v>
      </x:c>
      <x:c r="R1013" s="14" t="str">
        <x:v>Planlandı</x:v>
      </x:c>
      <x:c r="S1013" s="15" t="str"/>
      <x:c r="T1013" s="14" t="str"/>
    </x:row>
    <x:row r="1014">
      <x:c r="A1014" s="14" t="n">
        <x:v>1013</x:v>
      </x:c>
      <x:c r="B1014" s="15" t="n">
        <x:v>46377</x:v>
      </x:c>
      <x:c r="C1014" s="14" t="str">
        <x:v>Pazartesi</x:v>
      </x:c>
      <x:c r="D1014" s="14" t="str">
        <x:v>Okul Günü</x:v>
      </x:c>
      <x:c r="E1014" s="14" t="str">
        <x:v>16:00 sonrası</x:v>
      </x:c>
      <x:c r="F1014" s="14" t="str">
        <x:v>F1 - Temel Kurma</x:v>
      </x:c>
      <x:c r="G1014" s="14" t="str">
        <x:v>18:25</x:v>
      </x:c>
      <x:c r="H1014" s="14" t="str">
        <x:v>18:55</x:v>
      </x:c>
      <x:c r="I1014" s="14" t="str">
        <x:v>Türkçe</x:v>
      </x:c>
      <x:c r="J1014" s="14" t="str">
        <x:v>Paragraf Rutini</x:v>
      </x:c>
      <x:c r="K1014" s="14" t="str">
        <x:v>Paragraf</x:v>
      </x:c>
      <x:c r="L1014" s="14" t="str">
        <x:v>En az 25 paragraf sorusu çöz; ilk 20 soruyu ileri sayımla ölç, D/Y/B + süre kaydet.</x:v>
      </x:c>
      <x:c r="M1014" s="14" t="str">
        <x:v>Hız 8. Sınıf Türkçe Paragraf (ISBN 9786258394498)</x:v>
      </x:c>
      <x:c r="N1014" s="14" t="str"/>
      <x:c r="O1014" s="14" t="n">
        <x:v>25</x:v>
      </x:c>
      <x:c r="P1014" s="14" t="str">
        <x:v>İlk 20 soru</x:v>
      </x:c>
      <x:c r="Q1014" s="14" t="str">
        <x:v>Evet</x:v>
      </x:c>
      <x:c r="R1014" s="14" t="str">
        <x:v>Planlandı</x:v>
      </x:c>
      <x:c r="S1014" s="15" t="str"/>
      <x:c r="T1014" s="14" t="str">
        <x:v>Geri sayım ve hedef süre yok.</x:v>
      </x:c>
    </x:row>
    <x:row r="1015">
      <x:c r="A1015" s="14" t="n">
        <x:v>1014</x:v>
      </x:c>
      <x:c r="B1015" s="15" t="n">
        <x:v>46377</x:v>
      </x:c>
      <x:c r="C1015" s="14" t="str">
        <x:v>Pazartesi</x:v>
      </x:c>
      <x:c r="D1015" s="14" t="str">
        <x:v>Okul Günü</x:v>
      </x:c>
      <x:c r="E1015" s="14" t="str">
        <x:v>16:00 sonrası</x:v>
      </x:c>
      <x:c r="F1015" s="14" t="str">
        <x:v>F1 - Temel Kurma</x:v>
      </x:c>
      <x:c r="G1015" s="14" t="str">
        <x:v>19:00</x:v>
      </x:c>
      <x:c r="H1015" s="14" t="str">
        <x:v>19:35</x:v>
      </x:c>
      <x:c r="I1015" s="14" t="str">
        <x:v>Türkçe</x:v>
      </x:c>
      <x:c r="J1015" s="14" t="str">
        <x:v>Konu / Tekrar</x:v>
      </x:c>
      <x:c r="K1015" s="14" t="str">
        <x:v>Cümle Türleri</x:v>
      </x:c>
      <x:c r="L1015" s="14" t="str">
        <x:v>Cümle Türleri — genel oynatma listesinden ilgili videoyu izle (2/3).</x:v>
      </x:c>
      <x:c r="M1015" s="14" t="str">
        <x:v>Türkçe Ana Oynatma Listesi</x:v>
      </x:c>
      <x:c r="N1015" s="14" t="str">
        <x:v>https://www.youtube.com/watch?v=VYsPntNKVdw&amp;list=PLIBjFaUoJJ91bz7QQEBlxNJNZka5YQRr6</x:v>
      </x:c>
      <x:c r="O1015" s="14" t="n">
        <x:v>0</x:v>
      </x:c>
      <x:c r="P1015" s="14" t="str">
        <x:v>Hayır</x:v>
      </x:c>
      <x:c r="Q1015" s="14" t="str">
        <x:v>Evet</x:v>
      </x:c>
      <x:c r="R1015" s="14" t="str">
        <x:v>Planlandı</x:v>
      </x:c>
      <x:c r="S1015" s="15" t="str"/>
      <x:c r="T1015" s="14" t="str">
        <x:v>TYT etiketli kaynak temelden başlamak için sabittir; LGS dışı gereksiz ayrıntı zorunlu değildir.</x:v>
      </x:c>
    </x:row>
    <x:row r="1016">
      <x:c r="A1016" s="14" t="n">
        <x:v>1015</x:v>
      </x:c>
      <x:c r="B1016" s="15" t="n">
        <x:v>46377</x:v>
      </x:c>
      <x:c r="C1016" s="14" t="str">
        <x:v>Pazartesi</x:v>
      </x:c>
      <x:c r="D1016" s="14" t="str">
        <x:v>Okul Günü</x:v>
      </x:c>
      <x:c r="E1016" s="14" t="str">
        <x:v>16:00 sonrası</x:v>
      </x:c>
      <x:c r="F1016" s="14" t="str">
        <x:v>F1 - Temel Kurma</x:v>
      </x:c>
      <x:c r="G1016" s="14" t="str">
        <x:v>19:40</x:v>
      </x:c>
      <x:c r="H1016" s="14" t="str">
        <x:v>20:10</x:v>
      </x:c>
      <x:c r="I1016" s="14" t="str">
        <x:v>Türkçe</x:v>
      </x:c>
      <x:c r="J1016" s="14" t="str">
        <x:v>Kitap / MEB / Mastery</x:v>
      </x:c>
      <x:c r="K1016" s="14" t="str">
        <x:v>Cümle Türleri</x:v>
      </x:c>
      <x:c r="L1016" s="14" t="str">
        <x:v>Cümle Türleri ile ilgili soru kitabından en az 15 soru / bugünkü test payını çöz.</x:v>
      </x:c>
      <x:c r="M1016" s="14" t="str">
        <x:v>Ankara 8. Sınıf Dil Bilgisi Güçlendiren</x:v>
      </x:c>
      <x:c r="N1016" s="14" t="str">
        <x:v>https://odsgm.meb.gov.tr/www/8sinif-calisma-sorulari/icerik/1632</x:v>
      </x:c>
      <x:c r="O1016" s="14" t="n">
        <x:v>15</x:v>
      </x:c>
      <x:c r="P1016" s="14" t="str">
        <x:v>Hayır</x:v>
      </x:c>
      <x:c r="Q1016" s="14" t="str">
        <x:v>Evet</x:v>
      </x:c>
      <x:c r="R1016" s="14" t="str">
        <x:v>Planlandı</x:v>
      </x:c>
      <x:c r="S1016" s="15" t="str"/>
      <x:c r="T1016" s="14" t="str"/>
    </x:row>
    <x:row r="1017">
      <x:c r="A1017" s="14" t="n">
        <x:v>1016</x:v>
      </x:c>
      <x:c r="B1017" s="15" t="n">
        <x:v>46377</x:v>
      </x:c>
      <x:c r="C1017" s="14" t="str">
        <x:v>Pazartesi</x:v>
      </x:c>
      <x:c r="D1017" s="14" t="str">
        <x:v>Okul Günü</x:v>
      </x:c>
      <x:c r="E1017" s="14" t="str">
        <x:v>16:00 sonrası</x:v>
      </x:c>
      <x:c r="F1017" s="14" t="str">
        <x:v>F1 - Temel Kurma</x:v>
      </x:c>
      <x:c r="G1017" s="14" t="str">
        <x:v>20:15</x:v>
      </x:c>
      <x:c r="H1017" s="14" t="str">
        <x:v>20:50</x:v>
      </x:c>
      <x:c r="I1017" s="14" t="str">
        <x:v>Din</x:v>
      </x:c>
      <x:c r="J1017" s="14" t="str">
        <x:v>Konu / Tekrar</x:v>
      </x:c>
      <x:c r="K1017" s="14" t="str">
        <x:v>Dinin Temel Gayesi / Hz. Yusuf / Asr Suresi</x:v>
      </x:c>
      <x:c r="L1017" s="14" t="str">
        <x:v>Dinin Temel Gayesi / Hz. Yusuf / Asr Suresi — MEB doğrulaması öncesi 5-10 dk aktif hatırlama; gerekiyorsa ilgili playlist videosuna kısa dönüş yap.</x:v>
      </x:c>
      <x:c r="M1017" s="14" t="str">
        <x:v>Din Genel Oynatma Listesi</x:v>
      </x:c>
      <x:c r="N1017" s="14" t="str">
        <x:v>https://www.youtube.com/watch?v=wvdOE_75VnA&amp;list=PLbRoPq-Zu-SWXGUbVt4t4UWo-4VjsMUo-&amp;index=2</x:v>
      </x:c>
      <x:c r="O1017" s="14" t="n">
        <x:v>0</x:v>
      </x:c>
      <x:c r="P1017" s="14" t="str">
        <x:v>Hayır</x:v>
      </x:c>
      <x:c r="Q1017" s="14" t="str">
        <x:v>Evet</x:v>
      </x:c>
      <x:c r="R1017" s="14" t="str">
        <x:v>Planlandı</x:v>
      </x:c>
      <x:c r="S1017" s="15" t="str"/>
      <x:c r="T1017" s="14" t="str"/>
    </x:row>
    <x:row r="1018">
      <x:c r="A1018" s="14" t="n">
        <x:v>1017</x:v>
      </x:c>
      <x:c r="B1018" s="15" t="n">
        <x:v>46377</x:v>
      </x:c>
      <x:c r="C1018" s="14" t="str">
        <x:v>Pazartesi</x:v>
      </x:c>
      <x:c r="D1018" s="14" t="str">
        <x:v>Okul Günü</x:v>
      </x:c>
      <x:c r="E1018" s="14" t="str">
        <x:v>16:00 sonrası</x:v>
      </x:c>
      <x:c r="F1018" s="14" t="str">
        <x:v>F1 - Temel Kurma</x:v>
      </x:c>
      <x:c r="G1018" s="14" t="str">
        <x:v>20:55</x:v>
      </x:c>
      <x:c r="H1018" s="14" t="str">
        <x:v>21:20</x:v>
      </x:c>
      <x:c r="I1018" s="14" t="str">
        <x:v>Din</x:v>
      </x:c>
      <x:c r="J1018" s="14" t="str">
        <x:v>Kitap / MEB / Mastery</x:v>
      </x:c>
      <x:c r="K1018" s="14" t="str">
        <x:v>Dinin Temel Gayesi / Hz. Yusuf / Asr Suresi</x:v>
      </x:c>
      <x:c r="L1018" s="14" t="str">
        <x:v>Dinin Temel Gayesi / Hz. Yusuf / Asr Suresi için ilgili MEB sorularını TAMAMLA; D/Y/B kaydet. Bu oturum konu mastery gate'idir.</x:v>
      </x:c>
      <x:c r="M1018" s="14" t="str">
        <x:v>MEB 8. Sınıf Din Soruları</x:v>
      </x:c>
      <x:c r="N1018" s="14" t="str">
        <x:v>https://odsgm.meb.gov.tr/www/8sinif-calisma-sorulari/icerik/1632</x:v>
      </x:c>
      <x:c r="O1018" s="14" t="n">
        <x:v>0</x:v>
      </x:c>
      <x:c r="P1018" s="14" t="str">
        <x:v>Hayır</x:v>
      </x:c>
      <x:c r="Q1018" s="14" t="str">
        <x:v>Evet</x:v>
      </x:c>
      <x:c r="R1018" s="14" t="str">
        <x:v>Planlandı</x:v>
      </x:c>
      <x:c r="S1018" s="15" t="str"/>
      <x:c r="T1018" s="14" t="str">
        <x:v>MEB sonucu Konu_Ustaligi sayfasına işlenir.</x:v>
      </x:c>
    </x:row>
    <x:row r="1019">
      <x:c r="A1019" s="14" t="n">
        <x:v>1018</x:v>
      </x:c>
      <x:c r="B1019" s="15" t="n">
        <x:v>46377</x:v>
      </x:c>
      <x:c r="C1019" s="14" t="str">
        <x:v>Pazartesi</x:v>
      </x:c>
      <x:c r="D1019" s="14" t="str">
        <x:v>Okul Günü</x:v>
      </x:c>
      <x:c r="E1019" s="14" t="str">
        <x:v>16:00 sonrası</x:v>
      </x:c>
      <x:c r="F1019" s="14" t="str">
        <x:v>F1 - Temel Kurma</x:v>
      </x:c>
      <x:c r="G1019" s="14" t="str">
        <x:v>21:20</x:v>
      </x:c>
      <x:c r="H1019" s="14" t="str">
        <x:v>21:35</x:v>
      </x:c>
      <x:c r="I1019" s="14" t="str">
        <x:v>Genel</x:v>
      </x:c>
      <x:c r="J1019" s="14" t="str">
        <x:v>Yanlış / Boş Analizi</x:v>
      </x:c>
      <x:c r="K1019" s="14" t="str">
        <x:v>Günlük</x:v>
      </x:c>
      <x:c r="L1019" s="14" t="str">
        <x:v>Bugünkü yanlış/boşları kaydet; çözümünü öğrenmeden kapatma. Hata türünü sınıflandır.</x:v>
      </x:c>
      <x:c r="M1019" s="14" t="str">
        <x:v>Yanlış Defteri</x:v>
      </x:c>
      <x:c r="N1019" s="14" t="str"/>
      <x:c r="O1019" s="14" t="n">
        <x:v>0</x:v>
      </x:c>
      <x:c r="P1019" s="14" t="str">
        <x:v>Hayır</x:v>
      </x:c>
      <x:c r="Q1019" s="14" t="str">
        <x:v>Evet</x:v>
      </x:c>
      <x:c r="R1019" s="14" t="str">
        <x:v>Planlandı</x:v>
      </x:c>
      <x:c r="S1019" s="15" t="str"/>
      <x:c r="T1019" s="14" t="str"/>
    </x:row>
    <x:row r="1020">
      <x:c r="A1020" s="14" t="n">
        <x:v>1019</x:v>
      </x:c>
      <x:c r="B1020" s="15" t="n">
        <x:v>46377</x:v>
      </x:c>
      <x:c r="C1020" s="14" t="str">
        <x:v>Pazartesi</x:v>
      </x:c>
      <x:c r="D1020" s="14" t="str">
        <x:v>Okul Günü</x:v>
      </x:c>
      <x:c r="E1020" s="14" t="str">
        <x:v>16:00 sonrası</x:v>
      </x:c>
      <x:c r="F1020" s="14" t="str">
        <x:v>F1 - Temel Kurma</x:v>
      </x:c>
      <x:c r="G1020" s="14" t="str">
        <x:v>21:35</x:v>
      </x:c>
      <x:c r="H1020" s="14" t="str">
        <x:v>21:50</x:v>
      </x:c>
      <x:c r="I1020" s="14" t="str">
        <x:v>Genel</x:v>
      </x:c>
      <x:c r="J1020" s="14" t="str">
        <x:v>Aralıklı Hata Tekrarı</x:v>
      </x:c>
      <x:c r="K1020" s="14" t="str">
        <x:v>+1 / +7 / +21</x:v>
      </x:c>
      <x:c r="L1020" s="14" t="str">
        <x:v>Bugün vadesi gelen yanlış soruları tekrar çöz. Vadesi yoksa bu süre serbest/okuma olabilir.</x:v>
      </x:c>
      <x:c r="M1020" s="14" t="str">
        <x:v>Yanlış Defteri</x:v>
      </x:c>
      <x:c r="N1020" s="14" t="str"/>
      <x:c r="O1020" s="14" t="n">
        <x:v>0</x:v>
      </x:c>
      <x:c r="P1020" s="14" t="str">
        <x:v>Hayır</x:v>
      </x:c>
      <x:c r="Q1020" s="14" t="str">
        <x:v>Koşullu</x:v>
      </x:c>
      <x:c r="R1020" s="14" t="str">
        <x:v>Planlandı</x:v>
      </x:c>
      <x:c r="S1020" s="15" t="str"/>
      <x:c r="T1020" s="14" t="str">
        <x:v>Yanlışlar +1, +7 ve +21 gün aralıklarıyla tekrar edilir; hâlâ yanlışsa konu mastery durumu düşürülür.</x:v>
      </x:c>
    </x:row>
    <x:row r="1021">
      <x:c r="A1021" s="14" t="n">
        <x:v>1020</x:v>
      </x:c>
      <x:c r="B1021" s="15" t="n">
        <x:v>46377</x:v>
      </x:c>
      <x:c r="C1021" s="14" t="str">
        <x:v>Pazartesi</x:v>
      </x:c>
      <x:c r="D1021" s="14" t="str">
        <x:v>Okul Günü</x:v>
      </x:c>
      <x:c r="E1021" s="14" t="str">
        <x:v>16:00 sonrası</x:v>
      </x:c>
      <x:c r="F1021" s="14" t="str">
        <x:v>F1 - Temel Kurma</x:v>
      </x:c>
      <x:c r="G1021" s="14" t="str">
        <x:v>21:50</x:v>
      </x:c>
      <x:c r="H1021" s="14" t="str">
        <x:v>22:00</x:v>
      </x:c>
      <x:c r="I1021" s="14" t="str">
        <x:v>Genel</x:v>
      </x:c>
      <x:c r="J1021" s="14" t="str">
        <x:v>Uyku Hazırlığı</x:v>
      </x:c>
      <x:c r="K1021" s="14" t="str"/>
      <x:c r="L1021" s="14" t="str">
        <x:v>22:00'de yatakta ve uyku.</x:v>
      </x:c>
      <x:c r="M1021" s="14" t="str"/>
      <x:c r="N1021" s="14" t="str"/>
      <x:c r="O1021" s="14" t="n">
        <x:v>0</x:v>
      </x:c>
      <x:c r="P1021" s="14" t="str">
        <x:v>Hayır</x:v>
      </x:c>
      <x:c r="Q1021" s="14" t="str">
        <x:v>Hayır</x:v>
      </x:c>
      <x:c r="R1021" s="14" t="str">
        <x:v>Planlandı</x:v>
      </x:c>
      <x:c r="S1021" s="15" t="str"/>
      <x:c r="T1021" s="14" t="str"/>
    </x:row>
    <x:row r="1022">
      <x:c r="A1022" s="14" t="n">
        <x:v>1021</x:v>
      </x:c>
      <x:c r="B1022" s="15" t="n">
        <x:v>46378</x:v>
      </x:c>
      <x:c r="C1022" s="14" t="str">
        <x:v>Salı</x:v>
      </x:c>
      <x:c r="D1022" s="14" t="str">
        <x:v>Okul Günü</x:v>
      </x:c>
      <x:c r="E1022" s="14" t="str">
        <x:v>16:00 sonrası</x:v>
      </x:c>
      <x:c r="F1022" s="14" t="str">
        <x:v>F1 - Temel Kurma</x:v>
      </x:c>
      <x:c r="G1022" s="14" t="str">
        <x:v>16:00</x:v>
      </x:c>
      <x:c r="H1022" s="14" t="str">
        <x:v>16:25</x:v>
      </x:c>
      <x:c r="I1022" s="14" t="str">
        <x:v>Genel</x:v>
      </x:c>
      <x:c r="J1022" s="14" t="str">
        <x:v>Dinlenme</x:v>
      </x:c>
      <x:c r="K1022" s="14" t="str"/>
      <x:c r="L1022" s="14" t="str">
        <x:v>Eve geliş, atıştırma ve dinlenme.</x:v>
      </x:c>
      <x:c r="M1022" s="14" t="str"/>
      <x:c r="N1022" s="14" t="str"/>
      <x:c r="O1022" s="14" t="n">
        <x:v>0</x:v>
      </x:c>
      <x:c r="P1022" s="14" t="str">
        <x:v>Hayır</x:v>
      </x:c>
      <x:c r="Q1022" s="14" t="str">
        <x:v>Hayır</x:v>
      </x:c>
      <x:c r="R1022" s="14" t="str">
        <x:v>Planlandı</x:v>
      </x:c>
      <x:c r="S1022" s="15" t="str"/>
      <x:c r="T1022" s="14" t="str"/>
    </x:row>
    <x:row r="1023">
      <x:c r="A1023" s="14" t="n">
        <x:v>1022</x:v>
      </x:c>
      <x:c r="B1023" s="15" t="n">
        <x:v>46378</x:v>
      </x:c>
      <x:c r="C1023" s="14" t="str">
        <x:v>Salı</x:v>
      </x:c>
      <x:c r="D1023" s="14" t="str">
        <x:v>Okul Günü</x:v>
      </x:c>
      <x:c r="E1023" s="14" t="str">
        <x:v>16:00 sonrası</x:v>
      </x:c>
      <x:c r="F1023" s="14" t="str">
        <x:v>F1 - Temel Kurma</x:v>
      </x:c>
      <x:c r="G1023" s="14" t="str">
        <x:v>16:25</x:v>
      </x:c>
      <x:c r="H1023" s="14" t="str">
        <x:v>17:05</x:v>
      </x:c>
      <x:c r="I1023" s="14" t="str">
        <x:v>Matematik</x:v>
      </x:c>
      <x:c r="J1023" s="14" t="str">
        <x:v>Konu / Tekrar</x:v>
      </x:c>
      <x:c r="K1023" s="14" t="str">
        <x:v>Kareköklü İfadeler</x:v>
      </x:c>
      <x:c r="L1023" s="14" t="str">
        <x:v>Kareköklü İfadeler — MEB doğrulaması öncesi 5-10 dk aktif hatırlama; gerekiyorsa ilgili playlist videosuna kısa dönüş yap.</x:v>
      </x:c>
      <x:c r="M1023" s="14" t="str">
        <x:v>Matematik Ana Oynatma Listesi</x:v>
      </x:c>
      <x:c r="N1023" s="14" t="str">
        <x:v>https://www.youtube.com/watch?v=EuJ89QzqrAg&amp;list=PLicNtF7vp6fnfDqrRLH6H7fIbzYT4ct4F&amp;index=11</x:v>
      </x:c>
      <x:c r="O1023" s="14" t="n">
        <x:v>0</x:v>
      </x:c>
      <x:c r="P1023" s="14" t="str">
        <x:v>Hayır</x:v>
      </x:c>
      <x:c r="Q1023" s="14" t="str">
        <x:v>Evet</x:v>
      </x:c>
      <x:c r="R1023" s="14" t="str">
        <x:v>Planlandı</x:v>
      </x:c>
      <x:c r="S1023" s="15" t="str"/>
      <x:c r="T1023" s="14" t="str">
        <x:v>Yeni konu ancak plan sırasıyla açılır; LGS dışı ileri TYT içeriği zorunlu değildir.</x:v>
      </x:c>
    </x:row>
    <x:row r="1024">
      <x:c r="A1024" s="14" t="n">
        <x:v>1023</x:v>
      </x:c>
      <x:c r="B1024" s="15" t="n">
        <x:v>46378</x:v>
      </x:c>
      <x:c r="C1024" s="14" t="str">
        <x:v>Salı</x:v>
      </x:c>
      <x:c r="D1024" s="14" t="str">
        <x:v>Okul Günü</x:v>
      </x:c>
      <x:c r="E1024" s="14" t="str">
        <x:v>16:00 sonrası</x:v>
      </x:c>
      <x:c r="F1024" s="14" t="str">
        <x:v>F1 - Temel Kurma</x:v>
      </x:c>
      <x:c r="G1024" s="14" t="str">
        <x:v>17:10</x:v>
      </x:c>
      <x:c r="H1024" s="14" t="str">
        <x:v>17:55</x:v>
      </x:c>
      <x:c r="I1024" s="14" t="str">
        <x:v>Matematik</x:v>
      </x:c>
      <x:c r="J1024" s="14" t="str">
        <x:v>Kitap / MEB / Mastery</x:v>
      </x:c>
      <x:c r="K1024" s="14" t="str">
        <x:v>Kareköklü İfadeler</x:v>
      </x:c>
      <x:c r="L1024" s="14" t="str">
        <x:v>Kareköklü İfadeler için ilgili MEB sorularını TAMAMLA; D/Y/B kaydet. Bu oturum konu mastery gate'idir.</x:v>
      </x:c>
      <x:c r="M1024" s="14" t="str">
        <x:v>MEB Resmî Soru Seti</x:v>
      </x:c>
      <x:c r="N1024" s="14" t="str">
        <x:v>https://odsgm.meb.gov.tr/www/8sinif-calisma-sorulari/icerik/1632</x:v>
      </x:c>
      <x:c r="O1024" s="14" t="n">
        <x:v>0</x:v>
      </x:c>
      <x:c r="P1024" s="14" t="str">
        <x:v>Hayır</x:v>
      </x:c>
      <x:c r="Q1024" s="14" t="str">
        <x:v>Evet</x:v>
      </x:c>
      <x:c r="R1024" s="14" t="str">
        <x:v>Planlandı</x:v>
      </x:c>
      <x:c r="S1024" s="15" t="str"/>
      <x:c r="T1024" s="14" t="str">
        <x:v>MEB sonucu Konu_Ustaligi sayfasına işlenir.</x:v>
      </x:c>
    </x:row>
    <x:row r="1025">
      <x:c r="A1025" s="14" t="n">
        <x:v>1024</x:v>
      </x:c>
      <x:c r="B1025" s="15" t="n">
        <x:v>46378</x:v>
      </x:c>
      <x:c r="C1025" s="14" t="str">
        <x:v>Salı</x:v>
      </x:c>
      <x:c r="D1025" s="14" t="str">
        <x:v>Okul Günü</x:v>
      </x:c>
      <x:c r="E1025" s="14" t="str">
        <x:v>16:00 sonrası</x:v>
      </x:c>
      <x:c r="F1025" s="14" t="str">
        <x:v>F1 - Temel Kurma</x:v>
      </x:c>
      <x:c r="G1025" s="14" t="str">
        <x:v>17:55</x:v>
      </x:c>
      <x:c r="H1025" s="14" t="str">
        <x:v>18:25</x:v>
      </x:c>
      <x:c r="I1025" s="14" t="str">
        <x:v>Genel</x:v>
      </x:c>
      <x:c r="J1025" s="14" t="str">
        <x:v>Yemek / Serbest Zaman</x:v>
      </x:c>
      <x:c r="K1025" s="14" t="str"/>
      <x:c r="L1025" s="14" t="str">
        <x:v>Yemek, hareket ve dinlenme.</x:v>
      </x:c>
      <x:c r="M1025" s="14" t="str"/>
      <x:c r="N1025" s="14" t="str"/>
      <x:c r="O1025" s="14" t="n">
        <x:v>0</x:v>
      </x:c>
      <x:c r="P1025" s="14" t="str">
        <x:v>Hayır</x:v>
      </x:c>
      <x:c r="Q1025" s="14" t="str">
        <x:v>Hayır</x:v>
      </x:c>
      <x:c r="R1025" s="14" t="str">
        <x:v>Planlandı</x:v>
      </x:c>
      <x:c r="S1025" s="15" t="str"/>
      <x:c r="T1025" s="14" t="str"/>
    </x:row>
    <x:row r="1026">
      <x:c r="A1026" s="14" t="n">
        <x:v>1025</x:v>
      </x:c>
      <x:c r="B1026" s="15" t="n">
        <x:v>46378</x:v>
      </x:c>
      <x:c r="C1026" s="14" t="str">
        <x:v>Salı</x:v>
      </x:c>
      <x:c r="D1026" s="14" t="str">
        <x:v>Okul Günü</x:v>
      </x:c>
      <x:c r="E1026" s="14" t="str">
        <x:v>16:00 sonrası</x:v>
      </x:c>
      <x:c r="F1026" s="14" t="str">
        <x:v>F1 - Temel Kurma</x:v>
      </x:c>
      <x:c r="G1026" s="14" t="str">
        <x:v>18:25</x:v>
      </x:c>
      <x:c r="H1026" s="14" t="str">
        <x:v>18:55</x:v>
      </x:c>
      <x:c r="I1026" s="14" t="str">
        <x:v>Türkçe</x:v>
      </x:c>
      <x:c r="J1026" s="14" t="str">
        <x:v>Paragraf Rutini</x:v>
      </x:c>
      <x:c r="K1026" s="14" t="str">
        <x:v>Paragraf</x:v>
      </x:c>
      <x:c r="L1026" s="14" t="str">
        <x:v>En az 25 paragraf sorusu çöz; ilk 20 soruyu ileri sayımla ölç, D/Y/B + süre kaydet.</x:v>
      </x:c>
      <x:c r="M1026" s="14" t="str">
        <x:v>Hız 8. Sınıf Türkçe Paragraf (ISBN 9786258394498)</x:v>
      </x:c>
      <x:c r="N1026" s="14" t="str"/>
      <x:c r="O1026" s="14" t="n">
        <x:v>25</x:v>
      </x:c>
      <x:c r="P1026" s="14" t="str">
        <x:v>İlk 20 soru</x:v>
      </x:c>
      <x:c r="Q1026" s="14" t="str">
        <x:v>Evet</x:v>
      </x:c>
      <x:c r="R1026" s="14" t="str">
        <x:v>Planlandı</x:v>
      </x:c>
      <x:c r="S1026" s="15" t="str"/>
      <x:c r="T1026" s="14" t="str">
        <x:v>Geri sayım ve hedef süre yok.</x:v>
      </x:c>
    </x:row>
    <x:row r="1027">
      <x:c r="A1027" s="14" t="n">
        <x:v>1026</x:v>
      </x:c>
      <x:c r="B1027" s="15" t="n">
        <x:v>46378</x:v>
      </x:c>
      <x:c r="C1027" s="14" t="str">
        <x:v>Salı</x:v>
      </x:c>
      <x:c r="D1027" s="14" t="str">
        <x:v>Okul Günü</x:v>
      </x:c>
      <x:c r="E1027" s="14" t="str">
        <x:v>16:00 sonrası</x:v>
      </x:c>
      <x:c r="F1027" s="14" t="str">
        <x:v>F1 - Temel Kurma</x:v>
      </x:c>
      <x:c r="G1027" s="14" t="str">
        <x:v>19:00</x:v>
      </x:c>
      <x:c r="H1027" s="14" t="str">
        <x:v>19:35</x:v>
      </x:c>
      <x:c r="I1027" s="14" t="str">
        <x:v>Türkçe</x:v>
      </x:c>
      <x:c r="J1027" s="14" t="str">
        <x:v>Konu / Tekrar</x:v>
      </x:c>
      <x:c r="K1027" s="14" t="str">
        <x:v>Cümle Türleri</x:v>
      </x:c>
      <x:c r="L1027" s="14" t="str">
        <x:v>Cümle Türleri — genel oynatma listesinden ilgili videoyu izle (3/3).</x:v>
      </x:c>
      <x:c r="M1027" s="14" t="str">
        <x:v>Türkçe Ana Oynatma Listesi</x:v>
      </x:c>
      <x:c r="N1027" s="14" t="str">
        <x:v>https://www.youtube.com/watch?v=VYsPntNKVdw&amp;list=PLIBjFaUoJJ91bz7QQEBlxNJNZka5YQRr6</x:v>
      </x:c>
      <x:c r="O1027" s="14" t="n">
        <x:v>0</x:v>
      </x:c>
      <x:c r="P1027" s="14" t="str">
        <x:v>Hayır</x:v>
      </x:c>
      <x:c r="Q1027" s="14" t="str">
        <x:v>Evet</x:v>
      </x:c>
      <x:c r="R1027" s="14" t="str">
        <x:v>Planlandı</x:v>
      </x:c>
      <x:c r="S1027" s="15" t="str"/>
      <x:c r="T1027" s="14" t="str">
        <x:v>TYT etiketli kaynak temelden başlamak için sabittir; LGS dışı gereksiz ayrıntı zorunlu değildir.</x:v>
      </x:c>
    </x:row>
    <x:row r="1028">
      <x:c r="A1028" s="14" t="n">
        <x:v>1027</x:v>
      </x:c>
      <x:c r="B1028" s="15" t="n">
        <x:v>46378</x:v>
      </x:c>
      <x:c r="C1028" s="14" t="str">
        <x:v>Salı</x:v>
      </x:c>
      <x:c r="D1028" s="14" t="str">
        <x:v>Okul Günü</x:v>
      </x:c>
      <x:c r="E1028" s="14" t="str">
        <x:v>16:00 sonrası</x:v>
      </x:c>
      <x:c r="F1028" s="14" t="str">
        <x:v>F1 - Temel Kurma</x:v>
      </x:c>
      <x:c r="G1028" s="14" t="str">
        <x:v>19:40</x:v>
      </x:c>
      <x:c r="H1028" s="14" t="str">
        <x:v>20:10</x:v>
      </x:c>
      <x:c r="I1028" s="14" t="str">
        <x:v>Türkçe</x:v>
      </x:c>
      <x:c r="J1028" s="14" t="str">
        <x:v>Kitap / MEB / Mastery</x:v>
      </x:c>
      <x:c r="K1028" s="14" t="str">
        <x:v>Cümle Türleri</x:v>
      </x:c>
      <x:c r="L1028" s="14" t="str">
        <x:v>Cümle Türleri ile ilgili soru kitabından en az 15 soru / bugünkü test payını çöz. İlgili kitap konu bölümünü bu oturumda bitirmeyi hedefle; sonraki oturum MEB doğrulaması.</x:v>
      </x:c>
      <x:c r="M1028" s="14" t="str">
        <x:v>Ankara 8. Sınıf Dil Bilgisi Güçlendiren</x:v>
      </x:c>
      <x:c r="N1028" s="14" t="str">
        <x:v>https://odsgm.meb.gov.tr/www/8sinif-calisma-sorulari/icerik/1632</x:v>
      </x:c>
      <x:c r="O1028" s="14" t="n">
        <x:v>15</x:v>
      </x:c>
      <x:c r="P1028" s="14" t="str">
        <x:v>Hayır</x:v>
      </x:c>
      <x:c r="Q1028" s="14" t="str">
        <x:v>Evet</x:v>
      </x:c>
      <x:c r="R1028" s="14" t="str">
        <x:v>Planlandı</x:v>
      </x:c>
      <x:c r="S1028" s="15" t="str"/>
      <x:c r="T1028" s="14" t="str"/>
    </x:row>
    <x:row r="1029">
      <x:c r="A1029" s="14" t="n">
        <x:v>1028</x:v>
      </x:c>
      <x:c r="B1029" s="15" t="n">
        <x:v>46378</x:v>
      </x:c>
      <x:c r="C1029" s="14" t="str">
        <x:v>Salı</x:v>
      </x:c>
      <x:c r="D1029" s="14" t="str">
        <x:v>Okul Günü</x:v>
      </x:c>
      <x:c r="E1029" s="14" t="str">
        <x:v>16:00 sonrası</x:v>
      </x:c>
      <x:c r="F1029" s="14" t="str">
        <x:v>F1 - Temel Kurma</x:v>
      </x:c>
      <x:c r="G1029" s="14" t="str">
        <x:v>20:15</x:v>
      </x:c>
      <x:c r="H1029" s="14" t="str">
        <x:v>20:50</x:v>
      </x:c>
      <x:c r="I1029" s="14" t="str">
        <x:v>İnkılap</x:v>
      </x:c>
      <x:c r="J1029" s="14" t="str">
        <x:v>Konu / Tekrar</x:v>
      </x:c>
      <x:c r="K1029" s="14" t="str">
        <x:v>TBMM’ye Karşı Ayaklanmalar ve Sevr</x:v>
      </x:c>
      <x:c r="L1029" s="14" t="str">
        <x:v>TBMM’ye Karşı Ayaklanmalar ve Sevr — genel oynatma listesinden ilgili konu/soru çalışmasını yap.</x:v>
      </x:c>
      <x:c r="M1029" s="14" t="str">
        <x:v>İnkılap Genel Oynatma Listesi</x:v>
      </x:c>
      <x:c r="N1029" s="14" t="str">
        <x:v>https://www.youtube.com/watch?v=MltIX0oKpYU&amp;list=PLsAsBPsriHNbXit4Ra3iuBrk1ZHZWxsOR&amp;index=78</x:v>
      </x:c>
      <x:c r="O1029" s="14" t="n">
        <x:v>0</x:v>
      </x:c>
      <x:c r="P1029" s="14" t="str">
        <x:v>Hayır</x:v>
      </x:c>
      <x:c r="Q1029" s="14" t="str">
        <x:v>Evet</x:v>
      </x:c>
      <x:c r="R1029" s="14" t="str">
        <x:v>Planlandı</x:v>
      </x:c>
      <x:c r="S1029" s="15" t="str"/>
      <x:c r="T1029" s="14" t="str">
        <x:v>İnkılapta okul yazılısı videoları zorunlu değildir.</x:v>
      </x:c>
    </x:row>
    <x:row r="1030">
      <x:c r="A1030" s="14" t="n">
        <x:v>1029</x:v>
      </x:c>
      <x:c r="B1030" s="15" t="n">
        <x:v>46378</x:v>
      </x:c>
      <x:c r="C1030" s="14" t="str">
        <x:v>Salı</x:v>
      </x:c>
      <x:c r="D1030" s="14" t="str">
        <x:v>Okul Günü</x:v>
      </x:c>
      <x:c r="E1030" s="14" t="str">
        <x:v>16:00 sonrası</x:v>
      </x:c>
      <x:c r="F1030" s="14" t="str">
        <x:v>F1 - Temel Kurma</x:v>
      </x:c>
      <x:c r="G1030" s="14" t="str">
        <x:v>20:55</x:v>
      </x:c>
      <x:c r="H1030" s="14" t="str">
        <x:v>21:20</x:v>
      </x:c>
      <x:c r="I1030" s="14" t="str">
        <x:v>İnkılap</x:v>
      </x:c>
      <x:c r="J1030" s="14" t="str">
        <x:v>Kitap / MEB / Mastery</x:v>
      </x:c>
      <x:c r="K1030" s="14" t="str">
        <x:v>TBMM’ye Karşı Ayaklanmalar ve Sevr</x:v>
      </x:c>
      <x:c r="L1030" s="14" t="str">
        <x:v>TBMM’ye Karşı Ayaklanmalar ve Sevr ile ilgili soru kitabından en az 18 soru / bugünkü test payını çöz.</x:v>
      </x:c>
      <x:c r="M1030" s="14" t="str">
        <x:v>Hız 8. Sınıf T.C. İnkılap Tarihi ve Atatürkçülük</x:v>
      </x:c>
      <x:c r="N1030" s="14" t="str">
        <x:v>https://www.youtube.com/watch?v=MltIX0oKpYU&amp;list=PLsAsBPsriHNbXit4Ra3iuBrk1ZHZWxsOR&amp;index=78</x:v>
      </x:c>
      <x:c r="O1030" s="14" t="n">
        <x:v>18</x:v>
      </x:c>
      <x:c r="P1030" s="14" t="str">
        <x:v>Hayır</x:v>
      </x:c>
      <x:c r="Q1030" s="14" t="str">
        <x:v>Evet</x:v>
      </x:c>
      <x:c r="R1030" s="14" t="str">
        <x:v>Planlandı</x:v>
      </x:c>
      <x:c r="S1030" s="15" t="str"/>
      <x:c r="T1030" s="14" t="str"/>
    </x:row>
    <x:row r="1031">
      <x:c r="A1031" s="14" t="n">
        <x:v>1030</x:v>
      </x:c>
      <x:c r="B1031" s="15" t="n">
        <x:v>46378</x:v>
      </x:c>
      <x:c r="C1031" s="14" t="str">
        <x:v>Salı</x:v>
      </x:c>
      <x:c r="D1031" s="14" t="str">
        <x:v>Okul Günü</x:v>
      </x:c>
      <x:c r="E1031" s="14" t="str">
        <x:v>16:00 sonrası</x:v>
      </x:c>
      <x:c r="F1031" s="14" t="str">
        <x:v>F1 - Temel Kurma</x:v>
      </x:c>
      <x:c r="G1031" s="14" t="str">
        <x:v>21:20</x:v>
      </x:c>
      <x:c r="H1031" s="14" t="str">
        <x:v>21:35</x:v>
      </x:c>
      <x:c r="I1031" s="14" t="str">
        <x:v>Genel</x:v>
      </x:c>
      <x:c r="J1031" s="14" t="str">
        <x:v>Yanlış / Boş Analizi</x:v>
      </x:c>
      <x:c r="K1031" s="14" t="str">
        <x:v>Günlük</x:v>
      </x:c>
      <x:c r="L1031" s="14" t="str">
        <x:v>Bugünkü yanlış/boşları kaydet; çözümünü öğrenmeden kapatma. Hata türünü sınıflandır.</x:v>
      </x:c>
      <x:c r="M1031" s="14" t="str">
        <x:v>Yanlış Defteri</x:v>
      </x:c>
      <x:c r="N1031" s="14" t="str"/>
      <x:c r="O1031" s="14" t="n">
        <x:v>0</x:v>
      </x:c>
      <x:c r="P1031" s="14" t="str">
        <x:v>Hayır</x:v>
      </x:c>
      <x:c r="Q1031" s="14" t="str">
        <x:v>Evet</x:v>
      </x:c>
      <x:c r="R1031" s="14" t="str">
        <x:v>Planlandı</x:v>
      </x:c>
      <x:c r="S1031" s="15" t="str"/>
      <x:c r="T1031" s="14" t="str"/>
    </x:row>
    <x:row r="1032">
      <x:c r="A1032" s="14" t="n">
        <x:v>1031</x:v>
      </x:c>
      <x:c r="B1032" s="15" t="n">
        <x:v>46378</x:v>
      </x:c>
      <x:c r="C1032" s="14" t="str">
        <x:v>Salı</x:v>
      </x:c>
      <x:c r="D1032" s="14" t="str">
        <x:v>Okul Günü</x:v>
      </x:c>
      <x:c r="E1032" s="14" t="str">
        <x:v>16:00 sonrası</x:v>
      </x:c>
      <x:c r="F1032" s="14" t="str">
        <x:v>F1 - Temel Kurma</x:v>
      </x:c>
      <x:c r="G1032" s="14" t="str">
        <x:v>21:35</x:v>
      </x:c>
      <x:c r="H1032" s="14" t="str">
        <x:v>21:50</x:v>
      </x:c>
      <x:c r="I1032" s="14" t="str">
        <x:v>Genel</x:v>
      </x:c>
      <x:c r="J1032" s="14" t="str">
        <x:v>Aralıklı Hata Tekrarı</x:v>
      </x:c>
      <x:c r="K1032" s="14" t="str">
        <x:v>+1 / +7 / +21</x:v>
      </x:c>
      <x:c r="L1032" s="14" t="str">
        <x:v>Bugün vadesi gelen yanlış soruları tekrar çöz. Vadesi yoksa bu süre serbest/okuma olabilir.</x:v>
      </x:c>
      <x:c r="M1032" s="14" t="str">
        <x:v>Yanlış Defteri</x:v>
      </x:c>
      <x:c r="N1032" s="14" t="str"/>
      <x:c r="O1032" s="14" t="n">
        <x:v>0</x:v>
      </x:c>
      <x:c r="P1032" s="14" t="str">
        <x:v>Hayır</x:v>
      </x:c>
      <x:c r="Q1032" s="14" t="str">
        <x:v>Koşullu</x:v>
      </x:c>
      <x:c r="R1032" s="14" t="str">
        <x:v>Planlandı</x:v>
      </x:c>
      <x:c r="S1032" s="15" t="str"/>
      <x:c r="T1032" s="14" t="str">
        <x:v>Yanlışlar +1, +7 ve +21 gün aralıklarıyla tekrar edilir; hâlâ yanlışsa konu mastery durumu düşürülür.</x:v>
      </x:c>
    </x:row>
    <x:row r="1033">
      <x:c r="A1033" s="14" t="n">
        <x:v>1032</x:v>
      </x:c>
      <x:c r="B1033" s="15" t="n">
        <x:v>46378</x:v>
      </x:c>
      <x:c r="C1033" s="14" t="str">
        <x:v>Salı</x:v>
      </x:c>
      <x:c r="D1033" s="14" t="str">
        <x:v>Okul Günü</x:v>
      </x:c>
      <x:c r="E1033" s="14" t="str">
        <x:v>16:00 sonrası</x:v>
      </x:c>
      <x:c r="F1033" s="14" t="str">
        <x:v>F1 - Temel Kurma</x:v>
      </x:c>
      <x:c r="G1033" s="14" t="str">
        <x:v>21:50</x:v>
      </x:c>
      <x:c r="H1033" s="14" t="str">
        <x:v>22:00</x:v>
      </x:c>
      <x:c r="I1033" s="14" t="str">
        <x:v>Genel</x:v>
      </x:c>
      <x:c r="J1033" s="14" t="str">
        <x:v>Uyku Hazırlığı</x:v>
      </x:c>
      <x:c r="K1033" s="14" t="str"/>
      <x:c r="L1033" s="14" t="str">
        <x:v>22:00'de yatakta ve uyku.</x:v>
      </x:c>
      <x:c r="M1033" s="14" t="str"/>
      <x:c r="N1033" s="14" t="str"/>
      <x:c r="O1033" s="14" t="n">
        <x:v>0</x:v>
      </x:c>
      <x:c r="P1033" s="14" t="str">
        <x:v>Hayır</x:v>
      </x:c>
      <x:c r="Q1033" s="14" t="str">
        <x:v>Hayır</x:v>
      </x:c>
      <x:c r="R1033" s="14" t="str">
        <x:v>Planlandı</x:v>
      </x:c>
      <x:c r="S1033" s="15" t="str"/>
      <x:c r="T1033" s="14" t="str"/>
    </x:row>
    <x:row r="1034">
      <x:c r="A1034" s="14" t="n">
        <x:v>1033</x:v>
      </x:c>
      <x:c r="B1034" s="15" t="n">
        <x:v>46379</x:v>
      </x:c>
      <x:c r="C1034" s="14" t="str">
        <x:v>Çarşamba</x:v>
      </x:c>
      <x:c r="D1034" s="14" t="str">
        <x:v>Okul Günü</x:v>
      </x:c>
      <x:c r="E1034" s="14" t="str">
        <x:v>16:00 sonrası</x:v>
      </x:c>
      <x:c r="F1034" s="14" t="str">
        <x:v>F1 - Temel Kurma</x:v>
      </x:c>
      <x:c r="G1034" s="14" t="str">
        <x:v>16:00</x:v>
      </x:c>
      <x:c r="H1034" s="14" t="str">
        <x:v>16:25</x:v>
      </x:c>
      <x:c r="I1034" s="14" t="str">
        <x:v>Genel</x:v>
      </x:c>
      <x:c r="J1034" s="14" t="str">
        <x:v>Dinlenme</x:v>
      </x:c>
      <x:c r="K1034" s="14" t="str"/>
      <x:c r="L1034" s="14" t="str">
        <x:v>Eve geliş, atıştırma ve dinlenme.</x:v>
      </x:c>
      <x:c r="M1034" s="14" t="str"/>
      <x:c r="N1034" s="14" t="str"/>
      <x:c r="O1034" s="14" t="n">
        <x:v>0</x:v>
      </x:c>
      <x:c r="P1034" s="14" t="str">
        <x:v>Hayır</x:v>
      </x:c>
      <x:c r="Q1034" s="14" t="str">
        <x:v>Hayır</x:v>
      </x:c>
      <x:c r="R1034" s="14" t="str">
        <x:v>Planlandı</x:v>
      </x:c>
      <x:c r="S1034" s="15" t="str"/>
      <x:c r="T1034" s="14" t="str"/>
    </x:row>
    <x:row r="1035">
      <x:c r="A1035" s="14" t="n">
        <x:v>1034</x:v>
      </x:c>
      <x:c r="B1035" s="15" t="n">
        <x:v>46379</x:v>
      </x:c>
      <x:c r="C1035" s="14" t="str">
        <x:v>Çarşamba</x:v>
      </x:c>
      <x:c r="D1035" s="14" t="str">
        <x:v>Okul Günü</x:v>
      </x:c>
      <x:c r="E1035" s="14" t="str">
        <x:v>16:00 sonrası</x:v>
      </x:c>
      <x:c r="F1035" s="14" t="str">
        <x:v>F1 - Temel Kurma</x:v>
      </x:c>
      <x:c r="G1035" s="14" t="str">
        <x:v>16:25</x:v>
      </x:c>
      <x:c r="H1035" s="14" t="str">
        <x:v>17:05</x:v>
      </x:c>
      <x:c r="I1035" s="14" t="str">
        <x:v>Matematik</x:v>
      </x:c>
      <x:c r="J1035" s="14" t="str">
        <x:v>Konu / Tekrar</x:v>
      </x:c>
      <x:c r="K1035" s="14" t="str">
        <x:v>Veri Analizi</x:v>
      </x:c>
      <x:c r="L1035" s="14" t="str">
        <x:v>Veri Analizi — genel oynatma listesinden ilgili videoyu izle (1/2).</x:v>
      </x:c>
      <x:c r="M1035" s="14" t="str">
        <x:v>Matematik Ana Oynatma Listesi</x:v>
      </x:c>
      <x:c r="N1035" s="14" t="str">
        <x:v>https://www.youtube.com/watch?v=EuJ89QzqrAg&amp;list=PLicNtF7vp6fnfDqrRLH6H7fIbzYT4ct4F&amp;index=11</x:v>
      </x:c>
      <x:c r="O1035" s="14" t="n">
        <x:v>0</x:v>
      </x:c>
      <x:c r="P1035" s="14" t="str">
        <x:v>Hayır</x:v>
      </x:c>
      <x:c r="Q1035" s="14" t="str">
        <x:v>Evet</x:v>
      </x:c>
      <x:c r="R1035" s="14" t="str">
        <x:v>Planlandı</x:v>
      </x:c>
      <x:c r="S1035" s="15" t="str"/>
      <x:c r="T1035" s="14" t="str">
        <x:v>Yeni konu ancak plan sırasıyla açılır; LGS dışı ileri TYT içeriği zorunlu değildir.</x:v>
      </x:c>
    </x:row>
    <x:row r="1036">
      <x:c r="A1036" s="14" t="n">
        <x:v>1035</x:v>
      </x:c>
      <x:c r="B1036" s="15" t="n">
        <x:v>46379</x:v>
      </x:c>
      <x:c r="C1036" s="14" t="str">
        <x:v>Çarşamba</x:v>
      </x:c>
      <x:c r="D1036" s="14" t="str">
        <x:v>Okul Günü</x:v>
      </x:c>
      <x:c r="E1036" s="14" t="str">
        <x:v>16:00 sonrası</x:v>
      </x:c>
      <x:c r="F1036" s="14" t="str">
        <x:v>F1 - Temel Kurma</x:v>
      </x:c>
      <x:c r="G1036" s="14" t="str">
        <x:v>17:10</x:v>
      </x:c>
      <x:c r="H1036" s="14" t="str">
        <x:v>17:55</x:v>
      </x:c>
      <x:c r="I1036" s="14" t="str">
        <x:v>Matematik</x:v>
      </x:c>
      <x:c r="J1036" s="14" t="str">
        <x:v>Kitap / MEB / Mastery</x:v>
      </x:c>
      <x:c r="K1036" s="14" t="str">
        <x:v>Veri Analizi</x:v>
      </x:c>
      <x:c r="L1036" s="14" t="str">
        <x:v>Veri Analizi ile ilgili soru kitabından en az 25 soru / bugünkü test payını çöz.</x:v>
      </x:c>
      <x:c r="M1036" s="14" t="str">
        <x:v>MUBA 8. Sınıf Başlangıç Matematik (ISBN 9789756526972); tamamlandıysa Mozaik 8. Sınıf Matematik</x:v>
      </x:c>
      <x:c r="N1036" s="14" t="str">
        <x:v>https://odsgm.meb.gov.tr/www/8sinif-calisma-sorulari/icerik/1632</x:v>
      </x:c>
      <x:c r="O1036" s="14" t="n">
        <x:v>25</x:v>
      </x:c>
      <x:c r="P1036" s="14" t="str">
        <x:v>İlk 20 soru</x:v>
      </x:c>
      <x:c r="Q1036" s="14" t="str">
        <x:v>Evet</x:v>
      </x:c>
      <x:c r="R1036" s="14" t="str">
        <x:v>Planlandı</x:v>
      </x:c>
      <x:c r="S1036" s="15" t="str"/>
      <x:c r="T1036" s="14" t="str">
        <x:v>Ayrı/rastgele matematik benchmark yoktur. Süreli ilk 20 soru o gün çalışılan konunun içindedir.</x:v>
      </x:c>
    </x:row>
    <x:row r="1037">
      <x:c r="A1037" s="14" t="n">
        <x:v>1036</x:v>
      </x:c>
      <x:c r="B1037" s="15" t="n">
        <x:v>46379</x:v>
      </x:c>
      <x:c r="C1037" s="14" t="str">
        <x:v>Çarşamba</x:v>
      </x:c>
      <x:c r="D1037" s="14" t="str">
        <x:v>Okul Günü</x:v>
      </x:c>
      <x:c r="E1037" s="14" t="str">
        <x:v>16:00 sonrası</x:v>
      </x:c>
      <x:c r="F1037" s="14" t="str">
        <x:v>F1 - Temel Kurma</x:v>
      </x:c>
      <x:c r="G1037" s="14" t="str">
        <x:v>17:55</x:v>
      </x:c>
      <x:c r="H1037" s="14" t="str">
        <x:v>18:25</x:v>
      </x:c>
      <x:c r="I1037" s="14" t="str">
        <x:v>Genel</x:v>
      </x:c>
      <x:c r="J1037" s="14" t="str">
        <x:v>Yemek / Serbest Zaman</x:v>
      </x:c>
      <x:c r="K1037" s="14" t="str"/>
      <x:c r="L1037" s="14" t="str">
        <x:v>Yemek, hareket ve dinlenme.</x:v>
      </x:c>
      <x:c r="M1037" s="14" t="str"/>
      <x:c r="N1037" s="14" t="str"/>
      <x:c r="O1037" s="14" t="n">
        <x:v>0</x:v>
      </x:c>
      <x:c r="P1037" s="14" t="str">
        <x:v>Hayır</x:v>
      </x:c>
      <x:c r="Q1037" s="14" t="str">
        <x:v>Hayır</x:v>
      </x:c>
      <x:c r="R1037" s="14" t="str">
        <x:v>Planlandı</x:v>
      </x:c>
      <x:c r="S1037" s="15" t="str"/>
      <x:c r="T1037" s="14" t="str"/>
    </x:row>
    <x:row r="1038">
      <x:c r="A1038" s="14" t="n">
        <x:v>1037</x:v>
      </x:c>
      <x:c r="B1038" s="15" t="n">
        <x:v>46379</x:v>
      </x:c>
      <x:c r="C1038" s="14" t="str">
        <x:v>Çarşamba</x:v>
      </x:c>
      <x:c r="D1038" s="14" t="str">
        <x:v>Okul Günü</x:v>
      </x:c>
      <x:c r="E1038" s="14" t="str">
        <x:v>16:00 sonrası</x:v>
      </x:c>
      <x:c r="F1038" s="14" t="str">
        <x:v>F1 - Temel Kurma</x:v>
      </x:c>
      <x:c r="G1038" s="14" t="str">
        <x:v>18:25</x:v>
      </x:c>
      <x:c r="H1038" s="14" t="str">
        <x:v>18:55</x:v>
      </x:c>
      <x:c r="I1038" s="14" t="str">
        <x:v>Türkçe</x:v>
      </x:c>
      <x:c r="J1038" s="14" t="str">
        <x:v>Paragraf Rutini</x:v>
      </x:c>
      <x:c r="K1038" s="14" t="str">
        <x:v>Paragraf</x:v>
      </x:c>
      <x:c r="L1038" s="14" t="str">
        <x:v>En az 25 paragraf sorusu çöz; ilk 20 soruyu ileri sayımla ölç, D/Y/B + süre kaydet.</x:v>
      </x:c>
      <x:c r="M1038" s="14" t="str">
        <x:v>Hız 8. Sınıf Türkçe Paragraf (ISBN 9786258394498)</x:v>
      </x:c>
      <x:c r="N1038" s="14" t="str"/>
      <x:c r="O1038" s="14" t="n">
        <x:v>25</x:v>
      </x:c>
      <x:c r="P1038" s="14" t="str">
        <x:v>İlk 20 soru</x:v>
      </x:c>
      <x:c r="Q1038" s="14" t="str">
        <x:v>Evet</x:v>
      </x:c>
      <x:c r="R1038" s="14" t="str">
        <x:v>Planlandı</x:v>
      </x:c>
      <x:c r="S1038" s="15" t="str"/>
      <x:c r="T1038" s="14" t="str">
        <x:v>Geri sayım ve hedef süre yok.</x:v>
      </x:c>
    </x:row>
    <x:row r="1039">
      <x:c r="A1039" s="14" t="n">
        <x:v>1038</x:v>
      </x:c>
      <x:c r="B1039" s="15" t="n">
        <x:v>46379</x:v>
      </x:c>
      <x:c r="C1039" s="14" t="str">
        <x:v>Çarşamba</x:v>
      </x:c>
      <x:c r="D1039" s="14" t="str">
        <x:v>Okul Günü</x:v>
      </x:c>
      <x:c r="E1039" s="14" t="str">
        <x:v>16:00 sonrası</x:v>
      </x:c>
      <x:c r="F1039" s="14" t="str">
        <x:v>F1 - Temel Kurma</x:v>
      </x:c>
      <x:c r="G1039" s="14" t="str">
        <x:v>19:00</x:v>
      </x:c>
      <x:c r="H1039" s="14" t="str">
        <x:v>19:35</x:v>
      </x:c>
      <x:c r="I1039" s="14" t="str">
        <x:v>Türkçe</x:v>
      </x:c>
      <x:c r="J1039" s="14" t="str">
        <x:v>Konu / Tekrar</x:v>
      </x:c>
      <x:c r="K1039" s="14" t="str">
        <x:v>Cümle Türleri</x:v>
      </x:c>
      <x:c r="L1039" s="14" t="str">
        <x:v>Cümle Türleri — MEB doğrulaması öncesi 5-10 dk aktif hatırlama; gerekiyorsa ilgili playlist videosuna kısa dönüş yap.</x:v>
      </x:c>
      <x:c r="M1039" s="14" t="str">
        <x:v>Türkçe Ana Oynatma Listesi</x:v>
      </x:c>
      <x:c r="N1039" s="14" t="str">
        <x:v>https://www.youtube.com/watch?v=VYsPntNKVdw&amp;list=PLIBjFaUoJJ91bz7QQEBlxNJNZka5YQRr6</x:v>
      </x:c>
      <x:c r="O1039" s="14" t="n">
        <x:v>0</x:v>
      </x:c>
      <x:c r="P1039" s="14" t="str">
        <x:v>Hayır</x:v>
      </x:c>
      <x:c r="Q1039" s="14" t="str">
        <x:v>Evet</x:v>
      </x:c>
      <x:c r="R1039" s="14" t="str">
        <x:v>Planlandı</x:v>
      </x:c>
      <x:c r="S1039" s="15" t="str"/>
      <x:c r="T1039" s="14" t="str">
        <x:v>TYT etiketli kaynak temelden başlamak için sabittir; LGS dışı gereksiz ayrıntı zorunlu değildir.</x:v>
      </x:c>
    </x:row>
    <x:row r="1040">
      <x:c r="A1040" s="14" t="n">
        <x:v>1039</x:v>
      </x:c>
      <x:c r="B1040" s="15" t="n">
        <x:v>46379</x:v>
      </x:c>
      <x:c r="C1040" s="14" t="str">
        <x:v>Çarşamba</x:v>
      </x:c>
      <x:c r="D1040" s="14" t="str">
        <x:v>Okul Günü</x:v>
      </x:c>
      <x:c r="E1040" s="14" t="str">
        <x:v>16:00 sonrası</x:v>
      </x:c>
      <x:c r="F1040" s="14" t="str">
        <x:v>F1 - Temel Kurma</x:v>
      </x:c>
      <x:c r="G1040" s="14" t="str">
        <x:v>19:40</x:v>
      </x:c>
      <x:c r="H1040" s="14" t="str">
        <x:v>20:10</x:v>
      </x:c>
      <x:c r="I1040" s="14" t="str">
        <x:v>Türkçe</x:v>
      </x:c>
      <x:c r="J1040" s="14" t="str">
        <x:v>Kitap / MEB / Mastery</x:v>
      </x:c>
      <x:c r="K1040" s="14" t="str">
        <x:v>Cümle Türleri</x:v>
      </x:c>
      <x:c r="L1040" s="14" t="str">
        <x:v>Cümle Türleri için ilgili MEB sorularını TAMAMLA; D/Y/B kaydet. Bu oturum konu mastery gate'idir.</x:v>
      </x:c>
      <x:c r="M1040" s="14" t="str">
        <x:v>MEB Resmî Soru Seti</x:v>
      </x:c>
      <x:c r="N1040" s="14" t="str">
        <x:v>https://odsgm.meb.gov.tr/www/8sinif-calisma-sorulari/icerik/1632</x:v>
      </x:c>
      <x:c r="O1040" s="14" t="n">
        <x:v>0</x:v>
      </x:c>
      <x:c r="P1040" s="14" t="str">
        <x:v>Hayır</x:v>
      </x:c>
      <x:c r="Q1040" s="14" t="str">
        <x:v>Evet</x:v>
      </x:c>
      <x:c r="R1040" s="14" t="str">
        <x:v>Planlandı</x:v>
      </x:c>
      <x:c r="S1040" s="15" t="str"/>
      <x:c r="T1040" s="14" t="str">
        <x:v>MEB sonucu Konu_Ustaligi sayfasına işlenir.</x:v>
      </x:c>
    </x:row>
    <x:row r="1041">
      <x:c r="A1041" s="14" t="n">
        <x:v>1040</x:v>
      </x:c>
      <x:c r="B1041" s="15" t="n">
        <x:v>46379</x:v>
      </x:c>
      <x:c r="C1041" s="14" t="str">
        <x:v>Çarşamba</x:v>
      </x:c>
      <x:c r="D1041" s="14" t="str">
        <x:v>Okul Günü</x:v>
      </x:c>
      <x:c r="E1041" s="14" t="str">
        <x:v>16:00 sonrası</x:v>
      </x:c>
      <x:c r="F1041" s="14" t="str">
        <x:v>F1 - Temel Kurma</x:v>
      </x:c>
      <x:c r="G1041" s="14" t="str">
        <x:v>20:15</x:v>
      </x:c>
      <x:c r="H1041" s="14" t="str">
        <x:v>20:50</x:v>
      </x:c>
      <x:c r="I1041" s="14" t="str">
        <x:v>İngilizce</x:v>
      </x:c>
      <x:c r="J1041" s="14" t="str">
        <x:v>Konu / Tekrar</x:v>
      </x:c>
      <x:c r="K1041" s="14" t="str">
        <x:v>Unit 6 - Adventures</x:v>
      </x:c>
      <x:c r="L1041" s="14" t="str">
        <x:v>Unit 6 - Adventures — Content çalışmasını playlistten yap.</x:v>
      </x:c>
      <x:c r="M1041" s="14" t="str">
        <x:v>İngilizce Genel Oynatma Listesi</x:v>
      </x:c>
      <x:c r="N1041" s="14" t="str">
        <x:v>https://www.youtube.com/watch?v=FaY3dFjZbns&amp;list=PLSgpQDrUSYp94WgE9pzpHiOG5FwxnZBrr</x:v>
      </x:c>
      <x:c r="O1041" s="14" t="n">
        <x:v>0</x:v>
      </x:c>
      <x:c r="P1041" s="14" t="str">
        <x:v>Hayır</x:v>
      </x:c>
      <x:c r="Q1041" s="14" t="str">
        <x:v>Evet</x:v>
      </x:c>
      <x:c r="R1041" s="14" t="str">
        <x:v>Planlandı</x:v>
      </x:c>
      <x:c r="S1041" s="15" t="str"/>
      <x:c r="T1041" s="14" t="str"/>
    </x:row>
    <x:row r="1042">
      <x:c r="A1042" s="14" t="n">
        <x:v>1041</x:v>
      </x:c>
      <x:c r="B1042" s="15" t="n">
        <x:v>46379</x:v>
      </x:c>
      <x:c r="C1042" s="14" t="str">
        <x:v>Çarşamba</x:v>
      </x:c>
      <x:c r="D1042" s="14" t="str">
        <x:v>Okul Günü</x:v>
      </x:c>
      <x:c r="E1042" s="14" t="str">
        <x:v>16:00 sonrası</x:v>
      </x:c>
      <x:c r="F1042" s="14" t="str">
        <x:v>F1 - Temel Kurma</x:v>
      </x:c>
      <x:c r="G1042" s="14" t="str">
        <x:v>20:55</x:v>
      </x:c>
      <x:c r="H1042" s="14" t="str">
        <x:v>21:20</x:v>
      </x:c>
      <x:c r="I1042" s="14" t="str">
        <x:v>İngilizce</x:v>
      </x:c>
      <x:c r="J1042" s="14" t="str">
        <x:v>Kitap / MEB / Mastery</x:v>
      </x:c>
      <x:c r="K1042" s="14" t="str">
        <x:v>Unit 6 - Adventures</x:v>
      </x:c>
      <x:c r="L1042" s="14" t="str">
        <x:v>Unit 6 - Adventures ile ilgili soru kitabından en az 18 soru / bugünkü test payını çöz.</x:v>
      </x:c>
      <x:c r="M1042" s="14" t="str">
        <x:v>More &amp; More 8 Worksheets Notebook</x:v>
      </x:c>
      <x:c r="N1042" s="14" t="str">
        <x:v>https://www.youtube.com/watch?v=FaY3dFjZbns&amp;list=PLSgpQDrUSYp94WgE9pzpHiOG5FwxnZBrr</x:v>
      </x:c>
      <x:c r="O1042" s="14" t="n">
        <x:v>18</x:v>
      </x:c>
      <x:c r="P1042" s="14" t="str">
        <x:v>Hayır</x:v>
      </x:c>
      <x:c r="Q1042" s="14" t="str">
        <x:v>Evet</x:v>
      </x:c>
      <x:c r="R1042" s="14" t="str">
        <x:v>Planlandı</x:v>
      </x:c>
      <x:c r="S1042" s="15" t="str"/>
      <x:c r="T1042" s="14" t="str"/>
    </x:row>
    <x:row r="1043">
      <x:c r="A1043" s="14" t="n">
        <x:v>1042</x:v>
      </x:c>
      <x:c r="B1043" s="15" t="n">
        <x:v>46379</x:v>
      </x:c>
      <x:c r="C1043" s="14" t="str">
        <x:v>Çarşamba</x:v>
      </x:c>
      <x:c r="D1043" s="14" t="str">
        <x:v>Okul Günü</x:v>
      </x:c>
      <x:c r="E1043" s="14" t="str">
        <x:v>16:00 sonrası</x:v>
      </x:c>
      <x:c r="F1043" s="14" t="str">
        <x:v>F1 - Temel Kurma</x:v>
      </x:c>
      <x:c r="G1043" s="14" t="str">
        <x:v>21:20</x:v>
      </x:c>
      <x:c r="H1043" s="14" t="str">
        <x:v>21:35</x:v>
      </x:c>
      <x:c r="I1043" s="14" t="str">
        <x:v>Genel</x:v>
      </x:c>
      <x:c r="J1043" s="14" t="str">
        <x:v>Yanlış / Boş Analizi</x:v>
      </x:c>
      <x:c r="K1043" s="14" t="str">
        <x:v>Günlük</x:v>
      </x:c>
      <x:c r="L1043" s="14" t="str">
        <x:v>Bugünkü yanlış/boşları kaydet; çözümünü öğrenmeden kapatma. Hata türünü sınıflandır.</x:v>
      </x:c>
      <x:c r="M1043" s="14" t="str">
        <x:v>Yanlış Defteri</x:v>
      </x:c>
      <x:c r="N1043" s="14" t="str"/>
      <x:c r="O1043" s="14" t="n">
        <x:v>0</x:v>
      </x:c>
      <x:c r="P1043" s="14" t="str">
        <x:v>Hayır</x:v>
      </x:c>
      <x:c r="Q1043" s="14" t="str">
        <x:v>Evet</x:v>
      </x:c>
      <x:c r="R1043" s="14" t="str">
        <x:v>Planlandı</x:v>
      </x:c>
      <x:c r="S1043" s="15" t="str"/>
      <x:c r="T1043" s="14" t="str"/>
    </x:row>
    <x:row r="1044">
      <x:c r="A1044" s="14" t="n">
        <x:v>1043</x:v>
      </x:c>
      <x:c r="B1044" s="15" t="n">
        <x:v>46379</x:v>
      </x:c>
      <x:c r="C1044" s="14" t="str">
        <x:v>Çarşamba</x:v>
      </x:c>
      <x:c r="D1044" s="14" t="str">
        <x:v>Okul Günü</x:v>
      </x:c>
      <x:c r="E1044" s="14" t="str">
        <x:v>16:00 sonrası</x:v>
      </x:c>
      <x:c r="F1044" s="14" t="str">
        <x:v>F1 - Temel Kurma</x:v>
      </x:c>
      <x:c r="G1044" s="14" t="str">
        <x:v>21:35</x:v>
      </x:c>
      <x:c r="H1044" s="14" t="str">
        <x:v>21:50</x:v>
      </x:c>
      <x:c r="I1044" s="14" t="str">
        <x:v>Genel</x:v>
      </x:c>
      <x:c r="J1044" s="14" t="str">
        <x:v>Aralıklı Hata Tekrarı</x:v>
      </x:c>
      <x:c r="K1044" s="14" t="str">
        <x:v>+1 / +7 / +21</x:v>
      </x:c>
      <x:c r="L1044" s="14" t="str">
        <x:v>Bugün vadesi gelen yanlış soruları tekrar çöz. Vadesi yoksa bu süre serbest/okuma olabilir.</x:v>
      </x:c>
      <x:c r="M1044" s="14" t="str">
        <x:v>Yanlış Defteri</x:v>
      </x:c>
      <x:c r="N1044" s="14" t="str"/>
      <x:c r="O1044" s="14" t="n">
        <x:v>0</x:v>
      </x:c>
      <x:c r="P1044" s="14" t="str">
        <x:v>Hayır</x:v>
      </x:c>
      <x:c r="Q1044" s="14" t="str">
        <x:v>Koşullu</x:v>
      </x:c>
      <x:c r="R1044" s="14" t="str">
        <x:v>Planlandı</x:v>
      </x:c>
      <x:c r="S1044" s="15" t="str"/>
      <x:c r="T1044" s="14" t="str">
        <x:v>Yanlışlar +1, +7 ve +21 gün aralıklarıyla tekrar edilir; hâlâ yanlışsa konu mastery durumu düşürülür.</x:v>
      </x:c>
    </x:row>
    <x:row r="1045">
      <x:c r="A1045" s="14" t="n">
        <x:v>1044</x:v>
      </x:c>
      <x:c r="B1045" s="15" t="n">
        <x:v>46379</x:v>
      </x:c>
      <x:c r="C1045" s="14" t="str">
        <x:v>Çarşamba</x:v>
      </x:c>
      <x:c r="D1045" s="14" t="str">
        <x:v>Okul Günü</x:v>
      </x:c>
      <x:c r="E1045" s="14" t="str">
        <x:v>16:00 sonrası</x:v>
      </x:c>
      <x:c r="F1045" s="14" t="str">
        <x:v>F1 - Temel Kurma</x:v>
      </x:c>
      <x:c r="G1045" s="14" t="str">
        <x:v>21:50</x:v>
      </x:c>
      <x:c r="H1045" s="14" t="str">
        <x:v>22:00</x:v>
      </x:c>
      <x:c r="I1045" s="14" t="str">
        <x:v>Genel</x:v>
      </x:c>
      <x:c r="J1045" s="14" t="str">
        <x:v>Uyku Hazırlığı</x:v>
      </x:c>
      <x:c r="K1045" s="14" t="str"/>
      <x:c r="L1045" s="14" t="str">
        <x:v>22:00'de yatakta ve uyku.</x:v>
      </x:c>
      <x:c r="M1045" s="14" t="str"/>
      <x:c r="N1045" s="14" t="str"/>
      <x:c r="O1045" s="14" t="n">
        <x:v>0</x:v>
      </x:c>
      <x:c r="P1045" s="14" t="str">
        <x:v>Hayır</x:v>
      </x:c>
      <x:c r="Q1045" s="14" t="str">
        <x:v>Hayır</x:v>
      </x:c>
      <x:c r="R1045" s="14" t="str">
        <x:v>Planlandı</x:v>
      </x:c>
      <x:c r="S1045" s="15" t="str"/>
      <x:c r="T1045" s="14" t="str"/>
    </x:row>
    <x:row r="1046">
      <x:c r="A1046" s="14" t="n">
        <x:v>1045</x:v>
      </x:c>
      <x:c r="B1046" s="15" t="n">
        <x:v>46380</x:v>
      </x:c>
      <x:c r="C1046" s="14" t="str">
        <x:v>Perşembe</x:v>
      </x:c>
      <x:c r="D1046" s="14" t="str">
        <x:v>Okul Günü</x:v>
      </x:c>
      <x:c r="E1046" s="14" t="str">
        <x:v>16:00 sonrası</x:v>
      </x:c>
      <x:c r="F1046" s="14" t="str">
        <x:v>F1 - Temel Kurma</x:v>
      </x:c>
      <x:c r="G1046" s="14" t="str">
        <x:v>16:00</x:v>
      </x:c>
      <x:c r="H1046" s="14" t="str">
        <x:v>16:25</x:v>
      </x:c>
      <x:c r="I1046" s="14" t="str">
        <x:v>Genel</x:v>
      </x:c>
      <x:c r="J1046" s="14" t="str">
        <x:v>Dinlenme</x:v>
      </x:c>
      <x:c r="K1046" s="14" t="str"/>
      <x:c r="L1046" s="14" t="str">
        <x:v>Eve geliş, atıştırma ve dinlenme.</x:v>
      </x:c>
      <x:c r="M1046" s="14" t="str"/>
      <x:c r="N1046" s="14" t="str"/>
      <x:c r="O1046" s="14" t="n">
        <x:v>0</x:v>
      </x:c>
      <x:c r="P1046" s="14" t="str">
        <x:v>Hayır</x:v>
      </x:c>
      <x:c r="Q1046" s="14" t="str">
        <x:v>Hayır</x:v>
      </x:c>
      <x:c r="R1046" s="14" t="str">
        <x:v>Planlandı</x:v>
      </x:c>
      <x:c r="S1046" s="15" t="str"/>
      <x:c r="T1046" s="14" t="str"/>
    </x:row>
    <x:row r="1047">
      <x:c r="A1047" s="14" t="n">
        <x:v>1046</x:v>
      </x:c>
      <x:c r="B1047" s="15" t="n">
        <x:v>46380</x:v>
      </x:c>
      <x:c r="C1047" s="14" t="str">
        <x:v>Perşembe</x:v>
      </x:c>
      <x:c r="D1047" s="14" t="str">
        <x:v>Okul Günü</x:v>
      </x:c>
      <x:c r="E1047" s="14" t="str">
        <x:v>16:00 sonrası</x:v>
      </x:c>
      <x:c r="F1047" s="14" t="str">
        <x:v>F1 - Temel Kurma</x:v>
      </x:c>
      <x:c r="G1047" s="14" t="str">
        <x:v>16:25</x:v>
      </x:c>
      <x:c r="H1047" s="14" t="str">
        <x:v>17:05</x:v>
      </x:c>
      <x:c r="I1047" s="14" t="str">
        <x:v>Matematik</x:v>
      </x:c>
      <x:c r="J1047" s="14" t="str">
        <x:v>Konu / Tekrar</x:v>
      </x:c>
      <x:c r="K1047" s="14" t="str">
        <x:v>Veri Analizi</x:v>
      </x:c>
      <x:c r="L1047" s="14" t="str">
        <x:v>Veri Analizi — genel oynatma listesinden ilgili videoyu izle (2/2).</x:v>
      </x:c>
      <x:c r="M1047" s="14" t="str">
        <x:v>Matematik Ana Oynatma Listesi</x:v>
      </x:c>
      <x:c r="N1047" s="14" t="str">
        <x:v>https://www.youtube.com/watch?v=EuJ89QzqrAg&amp;list=PLicNtF7vp6fnfDqrRLH6H7fIbzYT4ct4F&amp;index=11</x:v>
      </x:c>
      <x:c r="O1047" s="14" t="n">
        <x:v>0</x:v>
      </x:c>
      <x:c r="P1047" s="14" t="str">
        <x:v>Hayır</x:v>
      </x:c>
      <x:c r="Q1047" s="14" t="str">
        <x:v>Evet</x:v>
      </x:c>
      <x:c r="R1047" s="14" t="str">
        <x:v>Planlandı</x:v>
      </x:c>
      <x:c r="S1047" s="15" t="str"/>
      <x:c r="T1047" s="14" t="str">
        <x:v>Yeni konu ancak plan sırasıyla açılır; LGS dışı ileri TYT içeriği zorunlu değildir.</x:v>
      </x:c>
    </x:row>
    <x:row r="1048">
      <x:c r="A1048" s="14" t="n">
        <x:v>1047</x:v>
      </x:c>
      <x:c r="B1048" s="15" t="n">
        <x:v>46380</x:v>
      </x:c>
      <x:c r="C1048" s="14" t="str">
        <x:v>Perşembe</x:v>
      </x:c>
      <x:c r="D1048" s="14" t="str">
        <x:v>Okul Günü</x:v>
      </x:c>
      <x:c r="E1048" s="14" t="str">
        <x:v>16:00 sonrası</x:v>
      </x:c>
      <x:c r="F1048" s="14" t="str">
        <x:v>F1 - Temel Kurma</x:v>
      </x:c>
      <x:c r="G1048" s="14" t="str">
        <x:v>17:10</x:v>
      </x:c>
      <x:c r="H1048" s="14" t="str">
        <x:v>17:55</x:v>
      </x:c>
      <x:c r="I1048" s="14" t="str">
        <x:v>Matematik</x:v>
      </x:c>
      <x:c r="J1048" s="14" t="str">
        <x:v>Kitap / MEB / Mastery</x:v>
      </x:c>
      <x:c r="K1048" s="14" t="str">
        <x:v>Veri Analizi</x:v>
      </x:c>
      <x:c r="L1048" s="14" t="str">
        <x:v>Veri Analizi ile ilgili soru kitabından en az 25 soru / bugünkü test payını çöz. İlgili kitap konu bölümünü bu oturumda bitirmeyi hedefle; sonraki oturum MEB doğrulaması.</x:v>
      </x:c>
      <x:c r="M1048" s="14" t="str">
        <x:v>MUBA 8. Sınıf Başlangıç Matematik (ISBN 9789756526972); tamamlandıysa Mozaik 8. Sınıf Matematik</x:v>
      </x:c>
      <x:c r="N1048" s="14" t="str">
        <x:v>https://odsgm.meb.gov.tr/www/8sinif-calisma-sorulari/icerik/1632</x:v>
      </x:c>
      <x:c r="O1048" s="14" t="n">
        <x:v>25</x:v>
      </x:c>
      <x:c r="P1048" s="14" t="str">
        <x:v>İlk 20 soru</x:v>
      </x:c>
      <x:c r="Q1048" s="14" t="str">
        <x:v>Evet</x:v>
      </x:c>
      <x:c r="R1048" s="14" t="str">
        <x:v>Planlandı</x:v>
      </x:c>
      <x:c r="S1048" s="15" t="str"/>
      <x:c r="T1048" s="14" t="str">
        <x:v>Ayrı/rastgele matematik benchmark yoktur. Süreli ilk 20 soru o gün çalışılan konunun içindedir.</x:v>
      </x:c>
    </x:row>
    <x:row r="1049">
      <x:c r="A1049" s="14" t="n">
        <x:v>1048</x:v>
      </x:c>
      <x:c r="B1049" s="15" t="n">
        <x:v>46380</x:v>
      </x:c>
      <x:c r="C1049" s="14" t="str">
        <x:v>Perşembe</x:v>
      </x:c>
      <x:c r="D1049" s="14" t="str">
        <x:v>Okul Günü</x:v>
      </x:c>
      <x:c r="E1049" s="14" t="str">
        <x:v>16:00 sonrası</x:v>
      </x:c>
      <x:c r="F1049" s="14" t="str">
        <x:v>F1 - Temel Kurma</x:v>
      </x:c>
      <x:c r="G1049" s="14" t="str">
        <x:v>17:55</x:v>
      </x:c>
      <x:c r="H1049" s="14" t="str">
        <x:v>18:25</x:v>
      </x:c>
      <x:c r="I1049" s="14" t="str">
        <x:v>Genel</x:v>
      </x:c>
      <x:c r="J1049" s="14" t="str">
        <x:v>Yemek / Serbest Zaman</x:v>
      </x:c>
      <x:c r="K1049" s="14" t="str"/>
      <x:c r="L1049" s="14" t="str">
        <x:v>Yemek, hareket ve dinlenme.</x:v>
      </x:c>
      <x:c r="M1049" s="14" t="str"/>
      <x:c r="N1049" s="14" t="str"/>
      <x:c r="O1049" s="14" t="n">
        <x:v>0</x:v>
      </x:c>
      <x:c r="P1049" s="14" t="str">
        <x:v>Hayır</x:v>
      </x:c>
      <x:c r="Q1049" s="14" t="str">
        <x:v>Hayır</x:v>
      </x:c>
      <x:c r="R1049" s="14" t="str">
        <x:v>Planlandı</x:v>
      </x:c>
      <x:c r="S1049" s="15" t="str"/>
      <x:c r="T1049" s="14" t="str"/>
    </x:row>
    <x:row r="1050">
      <x:c r="A1050" s="14" t="n">
        <x:v>1049</x:v>
      </x:c>
      <x:c r="B1050" s="15" t="n">
        <x:v>46380</x:v>
      </x:c>
      <x:c r="C1050" s="14" t="str">
        <x:v>Perşembe</x:v>
      </x:c>
      <x:c r="D1050" s="14" t="str">
        <x:v>Okul Günü</x:v>
      </x:c>
      <x:c r="E1050" s="14" t="str">
        <x:v>16:00 sonrası</x:v>
      </x:c>
      <x:c r="F1050" s="14" t="str">
        <x:v>F1 - Temel Kurma</x:v>
      </x:c>
      <x:c r="G1050" s="14" t="str">
        <x:v>18:25</x:v>
      </x:c>
      <x:c r="H1050" s="14" t="str">
        <x:v>18:55</x:v>
      </x:c>
      <x:c r="I1050" s="14" t="str">
        <x:v>Türkçe</x:v>
      </x:c>
      <x:c r="J1050" s="14" t="str">
        <x:v>Paragraf Rutini</x:v>
      </x:c>
      <x:c r="K1050" s="14" t="str">
        <x:v>Paragraf</x:v>
      </x:c>
      <x:c r="L1050" s="14" t="str">
        <x:v>En az 25 paragraf sorusu çöz; ilk 20 soruyu ileri sayımla ölç, D/Y/B + süre kaydet.</x:v>
      </x:c>
      <x:c r="M1050" s="14" t="str">
        <x:v>Hız 8. Sınıf Türkçe Paragraf (ISBN 9786258394498)</x:v>
      </x:c>
      <x:c r="N1050" s="14" t="str"/>
      <x:c r="O1050" s="14" t="n">
        <x:v>25</x:v>
      </x:c>
      <x:c r="P1050" s="14" t="str">
        <x:v>İlk 20 soru</x:v>
      </x:c>
      <x:c r="Q1050" s="14" t="str">
        <x:v>Evet</x:v>
      </x:c>
      <x:c r="R1050" s="14" t="str">
        <x:v>Planlandı</x:v>
      </x:c>
      <x:c r="S1050" s="15" t="str"/>
      <x:c r="T1050" s="14" t="str">
        <x:v>Geri sayım ve hedef süre yok.</x:v>
      </x:c>
    </x:row>
    <x:row r="1051">
      <x:c r="A1051" s="14" t="n">
        <x:v>1050</x:v>
      </x:c>
      <x:c r="B1051" s="15" t="n">
        <x:v>46380</x:v>
      </x:c>
      <x:c r="C1051" s="14" t="str">
        <x:v>Perşembe</x:v>
      </x:c>
      <x:c r="D1051" s="14" t="str">
        <x:v>Okul Günü</x:v>
      </x:c>
      <x:c r="E1051" s="14" t="str">
        <x:v>16:00 sonrası</x:v>
      </x:c>
      <x:c r="F1051" s="14" t="str">
        <x:v>F1 - Temel Kurma</x:v>
      </x:c>
      <x:c r="G1051" s="14" t="str">
        <x:v>19:00</x:v>
      </x:c>
      <x:c r="H1051" s="14" t="str">
        <x:v>19:35</x:v>
      </x:c>
      <x:c r="I1051" s="14" t="str">
        <x:v>Türkçe</x:v>
      </x:c>
      <x:c r="J1051" s="14" t="str">
        <x:v>Konu / Tekrar</x:v>
      </x:c>
      <x:c r="K1051" s="14" t="str">
        <x:v>Anlatım Bozuklukları</x:v>
      </x:c>
      <x:c r="L1051" s="14" t="str">
        <x:v>Anlatım Bozuklukları — genel oynatma listesinden ilgili videoyu izle (1/3).</x:v>
      </x:c>
      <x:c r="M1051" s="14" t="str">
        <x:v>Türkçe Ana Oynatma Listesi</x:v>
      </x:c>
      <x:c r="N1051" s="14" t="str">
        <x:v>https://www.youtube.com/watch?v=VYsPntNKVdw&amp;list=PLIBjFaUoJJ91bz7QQEBlxNJNZka5YQRr6</x:v>
      </x:c>
      <x:c r="O1051" s="14" t="n">
        <x:v>0</x:v>
      </x:c>
      <x:c r="P1051" s="14" t="str">
        <x:v>Hayır</x:v>
      </x:c>
      <x:c r="Q1051" s="14" t="str">
        <x:v>Evet</x:v>
      </x:c>
      <x:c r="R1051" s="14" t="str">
        <x:v>Planlandı</x:v>
      </x:c>
      <x:c r="S1051" s="15" t="str"/>
      <x:c r="T1051" s="14" t="str">
        <x:v>TYT etiketli kaynak temelden başlamak için sabittir; LGS dışı gereksiz ayrıntı zorunlu değildir.</x:v>
      </x:c>
    </x:row>
    <x:row r="1052">
      <x:c r="A1052" s="14" t="n">
        <x:v>1051</x:v>
      </x:c>
      <x:c r="B1052" s="15" t="n">
        <x:v>46380</x:v>
      </x:c>
      <x:c r="C1052" s="14" t="str">
        <x:v>Perşembe</x:v>
      </x:c>
      <x:c r="D1052" s="14" t="str">
        <x:v>Okul Günü</x:v>
      </x:c>
      <x:c r="E1052" s="14" t="str">
        <x:v>16:00 sonrası</x:v>
      </x:c>
      <x:c r="F1052" s="14" t="str">
        <x:v>F1 - Temel Kurma</x:v>
      </x:c>
      <x:c r="G1052" s="14" t="str">
        <x:v>19:40</x:v>
      </x:c>
      <x:c r="H1052" s="14" t="str">
        <x:v>20:10</x:v>
      </x:c>
      <x:c r="I1052" s="14" t="str">
        <x:v>Türkçe</x:v>
      </x:c>
      <x:c r="J1052" s="14" t="str">
        <x:v>Kitap / MEB / Mastery</x:v>
      </x:c>
      <x:c r="K1052" s="14" t="str">
        <x:v>Anlatım Bozuklukları</x:v>
      </x:c>
      <x:c r="L1052" s="14" t="str">
        <x:v>Anlatım Bozuklukları ile ilgili soru kitabından en az 15 soru / bugünkü test payını çöz.</x:v>
      </x:c>
      <x:c r="M1052" s="14" t="str">
        <x:v>Ankara 8. Sınıf Dil Bilgisi Güçlendiren</x:v>
      </x:c>
      <x:c r="N1052" s="14" t="str">
        <x:v>https://odsgm.meb.gov.tr/www/8sinif-calisma-sorulari/icerik/1632</x:v>
      </x:c>
      <x:c r="O1052" s="14" t="n">
        <x:v>15</x:v>
      </x:c>
      <x:c r="P1052" s="14" t="str">
        <x:v>Hayır</x:v>
      </x:c>
      <x:c r="Q1052" s="14" t="str">
        <x:v>Evet</x:v>
      </x:c>
      <x:c r="R1052" s="14" t="str">
        <x:v>Planlandı</x:v>
      </x:c>
      <x:c r="S1052" s="15" t="str"/>
      <x:c r="T1052" s="14" t="str"/>
    </x:row>
    <x:row r="1053">
      <x:c r="A1053" s="14" t="n">
        <x:v>1052</x:v>
      </x:c>
      <x:c r="B1053" s="15" t="n">
        <x:v>46380</x:v>
      </x:c>
      <x:c r="C1053" s="14" t="str">
        <x:v>Perşembe</x:v>
      </x:c>
      <x:c r="D1053" s="14" t="str">
        <x:v>Okul Günü</x:v>
      </x:c>
      <x:c r="E1053" s="14" t="str">
        <x:v>16:00 sonrası</x:v>
      </x:c>
      <x:c r="F1053" s="14" t="str">
        <x:v>F1 - Temel Kurma</x:v>
      </x:c>
      <x:c r="G1053" s="14" t="str">
        <x:v>20:15</x:v>
      </x:c>
      <x:c r="H1053" s="14" t="str">
        <x:v>20:50</x:v>
      </x:c>
      <x:c r="I1053" s="14" t="str">
        <x:v>Fen</x:v>
      </x:c>
      <x:c r="J1053" s="14" t="str">
        <x:v>Konu / Tekrar</x:v>
      </x:c>
      <x:c r="K1053" s="14" t="str">
        <x:v>Asitler ve Bazlar</x:v>
      </x:c>
      <x:c r="L1053" s="14" t="str">
        <x:v>Asitler ve Bazlar — Fen konu anlatım playlistinden ilgili videoyu izle.</x:v>
      </x:c>
      <x:c r="M1053" s="14" t="str">
        <x:v>Fen Konu Anlatım</x:v>
      </x:c>
      <x:c r="N1053" s="14" t="str">
        <x:v>https://www.youtube.com/watch?v=AHdk01aR4Ko&amp;list=PLrQm7mt99FRV_Oe9xFavWzFpCIl7_XiWj</x:v>
      </x:c>
      <x:c r="O1053" s="14" t="n">
        <x:v>0</x:v>
      </x:c>
      <x:c r="P1053" s="14" t="str">
        <x:v>Hayır</x:v>
      </x:c>
      <x:c r="Q1053" s="14" t="str">
        <x:v>Evet</x:v>
      </x:c>
      <x:c r="R1053" s="14" t="str">
        <x:v>Planlandı</x:v>
      </x:c>
      <x:c r="S1053" s="15" t="str"/>
      <x:c r="T1053" s="14" t="str"/>
    </x:row>
    <x:row r="1054">
      <x:c r="A1054" s="14" t="n">
        <x:v>1053</x:v>
      </x:c>
      <x:c r="B1054" s="15" t="n">
        <x:v>46380</x:v>
      </x:c>
      <x:c r="C1054" s="14" t="str">
        <x:v>Perşembe</x:v>
      </x:c>
      <x:c r="D1054" s="14" t="str">
        <x:v>Okul Günü</x:v>
      </x:c>
      <x:c r="E1054" s="14" t="str">
        <x:v>16:00 sonrası</x:v>
      </x:c>
      <x:c r="F1054" s="14" t="str">
        <x:v>F1 - Temel Kurma</x:v>
      </x:c>
      <x:c r="G1054" s="14" t="str">
        <x:v>20:55</x:v>
      </x:c>
      <x:c r="H1054" s="14" t="str">
        <x:v>21:20</x:v>
      </x:c>
      <x:c r="I1054" s="14" t="str">
        <x:v>Fen</x:v>
      </x:c>
      <x:c r="J1054" s="14" t="str">
        <x:v>Kitap / MEB / Mastery</x:v>
      </x:c>
      <x:c r="K1054" s="14" t="str">
        <x:v>Asitler ve Bazlar</x:v>
      </x:c>
      <x:c r="L1054" s="14" t="str">
        <x:v>Asitler ve Bazlar ile ilgili soru kitabından en az 18 soru / bugünkü test payını çöz.</x:v>
      </x:c>
      <x:c r="M1054" s="14" t="str">
        <x:v>Hız 8. Sınıf Fen (ISBN 9786257514859); tamamlandıysa Mozaik 8. Sınıf Fen</x:v>
      </x:c>
      <x:c r="N1054" s="14" t="str">
        <x:v>https://www.youtube.com/watch?v=AHdk01aR4Ko&amp;list=PLrQm7mt99FRV_Oe9xFavWzFpCIl7_XiWj</x:v>
      </x:c>
      <x:c r="O1054" s="14" t="n">
        <x:v>18</x:v>
      </x:c>
      <x:c r="P1054" s="14" t="str">
        <x:v>Hayır</x:v>
      </x:c>
      <x:c r="Q1054" s="14" t="str">
        <x:v>Evet</x:v>
      </x:c>
      <x:c r="R1054" s="14" t="str">
        <x:v>Planlandı</x:v>
      </x:c>
      <x:c r="S1054" s="15" t="str"/>
      <x:c r="T1054" s="14" t="str"/>
    </x:row>
    <x:row r="1055">
      <x:c r="A1055" s="14" t="n">
        <x:v>1054</x:v>
      </x:c>
      <x:c r="B1055" s="15" t="n">
        <x:v>46380</x:v>
      </x:c>
      <x:c r="C1055" s="14" t="str">
        <x:v>Perşembe</x:v>
      </x:c>
      <x:c r="D1055" s="14" t="str">
        <x:v>Okul Günü</x:v>
      </x:c>
      <x:c r="E1055" s="14" t="str">
        <x:v>16:00 sonrası</x:v>
      </x:c>
      <x:c r="F1055" s="14" t="str">
        <x:v>F1 - Temel Kurma</x:v>
      </x:c>
      <x:c r="G1055" s="14" t="str">
        <x:v>21:20</x:v>
      </x:c>
      <x:c r="H1055" s="14" t="str">
        <x:v>21:35</x:v>
      </x:c>
      <x:c r="I1055" s="14" t="str">
        <x:v>Genel</x:v>
      </x:c>
      <x:c r="J1055" s="14" t="str">
        <x:v>Yanlış / Boş Analizi</x:v>
      </x:c>
      <x:c r="K1055" s="14" t="str">
        <x:v>Günlük</x:v>
      </x:c>
      <x:c r="L1055" s="14" t="str">
        <x:v>Bugünkü yanlış/boşları kaydet; çözümünü öğrenmeden kapatma. Hata türünü sınıflandır.</x:v>
      </x:c>
      <x:c r="M1055" s="14" t="str">
        <x:v>Yanlış Defteri</x:v>
      </x:c>
      <x:c r="N1055" s="14" t="str"/>
      <x:c r="O1055" s="14" t="n">
        <x:v>0</x:v>
      </x:c>
      <x:c r="P1055" s="14" t="str">
        <x:v>Hayır</x:v>
      </x:c>
      <x:c r="Q1055" s="14" t="str">
        <x:v>Evet</x:v>
      </x:c>
      <x:c r="R1055" s="14" t="str">
        <x:v>Planlandı</x:v>
      </x:c>
      <x:c r="S1055" s="15" t="str"/>
      <x:c r="T1055" s="14" t="str"/>
    </x:row>
    <x:row r="1056">
      <x:c r="A1056" s="14" t="n">
        <x:v>1055</x:v>
      </x:c>
      <x:c r="B1056" s="15" t="n">
        <x:v>46380</x:v>
      </x:c>
      <x:c r="C1056" s="14" t="str">
        <x:v>Perşembe</x:v>
      </x:c>
      <x:c r="D1056" s="14" t="str">
        <x:v>Okul Günü</x:v>
      </x:c>
      <x:c r="E1056" s="14" t="str">
        <x:v>16:00 sonrası</x:v>
      </x:c>
      <x:c r="F1056" s="14" t="str">
        <x:v>F1 - Temel Kurma</x:v>
      </x:c>
      <x:c r="G1056" s="14" t="str">
        <x:v>21:35</x:v>
      </x:c>
      <x:c r="H1056" s="14" t="str">
        <x:v>21:50</x:v>
      </x:c>
      <x:c r="I1056" s="14" t="str">
        <x:v>Genel</x:v>
      </x:c>
      <x:c r="J1056" s="14" t="str">
        <x:v>Aralıklı Hata Tekrarı</x:v>
      </x:c>
      <x:c r="K1056" s="14" t="str">
        <x:v>+1 / +7 / +21</x:v>
      </x:c>
      <x:c r="L1056" s="14" t="str">
        <x:v>Bugün vadesi gelen yanlış soruları tekrar çöz. Vadesi yoksa bu süre serbest/okuma olabilir.</x:v>
      </x:c>
      <x:c r="M1056" s="14" t="str">
        <x:v>Yanlış Defteri</x:v>
      </x:c>
      <x:c r="N1056" s="14" t="str"/>
      <x:c r="O1056" s="14" t="n">
        <x:v>0</x:v>
      </x:c>
      <x:c r="P1056" s="14" t="str">
        <x:v>Hayır</x:v>
      </x:c>
      <x:c r="Q1056" s="14" t="str">
        <x:v>Koşullu</x:v>
      </x:c>
      <x:c r="R1056" s="14" t="str">
        <x:v>Planlandı</x:v>
      </x:c>
      <x:c r="S1056" s="15" t="str"/>
      <x:c r="T1056" s="14" t="str">
        <x:v>Yanlışlar +1, +7 ve +21 gün aralıklarıyla tekrar edilir; hâlâ yanlışsa konu mastery durumu düşürülür.</x:v>
      </x:c>
    </x:row>
    <x:row r="1057">
      <x:c r="A1057" s="14" t="n">
        <x:v>1056</x:v>
      </x:c>
      <x:c r="B1057" s="15" t="n">
        <x:v>46380</x:v>
      </x:c>
      <x:c r="C1057" s="14" t="str">
        <x:v>Perşembe</x:v>
      </x:c>
      <x:c r="D1057" s="14" t="str">
        <x:v>Okul Günü</x:v>
      </x:c>
      <x:c r="E1057" s="14" t="str">
        <x:v>16:00 sonrası</x:v>
      </x:c>
      <x:c r="F1057" s="14" t="str">
        <x:v>F1 - Temel Kurma</x:v>
      </x:c>
      <x:c r="G1057" s="14" t="str">
        <x:v>21:50</x:v>
      </x:c>
      <x:c r="H1057" s="14" t="str">
        <x:v>22:00</x:v>
      </x:c>
      <x:c r="I1057" s="14" t="str">
        <x:v>Genel</x:v>
      </x:c>
      <x:c r="J1057" s="14" t="str">
        <x:v>Uyku Hazırlığı</x:v>
      </x:c>
      <x:c r="K1057" s="14" t="str"/>
      <x:c r="L1057" s="14" t="str">
        <x:v>22:00'de yatakta ve uyku.</x:v>
      </x:c>
      <x:c r="M1057" s="14" t="str"/>
      <x:c r="N1057" s="14" t="str"/>
      <x:c r="O1057" s="14" t="n">
        <x:v>0</x:v>
      </x:c>
      <x:c r="P1057" s="14" t="str">
        <x:v>Hayır</x:v>
      </x:c>
      <x:c r="Q1057" s="14" t="str">
        <x:v>Hayır</x:v>
      </x:c>
      <x:c r="R1057" s="14" t="str">
        <x:v>Planlandı</x:v>
      </x:c>
      <x:c r="S1057" s="15" t="str"/>
      <x:c r="T1057" s="14" t="str"/>
    </x:row>
    <x:row r="1058">
      <x:c r="A1058" s="14" t="n">
        <x:v>1057</x:v>
      </x:c>
      <x:c r="B1058" s="15" t="n">
        <x:v>46381</x:v>
      </x:c>
      <x:c r="C1058" s="14" t="str">
        <x:v>Cuma</x:v>
      </x:c>
      <x:c r="D1058" s="14" t="str">
        <x:v>Okul Günü</x:v>
      </x:c>
      <x:c r="E1058" s="14" t="str">
        <x:v>16:00 sonrası</x:v>
      </x:c>
      <x:c r="F1058" s="14" t="str">
        <x:v>F1 - Temel Kurma</x:v>
      </x:c>
      <x:c r="G1058" s="14" t="str">
        <x:v>16:00</x:v>
      </x:c>
      <x:c r="H1058" s="14" t="str">
        <x:v>16:25</x:v>
      </x:c>
      <x:c r="I1058" s="14" t="str">
        <x:v>Genel</x:v>
      </x:c>
      <x:c r="J1058" s="14" t="str">
        <x:v>Dinlenme</x:v>
      </x:c>
      <x:c r="K1058" s="14" t="str"/>
      <x:c r="L1058" s="14" t="str">
        <x:v>Eve geliş, atıştırma ve dinlenme.</x:v>
      </x:c>
      <x:c r="M1058" s="14" t="str"/>
      <x:c r="N1058" s="14" t="str"/>
      <x:c r="O1058" s="14" t="n">
        <x:v>0</x:v>
      </x:c>
      <x:c r="P1058" s="14" t="str">
        <x:v>Hayır</x:v>
      </x:c>
      <x:c r="Q1058" s="14" t="str">
        <x:v>Hayır</x:v>
      </x:c>
      <x:c r="R1058" s="14" t="str">
        <x:v>Planlandı</x:v>
      </x:c>
      <x:c r="S1058" s="15" t="str"/>
      <x:c r="T1058" s="14" t="str"/>
    </x:row>
    <x:row r="1059">
      <x:c r="A1059" s="14" t="n">
        <x:v>1058</x:v>
      </x:c>
      <x:c r="B1059" s="15" t="n">
        <x:v>46381</x:v>
      </x:c>
      <x:c r="C1059" s="14" t="str">
        <x:v>Cuma</x:v>
      </x:c>
      <x:c r="D1059" s="14" t="str">
        <x:v>Okul Günü</x:v>
      </x:c>
      <x:c r="E1059" s="14" t="str">
        <x:v>16:00 sonrası</x:v>
      </x:c>
      <x:c r="F1059" s="14" t="str">
        <x:v>F1 - Temel Kurma</x:v>
      </x:c>
      <x:c r="G1059" s="14" t="str">
        <x:v>16:25</x:v>
      </x:c>
      <x:c r="H1059" s="14" t="str">
        <x:v>17:05</x:v>
      </x:c>
      <x:c r="I1059" s="14" t="str">
        <x:v>Matematik</x:v>
      </x:c>
      <x:c r="J1059" s="14" t="str">
        <x:v>Konu / Tekrar</x:v>
      </x:c>
      <x:c r="K1059" s="14" t="str">
        <x:v>Veri Analizi</x:v>
      </x:c>
      <x:c r="L1059" s="14" t="str">
        <x:v>Veri Analizi — MEB doğrulaması öncesi 5-10 dk aktif hatırlama; gerekiyorsa ilgili playlist videosuna kısa dönüş yap.</x:v>
      </x:c>
      <x:c r="M1059" s="14" t="str">
        <x:v>Matematik Ana Oynatma Listesi</x:v>
      </x:c>
      <x:c r="N1059" s="14" t="str">
        <x:v>https://www.youtube.com/watch?v=EuJ89QzqrAg&amp;list=PLicNtF7vp6fnfDqrRLH6H7fIbzYT4ct4F&amp;index=11</x:v>
      </x:c>
      <x:c r="O1059" s="14" t="n">
        <x:v>0</x:v>
      </x:c>
      <x:c r="P1059" s="14" t="str">
        <x:v>Hayır</x:v>
      </x:c>
      <x:c r="Q1059" s="14" t="str">
        <x:v>Evet</x:v>
      </x:c>
      <x:c r="R1059" s="14" t="str">
        <x:v>Planlandı</x:v>
      </x:c>
      <x:c r="S1059" s="15" t="str"/>
      <x:c r="T1059" s="14" t="str">
        <x:v>Yeni konu ancak plan sırasıyla açılır; LGS dışı ileri TYT içeriği zorunlu değildir.</x:v>
      </x:c>
    </x:row>
    <x:row r="1060">
      <x:c r="A1060" s="14" t="n">
        <x:v>1059</x:v>
      </x:c>
      <x:c r="B1060" s="15" t="n">
        <x:v>46381</x:v>
      </x:c>
      <x:c r="C1060" s="14" t="str">
        <x:v>Cuma</x:v>
      </x:c>
      <x:c r="D1060" s="14" t="str">
        <x:v>Okul Günü</x:v>
      </x:c>
      <x:c r="E1060" s="14" t="str">
        <x:v>16:00 sonrası</x:v>
      </x:c>
      <x:c r="F1060" s="14" t="str">
        <x:v>F1 - Temel Kurma</x:v>
      </x:c>
      <x:c r="G1060" s="14" t="str">
        <x:v>17:10</x:v>
      </x:c>
      <x:c r="H1060" s="14" t="str">
        <x:v>17:55</x:v>
      </x:c>
      <x:c r="I1060" s="14" t="str">
        <x:v>Matematik</x:v>
      </x:c>
      <x:c r="J1060" s="14" t="str">
        <x:v>Kitap / MEB / Mastery</x:v>
      </x:c>
      <x:c r="K1060" s="14" t="str">
        <x:v>Veri Analizi</x:v>
      </x:c>
      <x:c r="L1060" s="14" t="str">
        <x:v>Veri Analizi için ilgili MEB sorularını TAMAMLA; D/Y/B kaydet. Bu oturum konu mastery gate'idir.</x:v>
      </x:c>
      <x:c r="M1060" s="14" t="str">
        <x:v>MEB Resmî Soru Seti</x:v>
      </x:c>
      <x:c r="N1060" s="14" t="str">
        <x:v>https://odsgm.meb.gov.tr/www/8sinif-calisma-sorulari/icerik/1632</x:v>
      </x:c>
      <x:c r="O1060" s="14" t="n">
        <x:v>0</x:v>
      </x:c>
      <x:c r="P1060" s="14" t="str">
        <x:v>Hayır</x:v>
      </x:c>
      <x:c r="Q1060" s="14" t="str">
        <x:v>Evet</x:v>
      </x:c>
      <x:c r="R1060" s="14" t="str">
        <x:v>Planlandı</x:v>
      </x:c>
      <x:c r="S1060" s="15" t="str"/>
      <x:c r="T1060" s="14" t="str">
        <x:v>MEB sonucu Konu_Ustaligi sayfasına işlenir.</x:v>
      </x:c>
    </x:row>
    <x:row r="1061">
      <x:c r="A1061" s="14" t="n">
        <x:v>1060</x:v>
      </x:c>
      <x:c r="B1061" s="15" t="n">
        <x:v>46381</x:v>
      </x:c>
      <x:c r="C1061" s="14" t="str">
        <x:v>Cuma</x:v>
      </x:c>
      <x:c r="D1061" s="14" t="str">
        <x:v>Okul Günü</x:v>
      </x:c>
      <x:c r="E1061" s="14" t="str">
        <x:v>16:00 sonrası</x:v>
      </x:c>
      <x:c r="F1061" s="14" t="str">
        <x:v>F1 - Temel Kurma</x:v>
      </x:c>
      <x:c r="G1061" s="14" t="str">
        <x:v>17:55</x:v>
      </x:c>
      <x:c r="H1061" s="14" t="str">
        <x:v>18:25</x:v>
      </x:c>
      <x:c r="I1061" s="14" t="str">
        <x:v>Genel</x:v>
      </x:c>
      <x:c r="J1061" s="14" t="str">
        <x:v>Yemek / Serbest Zaman</x:v>
      </x:c>
      <x:c r="K1061" s="14" t="str"/>
      <x:c r="L1061" s="14" t="str">
        <x:v>Yemek, hareket ve dinlenme.</x:v>
      </x:c>
      <x:c r="M1061" s="14" t="str"/>
      <x:c r="N1061" s="14" t="str"/>
      <x:c r="O1061" s="14" t="n">
        <x:v>0</x:v>
      </x:c>
      <x:c r="P1061" s="14" t="str">
        <x:v>Hayır</x:v>
      </x:c>
      <x:c r="Q1061" s="14" t="str">
        <x:v>Hayır</x:v>
      </x:c>
      <x:c r="R1061" s="14" t="str">
        <x:v>Planlandı</x:v>
      </x:c>
      <x:c r="S1061" s="15" t="str"/>
      <x:c r="T1061" s="14" t="str"/>
    </x:row>
    <x:row r="1062">
      <x:c r="A1062" s="14" t="n">
        <x:v>1061</x:v>
      </x:c>
      <x:c r="B1062" s="15" t="n">
        <x:v>46381</x:v>
      </x:c>
      <x:c r="C1062" s="14" t="str">
        <x:v>Cuma</x:v>
      </x:c>
      <x:c r="D1062" s="14" t="str">
        <x:v>Okul Günü</x:v>
      </x:c>
      <x:c r="E1062" s="14" t="str">
        <x:v>16:00 sonrası</x:v>
      </x:c>
      <x:c r="F1062" s="14" t="str">
        <x:v>F1 - Temel Kurma</x:v>
      </x:c>
      <x:c r="G1062" s="14" t="str">
        <x:v>18:25</x:v>
      </x:c>
      <x:c r="H1062" s="14" t="str">
        <x:v>18:55</x:v>
      </x:c>
      <x:c r="I1062" s="14" t="str">
        <x:v>Türkçe</x:v>
      </x:c>
      <x:c r="J1062" s="14" t="str">
        <x:v>Paragraf Rutini</x:v>
      </x:c>
      <x:c r="K1062" s="14" t="str">
        <x:v>Paragraf</x:v>
      </x:c>
      <x:c r="L1062" s="14" t="str">
        <x:v>En az 25 paragraf sorusu çöz; ilk 20 soruyu ileri sayımla ölç, D/Y/B + süre kaydet.</x:v>
      </x:c>
      <x:c r="M1062" s="14" t="str">
        <x:v>Hız 8. Sınıf Türkçe Paragraf (ISBN 9786258394498)</x:v>
      </x:c>
      <x:c r="N1062" s="14" t="str"/>
      <x:c r="O1062" s="14" t="n">
        <x:v>25</x:v>
      </x:c>
      <x:c r="P1062" s="14" t="str">
        <x:v>İlk 20 soru</x:v>
      </x:c>
      <x:c r="Q1062" s="14" t="str">
        <x:v>Evet</x:v>
      </x:c>
      <x:c r="R1062" s="14" t="str">
        <x:v>Planlandı</x:v>
      </x:c>
      <x:c r="S1062" s="15" t="str"/>
      <x:c r="T1062" s="14" t="str">
        <x:v>Geri sayım ve hedef süre yok.</x:v>
      </x:c>
    </x:row>
    <x:row r="1063">
      <x:c r="A1063" s="14" t="n">
        <x:v>1062</x:v>
      </x:c>
      <x:c r="B1063" s="15" t="n">
        <x:v>46381</x:v>
      </x:c>
      <x:c r="C1063" s="14" t="str">
        <x:v>Cuma</x:v>
      </x:c>
      <x:c r="D1063" s="14" t="str">
        <x:v>Okul Günü</x:v>
      </x:c>
      <x:c r="E1063" s="14" t="str">
        <x:v>16:00 sonrası</x:v>
      </x:c>
      <x:c r="F1063" s="14" t="str">
        <x:v>F1 - Temel Kurma</x:v>
      </x:c>
      <x:c r="G1063" s="14" t="str">
        <x:v>19:00</x:v>
      </x:c>
      <x:c r="H1063" s="14" t="str">
        <x:v>19:35</x:v>
      </x:c>
      <x:c r="I1063" s="14" t="str">
        <x:v>Türkçe</x:v>
      </x:c>
      <x:c r="J1063" s="14" t="str">
        <x:v>Konu / Tekrar</x:v>
      </x:c>
      <x:c r="K1063" s="14" t="str">
        <x:v>Anlatım Bozuklukları</x:v>
      </x:c>
      <x:c r="L1063" s="14" t="str">
        <x:v>Anlatım Bozuklukları — genel oynatma listesinden ilgili videoyu izle (2/3).</x:v>
      </x:c>
      <x:c r="M1063" s="14" t="str">
        <x:v>Türkçe Ana Oynatma Listesi</x:v>
      </x:c>
      <x:c r="N1063" s="14" t="str">
        <x:v>https://www.youtube.com/watch?v=VYsPntNKVdw&amp;list=PLIBjFaUoJJ91bz7QQEBlxNJNZka5YQRr6</x:v>
      </x:c>
      <x:c r="O1063" s="14" t="n">
        <x:v>0</x:v>
      </x:c>
      <x:c r="P1063" s="14" t="str">
        <x:v>Hayır</x:v>
      </x:c>
      <x:c r="Q1063" s="14" t="str">
        <x:v>Evet</x:v>
      </x:c>
      <x:c r="R1063" s="14" t="str">
        <x:v>Planlandı</x:v>
      </x:c>
      <x:c r="S1063" s="15" t="str"/>
      <x:c r="T1063" s="14" t="str">
        <x:v>TYT etiketli kaynak temelden başlamak için sabittir; LGS dışı gereksiz ayrıntı zorunlu değildir.</x:v>
      </x:c>
    </x:row>
    <x:row r="1064">
      <x:c r="A1064" s="14" t="n">
        <x:v>1063</x:v>
      </x:c>
      <x:c r="B1064" s="15" t="n">
        <x:v>46381</x:v>
      </x:c>
      <x:c r="C1064" s="14" t="str">
        <x:v>Cuma</x:v>
      </x:c>
      <x:c r="D1064" s="14" t="str">
        <x:v>Okul Günü</x:v>
      </x:c>
      <x:c r="E1064" s="14" t="str">
        <x:v>16:00 sonrası</x:v>
      </x:c>
      <x:c r="F1064" s="14" t="str">
        <x:v>F1 - Temel Kurma</x:v>
      </x:c>
      <x:c r="G1064" s="14" t="str">
        <x:v>19:40</x:v>
      </x:c>
      <x:c r="H1064" s="14" t="str">
        <x:v>20:10</x:v>
      </x:c>
      <x:c r="I1064" s="14" t="str">
        <x:v>Türkçe</x:v>
      </x:c>
      <x:c r="J1064" s="14" t="str">
        <x:v>Kitap / MEB / Mastery</x:v>
      </x:c>
      <x:c r="K1064" s="14" t="str">
        <x:v>Anlatım Bozuklukları</x:v>
      </x:c>
      <x:c r="L1064" s="14" t="str">
        <x:v>Anlatım Bozuklukları ile ilgili soru kitabından en az 15 soru / bugünkü test payını çöz.</x:v>
      </x:c>
      <x:c r="M1064" s="14" t="str">
        <x:v>Ankara 8. Sınıf Dil Bilgisi Güçlendiren</x:v>
      </x:c>
      <x:c r="N1064" s="14" t="str">
        <x:v>https://odsgm.meb.gov.tr/www/8sinif-calisma-sorulari/icerik/1632</x:v>
      </x:c>
      <x:c r="O1064" s="14" t="n">
        <x:v>15</x:v>
      </x:c>
      <x:c r="P1064" s="14" t="str">
        <x:v>Hayır</x:v>
      </x:c>
      <x:c r="Q1064" s="14" t="str">
        <x:v>Evet</x:v>
      </x:c>
      <x:c r="R1064" s="14" t="str">
        <x:v>Planlandı</x:v>
      </x:c>
      <x:c r="S1064" s="15" t="str"/>
      <x:c r="T1064" s="14" t="str"/>
    </x:row>
    <x:row r="1065">
      <x:c r="A1065" s="14" t="n">
        <x:v>1064</x:v>
      </x:c>
      <x:c r="B1065" s="15" t="n">
        <x:v>46381</x:v>
      </x:c>
      <x:c r="C1065" s="14" t="str">
        <x:v>Cuma</x:v>
      </x:c>
      <x:c r="D1065" s="14" t="str">
        <x:v>Okul Günü</x:v>
      </x:c>
      <x:c r="E1065" s="14" t="str">
        <x:v>16:00 sonrası</x:v>
      </x:c>
      <x:c r="F1065" s="14" t="str">
        <x:v>F1 - Temel Kurma</x:v>
      </x:c>
      <x:c r="G1065" s="14" t="str">
        <x:v>20:15</x:v>
      </x:c>
      <x:c r="H1065" s="14" t="str">
        <x:v>20:50</x:v>
      </x:c>
      <x:c r="I1065" s="14" t="str">
        <x:v>Din</x:v>
      </x:c>
      <x:c r="J1065" s="14" t="str">
        <x:v>Konu / Tekrar</x:v>
      </x:c>
      <x:c r="K1065" s="14" t="str">
        <x:v>Hz. Muhammed’in Örnekliği</x:v>
      </x:c>
      <x:c r="L1065" s="14" t="str">
        <x:v>Hz. Muhammed’in Örnekliği — genel oynatma listesinden ilgili konu/soru çalışmasını yap.</x:v>
      </x:c>
      <x:c r="M1065" s="14" t="str">
        <x:v>Din Genel Oynatma Listesi</x:v>
      </x:c>
      <x:c r="N1065" s="14" t="str">
        <x:v>https://www.youtube.com/watch?v=wvdOE_75VnA&amp;list=PLbRoPq-Zu-SWXGUbVt4t4UWo-4VjsMUo-&amp;index=2</x:v>
      </x:c>
      <x:c r="O1065" s="14" t="n">
        <x:v>0</x:v>
      </x:c>
      <x:c r="P1065" s="14" t="str">
        <x:v>Hayır</x:v>
      </x:c>
      <x:c r="Q1065" s="14" t="str">
        <x:v>Evet</x:v>
      </x:c>
      <x:c r="R1065" s="14" t="str">
        <x:v>Planlandı</x:v>
      </x:c>
      <x:c r="S1065" s="15" t="str"/>
      <x:c r="T1065" s="14" t="str"/>
    </x:row>
    <x:row r="1066">
      <x:c r="A1066" s="14" t="n">
        <x:v>1065</x:v>
      </x:c>
      <x:c r="B1066" s="15" t="n">
        <x:v>46381</x:v>
      </x:c>
      <x:c r="C1066" s="14" t="str">
        <x:v>Cuma</x:v>
      </x:c>
      <x:c r="D1066" s="14" t="str">
        <x:v>Okul Günü</x:v>
      </x:c>
      <x:c r="E1066" s="14" t="str">
        <x:v>16:00 sonrası</x:v>
      </x:c>
      <x:c r="F1066" s="14" t="str">
        <x:v>F1 - Temel Kurma</x:v>
      </x:c>
      <x:c r="G1066" s="14" t="str">
        <x:v>20:55</x:v>
      </x:c>
      <x:c r="H1066" s="14" t="str">
        <x:v>21:20</x:v>
      </x:c>
      <x:c r="I1066" s="14" t="str">
        <x:v>Din</x:v>
      </x:c>
      <x:c r="J1066" s="14" t="str">
        <x:v>Kitap / MEB / Mastery</x:v>
      </x:c>
      <x:c r="K1066" s="14" t="str">
        <x:v>Hz. Muhammed’in Örnekliği</x:v>
      </x:c>
      <x:c r="L1066" s="14" t="str">
        <x:v>Hz. Muhammed’in Örnekliği ile ilgili soru kitabından en az 18 soru / bugünkü test payını çöz.</x:v>
      </x:c>
      <x:c r="M1066" s="14" t="str">
        <x:v>Hız 8. Sınıf Din Kültürü ve Ahlak Bilgisi</x:v>
      </x:c>
      <x:c r="N1066" s="14" t="str">
        <x:v>https://www.youtube.com/watch?v=wvdOE_75VnA&amp;list=PLbRoPq-Zu-SWXGUbVt4t4UWo-4VjsMUo-&amp;index=2</x:v>
      </x:c>
      <x:c r="O1066" s="14" t="n">
        <x:v>18</x:v>
      </x:c>
      <x:c r="P1066" s="14" t="str">
        <x:v>Hayır</x:v>
      </x:c>
      <x:c r="Q1066" s="14" t="str">
        <x:v>Evet</x:v>
      </x:c>
      <x:c r="R1066" s="14" t="str">
        <x:v>Planlandı</x:v>
      </x:c>
      <x:c r="S1066" s="15" t="str"/>
      <x:c r="T1066" s="14" t="str"/>
    </x:row>
    <x:row r="1067">
      <x:c r="A1067" s="14" t="n">
        <x:v>1066</x:v>
      </x:c>
      <x:c r="B1067" s="15" t="n">
        <x:v>46381</x:v>
      </x:c>
      <x:c r="C1067" s="14" t="str">
        <x:v>Cuma</x:v>
      </x:c>
      <x:c r="D1067" s="14" t="str">
        <x:v>Okul Günü</x:v>
      </x:c>
      <x:c r="E1067" s="14" t="str">
        <x:v>16:00 sonrası</x:v>
      </x:c>
      <x:c r="F1067" s="14" t="str">
        <x:v>F1 - Temel Kurma</x:v>
      </x:c>
      <x:c r="G1067" s="14" t="str">
        <x:v>21:20</x:v>
      </x:c>
      <x:c r="H1067" s="14" t="str">
        <x:v>21:35</x:v>
      </x:c>
      <x:c r="I1067" s="14" t="str">
        <x:v>Genel</x:v>
      </x:c>
      <x:c r="J1067" s="14" t="str">
        <x:v>Yanlış / Boş Analizi</x:v>
      </x:c>
      <x:c r="K1067" s="14" t="str">
        <x:v>Günlük</x:v>
      </x:c>
      <x:c r="L1067" s="14" t="str">
        <x:v>Bugünkü yanlış/boşları kaydet; çözümünü öğrenmeden kapatma. Hata türünü sınıflandır.</x:v>
      </x:c>
      <x:c r="M1067" s="14" t="str">
        <x:v>Yanlış Defteri</x:v>
      </x:c>
      <x:c r="N1067" s="14" t="str"/>
      <x:c r="O1067" s="14" t="n">
        <x:v>0</x:v>
      </x:c>
      <x:c r="P1067" s="14" t="str">
        <x:v>Hayır</x:v>
      </x:c>
      <x:c r="Q1067" s="14" t="str">
        <x:v>Evet</x:v>
      </x:c>
      <x:c r="R1067" s="14" t="str">
        <x:v>Planlandı</x:v>
      </x:c>
      <x:c r="S1067" s="15" t="str"/>
      <x:c r="T1067" s="14" t="str"/>
    </x:row>
    <x:row r="1068">
      <x:c r="A1068" s="14" t="n">
        <x:v>1067</x:v>
      </x:c>
      <x:c r="B1068" s="15" t="n">
        <x:v>46381</x:v>
      </x:c>
      <x:c r="C1068" s="14" t="str">
        <x:v>Cuma</x:v>
      </x:c>
      <x:c r="D1068" s="14" t="str">
        <x:v>Okul Günü</x:v>
      </x:c>
      <x:c r="E1068" s="14" t="str">
        <x:v>16:00 sonrası</x:v>
      </x:c>
      <x:c r="F1068" s="14" t="str">
        <x:v>F1 - Temel Kurma</x:v>
      </x:c>
      <x:c r="G1068" s="14" t="str">
        <x:v>21:35</x:v>
      </x:c>
      <x:c r="H1068" s="14" t="str">
        <x:v>21:50</x:v>
      </x:c>
      <x:c r="I1068" s="14" t="str">
        <x:v>Genel</x:v>
      </x:c>
      <x:c r="J1068" s="14" t="str">
        <x:v>Aralıklı Hata Tekrarı</x:v>
      </x:c>
      <x:c r="K1068" s="14" t="str">
        <x:v>+1 / +7 / +21</x:v>
      </x:c>
      <x:c r="L1068" s="14" t="str">
        <x:v>Bugün vadesi gelen yanlış soruları tekrar çöz. Vadesi yoksa bu süre serbest/okuma olabilir.</x:v>
      </x:c>
      <x:c r="M1068" s="14" t="str">
        <x:v>Yanlış Defteri</x:v>
      </x:c>
      <x:c r="N1068" s="14" t="str"/>
      <x:c r="O1068" s="14" t="n">
        <x:v>0</x:v>
      </x:c>
      <x:c r="P1068" s="14" t="str">
        <x:v>Hayır</x:v>
      </x:c>
      <x:c r="Q1068" s="14" t="str">
        <x:v>Koşullu</x:v>
      </x:c>
      <x:c r="R1068" s="14" t="str">
        <x:v>Planlandı</x:v>
      </x:c>
      <x:c r="S1068" s="15" t="str"/>
      <x:c r="T1068" s="14" t="str">
        <x:v>Yanlışlar +1, +7 ve +21 gün aralıklarıyla tekrar edilir; hâlâ yanlışsa konu mastery durumu düşürülür.</x:v>
      </x:c>
    </x:row>
    <x:row r="1069">
      <x:c r="A1069" s="14" t="n">
        <x:v>1068</x:v>
      </x:c>
      <x:c r="B1069" s="15" t="n">
        <x:v>46381</x:v>
      </x:c>
      <x:c r="C1069" s="14" t="str">
        <x:v>Cuma</x:v>
      </x:c>
      <x:c r="D1069" s="14" t="str">
        <x:v>Okul Günü</x:v>
      </x:c>
      <x:c r="E1069" s="14" t="str">
        <x:v>16:00 sonrası</x:v>
      </x:c>
      <x:c r="F1069" s="14" t="str">
        <x:v>F1 - Temel Kurma</x:v>
      </x:c>
      <x:c r="G1069" s="14" t="str">
        <x:v>21:50</x:v>
      </x:c>
      <x:c r="H1069" s="14" t="str">
        <x:v>22:00</x:v>
      </x:c>
      <x:c r="I1069" s="14" t="str">
        <x:v>Genel</x:v>
      </x:c>
      <x:c r="J1069" s="14" t="str">
        <x:v>Uyku Hazırlığı</x:v>
      </x:c>
      <x:c r="K1069" s="14" t="str"/>
      <x:c r="L1069" s="14" t="str">
        <x:v>22:00'de yatakta ve uyku.</x:v>
      </x:c>
      <x:c r="M1069" s="14" t="str"/>
      <x:c r="N1069" s="14" t="str"/>
      <x:c r="O1069" s="14" t="n">
        <x:v>0</x:v>
      </x:c>
      <x:c r="P1069" s="14" t="str">
        <x:v>Hayır</x:v>
      </x:c>
      <x:c r="Q1069" s="14" t="str">
        <x:v>Hayır</x:v>
      </x:c>
      <x:c r="R1069" s="14" t="str">
        <x:v>Planlandı</x:v>
      </x:c>
      <x:c r="S1069" s="15" t="str"/>
      <x:c r="T1069" s="14" t="str"/>
    </x:row>
    <x:row r="1070">
      <x:c r="A1070" s="14" t="n">
        <x:v>1069</x:v>
      </x:c>
      <x:c r="B1070" s="15" t="n">
        <x:v>46382</x:v>
      </x:c>
      <x:c r="C1070" s="14" t="str">
        <x:v>Cumartesi</x:v>
      </x:c>
      <x:c r="D1070" s="14" t="str">
        <x:v>Hafta Sonu</x:v>
      </x:c>
      <x:c r="E1070" s="14" t="str">
        <x:v>Tam gün</x:v>
      </x:c>
      <x:c r="F1070" s="14" t="str">
        <x:v>F1 - Temel Kurma</x:v>
      </x:c>
      <x:c r="G1070" s="14" t="str">
        <x:v>09:30</x:v>
      </x:c>
      <x:c r="H1070" s="14" t="str">
        <x:v>10:15</x:v>
      </x:c>
      <x:c r="I1070" s="14" t="str">
        <x:v>Matematik</x:v>
      </x:c>
      <x:c r="J1070" s="14" t="str">
        <x:v>Konu / Tekrar</x:v>
      </x:c>
      <x:c r="K1070" s="14" t="str">
        <x:v>Basit Olayların Olma Olasılığı</x:v>
      </x:c>
      <x:c r="L1070" s="14" t="str">
        <x:v>Basit Olayların Olma Olasılığı — genel oynatma listesinden ilgili videoyu izle (1/2).</x:v>
      </x:c>
      <x:c r="M1070" s="14" t="str">
        <x:v>Matematik Ana Oynatma Listesi</x:v>
      </x:c>
      <x:c r="N1070" s="14" t="str">
        <x:v>https://www.youtube.com/watch?v=EuJ89QzqrAg&amp;list=PLicNtF7vp6fnfDqrRLH6H7fIbzYT4ct4F&amp;index=11</x:v>
      </x:c>
      <x:c r="O1070" s="14" t="n">
        <x:v>0</x:v>
      </x:c>
      <x:c r="P1070" s="14" t="str">
        <x:v>Hayır</x:v>
      </x:c>
      <x:c r="Q1070" s="14" t="str">
        <x:v>Evet</x:v>
      </x:c>
      <x:c r="R1070" s="14" t="str">
        <x:v>Planlandı</x:v>
      </x:c>
      <x:c r="S1070" s="15" t="str"/>
      <x:c r="T1070" s="14" t="str">
        <x:v>Yeni konu ancak plan sırasıyla açılır; LGS dışı ileri TYT içeriği zorunlu değildir.</x:v>
      </x:c>
    </x:row>
    <x:row r="1071">
      <x:c r="A1071" s="14" t="n">
        <x:v>1070</x:v>
      </x:c>
      <x:c r="B1071" s="15" t="n">
        <x:v>46382</x:v>
      </x:c>
      <x:c r="C1071" s="14" t="str">
        <x:v>Cumartesi</x:v>
      </x:c>
      <x:c r="D1071" s="14" t="str">
        <x:v>Hafta Sonu</x:v>
      </x:c>
      <x:c r="E1071" s="14" t="str">
        <x:v>Tam gün</x:v>
      </x:c>
      <x:c r="F1071" s="14" t="str">
        <x:v>F1 - Temel Kurma</x:v>
      </x:c>
      <x:c r="G1071" s="14" t="str">
        <x:v>10:25</x:v>
      </x:c>
      <x:c r="H1071" s="14" t="str">
        <x:v>11:15</x:v>
      </x:c>
      <x:c r="I1071" s="14" t="str">
        <x:v>Matematik</x:v>
      </x:c>
      <x:c r="J1071" s="14" t="str">
        <x:v>Kitap / MEB / Mastery</x:v>
      </x:c>
      <x:c r="K1071" s="14" t="str">
        <x:v>Basit Olayların Olma Olasılığı</x:v>
      </x:c>
      <x:c r="L1071" s="14" t="str">
        <x:v>Basit Olayların Olma Olasılığı ile ilgili soru kitabından en az 25 soru / bugünkü test payını çöz.</x:v>
      </x:c>
      <x:c r="M1071" s="14" t="str">
        <x:v>MUBA 8. Sınıf Başlangıç Matematik (ISBN 9789756526972); tamamlandıysa Mozaik 8. Sınıf Matematik</x:v>
      </x:c>
      <x:c r="N1071" s="14" t="str">
        <x:v>https://odsgm.meb.gov.tr/www/8sinif-calisma-sorulari/icerik/1632</x:v>
      </x:c>
      <x:c r="O1071" s="14" t="n">
        <x:v>25</x:v>
      </x:c>
      <x:c r="P1071" s="14" t="str">
        <x:v>İlk 20 soru</x:v>
      </x:c>
      <x:c r="Q1071" s="14" t="str">
        <x:v>Evet</x:v>
      </x:c>
      <x:c r="R1071" s="14" t="str">
        <x:v>Planlandı</x:v>
      </x:c>
      <x:c r="S1071" s="15" t="str"/>
      <x:c r="T1071" s="14" t="str">
        <x:v>Ayrı/rastgele matematik benchmark yoktur. Süreli ilk 20 soru o gün çalışılan konunun içindedir.</x:v>
      </x:c>
    </x:row>
    <x:row r="1072">
      <x:c r="A1072" s="14" t="n">
        <x:v>1071</x:v>
      </x:c>
      <x:c r="B1072" s="15" t="n">
        <x:v>46382</x:v>
      </x:c>
      <x:c r="C1072" s="14" t="str">
        <x:v>Cumartesi</x:v>
      </x:c>
      <x:c r="D1072" s="14" t="str">
        <x:v>Hafta Sonu</x:v>
      </x:c>
      <x:c r="E1072" s="14" t="str">
        <x:v>Tam gün</x:v>
      </x:c>
      <x:c r="F1072" s="14" t="str">
        <x:v>F1 - Temel Kurma</x:v>
      </x:c>
      <x:c r="G1072" s="14" t="str">
        <x:v>12:00</x:v>
      </x:c>
      <x:c r="H1072" s="14" t="str">
        <x:v>14:00</x:v>
      </x:c>
      <x:c r="I1072" s="14" t="str">
        <x:v>Genel</x:v>
      </x:c>
      <x:c r="J1072" s="14" t="str">
        <x:v>Yemek / Serbest Zaman</x:v>
      </x:c>
      <x:c r="K1072" s="14" t="str"/>
      <x:c r="L1072" s="14" t="str">
        <x:v>Yemek, hareket ve dinlenme.</x:v>
      </x:c>
      <x:c r="M1072" s="14" t="str"/>
      <x:c r="N1072" s="14" t="str"/>
      <x:c r="O1072" s="14" t="n">
        <x:v>0</x:v>
      </x:c>
      <x:c r="P1072" s="14" t="str">
        <x:v>Hayır</x:v>
      </x:c>
      <x:c r="Q1072" s="14" t="str">
        <x:v>Hayır</x:v>
      </x:c>
      <x:c r="R1072" s="14" t="str">
        <x:v>Planlandı</x:v>
      </x:c>
      <x:c r="S1072" s="15" t="str"/>
      <x:c r="T1072" s="14" t="str"/>
    </x:row>
    <x:row r="1073">
      <x:c r="A1073" s="14" t="n">
        <x:v>1072</x:v>
      </x:c>
      <x:c r="B1073" s="15" t="n">
        <x:v>46382</x:v>
      </x:c>
      <x:c r="C1073" s="14" t="str">
        <x:v>Cumartesi</x:v>
      </x:c>
      <x:c r="D1073" s="14" t="str">
        <x:v>Hafta Sonu</x:v>
      </x:c>
      <x:c r="E1073" s="14" t="str">
        <x:v>Tam gün</x:v>
      </x:c>
      <x:c r="F1073" s="14" t="str">
        <x:v>F1 - Temel Kurma</x:v>
      </x:c>
      <x:c r="G1073" s="14" t="str">
        <x:v>11:25</x:v>
      </x:c>
      <x:c r="H1073" s="14" t="str">
        <x:v>11:55</x:v>
      </x:c>
      <x:c r="I1073" s="14" t="str">
        <x:v>Türkçe</x:v>
      </x:c>
      <x:c r="J1073" s="14" t="str">
        <x:v>Paragraf Rutini</x:v>
      </x:c>
      <x:c r="K1073" s="14" t="str">
        <x:v>Paragraf</x:v>
      </x:c>
      <x:c r="L1073" s="14" t="str">
        <x:v>En az 25 paragraf sorusu çöz; ilk 20 soruyu ileri sayımla ölç, D/Y/B + süre kaydet.</x:v>
      </x:c>
      <x:c r="M1073" s="14" t="str">
        <x:v>Hız 8. Sınıf Türkçe Paragraf (ISBN 9786258394498)</x:v>
      </x:c>
      <x:c r="N1073" s="14" t="str"/>
      <x:c r="O1073" s="14" t="n">
        <x:v>25</x:v>
      </x:c>
      <x:c r="P1073" s="14" t="str">
        <x:v>İlk 20 soru</x:v>
      </x:c>
      <x:c r="Q1073" s="14" t="str">
        <x:v>Evet</x:v>
      </x:c>
      <x:c r="R1073" s="14" t="str">
        <x:v>Planlandı</x:v>
      </x:c>
      <x:c r="S1073" s="15" t="str"/>
      <x:c r="T1073" s="14" t="str">
        <x:v>Geri sayım ve hedef süre yok.</x:v>
      </x:c>
    </x:row>
    <x:row r="1074">
      <x:c r="A1074" s="14" t="n">
        <x:v>1073</x:v>
      </x:c>
      <x:c r="B1074" s="15" t="n">
        <x:v>46382</x:v>
      </x:c>
      <x:c r="C1074" s="14" t="str">
        <x:v>Cumartesi</x:v>
      </x:c>
      <x:c r="D1074" s="14" t="str">
        <x:v>Hafta Sonu</x:v>
      </x:c>
      <x:c r="E1074" s="14" t="str">
        <x:v>Tam gün</x:v>
      </x:c>
      <x:c r="F1074" s="14" t="str">
        <x:v>F1 - Temel Kurma</x:v>
      </x:c>
      <x:c r="G1074" s="14" t="str">
        <x:v>14:00</x:v>
      </x:c>
      <x:c r="H1074" s="14" t="str">
        <x:v>14:40</x:v>
      </x:c>
      <x:c r="I1074" s="14" t="str">
        <x:v>Türkçe</x:v>
      </x:c>
      <x:c r="J1074" s="14" t="str">
        <x:v>Konu / Tekrar</x:v>
      </x:c>
      <x:c r="K1074" s="14" t="str">
        <x:v>Anlatım Bozuklukları</x:v>
      </x:c>
      <x:c r="L1074" s="14" t="str">
        <x:v>Anlatım Bozuklukları — genel oynatma listesinden ilgili videoyu izle (3/3).</x:v>
      </x:c>
      <x:c r="M1074" s="14" t="str">
        <x:v>Türkçe Ana Oynatma Listesi</x:v>
      </x:c>
      <x:c r="N1074" s="14" t="str">
        <x:v>https://www.youtube.com/watch?v=VYsPntNKVdw&amp;list=PLIBjFaUoJJ91bz7QQEBlxNJNZka5YQRr6</x:v>
      </x:c>
      <x:c r="O1074" s="14" t="n">
        <x:v>0</x:v>
      </x:c>
      <x:c r="P1074" s="14" t="str">
        <x:v>Hayır</x:v>
      </x:c>
      <x:c r="Q1074" s="14" t="str">
        <x:v>Evet</x:v>
      </x:c>
      <x:c r="R1074" s="14" t="str">
        <x:v>Planlandı</x:v>
      </x:c>
      <x:c r="S1074" s="15" t="str"/>
      <x:c r="T1074" s="14" t="str">
        <x:v>TYT etiketli kaynak temelden başlamak için sabittir; LGS dışı gereksiz ayrıntı zorunlu değildir.</x:v>
      </x:c>
    </x:row>
    <x:row r="1075">
      <x:c r="A1075" s="14" t="n">
        <x:v>1074</x:v>
      </x:c>
      <x:c r="B1075" s="15" t="n">
        <x:v>46382</x:v>
      </x:c>
      <x:c r="C1075" s="14" t="str">
        <x:v>Cumartesi</x:v>
      </x:c>
      <x:c r="D1075" s="14" t="str">
        <x:v>Hafta Sonu</x:v>
      </x:c>
      <x:c r="E1075" s="14" t="str">
        <x:v>Tam gün</x:v>
      </x:c>
      <x:c r="F1075" s="14" t="str">
        <x:v>F1 - Temel Kurma</x:v>
      </x:c>
      <x:c r="G1075" s="14" t="str">
        <x:v>14:50</x:v>
      </x:c>
      <x:c r="H1075" s="14" t="str">
        <x:v>15:30</x:v>
      </x:c>
      <x:c r="I1075" s="14" t="str">
        <x:v>Türkçe</x:v>
      </x:c>
      <x:c r="J1075" s="14" t="str">
        <x:v>Kitap / MEB / Mastery</x:v>
      </x:c>
      <x:c r="K1075" s="14" t="str">
        <x:v>Anlatım Bozuklukları</x:v>
      </x:c>
      <x:c r="L1075" s="14" t="str">
        <x:v>Anlatım Bozuklukları ile ilgili soru kitabından en az 15 soru / bugünkü test payını çöz. İlgili kitap konu bölümünü bu oturumda bitirmeyi hedefle; sonraki oturum MEB doğrulaması.</x:v>
      </x:c>
      <x:c r="M1075" s="14" t="str">
        <x:v>Ankara 8. Sınıf Dil Bilgisi Güçlendiren</x:v>
      </x:c>
      <x:c r="N1075" s="14" t="str">
        <x:v>https://odsgm.meb.gov.tr/www/8sinif-calisma-sorulari/icerik/1632</x:v>
      </x:c>
      <x:c r="O1075" s="14" t="n">
        <x:v>15</x:v>
      </x:c>
      <x:c r="P1075" s="14" t="str">
        <x:v>Hayır</x:v>
      </x:c>
      <x:c r="Q1075" s="14" t="str">
        <x:v>Evet</x:v>
      </x:c>
      <x:c r="R1075" s="14" t="str">
        <x:v>Planlandı</x:v>
      </x:c>
      <x:c r="S1075" s="15" t="str"/>
      <x:c r="T1075" s="14" t="str"/>
    </x:row>
    <x:row r="1076">
      <x:c r="A1076" s="14" t="n">
        <x:v>1075</x:v>
      </x:c>
      <x:c r="B1076" s="15" t="n">
        <x:v>46382</x:v>
      </x:c>
      <x:c r="C1076" s="14" t="str">
        <x:v>Cumartesi</x:v>
      </x:c>
      <x:c r="D1076" s="14" t="str">
        <x:v>Hafta Sonu</x:v>
      </x:c>
      <x:c r="E1076" s="14" t="str">
        <x:v>Tam gün</x:v>
      </x:c>
      <x:c r="F1076" s="14" t="str">
        <x:v>F1 - Temel Kurma</x:v>
      </x:c>
      <x:c r="G1076" s="14" t="str">
        <x:v>15:45</x:v>
      </x:c>
      <x:c r="H1076" s="14" t="str">
        <x:v>16:25</x:v>
      </x:c>
      <x:c r="I1076" s="14" t="str">
        <x:v>İnkılap</x:v>
      </x:c>
      <x:c r="J1076" s="14" t="str">
        <x:v>Konu / Tekrar</x:v>
      </x:c>
      <x:c r="K1076" s="14" t="str">
        <x:v>TBMM’ye Karşı Ayaklanmalar ve Sevr</x:v>
      </x:c>
      <x:c r="L1076" s="14" t="str">
        <x:v>TBMM’ye Karşı Ayaklanmalar ve Sevr — genel oynatma listesinden ilgili konu/soru çalışmasını yap.</x:v>
      </x:c>
      <x:c r="M1076" s="14" t="str">
        <x:v>İnkılap Genel Oynatma Listesi</x:v>
      </x:c>
      <x:c r="N1076" s="14" t="str">
        <x:v>https://www.youtube.com/watch?v=MltIX0oKpYU&amp;list=PLsAsBPsriHNbXit4Ra3iuBrk1ZHZWxsOR&amp;index=78</x:v>
      </x:c>
      <x:c r="O1076" s="14" t="n">
        <x:v>0</x:v>
      </x:c>
      <x:c r="P1076" s="14" t="str">
        <x:v>Hayır</x:v>
      </x:c>
      <x:c r="Q1076" s="14" t="str">
        <x:v>Evet</x:v>
      </x:c>
      <x:c r="R1076" s="14" t="str">
        <x:v>Planlandı</x:v>
      </x:c>
      <x:c r="S1076" s="15" t="str"/>
      <x:c r="T1076" s="14" t="str">
        <x:v>İnkılapta okul yazılısı videoları zorunlu değildir.</x:v>
      </x:c>
    </x:row>
    <x:row r="1077">
      <x:c r="A1077" s="14" t="n">
        <x:v>1076</x:v>
      </x:c>
      <x:c r="B1077" s="15" t="n">
        <x:v>46382</x:v>
      </x:c>
      <x:c r="C1077" s="14" t="str">
        <x:v>Cumartesi</x:v>
      </x:c>
      <x:c r="D1077" s="14" t="str">
        <x:v>Hafta Sonu</x:v>
      </x:c>
      <x:c r="E1077" s="14" t="str">
        <x:v>Tam gün</x:v>
      </x:c>
      <x:c r="F1077" s="14" t="str">
        <x:v>F1 - Temel Kurma</x:v>
      </x:c>
      <x:c r="G1077" s="14" t="str">
        <x:v>16:35</x:v>
      </x:c>
      <x:c r="H1077" s="14" t="str">
        <x:v>17:15</x:v>
      </x:c>
      <x:c r="I1077" s="14" t="str">
        <x:v>İnkılap</x:v>
      </x:c>
      <x:c r="J1077" s="14" t="str">
        <x:v>Kitap / MEB / Mastery</x:v>
      </x:c>
      <x:c r="K1077" s="14" t="str">
        <x:v>TBMM’ye Karşı Ayaklanmalar ve Sevr</x:v>
      </x:c>
      <x:c r="L1077" s="14" t="str">
        <x:v>TBMM’ye Karşı Ayaklanmalar ve Sevr ile ilgili soru kitabından en az 18 soru / bugünkü test payını çöz.</x:v>
      </x:c>
      <x:c r="M1077" s="14" t="str">
        <x:v>Hız 8. Sınıf T.C. İnkılap Tarihi ve Atatürkçülük</x:v>
      </x:c>
      <x:c r="N1077" s="14" t="str">
        <x:v>https://www.youtube.com/watch?v=MltIX0oKpYU&amp;list=PLsAsBPsriHNbXit4Ra3iuBrk1ZHZWxsOR&amp;index=78</x:v>
      </x:c>
      <x:c r="O1077" s="14" t="n">
        <x:v>18</x:v>
      </x:c>
      <x:c r="P1077" s="14" t="str">
        <x:v>Hayır</x:v>
      </x:c>
      <x:c r="Q1077" s="14" t="str">
        <x:v>Evet</x:v>
      </x:c>
      <x:c r="R1077" s="14" t="str">
        <x:v>Planlandı</x:v>
      </x:c>
      <x:c r="S1077" s="15" t="str"/>
      <x:c r="T1077" s="14" t="str"/>
    </x:row>
    <x:row r="1078">
      <x:c r="A1078" s="14" t="n">
        <x:v>1077</x:v>
      </x:c>
      <x:c r="B1078" s="15" t="n">
        <x:v>46382</x:v>
      </x:c>
      <x:c r="C1078" s="14" t="str">
        <x:v>Cumartesi</x:v>
      </x:c>
      <x:c r="D1078" s="14" t="str">
        <x:v>Hafta Sonu</x:v>
      </x:c>
      <x:c r="E1078" s="14" t="str">
        <x:v>Tam gün</x:v>
      </x:c>
      <x:c r="F1078" s="14" t="str">
        <x:v>F1 - Temel Kurma</x:v>
      </x:c>
      <x:c r="G1078" s="14" t="str">
        <x:v>17:25</x:v>
      </x:c>
      <x:c r="H1078" s="14" t="str">
        <x:v>17:55</x:v>
      </x:c>
      <x:c r="I1078" s="14" t="str">
        <x:v>Fen</x:v>
      </x:c>
      <x:c r="J1078" s="14" t="str">
        <x:v>Ek Fen Pekiştirme</x:v>
      </x:c>
      <x:c r="K1078" s="14" t="str">
        <x:v>Asitler ve Bazlar</x:v>
      </x:c>
      <x:c r="L1078" s="14" t="str">
        <x:v>Asitler ve Bazlar — Fen soru çözüm playlistinden ilgili videoyu izle.</x:v>
      </x:c>
      <x:c r="M1078" s="14" t="str">
        <x:v>Fen Konu/Soru Oynatma Listesi</x:v>
      </x:c>
      <x:c r="N1078" s="14" t="str">
        <x:v>https://www.youtube.com/watch?v=pQXhWnDZ3vM&amp;list=PLrQm7mt99FRXcBnorCttd31HJEvg0En26&amp;index=23</x:v>
      </x:c>
      <x:c r="O1078" s="14" t="n">
        <x:v>0</x:v>
      </x:c>
      <x:c r="P1078" s="14" t="str">
        <x:v>Hayır</x:v>
      </x:c>
      <x:c r="Q1078" s="14" t="str">
        <x:v>Evet</x:v>
      </x:c>
      <x:c r="R1078" s="14" t="str">
        <x:v>Planlandı</x:v>
      </x:c>
      <x:c r="S1078" s="15" t="str"/>
      <x:c r="T1078" s="14" t="str">
        <x:v>Fen haftalık temas sıklığını artırmak için ek Cumartesi oturumu.</x:v>
      </x:c>
    </x:row>
    <x:row r="1079">
      <x:c r="A1079" s="14" t="n">
        <x:v>1078</x:v>
      </x:c>
      <x:c r="B1079" s="15" t="n">
        <x:v>46382</x:v>
      </x:c>
      <x:c r="C1079" s="14" t="str">
        <x:v>Cumartesi</x:v>
      </x:c>
      <x:c r="D1079" s="14" t="str">
        <x:v>Hafta Sonu</x:v>
      </x:c>
      <x:c r="E1079" s="14" t="str">
        <x:v>Tam gün</x:v>
      </x:c>
      <x:c r="F1079" s="14" t="str">
        <x:v>F1 - Temel Kurma</x:v>
      </x:c>
      <x:c r="G1079" s="14" t="str">
        <x:v>17:55</x:v>
      </x:c>
      <x:c r="H1079" s="14" t="str">
        <x:v>18:25</x:v>
      </x:c>
      <x:c r="I1079" s="14" t="str">
        <x:v>Fen</x:v>
      </x:c>
      <x:c r="J1079" s="14" t="str">
        <x:v>Ek Fen Kitap / MEB</x:v>
      </x:c>
      <x:c r="K1079" s="14" t="str">
        <x:v>Asitler ve Bazlar</x:v>
      </x:c>
      <x:c r="L1079" s="14" t="str">
        <x:v>Asitler ve Bazlar ile ilgili soru kitabından en az 18 soru / bugünkü test payını çöz.</x:v>
      </x:c>
      <x:c r="M1079" s="14" t="str">
        <x:v>Hız 8. Sınıf Fen (ISBN 9786257514859); tamamlandıysa Mozaik 8. Sınıf Fen</x:v>
      </x:c>
      <x:c r="N1079" s="14" t="str">
        <x:v>https://www.youtube.com/watch?v=pQXhWnDZ3vM&amp;list=PLrQm7mt99FRXcBnorCttd31HJEvg0En26&amp;index=23</x:v>
      </x:c>
      <x:c r="O1079" s="14" t="n">
        <x:v>18</x:v>
      </x:c>
      <x:c r="P1079" s="14" t="str">
        <x:v>Hayır</x:v>
      </x:c>
      <x:c r="Q1079" s="14" t="str">
        <x:v>Evet</x:v>
      </x:c>
      <x:c r="R1079" s="14" t="str">
        <x:v>Planlandı</x:v>
      </x:c>
      <x:c r="S1079" s="15" t="str"/>
      <x:c r="T1079" s="14" t="str">
        <x:v>Fen için Hız → gerekiyorsa Mozaik; MEB doğrulaması konu bitiminde.</x:v>
      </x:c>
    </x:row>
    <x:row r="1080">
      <x:c r="A1080" s="14" t="n">
        <x:v>1079</x:v>
      </x:c>
      <x:c r="B1080" s="15" t="n">
        <x:v>46382</x:v>
      </x:c>
      <x:c r="C1080" s="14" t="str">
        <x:v>Cumartesi</x:v>
      </x:c>
      <x:c r="D1080" s="14" t="str">
        <x:v>Hafta Sonu</x:v>
      </x:c>
      <x:c r="E1080" s="14" t="str">
        <x:v>Tam gün</x:v>
      </x:c>
      <x:c r="F1080" s="14" t="str">
        <x:v>F1 - Temel Kurma</x:v>
      </x:c>
      <x:c r="G1080" s="14" t="str">
        <x:v>18:25</x:v>
      </x:c>
      <x:c r="H1080" s="14" t="str">
        <x:v>18:45</x:v>
      </x:c>
      <x:c r="I1080" s="14" t="str">
        <x:v>Genel</x:v>
      </x:c>
      <x:c r="J1080" s="14" t="str">
        <x:v>Yanlış / Boş Analizi</x:v>
      </x:c>
      <x:c r="K1080" s="14" t="str">
        <x:v>Günlük</x:v>
      </x:c>
      <x:c r="L1080" s="14" t="str">
        <x:v>Bugünkü yanlış/boşları kaydet; çözümünü öğrenmeden kapatma. Hata türünü sınıflandır.</x:v>
      </x:c>
      <x:c r="M1080" s="14" t="str">
        <x:v>Yanlış Defteri</x:v>
      </x:c>
      <x:c r="N1080" s="14" t="str"/>
      <x:c r="O1080" s="14" t="n">
        <x:v>0</x:v>
      </x:c>
      <x:c r="P1080" s="14" t="str">
        <x:v>Hayır</x:v>
      </x:c>
      <x:c r="Q1080" s="14" t="str">
        <x:v>Evet</x:v>
      </x:c>
      <x:c r="R1080" s="14" t="str">
        <x:v>Planlandı</x:v>
      </x:c>
      <x:c r="S1080" s="15" t="str"/>
      <x:c r="T1080" s="14" t="str"/>
    </x:row>
    <x:row r="1081">
      <x:c r="A1081" s="14" t="n">
        <x:v>1080</x:v>
      </x:c>
      <x:c r="B1081" s="15" t="n">
        <x:v>46382</x:v>
      </x:c>
      <x:c r="C1081" s="14" t="str">
        <x:v>Cumartesi</x:v>
      </x:c>
      <x:c r="D1081" s="14" t="str">
        <x:v>Hafta Sonu</x:v>
      </x:c>
      <x:c r="E1081" s="14" t="str">
        <x:v>Tam gün</x:v>
      </x:c>
      <x:c r="F1081" s="14" t="str">
        <x:v>F1 - Temel Kurma</x:v>
      </x:c>
      <x:c r="G1081" s="14" t="str">
        <x:v>18:45</x:v>
      </x:c>
      <x:c r="H1081" s="14" t="str">
        <x:v>19:05</x:v>
      </x:c>
      <x:c r="I1081" s="14" t="str">
        <x:v>Genel</x:v>
      </x:c>
      <x:c r="J1081" s="14" t="str">
        <x:v>Aralıklı Hata Tekrarı</x:v>
      </x:c>
      <x:c r="K1081" s="14" t="str">
        <x:v>+1 / +7 / +21</x:v>
      </x:c>
      <x:c r="L1081" s="14" t="str">
        <x:v>Bugün vadesi gelen yanlış soruları tekrar çöz. Vadesi yoksa bu süre serbest/okuma olabilir.</x:v>
      </x:c>
      <x:c r="M1081" s="14" t="str">
        <x:v>Yanlış Defteri</x:v>
      </x:c>
      <x:c r="N1081" s="14" t="str"/>
      <x:c r="O1081" s="14" t="n">
        <x:v>0</x:v>
      </x:c>
      <x:c r="P1081" s="14" t="str">
        <x:v>Hayır</x:v>
      </x:c>
      <x:c r="Q1081" s="14" t="str">
        <x:v>Koşullu</x:v>
      </x:c>
      <x:c r="R1081" s="14" t="str">
        <x:v>Planlandı</x:v>
      </x:c>
      <x:c r="S1081" s="15" t="str"/>
      <x:c r="T1081" s="14" t="str">
        <x:v>Yanlışlar +1, +7 ve +21 gün aralıklarıyla tekrar edilir; hâlâ yanlışsa konu mastery durumu düşürülür.</x:v>
      </x:c>
    </x:row>
    <x:row r="1082">
      <x:c r="A1082" s="14" t="n">
        <x:v>1081</x:v>
      </x:c>
      <x:c r="B1082" s="15" t="n">
        <x:v>46382</x:v>
      </x:c>
      <x:c r="C1082" s="14" t="str">
        <x:v>Cumartesi</x:v>
      </x:c>
      <x:c r="D1082" s="14" t="str">
        <x:v>Hafta Sonu</x:v>
      </x:c>
      <x:c r="E1082" s="14" t="str">
        <x:v>Tam gün</x:v>
      </x:c>
      <x:c r="F1082" s="14" t="str">
        <x:v>F1 - Temel Kurma</x:v>
      </x:c>
      <x:c r="G1082" s="14" t="str">
        <x:v>20:00</x:v>
      </x:c>
      <x:c r="H1082" s="14" t="str">
        <x:v>20:30</x:v>
      </x:c>
      <x:c r="I1082" s="14" t="str">
        <x:v>Okuma</x:v>
      </x:c>
      <x:c r="J1082" s="14" t="str">
        <x:v>İsteğe Bağlı</x:v>
      </x:c>
      <x:c r="K1082" s="14" t="str">
        <x:v>Serbest Kitap</x:v>
      </x:c>
      <x:c r="L1082" s="14" t="str">
        <x:v>Zorunlu çalışmalar bittiyse isteğe bağlı kitap oku.</x:v>
      </x:c>
      <x:c r="M1082" s="14" t="str">
        <x:v>Serbest Kitap</x:v>
      </x:c>
      <x:c r="N1082" s="14" t="str"/>
      <x:c r="O1082" s="14" t="n">
        <x:v>0</x:v>
      </x:c>
      <x:c r="P1082" s="14" t="str">
        <x:v>İsteğe Bağlı</x:v>
      </x:c>
      <x:c r="Q1082" s="14" t="str">
        <x:v>Hayır</x:v>
      </x:c>
      <x:c r="R1082" s="14" t="str">
        <x:v>Planlandı</x:v>
      </x:c>
      <x:c r="S1082" s="15" t="str"/>
      <x:c r="T1082" s="14" t="str">
        <x:v>Minimum süre yok.</x:v>
      </x:c>
    </x:row>
    <x:row r="1083">
      <x:c r="A1083" s="14" t="n">
        <x:v>1082</x:v>
      </x:c>
      <x:c r="B1083" s="15" t="n">
        <x:v>46382</x:v>
      </x:c>
      <x:c r="C1083" s="14" t="str">
        <x:v>Cumartesi</x:v>
      </x:c>
      <x:c r="D1083" s="14" t="str">
        <x:v>Hafta Sonu</x:v>
      </x:c>
      <x:c r="E1083" s="14" t="str">
        <x:v>Tam gün</x:v>
      </x:c>
      <x:c r="F1083" s="14" t="str">
        <x:v>F1 - Temel Kurma</x:v>
      </x:c>
      <x:c r="G1083" s="14" t="str">
        <x:v>21:50</x:v>
      </x:c>
      <x:c r="H1083" s="14" t="str">
        <x:v>22:00</x:v>
      </x:c>
      <x:c r="I1083" s="14" t="str">
        <x:v>Genel</x:v>
      </x:c>
      <x:c r="J1083" s="14" t="str">
        <x:v>Uyku Hazırlığı</x:v>
      </x:c>
      <x:c r="K1083" s="14" t="str"/>
      <x:c r="L1083" s="14" t="str">
        <x:v>22:00'de yatakta ve uyku.</x:v>
      </x:c>
      <x:c r="M1083" s="14" t="str"/>
      <x:c r="N1083" s="14" t="str"/>
      <x:c r="O1083" s="14" t="n">
        <x:v>0</x:v>
      </x:c>
      <x:c r="P1083" s="14" t="str">
        <x:v>Hayır</x:v>
      </x:c>
      <x:c r="Q1083" s="14" t="str">
        <x:v>Hayır</x:v>
      </x:c>
      <x:c r="R1083" s="14" t="str">
        <x:v>Planlandı</x:v>
      </x:c>
      <x:c r="S1083" s="15" t="str"/>
      <x:c r="T1083" s="14" t="str"/>
    </x:row>
    <x:row r="1084">
      <x:c r="A1084" s="14" t="n">
        <x:v>1083</x:v>
      </x:c>
      <x:c r="B1084" s="15" t="n">
        <x:v>46383</x:v>
      </x:c>
      <x:c r="C1084" s="14" t="str">
        <x:v>Pazar</x:v>
      </x:c>
      <x:c r="D1084" s="14" t="str">
        <x:v>Hafta Sonu</x:v>
      </x:c>
      <x:c r="E1084" s="14" t="str">
        <x:v>Tam gün</x:v>
      </x:c>
      <x:c r="F1084" s="14" t="str">
        <x:v>F1 - Temel Kurma</x:v>
      </x:c>
      <x:c r="G1084" s="14" t="str">
        <x:v>09:30</x:v>
      </x:c>
      <x:c r="H1084" s="14" t="str">
        <x:v>10:15</x:v>
      </x:c>
      <x:c r="I1084" s="14" t="str">
        <x:v>Matematik</x:v>
      </x:c>
      <x:c r="J1084" s="14" t="str">
        <x:v>Konu / Tekrar</x:v>
      </x:c>
      <x:c r="K1084" s="14" t="str">
        <x:v>Basit Olayların Olma Olasılığı</x:v>
      </x:c>
      <x:c r="L1084" s="14" t="str">
        <x:v>Basit Olayların Olma Olasılığı — genel oynatma listesinden ilgili videoyu izle (2/2).</x:v>
      </x:c>
      <x:c r="M1084" s="14" t="str">
        <x:v>Matematik Ana Oynatma Listesi</x:v>
      </x:c>
      <x:c r="N1084" s="14" t="str">
        <x:v>https://www.youtube.com/watch?v=EuJ89QzqrAg&amp;list=PLicNtF7vp6fnfDqrRLH6H7fIbzYT4ct4F&amp;index=11</x:v>
      </x:c>
      <x:c r="O1084" s="14" t="n">
        <x:v>0</x:v>
      </x:c>
      <x:c r="P1084" s="14" t="str">
        <x:v>Hayır</x:v>
      </x:c>
      <x:c r="Q1084" s="14" t="str">
        <x:v>Evet</x:v>
      </x:c>
      <x:c r="R1084" s="14" t="str">
        <x:v>Planlandı</x:v>
      </x:c>
      <x:c r="S1084" s="15" t="str"/>
      <x:c r="T1084" s="14" t="str">
        <x:v>Yeni konu ancak plan sırasıyla açılır; LGS dışı ileri TYT içeriği zorunlu değildir.</x:v>
      </x:c>
    </x:row>
    <x:row r="1085">
      <x:c r="A1085" s="14" t="n">
        <x:v>1084</x:v>
      </x:c>
      <x:c r="B1085" s="15" t="n">
        <x:v>46383</x:v>
      </x:c>
      <x:c r="C1085" s="14" t="str">
        <x:v>Pazar</x:v>
      </x:c>
      <x:c r="D1085" s="14" t="str">
        <x:v>Hafta Sonu</x:v>
      </x:c>
      <x:c r="E1085" s="14" t="str">
        <x:v>Tam gün</x:v>
      </x:c>
      <x:c r="F1085" s="14" t="str">
        <x:v>F1 - Temel Kurma</x:v>
      </x:c>
      <x:c r="G1085" s="14" t="str">
        <x:v>10:25</x:v>
      </x:c>
      <x:c r="H1085" s="14" t="str">
        <x:v>11:15</x:v>
      </x:c>
      <x:c r="I1085" s="14" t="str">
        <x:v>Matematik</x:v>
      </x:c>
      <x:c r="J1085" s="14" t="str">
        <x:v>Kitap / MEB / Mastery</x:v>
      </x:c>
      <x:c r="K1085" s="14" t="str">
        <x:v>Basit Olayların Olma Olasılığı</x:v>
      </x:c>
      <x:c r="L1085" s="14" t="str">
        <x:v>Basit Olayların Olma Olasılığı ile ilgili soru kitabından en az 25 soru / bugünkü test payını çöz. İlgili kitap konu bölümünü bu oturumda bitirmeyi hedefle; sonraki oturum MEB doğrulaması.</x:v>
      </x:c>
      <x:c r="M1085" s="14" t="str">
        <x:v>MUBA 8. Sınıf Başlangıç Matematik (ISBN 9789756526972); tamamlandıysa Mozaik 8. Sınıf Matematik</x:v>
      </x:c>
      <x:c r="N1085" s="14" t="str">
        <x:v>https://odsgm.meb.gov.tr/www/8sinif-calisma-sorulari/icerik/1632</x:v>
      </x:c>
      <x:c r="O1085" s="14" t="n">
        <x:v>25</x:v>
      </x:c>
      <x:c r="P1085" s="14" t="str">
        <x:v>İlk 20 soru</x:v>
      </x:c>
      <x:c r="Q1085" s="14" t="str">
        <x:v>Evet</x:v>
      </x:c>
      <x:c r="R1085" s="14" t="str">
        <x:v>Planlandı</x:v>
      </x:c>
      <x:c r="S1085" s="15" t="str"/>
      <x:c r="T1085" s="14" t="str">
        <x:v>Ayrı/rastgele matematik benchmark yoktur. Süreli ilk 20 soru o gün çalışılan konunun içindedir.</x:v>
      </x:c>
    </x:row>
    <x:row r="1086">
      <x:c r="A1086" s="14" t="n">
        <x:v>1085</x:v>
      </x:c>
      <x:c r="B1086" s="15" t="n">
        <x:v>46383</x:v>
      </x:c>
      <x:c r="C1086" s="14" t="str">
        <x:v>Pazar</x:v>
      </x:c>
      <x:c r="D1086" s="14" t="str">
        <x:v>Hafta Sonu</x:v>
      </x:c>
      <x:c r="E1086" s="14" t="str">
        <x:v>Tam gün</x:v>
      </x:c>
      <x:c r="F1086" s="14" t="str">
        <x:v>F1 - Temel Kurma</x:v>
      </x:c>
      <x:c r="G1086" s="14" t="str">
        <x:v>12:00</x:v>
      </x:c>
      <x:c r="H1086" s="14" t="str">
        <x:v>14:00</x:v>
      </x:c>
      <x:c r="I1086" s="14" t="str">
        <x:v>Genel</x:v>
      </x:c>
      <x:c r="J1086" s="14" t="str">
        <x:v>Yemek / Serbest Zaman</x:v>
      </x:c>
      <x:c r="K1086" s="14" t="str"/>
      <x:c r="L1086" s="14" t="str">
        <x:v>Yemek, hareket ve dinlenme.</x:v>
      </x:c>
      <x:c r="M1086" s="14" t="str"/>
      <x:c r="N1086" s="14" t="str"/>
      <x:c r="O1086" s="14" t="n">
        <x:v>0</x:v>
      </x:c>
      <x:c r="P1086" s="14" t="str">
        <x:v>Hayır</x:v>
      </x:c>
      <x:c r="Q1086" s="14" t="str">
        <x:v>Hayır</x:v>
      </x:c>
      <x:c r="R1086" s="14" t="str">
        <x:v>Planlandı</x:v>
      </x:c>
      <x:c r="S1086" s="15" t="str"/>
      <x:c r="T1086" s="14" t="str"/>
    </x:row>
    <x:row r="1087">
      <x:c r="A1087" s="14" t="n">
        <x:v>1086</x:v>
      </x:c>
      <x:c r="B1087" s="15" t="n">
        <x:v>46383</x:v>
      </x:c>
      <x:c r="C1087" s="14" t="str">
        <x:v>Pazar</x:v>
      </x:c>
      <x:c r="D1087" s="14" t="str">
        <x:v>Hafta Sonu</x:v>
      </x:c>
      <x:c r="E1087" s="14" t="str">
        <x:v>Tam gün</x:v>
      </x:c>
      <x:c r="F1087" s="14" t="str">
        <x:v>F1 - Temel Kurma</x:v>
      </x:c>
      <x:c r="G1087" s="14" t="str">
        <x:v>11:25</x:v>
      </x:c>
      <x:c r="H1087" s="14" t="str">
        <x:v>11:55</x:v>
      </x:c>
      <x:c r="I1087" s="14" t="str">
        <x:v>Türkçe</x:v>
      </x:c>
      <x:c r="J1087" s="14" t="str">
        <x:v>Paragraf Rutini</x:v>
      </x:c>
      <x:c r="K1087" s="14" t="str">
        <x:v>Paragraf</x:v>
      </x:c>
      <x:c r="L1087" s="14" t="str">
        <x:v>En az 25 paragraf sorusu çöz; ilk 20 soruyu ileri sayımla ölç, D/Y/B + süre kaydet.</x:v>
      </x:c>
      <x:c r="M1087" s="14" t="str">
        <x:v>Hız 8. Sınıf Türkçe Paragraf (ISBN 9786258394498)</x:v>
      </x:c>
      <x:c r="N1087" s="14" t="str"/>
      <x:c r="O1087" s="14" t="n">
        <x:v>25</x:v>
      </x:c>
      <x:c r="P1087" s="14" t="str">
        <x:v>İlk 20 soru</x:v>
      </x:c>
      <x:c r="Q1087" s="14" t="str">
        <x:v>Evet</x:v>
      </x:c>
      <x:c r="R1087" s="14" t="str">
        <x:v>Planlandı</x:v>
      </x:c>
      <x:c r="S1087" s="15" t="str"/>
      <x:c r="T1087" s="14" t="str">
        <x:v>Geri sayım ve hedef süre yok.</x:v>
      </x:c>
    </x:row>
    <x:row r="1088">
      <x:c r="A1088" s="14" t="n">
        <x:v>1087</x:v>
      </x:c>
      <x:c r="B1088" s="15" t="n">
        <x:v>46383</x:v>
      </x:c>
      <x:c r="C1088" s="14" t="str">
        <x:v>Pazar</x:v>
      </x:c>
      <x:c r="D1088" s="14" t="str">
        <x:v>Hafta Sonu</x:v>
      </x:c>
      <x:c r="E1088" s="14" t="str">
        <x:v>Tam gün</x:v>
      </x:c>
      <x:c r="F1088" s="14" t="str">
        <x:v>F1 - Temel Kurma</x:v>
      </x:c>
      <x:c r="G1088" s="14" t="str">
        <x:v>14:00</x:v>
      </x:c>
      <x:c r="H1088" s="14" t="str">
        <x:v>14:40</x:v>
      </x:c>
      <x:c r="I1088" s="14" t="str">
        <x:v>Türkçe</x:v>
      </x:c>
      <x:c r="J1088" s="14" t="str">
        <x:v>Konu / Tekrar</x:v>
      </x:c>
      <x:c r="K1088" s="14" t="str">
        <x:v>Anlatım Bozuklukları</x:v>
      </x:c>
      <x:c r="L1088" s="14" t="str">
        <x:v>Anlatım Bozuklukları — MEB doğrulaması öncesi 5-10 dk aktif hatırlama; gerekiyorsa ilgili playlist videosuna kısa dönüş yap.</x:v>
      </x:c>
      <x:c r="M1088" s="14" t="str">
        <x:v>Türkçe Ana Oynatma Listesi</x:v>
      </x:c>
      <x:c r="N1088" s="14" t="str">
        <x:v>https://www.youtube.com/watch?v=VYsPntNKVdw&amp;list=PLIBjFaUoJJ91bz7QQEBlxNJNZka5YQRr6</x:v>
      </x:c>
      <x:c r="O1088" s="14" t="n">
        <x:v>0</x:v>
      </x:c>
      <x:c r="P1088" s="14" t="str">
        <x:v>Hayır</x:v>
      </x:c>
      <x:c r="Q1088" s="14" t="str">
        <x:v>Evet</x:v>
      </x:c>
      <x:c r="R1088" s="14" t="str">
        <x:v>Planlandı</x:v>
      </x:c>
      <x:c r="S1088" s="15" t="str"/>
      <x:c r="T1088" s="14" t="str">
        <x:v>TYT etiketli kaynak temelden başlamak için sabittir; LGS dışı gereksiz ayrıntı zorunlu değildir.</x:v>
      </x:c>
    </x:row>
    <x:row r="1089">
      <x:c r="A1089" s="14" t="n">
        <x:v>1088</x:v>
      </x:c>
      <x:c r="B1089" s="15" t="n">
        <x:v>46383</x:v>
      </x:c>
      <x:c r="C1089" s="14" t="str">
        <x:v>Pazar</x:v>
      </x:c>
      <x:c r="D1089" s="14" t="str">
        <x:v>Hafta Sonu</x:v>
      </x:c>
      <x:c r="E1089" s="14" t="str">
        <x:v>Tam gün</x:v>
      </x:c>
      <x:c r="F1089" s="14" t="str">
        <x:v>F1 - Temel Kurma</x:v>
      </x:c>
      <x:c r="G1089" s="14" t="str">
        <x:v>14:50</x:v>
      </x:c>
      <x:c r="H1089" s="14" t="str">
        <x:v>15:30</x:v>
      </x:c>
      <x:c r="I1089" s="14" t="str">
        <x:v>Türkçe</x:v>
      </x:c>
      <x:c r="J1089" s="14" t="str">
        <x:v>Kitap / MEB / Mastery</x:v>
      </x:c>
      <x:c r="K1089" s="14" t="str">
        <x:v>Anlatım Bozuklukları</x:v>
      </x:c>
      <x:c r="L1089" s="14" t="str">
        <x:v>Anlatım Bozuklukları için ilgili MEB sorularını TAMAMLA; D/Y/B kaydet. Bu oturum konu mastery gate'idir.</x:v>
      </x:c>
      <x:c r="M1089" s="14" t="str">
        <x:v>MEB Resmî Soru Seti</x:v>
      </x:c>
      <x:c r="N1089" s="14" t="str">
        <x:v>https://odsgm.meb.gov.tr/www/8sinif-calisma-sorulari/icerik/1632</x:v>
      </x:c>
      <x:c r="O1089" s="14" t="n">
        <x:v>0</x:v>
      </x:c>
      <x:c r="P1089" s="14" t="str">
        <x:v>Hayır</x:v>
      </x:c>
      <x:c r="Q1089" s="14" t="str">
        <x:v>Evet</x:v>
      </x:c>
      <x:c r="R1089" s="14" t="str">
        <x:v>Planlandı</x:v>
      </x:c>
      <x:c r="S1089" s="15" t="str"/>
      <x:c r="T1089" s="14" t="str">
        <x:v>MEB sonucu Konu_Ustaligi sayfasına işlenir.</x:v>
      </x:c>
    </x:row>
    <x:row r="1090">
      <x:c r="A1090" s="14" t="n">
        <x:v>1089</x:v>
      </x:c>
      <x:c r="B1090" s="15" t="n">
        <x:v>46383</x:v>
      </x:c>
      <x:c r="C1090" s="14" t="str">
        <x:v>Pazar</x:v>
      </x:c>
      <x:c r="D1090" s="14" t="str">
        <x:v>Hafta Sonu</x:v>
      </x:c>
      <x:c r="E1090" s="14" t="str">
        <x:v>Tam gün</x:v>
      </x:c>
      <x:c r="F1090" s="14" t="str">
        <x:v>F1 - Temel Kurma</x:v>
      </x:c>
      <x:c r="G1090" s="14" t="str">
        <x:v>15:45</x:v>
      </x:c>
      <x:c r="H1090" s="14" t="str">
        <x:v>16:25</x:v>
      </x:c>
      <x:c r="I1090" s="14" t="str">
        <x:v>İngilizce</x:v>
      </x:c>
      <x:c r="J1090" s="14" t="str">
        <x:v>Konu / Tekrar</x:v>
      </x:c>
      <x:c r="K1090" s="14" t="str">
        <x:v>Unit 6 - Adventures</x:v>
      </x:c>
      <x:c r="L1090" s="14" t="str">
        <x:v>Unit 6 - Adventures — Reading çalışmasını playlistten yap.</x:v>
      </x:c>
      <x:c r="M1090" s="14" t="str">
        <x:v>İngilizce Genel Oynatma Listesi</x:v>
      </x:c>
      <x:c r="N1090" s="14" t="str">
        <x:v>https://www.youtube.com/watch?v=FaY3dFjZbns&amp;list=PLSgpQDrUSYp94WgE9pzpHiOG5FwxnZBrr</x:v>
      </x:c>
      <x:c r="O1090" s="14" t="n">
        <x:v>0</x:v>
      </x:c>
      <x:c r="P1090" s="14" t="str">
        <x:v>Hayır</x:v>
      </x:c>
      <x:c r="Q1090" s="14" t="str">
        <x:v>Evet</x:v>
      </x:c>
      <x:c r="R1090" s="14" t="str">
        <x:v>Planlandı</x:v>
      </x:c>
      <x:c r="S1090" s="15" t="str"/>
      <x:c r="T1090" s="14" t="str"/>
    </x:row>
    <x:row r="1091">
      <x:c r="A1091" s="14" t="n">
        <x:v>1090</x:v>
      </x:c>
      <x:c r="B1091" s="15" t="n">
        <x:v>46383</x:v>
      </x:c>
      <x:c r="C1091" s="14" t="str">
        <x:v>Pazar</x:v>
      </x:c>
      <x:c r="D1091" s="14" t="str">
        <x:v>Hafta Sonu</x:v>
      </x:c>
      <x:c r="E1091" s="14" t="str">
        <x:v>Tam gün</x:v>
      </x:c>
      <x:c r="F1091" s="14" t="str">
        <x:v>F1 - Temel Kurma</x:v>
      </x:c>
      <x:c r="G1091" s="14" t="str">
        <x:v>16:35</x:v>
      </x:c>
      <x:c r="H1091" s="14" t="str">
        <x:v>17:15</x:v>
      </x:c>
      <x:c r="I1091" s="14" t="str">
        <x:v>İngilizce</x:v>
      </x:c>
      <x:c r="J1091" s="14" t="str">
        <x:v>Kitap / MEB / Mastery</x:v>
      </x:c>
      <x:c r="K1091" s="14" t="str">
        <x:v>Unit 6 - Adventures</x:v>
      </x:c>
      <x:c r="L1091" s="14" t="str">
        <x:v>Unit 6 - Adventures ile ilgili soru kitabından en az 18 soru / bugünkü test payını çöz.</x:v>
      </x:c>
      <x:c r="M1091" s="14" t="str">
        <x:v>More &amp; More 8 Worksheets Notebook</x:v>
      </x:c>
      <x:c r="N1091" s="14" t="str">
        <x:v>https://www.youtube.com/watch?v=FaY3dFjZbns&amp;list=PLSgpQDrUSYp94WgE9pzpHiOG5FwxnZBrr</x:v>
      </x:c>
      <x:c r="O1091" s="14" t="n">
        <x:v>18</x:v>
      </x:c>
      <x:c r="P1091" s="14" t="str">
        <x:v>Hayır</x:v>
      </x:c>
      <x:c r="Q1091" s="14" t="str">
        <x:v>Evet</x:v>
      </x:c>
      <x:c r="R1091" s="14" t="str">
        <x:v>Planlandı</x:v>
      </x:c>
      <x:c r="S1091" s="15" t="str"/>
      <x:c r="T1091" s="14" t="str"/>
    </x:row>
    <x:row r="1092">
      <x:c r="A1092" s="14" t="n">
        <x:v>1091</x:v>
      </x:c>
      <x:c r="B1092" s="15" t="n">
        <x:v>46383</x:v>
      </x:c>
      <x:c r="C1092" s="14" t="str">
        <x:v>Pazar</x:v>
      </x:c>
      <x:c r="D1092" s="14" t="str">
        <x:v>Hafta Sonu</x:v>
      </x:c>
      <x:c r="E1092" s="14" t="str">
        <x:v>Tam gün</x:v>
      </x:c>
      <x:c r="F1092" s="14" t="str">
        <x:v>F1 - Temel Kurma</x:v>
      </x:c>
      <x:c r="G1092" s="14" t="str">
        <x:v>17:25</x:v>
      </x:c>
      <x:c r="H1092" s="14" t="str">
        <x:v>18:25</x:v>
      </x:c>
      <x:c r="I1092" s="14" t="str">
        <x:v>Genel</x:v>
      </x:c>
      <x:c r="J1092" s="14" t="str">
        <x:v>Kaynak Tamamlama</x:v>
      </x:c>
      <x:c r="K1092" s="14" t="str">
        <x:v>En Geride Kalan Kaynak</x:v>
      </x:c>
      <x:c r="L1092" s="14" t="str">
        <x:v>Kaynak_Ilerleme sayfasında hedef yüzdesinin en gerisinde kalan ZORUNLU soru kaynağına 60 dk ayır. Öğrenilmemiş konudan ileri gitme.</x:v>
      </x:c>
      <x:c r="M1092" s="14" t="str">
        <x:v>Kaynak İlerleme</x:v>
      </x:c>
      <x:c r="N1092" s="14" t="str"/>
      <x:c r="O1092" s="14" t="n">
        <x:v>0</x:v>
      </x:c>
      <x:c r="P1092" s="14" t="str">
        <x:v>Hayır</x:v>
      </x:c>
      <x:c r="Q1092" s="14" t="str">
        <x:v>Evet</x:v>
      </x:c>
      <x:c r="R1092" s="14" t="str">
        <x:v>Planlandı</x:v>
      </x:c>
      <x:c r="S1092" s="15" t="str"/>
      <x:c r="T1092" s="14" t="str">
        <x:v>Amaç 13.04.2027'de zorunlu soru kitapları + ilgili MEB setlerini %100 tamamlamak.</x:v>
      </x:c>
    </x:row>
    <x:row r="1093">
      <x:c r="A1093" s="14" t="n">
        <x:v>1092</x:v>
      </x:c>
      <x:c r="B1093" s="15" t="n">
        <x:v>46383</x:v>
      </x:c>
      <x:c r="C1093" s="14" t="str">
        <x:v>Pazar</x:v>
      </x:c>
      <x:c r="D1093" s="14" t="str">
        <x:v>Hafta Sonu</x:v>
      </x:c>
      <x:c r="E1093" s="14" t="str">
        <x:v>Tam gün</x:v>
      </x:c>
      <x:c r="F1093" s="14" t="str">
        <x:v>F1 - Temel Kurma</x:v>
      </x:c>
      <x:c r="G1093" s="14" t="str">
        <x:v>18:25</x:v>
      </x:c>
      <x:c r="H1093" s="14" t="str">
        <x:v>18:45</x:v>
      </x:c>
      <x:c r="I1093" s="14" t="str">
        <x:v>Genel</x:v>
      </x:c>
      <x:c r="J1093" s="14" t="str">
        <x:v>Yanlış / Boş Analizi</x:v>
      </x:c>
      <x:c r="K1093" s="14" t="str">
        <x:v>Günlük</x:v>
      </x:c>
      <x:c r="L1093" s="14" t="str">
        <x:v>Bugünkü yanlış/boşları kaydet; çözümünü öğrenmeden kapatma. Hata türünü sınıflandır.</x:v>
      </x:c>
      <x:c r="M1093" s="14" t="str">
        <x:v>Yanlış Defteri</x:v>
      </x:c>
      <x:c r="N1093" s="14" t="str"/>
      <x:c r="O1093" s="14" t="n">
        <x:v>0</x:v>
      </x:c>
      <x:c r="P1093" s="14" t="str">
        <x:v>Hayır</x:v>
      </x:c>
      <x:c r="Q1093" s="14" t="str">
        <x:v>Evet</x:v>
      </x:c>
      <x:c r="R1093" s="14" t="str">
        <x:v>Planlandı</x:v>
      </x:c>
      <x:c r="S1093" s="15" t="str"/>
      <x:c r="T1093" s="14" t="str"/>
    </x:row>
    <x:row r="1094">
      <x:c r="A1094" s="14" t="n">
        <x:v>1093</x:v>
      </x:c>
      <x:c r="B1094" s="15" t="n">
        <x:v>46383</x:v>
      </x:c>
      <x:c r="C1094" s="14" t="str">
        <x:v>Pazar</x:v>
      </x:c>
      <x:c r="D1094" s="14" t="str">
        <x:v>Hafta Sonu</x:v>
      </x:c>
      <x:c r="E1094" s="14" t="str">
        <x:v>Tam gün</x:v>
      </x:c>
      <x:c r="F1094" s="14" t="str">
        <x:v>F1 - Temel Kurma</x:v>
      </x:c>
      <x:c r="G1094" s="14" t="str">
        <x:v>18:45</x:v>
      </x:c>
      <x:c r="H1094" s="14" t="str">
        <x:v>19:05</x:v>
      </x:c>
      <x:c r="I1094" s="14" t="str">
        <x:v>Genel</x:v>
      </x:c>
      <x:c r="J1094" s="14" t="str">
        <x:v>Aralıklı Hata Tekrarı</x:v>
      </x:c>
      <x:c r="K1094" s="14" t="str">
        <x:v>+1 / +7 / +21</x:v>
      </x:c>
      <x:c r="L1094" s="14" t="str">
        <x:v>Bugün vadesi gelen yanlış soruları tekrar çöz. Vadesi yoksa bu süre serbest/okuma olabilir.</x:v>
      </x:c>
      <x:c r="M1094" s="14" t="str">
        <x:v>Yanlış Defteri</x:v>
      </x:c>
      <x:c r="N1094" s="14" t="str"/>
      <x:c r="O1094" s="14" t="n">
        <x:v>0</x:v>
      </x:c>
      <x:c r="P1094" s="14" t="str">
        <x:v>Hayır</x:v>
      </x:c>
      <x:c r="Q1094" s="14" t="str">
        <x:v>Koşullu</x:v>
      </x:c>
      <x:c r="R1094" s="14" t="str">
        <x:v>Planlandı</x:v>
      </x:c>
      <x:c r="S1094" s="15" t="str"/>
      <x:c r="T1094" s="14" t="str">
        <x:v>Yanlışlar +1, +7 ve +21 gün aralıklarıyla tekrar edilir; hâlâ yanlışsa konu mastery durumu düşürülür.</x:v>
      </x:c>
    </x:row>
    <x:row r="1095">
      <x:c r="A1095" s="14" t="n">
        <x:v>1094</x:v>
      </x:c>
      <x:c r="B1095" s="15" t="n">
        <x:v>46383</x:v>
      </x:c>
      <x:c r="C1095" s="14" t="str">
        <x:v>Pazar</x:v>
      </x:c>
      <x:c r="D1095" s="14" t="str">
        <x:v>Hafta Sonu</x:v>
      </x:c>
      <x:c r="E1095" s="14" t="str">
        <x:v>Tam gün</x:v>
      </x:c>
      <x:c r="F1095" s="14" t="str">
        <x:v>F1 - Temel Kurma</x:v>
      </x:c>
      <x:c r="G1095" s="14" t="str">
        <x:v>20:00</x:v>
      </x:c>
      <x:c r="H1095" s="14" t="str">
        <x:v>20:30</x:v>
      </x:c>
      <x:c r="I1095" s="14" t="str">
        <x:v>Okuma</x:v>
      </x:c>
      <x:c r="J1095" s="14" t="str">
        <x:v>İsteğe Bağlı</x:v>
      </x:c>
      <x:c r="K1095" s="14" t="str">
        <x:v>Serbest Kitap</x:v>
      </x:c>
      <x:c r="L1095" s="14" t="str">
        <x:v>Zorunlu çalışmalar bittiyse isteğe bağlı kitap oku.</x:v>
      </x:c>
      <x:c r="M1095" s="14" t="str">
        <x:v>Serbest Kitap</x:v>
      </x:c>
      <x:c r="N1095" s="14" t="str"/>
      <x:c r="O1095" s="14" t="n">
        <x:v>0</x:v>
      </x:c>
      <x:c r="P1095" s="14" t="str">
        <x:v>İsteğe Bağlı</x:v>
      </x:c>
      <x:c r="Q1095" s="14" t="str">
        <x:v>Hayır</x:v>
      </x:c>
      <x:c r="R1095" s="14" t="str">
        <x:v>Planlandı</x:v>
      </x:c>
      <x:c r="S1095" s="15" t="str"/>
      <x:c r="T1095" s="14" t="str">
        <x:v>Minimum süre yok.</x:v>
      </x:c>
    </x:row>
    <x:row r="1096">
      <x:c r="A1096" s="14" t="n">
        <x:v>1095</x:v>
      </x:c>
      <x:c r="B1096" s="15" t="n">
        <x:v>46383</x:v>
      </x:c>
      <x:c r="C1096" s="14" t="str">
        <x:v>Pazar</x:v>
      </x:c>
      <x:c r="D1096" s="14" t="str">
        <x:v>Hafta Sonu</x:v>
      </x:c>
      <x:c r="E1096" s="14" t="str">
        <x:v>Tam gün</x:v>
      </x:c>
      <x:c r="F1096" s="14" t="str">
        <x:v>F1 - Temel Kurma</x:v>
      </x:c>
      <x:c r="G1096" s="14" t="str">
        <x:v>21:50</x:v>
      </x:c>
      <x:c r="H1096" s="14" t="str">
        <x:v>22:00</x:v>
      </x:c>
      <x:c r="I1096" s="14" t="str">
        <x:v>Genel</x:v>
      </x:c>
      <x:c r="J1096" s="14" t="str">
        <x:v>Uyku Hazırlığı</x:v>
      </x:c>
      <x:c r="K1096" s="14" t="str"/>
      <x:c r="L1096" s="14" t="str">
        <x:v>22:00'de yatakta ve uyku.</x:v>
      </x:c>
      <x:c r="M1096" s="14" t="str"/>
      <x:c r="N1096" s="14" t="str"/>
      <x:c r="O1096" s="14" t="n">
        <x:v>0</x:v>
      </x:c>
      <x:c r="P1096" s="14" t="str">
        <x:v>Hayır</x:v>
      </x:c>
      <x:c r="Q1096" s="14" t="str">
        <x:v>Hayır</x:v>
      </x:c>
      <x:c r="R1096" s="14" t="str">
        <x:v>Planlandı</x:v>
      </x:c>
      <x:c r="S1096" s="15" t="str"/>
      <x:c r="T1096" s="14" t="str"/>
    </x:row>
    <x:row r="1097">
      <x:c r="A1097" s="14" t="n">
        <x:v>1096</x:v>
      </x:c>
      <x:c r="B1097" s="15" t="n">
        <x:v>46384</x:v>
      </x:c>
      <x:c r="C1097" s="14" t="str">
        <x:v>Pazartesi</x:v>
      </x:c>
      <x:c r="D1097" s="14" t="str">
        <x:v>Okul Günü</x:v>
      </x:c>
      <x:c r="E1097" s="14" t="str">
        <x:v>16:00 sonrası</x:v>
      </x:c>
      <x:c r="F1097" s="14" t="str">
        <x:v>F1 - Temel Kurma</x:v>
      </x:c>
      <x:c r="G1097" s="14" t="str">
        <x:v>16:00</x:v>
      </x:c>
      <x:c r="H1097" s="14" t="str">
        <x:v>16:25</x:v>
      </x:c>
      <x:c r="I1097" s="14" t="str">
        <x:v>Genel</x:v>
      </x:c>
      <x:c r="J1097" s="14" t="str">
        <x:v>Dinlenme</x:v>
      </x:c>
      <x:c r="K1097" s="14" t="str"/>
      <x:c r="L1097" s="14" t="str">
        <x:v>Eve geliş, atıştırma ve dinlenme.</x:v>
      </x:c>
      <x:c r="M1097" s="14" t="str"/>
      <x:c r="N1097" s="14" t="str"/>
      <x:c r="O1097" s="14" t="n">
        <x:v>0</x:v>
      </x:c>
      <x:c r="P1097" s="14" t="str">
        <x:v>Hayır</x:v>
      </x:c>
      <x:c r="Q1097" s="14" t="str">
        <x:v>Hayır</x:v>
      </x:c>
      <x:c r="R1097" s="14" t="str">
        <x:v>Planlandı</x:v>
      </x:c>
      <x:c r="S1097" s="15" t="str"/>
      <x:c r="T1097" s="14" t="str"/>
    </x:row>
    <x:row r="1098">
      <x:c r="A1098" s="14" t="n">
        <x:v>1097</x:v>
      </x:c>
      <x:c r="B1098" s="15" t="n">
        <x:v>46384</x:v>
      </x:c>
      <x:c r="C1098" s="14" t="str">
        <x:v>Pazartesi</x:v>
      </x:c>
      <x:c r="D1098" s="14" t="str">
        <x:v>Okul Günü</x:v>
      </x:c>
      <x:c r="E1098" s="14" t="str">
        <x:v>16:00 sonrası</x:v>
      </x:c>
      <x:c r="F1098" s="14" t="str">
        <x:v>F1 - Temel Kurma</x:v>
      </x:c>
      <x:c r="G1098" s="14" t="str">
        <x:v>16:25</x:v>
      </x:c>
      <x:c r="H1098" s="14" t="str">
        <x:v>17:05</x:v>
      </x:c>
      <x:c r="I1098" s="14" t="str">
        <x:v>Matematik</x:v>
      </x:c>
      <x:c r="J1098" s="14" t="str">
        <x:v>Konu / Tekrar</x:v>
      </x:c>
      <x:c r="K1098" s="14" t="str">
        <x:v>Basit Olayların Olma Olasılığı</x:v>
      </x:c>
      <x:c r="L1098" s="14" t="str">
        <x:v>Basit Olayların Olma Olasılığı — MEB doğrulaması öncesi 5-10 dk aktif hatırlama; gerekiyorsa ilgili playlist videosuna kısa dönüş yap.</x:v>
      </x:c>
      <x:c r="M1098" s="14" t="str">
        <x:v>Matematik Ana Oynatma Listesi</x:v>
      </x:c>
      <x:c r="N1098" s="14" t="str">
        <x:v>https://www.youtube.com/watch?v=EuJ89QzqrAg&amp;list=PLicNtF7vp6fnfDqrRLH6H7fIbzYT4ct4F&amp;index=11</x:v>
      </x:c>
      <x:c r="O1098" s="14" t="n">
        <x:v>0</x:v>
      </x:c>
      <x:c r="P1098" s="14" t="str">
        <x:v>Hayır</x:v>
      </x:c>
      <x:c r="Q1098" s="14" t="str">
        <x:v>Evet</x:v>
      </x:c>
      <x:c r="R1098" s="14" t="str">
        <x:v>Planlandı</x:v>
      </x:c>
      <x:c r="S1098" s="15" t="str"/>
      <x:c r="T1098" s="14" t="str">
        <x:v>Yeni konu ancak plan sırasıyla açılır; LGS dışı ileri TYT içeriği zorunlu değildir.</x:v>
      </x:c>
    </x:row>
    <x:row r="1099">
      <x:c r="A1099" s="14" t="n">
        <x:v>1098</x:v>
      </x:c>
      <x:c r="B1099" s="15" t="n">
        <x:v>46384</x:v>
      </x:c>
      <x:c r="C1099" s="14" t="str">
        <x:v>Pazartesi</x:v>
      </x:c>
      <x:c r="D1099" s="14" t="str">
        <x:v>Okul Günü</x:v>
      </x:c>
      <x:c r="E1099" s="14" t="str">
        <x:v>16:00 sonrası</x:v>
      </x:c>
      <x:c r="F1099" s="14" t="str">
        <x:v>F1 - Temel Kurma</x:v>
      </x:c>
      <x:c r="G1099" s="14" t="str">
        <x:v>17:10</x:v>
      </x:c>
      <x:c r="H1099" s="14" t="str">
        <x:v>17:55</x:v>
      </x:c>
      <x:c r="I1099" s="14" t="str">
        <x:v>Matematik</x:v>
      </x:c>
      <x:c r="J1099" s="14" t="str">
        <x:v>Kitap / MEB / Mastery</x:v>
      </x:c>
      <x:c r="K1099" s="14" t="str">
        <x:v>Basit Olayların Olma Olasılığı</x:v>
      </x:c>
      <x:c r="L1099" s="14" t="str">
        <x:v>Basit Olayların Olma Olasılığı için ilgili MEB sorularını TAMAMLA; D/Y/B kaydet. Bu oturum konu mastery gate'idir.</x:v>
      </x:c>
      <x:c r="M1099" s="14" t="str">
        <x:v>MEB Resmî Soru Seti</x:v>
      </x:c>
      <x:c r="N1099" s="14" t="str">
        <x:v>https://odsgm.meb.gov.tr/www/8sinif-calisma-sorulari/icerik/1632</x:v>
      </x:c>
      <x:c r="O1099" s="14" t="n">
        <x:v>0</x:v>
      </x:c>
      <x:c r="P1099" s="14" t="str">
        <x:v>Hayır</x:v>
      </x:c>
      <x:c r="Q1099" s="14" t="str">
        <x:v>Evet</x:v>
      </x:c>
      <x:c r="R1099" s="14" t="str">
        <x:v>Planlandı</x:v>
      </x:c>
      <x:c r="S1099" s="15" t="str"/>
      <x:c r="T1099" s="14" t="str">
        <x:v>MEB sonucu Konu_Ustaligi sayfasına işlenir.</x:v>
      </x:c>
    </x:row>
    <x:row r="1100">
      <x:c r="A1100" s="14" t="n">
        <x:v>1099</x:v>
      </x:c>
      <x:c r="B1100" s="15" t="n">
        <x:v>46384</x:v>
      </x:c>
      <x:c r="C1100" s="14" t="str">
        <x:v>Pazartesi</x:v>
      </x:c>
      <x:c r="D1100" s="14" t="str">
        <x:v>Okul Günü</x:v>
      </x:c>
      <x:c r="E1100" s="14" t="str">
        <x:v>16:00 sonrası</x:v>
      </x:c>
      <x:c r="F1100" s="14" t="str">
        <x:v>F1 - Temel Kurma</x:v>
      </x:c>
      <x:c r="G1100" s="14" t="str">
        <x:v>17:55</x:v>
      </x:c>
      <x:c r="H1100" s="14" t="str">
        <x:v>18:25</x:v>
      </x:c>
      <x:c r="I1100" s="14" t="str">
        <x:v>Genel</x:v>
      </x:c>
      <x:c r="J1100" s="14" t="str">
        <x:v>Yemek / Serbest Zaman</x:v>
      </x:c>
      <x:c r="K1100" s="14" t="str"/>
      <x:c r="L1100" s="14" t="str">
        <x:v>Yemek, hareket ve dinlenme.</x:v>
      </x:c>
      <x:c r="M1100" s="14" t="str"/>
      <x:c r="N1100" s="14" t="str"/>
      <x:c r="O1100" s="14" t="n">
        <x:v>0</x:v>
      </x:c>
      <x:c r="P1100" s="14" t="str">
        <x:v>Hayır</x:v>
      </x:c>
      <x:c r="Q1100" s="14" t="str">
        <x:v>Hayır</x:v>
      </x:c>
      <x:c r="R1100" s="14" t="str">
        <x:v>Planlandı</x:v>
      </x:c>
      <x:c r="S1100" s="15" t="str"/>
      <x:c r="T1100" s="14" t="str"/>
    </x:row>
    <x:row r="1101">
      <x:c r="A1101" s="14" t="n">
        <x:v>1100</x:v>
      </x:c>
      <x:c r="B1101" s="15" t="n">
        <x:v>46384</x:v>
      </x:c>
      <x:c r="C1101" s="14" t="str">
        <x:v>Pazartesi</x:v>
      </x:c>
      <x:c r="D1101" s="14" t="str">
        <x:v>Okul Günü</x:v>
      </x:c>
      <x:c r="E1101" s="14" t="str">
        <x:v>16:00 sonrası</x:v>
      </x:c>
      <x:c r="F1101" s="14" t="str">
        <x:v>F1 - Temel Kurma</x:v>
      </x:c>
      <x:c r="G1101" s="14" t="str">
        <x:v>18:25</x:v>
      </x:c>
      <x:c r="H1101" s="14" t="str">
        <x:v>18:55</x:v>
      </x:c>
      <x:c r="I1101" s="14" t="str">
        <x:v>Türkçe</x:v>
      </x:c>
      <x:c r="J1101" s="14" t="str">
        <x:v>Paragraf Rutini</x:v>
      </x:c>
      <x:c r="K1101" s="14" t="str">
        <x:v>Paragraf</x:v>
      </x:c>
      <x:c r="L1101" s="14" t="str">
        <x:v>En az 25 paragraf sorusu çöz; ilk 20 soruyu ileri sayımla ölç, D/Y/B + süre kaydet.</x:v>
      </x:c>
      <x:c r="M1101" s="14" t="str">
        <x:v>Hız 8. Sınıf Türkçe Paragraf (ISBN 9786258394498)</x:v>
      </x:c>
      <x:c r="N1101" s="14" t="str"/>
      <x:c r="O1101" s="14" t="n">
        <x:v>25</x:v>
      </x:c>
      <x:c r="P1101" s="14" t="str">
        <x:v>İlk 20 soru</x:v>
      </x:c>
      <x:c r="Q1101" s="14" t="str">
        <x:v>Evet</x:v>
      </x:c>
      <x:c r="R1101" s="14" t="str">
        <x:v>Planlandı</x:v>
      </x:c>
      <x:c r="S1101" s="15" t="str"/>
      <x:c r="T1101" s="14" t="str">
        <x:v>Geri sayım ve hedef süre yok.</x:v>
      </x:c>
    </x:row>
    <x:row r="1102">
      <x:c r="A1102" s="14" t="n">
        <x:v>1101</x:v>
      </x:c>
      <x:c r="B1102" s="15" t="n">
        <x:v>46384</x:v>
      </x:c>
      <x:c r="C1102" s="14" t="str">
        <x:v>Pazartesi</x:v>
      </x:c>
      <x:c r="D1102" s="14" t="str">
        <x:v>Okul Günü</x:v>
      </x:c>
      <x:c r="E1102" s="14" t="str">
        <x:v>16:00 sonrası</x:v>
      </x:c>
      <x:c r="F1102" s="14" t="str">
        <x:v>F1 - Temel Kurma</x:v>
      </x:c>
      <x:c r="G1102" s="14" t="str">
        <x:v>19:00</x:v>
      </x:c>
      <x:c r="H1102" s="14" t="str">
        <x:v>19:35</x:v>
      </x:c>
      <x:c r="I1102" s="14" t="str">
        <x:v>Türkçe</x:v>
      </x:c>
      <x:c r="J1102" s="14" t="str">
        <x:v>Konu / Tekrar</x:v>
      </x:c>
      <x:c r="K1102" s="14" t="str">
        <x:v>Metin Türleri ve Söz Sanatları</x:v>
      </x:c>
      <x:c r="L1102" s="14" t="str">
        <x:v>Metin Türleri ve Söz Sanatları — genel oynatma listesinden ilgili videoyu izle (1/2).</x:v>
      </x:c>
      <x:c r="M1102" s="14" t="str">
        <x:v>Türkçe Ana Oynatma Listesi</x:v>
      </x:c>
      <x:c r="N1102" s="14" t="str">
        <x:v>https://www.youtube.com/watch?v=VYsPntNKVdw&amp;list=PLIBjFaUoJJ91bz7QQEBlxNJNZka5YQRr6</x:v>
      </x:c>
      <x:c r="O1102" s="14" t="n">
        <x:v>0</x:v>
      </x:c>
      <x:c r="P1102" s="14" t="str">
        <x:v>Hayır</x:v>
      </x:c>
      <x:c r="Q1102" s="14" t="str">
        <x:v>Evet</x:v>
      </x:c>
      <x:c r="R1102" s="14" t="str">
        <x:v>Planlandı</x:v>
      </x:c>
      <x:c r="S1102" s="15" t="str"/>
      <x:c r="T1102" s="14" t="str">
        <x:v>TYT etiketli kaynak temelden başlamak için sabittir; LGS dışı gereksiz ayrıntı zorunlu değildir.</x:v>
      </x:c>
    </x:row>
    <x:row r="1103">
      <x:c r="A1103" s="14" t="n">
        <x:v>1102</x:v>
      </x:c>
      <x:c r="B1103" s="15" t="n">
        <x:v>46384</x:v>
      </x:c>
      <x:c r="C1103" s="14" t="str">
        <x:v>Pazartesi</x:v>
      </x:c>
      <x:c r="D1103" s="14" t="str">
        <x:v>Okul Günü</x:v>
      </x:c>
      <x:c r="E1103" s="14" t="str">
        <x:v>16:00 sonrası</x:v>
      </x:c>
      <x:c r="F1103" s="14" t="str">
        <x:v>F1 - Temel Kurma</x:v>
      </x:c>
      <x:c r="G1103" s="14" t="str">
        <x:v>19:40</x:v>
      </x:c>
      <x:c r="H1103" s="14" t="str">
        <x:v>20:10</x:v>
      </x:c>
      <x:c r="I1103" s="14" t="str">
        <x:v>Türkçe</x:v>
      </x:c>
      <x:c r="J1103" s="14" t="str">
        <x:v>Kitap / MEB / Mastery</x:v>
      </x:c>
      <x:c r="K1103" s="14" t="str">
        <x:v>Metin Türleri ve Söz Sanatları</x:v>
      </x:c>
      <x:c r="L1103" s="14" t="str">
        <x:v>Metin Türleri ve Söz Sanatları ile ilgili soru kitabından en az 15 soru / bugünkü test payını çöz.</x:v>
      </x:c>
      <x:c r="M1103" s="14" t="str">
        <x:v>Ankara 8. Sınıf Dil Bilgisi Güçlendiren</x:v>
      </x:c>
      <x:c r="N1103" s="14" t="str">
        <x:v>https://odsgm.meb.gov.tr/www/8sinif-calisma-sorulari/icerik/1632</x:v>
      </x:c>
      <x:c r="O1103" s="14" t="n">
        <x:v>15</x:v>
      </x:c>
      <x:c r="P1103" s="14" t="str">
        <x:v>Hayır</x:v>
      </x:c>
      <x:c r="Q1103" s="14" t="str">
        <x:v>Evet</x:v>
      </x:c>
      <x:c r="R1103" s="14" t="str">
        <x:v>Planlandı</x:v>
      </x:c>
      <x:c r="S1103" s="15" t="str"/>
      <x:c r="T1103" s="14" t="str"/>
    </x:row>
    <x:row r="1104">
      <x:c r="A1104" s="14" t="n">
        <x:v>1103</x:v>
      </x:c>
      <x:c r="B1104" s="15" t="n">
        <x:v>46384</x:v>
      </x:c>
      <x:c r="C1104" s="14" t="str">
        <x:v>Pazartesi</x:v>
      </x:c>
      <x:c r="D1104" s="14" t="str">
        <x:v>Okul Günü</x:v>
      </x:c>
      <x:c r="E1104" s="14" t="str">
        <x:v>16:00 sonrası</x:v>
      </x:c>
      <x:c r="F1104" s="14" t="str">
        <x:v>F1 - Temel Kurma</x:v>
      </x:c>
      <x:c r="G1104" s="14" t="str">
        <x:v>20:15</x:v>
      </x:c>
      <x:c r="H1104" s="14" t="str">
        <x:v>20:50</x:v>
      </x:c>
      <x:c r="I1104" s="14" t="str">
        <x:v>Fen</x:v>
      </x:c>
      <x:c r="J1104" s="14" t="str">
        <x:v>Konu / Tekrar</x:v>
      </x:c>
      <x:c r="K1104" s="14" t="str">
        <x:v>Asitler ve Bazlar</x:v>
      </x:c>
      <x:c r="L1104" s="14" t="str">
        <x:v>Asitler ve Bazlar — MEB doğrulaması öncesi 5-10 dk aktif hatırlama; gerekiyorsa ilgili playlist videosuna kısa dönüş yap.</x:v>
      </x:c>
      <x:c r="M1104" s="14" t="str">
        <x:v>Fen Soru Çözüm / Tekrar</x:v>
      </x:c>
      <x:c r="N1104" s="14" t="str">
        <x:v>https://www.youtube.com/watch?v=pQXhWnDZ3vM&amp;list=PLrQm7mt99FRXcBnorCttd31HJEvg0En26&amp;index=23</x:v>
      </x:c>
      <x:c r="O1104" s="14" t="n">
        <x:v>0</x:v>
      </x:c>
      <x:c r="P1104" s="14" t="str">
        <x:v>Hayır</x:v>
      </x:c>
      <x:c r="Q1104" s="14" t="str">
        <x:v>Evet</x:v>
      </x:c>
      <x:c r="R1104" s="14" t="str">
        <x:v>Planlandı</x:v>
      </x:c>
      <x:c r="S1104" s="15" t="str"/>
      <x:c r="T1104" s="14" t="str"/>
    </x:row>
    <x:row r="1105">
      <x:c r="A1105" s="14" t="n">
        <x:v>1104</x:v>
      </x:c>
      <x:c r="B1105" s="15" t="n">
        <x:v>46384</x:v>
      </x:c>
      <x:c r="C1105" s="14" t="str">
        <x:v>Pazartesi</x:v>
      </x:c>
      <x:c r="D1105" s="14" t="str">
        <x:v>Okul Günü</x:v>
      </x:c>
      <x:c r="E1105" s="14" t="str">
        <x:v>16:00 sonrası</x:v>
      </x:c>
      <x:c r="F1105" s="14" t="str">
        <x:v>F1 - Temel Kurma</x:v>
      </x:c>
      <x:c r="G1105" s="14" t="str">
        <x:v>20:55</x:v>
      </x:c>
      <x:c r="H1105" s="14" t="str">
        <x:v>21:20</x:v>
      </x:c>
      <x:c r="I1105" s="14" t="str">
        <x:v>Fen</x:v>
      </x:c>
      <x:c r="J1105" s="14" t="str">
        <x:v>Kitap / MEB / Mastery</x:v>
      </x:c>
      <x:c r="K1105" s="14" t="str">
        <x:v>Asitler ve Bazlar</x:v>
      </x:c>
      <x:c r="L1105" s="14" t="str">
        <x:v>Asitler ve Bazlar için ilgili MEB sorularını TAMAMLA; D/Y/B kaydet. Bu oturum konu mastery gate'idir.</x:v>
      </x:c>
      <x:c r="M1105" s="14" t="str">
        <x:v>MEB 8. Sınıf Fen Soruları</x:v>
      </x:c>
      <x:c r="N1105" s="14" t="str">
        <x:v>https://odsgm.meb.gov.tr/www/8sinif-calisma-sorulari/icerik/1632</x:v>
      </x:c>
      <x:c r="O1105" s="14" t="n">
        <x:v>0</x:v>
      </x:c>
      <x:c r="P1105" s="14" t="str">
        <x:v>Hayır</x:v>
      </x:c>
      <x:c r="Q1105" s="14" t="str">
        <x:v>Evet</x:v>
      </x:c>
      <x:c r="R1105" s="14" t="str">
        <x:v>Planlandı</x:v>
      </x:c>
      <x:c r="S1105" s="15" t="str"/>
      <x:c r="T1105" s="14" t="str">
        <x:v>MEB sonucu Konu_Ustaligi sayfasına işlenir.</x:v>
      </x:c>
    </x:row>
    <x:row r="1106">
      <x:c r="A1106" s="14" t="n">
        <x:v>1105</x:v>
      </x:c>
      <x:c r="B1106" s="15" t="n">
        <x:v>46384</x:v>
      </x:c>
      <x:c r="C1106" s="14" t="str">
        <x:v>Pazartesi</x:v>
      </x:c>
      <x:c r="D1106" s="14" t="str">
        <x:v>Okul Günü</x:v>
      </x:c>
      <x:c r="E1106" s="14" t="str">
        <x:v>16:00 sonrası</x:v>
      </x:c>
      <x:c r="F1106" s="14" t="str">
        <x:v>F1 - Temel Kurma</x:v>
      </x:c>
      <x:c r="G1106" s="14" t="str">
        <x:v>21:20</x:v>
      </x:c>
      <x:c r="H1106" s="14" t="str">
        <x:v>21:35</x:v>
      </x:c>
      <x:c r="I1106" s="14" t="str">
        <x:v>Genel</x:v>
      </x:c>
      <x:c r="J1106" s="14" t="str">
        <x:v>Yanlış / Boş Analizi</x:v>
      </x:c>
      <x:c r="K1106" s="14" t="str">
        <x:v>Günlük</x:v>
      </x:c>
      <x:c r="L1106" s="14" t="str">
        <x:v>Bugünkü yanlış/boşları kaydet; çözümünü öğrenmeden kapatma. Hata türünü sınıflandır.</x:v>
      </x:c>
      <x:c r="M1106" s="14" t="str">
        <x:v>Yanlış Defteri</x:v>
      </x:c>
      <x:c r="N1106" s="14" t="str"/>
      <x:c r="O1106" s="14" t="n">
        <x:v>0</x:v>
      </x:c>
      <x:c r="P1106" s="14" t="str">
        <x:v>Hayır</x:v>
      </x:c>
      <x:c r="Q1106" s="14" t="str">
        <x:v>Evet</x:v>
      </x:c>
      <x:c r="R1106" s="14" t="str">
        <x:v>Planlandı</x:v>
      </x:c>
      <x:c r="S1106" s="15" t="str"/>
      <x:c r="T1106" s="14" t="str"/>
    </x:row>
    <x:row r="1107">
      <x:c r="A1107" s="14" t="n">
        <x:v>1106</x:v>
      </x:c>
      <x:c r="B1107" s="15" t="n">
        <x:v>46384</x:v>
      </x:c>
      <x:c r="C1107" s="14" t="str">
        <x:v>Pazartesi</x:v>
      </x:c>
      <x:c r="D1107" s="14" t="str">
        <x:v>Okul Günü</x:v>
      </x:c>
      <x:c r="E1107" s="14" t="str">
        <x:v>16:00 sonrası</x:v>
      </x:c>
      <x:c r="F1107" s="14" t="str">
        <x:v>F1 - Temel Kurma</x:v>
      </x:c>
      <x:c r="G1107" s="14" t="str">
        <x:v>21:35</x:v>
      </x:c>
      <x:c r="H1107" s="14" t="str">
        <x:v>21:50</x:v>
      </x:c>
      <x:c r="I1107" s="14" t="str">
        <x:v>Genel</x:v>
      </x:c>
      <x:c r="J1107" s="14" t="str">
        <x:v>Aralıklı Hata Tekrarı</x:v>
      </x:c>
      <x:c r="K1107" s="14" t="str">
        <x:v>+1 / +7 / +21</x:v>
      </x:c>
      <x:c r="L1107" s="14" t="str">
        <x:v>Bugün vadesi gelen yanlış soruları tekrar çöz. Vadesi yoksa bu süre serbest/okuma olabilir.</x:v>
      </x:c>
      <x:c r="M1107" s="14" t="str">
        <x:v>Yanlış Defteri</x:v>
      </x:c>
      <x:c r="N1107" s="14" t="str"/>
      <x:c r="O1107" s="14" t="n">
        <x:v>0</x:v>
      </x:c>
      <x:c r="P1107" s="14" t="str">
        <x:v>Hayır</x:v>
      </x:c>
      <x:c r="Q1107" s="14" t="str">
        <x:v>Koşullu</x:v>
      </x:c>
      <x:c r="R1107" s="14" t="str">
        <x:v>Planlandı</x:v>
      </x:c>
      <x:c r="S1107" s="15" t="str"/>
      <x:c r="T1107" s="14" t="str">
        <x:v>Yanlışlar +1, +7 ve +21 gün aralıklarıyla tekrar edilir; hâlâ yanlışsa konu mastery durumu düşürülür.</x:v>
      </x:c>
    </x:row>
    <x:row r="1108">
      <x:c r="A1108" s="14" t="n">
        <x:v>1107</x:v>
      </x:c>
      <x:c r="B1108" s="15" t="n">
        <x:v>46384</x:v>
      </x:c>
      <x:c r="C1108" s="14" t="str">
        <x:v>Pazartesi</x:v>
      </x:c>
      <x:c r="D1108" s="14" t="str">
        <x:v>Okul Günü</x:v>
      </x:c>
      <x:c r="E1108" s="14" t="str">
        <x:v>16:00 sonrası</x:v>
      </x:c>
      <x:c r="F1108" s="14" t="str">
        <x:v>F1 - Temel Kurma</x:v>
      </x:c>
      <x:c r="G1108" s="14" t="str">
        <x:v>21:50</x:v>
      </x:c>
      <x:c r="H1108" s="14" t="str">
        <x:v>22:00</x:v>
      </x:c>
      <x:c r="I1108" s="14" t="str">
        <x:v>Genel</x:v>
      </x:c>
      <x:c r="J1108" s="14" t="str">
        <x:v>Uyku Hazırlığı</x:v>
      </x:c>
      <x:c r="K1108" s="14" t="str"/>
      <x:c r="L1108" s="14" t="str">
        <x:v>22:00'de yatakta ve uyku.</x:v>
      </x:c>
      <x:c r="M1108" s="14" t="str"/>
      <x:c r="N1108" s="14" t="str"/>
      <x:c r="O1108" s="14" t="n">
        <x:v>0</x:v>
      </x:c>
      <x:c r="P1108" s="14" t="str">
        <x:v>Hayır</x:v>
      </x:c>
      <x:c r="Q1108" s="14" t="str">
        <x:v>Hayır</x:v>
      </x:c>
      <x:c r="R1108" s="14" t="str">
        <x:v>Planlandı</x:v>
      </x:c>
      <x:c r="S1108" s="15" t="str"/>
      <x:c r="T1108" s="14" t="str"/>
    </x:row>
    <x:row r="1109">
      <x:c r="A1109" s="14" t="n">
        <x:v>1108</x:v>
      </x:c>
      <x:c r="B1109" s="15" t="n">
        <x:v>46385</x:v>
      </x:c>
      <x:c r="C1109" s="14" t="str">
        <x:v>Salı</x:v>
      </x:c>
      <x:c r="D1109" s="14" t="str">
        <x:v>Okul Günü</x:v>
      </x:c>
      <x:c r="E1109" s="14" t="str">
        <x:v>16:00 sonrası</x:v>
      </x:c>
      <x:c r="F1109" s="14" t="str">
        <x:v>F1 - Temel Kurma</x:v>
      </x:c>
      <x:c r="G1109" s="14" t="str">
        <x:v>16:00</x:v>
      </x:c>
      <x:c r="H1109" s="14" t="str">
        <x:v>16:25</x:v>
      </x:c>
      <x:c r="I1109" s="14" t="str">
        <x:v>Genel</x:v>
      </x:c>
      <x:c r="J1109" s="14" t="str">
        <x:v>Dinlenme</x:v>
      </x:c>
      <x:c r="K1109" s="14" t="str"/>
      <x:c r="L1109" s="14" t="str">
        <x:v>Eve geliş, atıştırma ve dinlenme.</x:v>
      </x:c>
      <x:c r="M1109" s="14" t="str"/>
      <x:c r="N1109" s="14" t="str"/>
      <x:c r="O1109" s="14" t="n">
        <x:v>0</x:v>
      </x:c>
      <x:c r="P1109" s="14" t="str">
        <x:v>Hayır</x:v>
      </x:c>
      <x:c r="Q1109" s="14" t="str">
        <x:v>Hayır</x:v>
      </x:c>
      <x:c r="R1109" s="14" t="str">
        <x:v>Planlandı</x:v>
      </x:c>
      <x:c r="S1109" s="15" t="str"/>
      <x:c r="T1109" s="14" t="str"/>
    </x:row>
    <x:row r="1110">
      <x:c r="A1110" s="14" t="n">
        <x:v>1109</x:v>
      </x:c>
      <x:c r="B1110" s="15" t="n">
        <x:v>46385</x:v>
      </x:c>
      <x:c r="C1110" s="14" t="str">
        <x:v>Salı</x:v>
      </x:c>
      <x:c r="D1110" s="14" t="str">
        <x:v>Okul Günü</x:v>
      </x:c>
      <x:c r="E1110" s="14" t="str">
        <x:v>16:00 sonrası</x:v>
      </x:c>
      <x:c r="F1110" s="14" t="str">
        <x:v>F1 - Temel Kurma</x:v>
      </x:c>
      <x:c r="G1110" s="14" t="str">
        <x:v>16:25</x:v>
      </x:c>
      <x:c r="H1110" s="14" t="str">
        <x:v>17:05</x:v>
      </x:c>
      <x:c r="I1110" s="14" t="str">
        <x:v>Matematik</x:v>
      </x:c>
      <x:c r="J1110" s="14" t="str">
        <x:v>Konu / Tekrar</x:v>
      </x:c>
      <x:c r="K1110" s="14" t="str">
        <x:v>Cebirsel İfadeler ve Özdeşlikler</x:v>
      </x:c>
      <x:c r="L1110" s="14" t="str">
        <x:v>Cebirsel İfadeler ve Özdeşlikler — genel oynatma listesinden ilgili videoyu izle (1/4).</x:v>
      </x:c>
      <x:c r="M1110" s="14" t="str">
        <x:v>Matematik Ana Oynatma Listesi</x:v>
      </x:c>
      <x:c r="N1110" s="14" t="str">
        <x:v>https://www.youtube.com/watch?v=EuJ89QzqrAg&amp;list=PLicNtF7vp6fnfDqrRLH6H7fIbzYT4ct4F&amp;index=11</x:v>
      </x:c>
      <x:c r="O1110" s="14" t="n">
        <x:v>0</x:v>
      </x:c>
      <x:c r="P1110" s="14" t="str">
        <x:v>Hayır</x:v>
      </x:c>
      <x:c r="Q1110" s="14" t="str">
        <x:v>Evet</x:v>
      </x:c>
      <x:c r="R1110" s="14" t="str">
        <x:v>Planlandı</x:v>
      </x:c>
      <x:c r="S1110" s="15" t="str"/>
      <x:c r="T1110" s="14" t="str">
        <x:v>Yeni konu ancak plan sırasıyla açılır; LGS dışı ileri TYT içeriği zorunlu değildir.</x:v>
      </x:c>
    </x:row>
    <x:row r="1111">
      <x:c r="A1111" s="14" t="n">
        <x:v>1110</x:v>
      </x:c>
      <x:c r="B1111" s="15" t="n">
        <x:v>46385</x:v>
      </x:c>
      <x:c r="C1111" s="14" t="str">
        <x:v>Salı</x:v>
      </x:c>
      <x:c r="D1111" s="14" t="str">
        <x:v>Okul Günü</x:v>
      </x:c>
      <x:c r="E1111" s="14" t="str">
        <x:v>16:00 sonrası</x:v>
      </x:c>
      <x:c r="F1111" s="14" t="str">
        <x:v>F1 - Temel Kurma</x:v>
      </x:c>
      <x:c r="G1111" s="14" t="str">
        <x:v>17:10</x:v>
      </x:c>
      <x:c r="H1111" s="14" t="str">
        <x:v>17:55</x:v>
      </x:c>
      <x:c r="I1111" s="14" t="str">
        <x:v>Matematik</x:v>
      </x:c>
      <x:c r="J1111" s="14" t="str">
        <x:v>Kitap / MEB / Mastery</x:v>
      </x:c>
      <x:c r="K1111" s="14" t="str">
        <x:v>Cebirsel İfadeler ve Özdeşlikler</x:v>
      </x:c>
      <x:c r="L1111" s="14" t="str">
        <x:v>Cebirsel İfadeler ve Özdeşlikler ile ilgili soru kitabından en az 25 soru / bugünkü test payını çöz.</x:v>
      </x:c>
      <x:c r="M1111" s="14" t="str">
        <x:v>MUBA 8. Sınıf Başlangıç Matematik (ISBN 9789756526972); tamamlandıysa Mozaik 8. Sınıf Matematik</x:v>
      </x:c>
      <x:c r="N1111" s="14" t="str">
        <x:v>https://odsgm.meb.gov.tr/www/8sinif-calisma-sorulari/icerik/1632</x:v>
      </x:c>
      <x:c r="O1111" s="14" t="n">
        <x:v>25</x:v>
      </x:c>
      <x:c r="P1111" s="14" t="str">
        <x:v>İlk 20 soru</x:v>
      </x:c>
      <x:c r="Q1111" s="14" t="str">
        <x:v>Evet</x:v>
      </x:c>
      <x:c r="R1111" s="14" t="str">
        <x:v>Planlandı</x:v>
      </x:c>
      <x:c r="S1111" s="15" t="str"/>
      <x:c r="T1111" s="14" t="str">
        <x:v>Ayrı/rastgele matematik benchmark yoktur. Süreli ilk 20 soru o gün çalışılan konunun içindedir.</x:v>
      </x:c>
    </x:row>
    <x:row r="1112">
      <x:c r="A1112" s="14" t="n">
        <x:v>1111</x:v>
      </x:c>
      <x:c r="B1112" s="15" t="n">
        <x:v>46385</x:v>
      </x:c>
      <x:c r="C1112" s="14" t="str">
        <x:v>Salı</x:v>
      </x:c>
      <x:c r="D1112" s="14" t="str">
        <x:v>Okul Günü</x:v>
      </x:c>
      <x:c r="E1112" s="14" t="str">
        <x:v>16:00 sonrası</x:v>
      </x:c>
      <x:c r="F1112" s="14" t="str">
        <x:v>F1 - Temel Kurma</x:v>
      </x:c>
      <x:c r="G1112" s="14" t="str">
        <x:v>17:55</x:v>
      </x:c>
      <x:c r="H1112" s="14" t="str">
        <x:v>18:25</x:v>
      </x:c>
      <x:c r="I1112" s="14" t="str">
        <x:v>Genel</x:v>
      </x:c>
      <x:c r="J1112" s="14" t="str">
        <x:v>Yemek / Serbest Zaman</x:v>
      </x:c>
      <x:c r="K1112" s="14" t="str"/>
      <x:c r="L1112" s="14" t="str">
        <x:v>Yemek, hareket ve dinlenme.</x:v>
      </x:c>
      <x:c r="M1112" s="14" t="str"/>
      <x:c r="N1112" s="14" t="str"/>
      <x:c r="O1112" s="14" t="n">
        <x:v>0</x:v>
      </x:c>
      <x:c r="P1112" s="14" t="str">
        <x:v>Hayır</x:v>
      </x:c>
      <x:c r="Q1112" s="14" t="str">
        <x:v>Hayır</x:v>
      </x:c>
      <x:c r="R1112" s="14" t="str">
        <x:v>Planlandı</x:v>
      </x:c>
      <x:c r="S1112" s="15" t="str"/>
      <x:c r="T1112" s="14" t="str"/>
    </x:row>
    <x:row r="1113">
      <x:c r="A1113" s="14" t="n">
        <x:v>1112</x:v>
      </x:c>
      <x:c r="B1113" s="15" t="n">
        <x:v>46385</x:v>
      </x:c>
      <x:c r="C1113" s="14" t="str">
        <x:v>Salı</x:v>
      </x:c>
      <x:c r="D1113" s="14" t="str">
        <x:v>Okul Günü</x:v>
      </x:c>
      <x:c r="E1113" s="14" t="str">
        <x:v>16:00 sonrası</x:v>
      </x:c>
      <x:c r="F1113" s="14" t="str">
        <x:v>F1 - Temel Kurma</x:v>
      </x:c>
      <x:c r="G1113" s="14" t="str">
        <x:v>18:25</x:v>
      </x:c>
      <x:c r="H1113" s="14" t="str">
        <x:v>18:55</x:v>
      </x:c>
      <x:c r="I1113" s="14" t="str">
        <x:v>Türkçe</x:v>
      </x:c>
      <x:c r="J1113" s="14" t="str">
        <x:v>Paragraf Rutini</x:v>
      </x:c>
      <x:c r="K1113" s="14" t="str">
        <x:v>Paragraf</x:v>
      </x:c>
      <x:c r="L1113" s="14" t="str">
        <x:v>En az 25 paragraf sorusu çöz; ilk 20 soruyu ileri sayımla ölç, D/Y/B + süre kaydet.</x:v>
      </x:c>
      <x:c r="M1113" s="14" t="str">
        <x:v>Hız 8. Sınıf Türkçe Paragraf (ISBN 9786258394498)</x:v>
      </x:c>
      <x:c r="N1113" s="14" t="str"/>
      <x:c r="O1113" s="14" t="n">
        <x:v>25</x:v>
      </x:c>
      <x:c r="P1113" s="14" t="str">
        <x:v>İlk 20 soru</x:v>
      </x:c>
      <x:c r="Q1113" s="14" t="str">
        <x:v>Evet</x:v>
      </x:c>
      <x:c r="R1113" s="14" t="str">
        <x:v>Planlandı</x:v>
      </x:c>
      <x:c r="S1113" s="15" t="str"/>
      <x:c r="T1113" s="14" t="str">
        <x:v>Geri sayım ve hedef süre yok.</x:v>
      </x:c>
    </x:row>
    <x:row r="1114">
      <x:c r="A1114" s="14" t="n">
        <x:v>1113</x:v>
      </x:c>
      <x:c r="B1114" s="15" t="n">
        <x:v>46385</x:v>
      </x:c>
      <x:c r="C1114" s="14" t="str">
        <x:v>Salı</x:v>
      </x:c>
      <x:c r="D1114" s="14" t="str">
        <x:v>Okul Günü</x:v>
      </x:c>
      <x:c r="E1114" s="14" t="str">
        <x:v>16:00 sonrası</x:v>
      </x:c>
      <x:c r="F1114" s="14" t="str">
        <x:v>F1 - Temel Kurma</x:v>
      </x:c>
      <x:c r="G1114" s="14" t="str">
        <x:v>19:00</x:v>
      </x:c>
      <x:c r="H1114" s="14" t="str">
        <x:v>19:35</x:v>
      </x:c>
      <x:c r="I1114" s="14" t="str">
        <x:v>Türkçe</x:v>
      </x:c>
      <x:c r="J1114" s="14" t="str">
        <x:v>Konu / Tekrar</x:v>
      </x:c>
      <x:c r="K1114" s="14" t="str">
        <x:v>Metin Türleri ve Söz Sanatları</x:v>
      </x:c>
      <x:c r="L1114" s="14" t="str">
        <x:v>Metin Türleri ve Söz Sanatları — genel oynatma listesinden ilgili videoyu izle (2/2).</x:v>
      </x:c>
      <x:c r="M1114" s="14" t="str">
        <x:v>Türkçe Ana Oynatma Listesi</x:v>
      </x:c>
      <x:c r="N1114" s="14" t="str">
        <x:v>https://www.youtube.com/watch?v=VYsPntNKVdw&amp;list=PLIBjFaUoJJ91bz7QQEBlxNJNZka5YQRr6</x:v>
      </x:c>
      <x:c r="O1114" s="14" t="n">
        <x:v>0</x:v>
      </x:c>
      <x:c r="P1114" s="14" t="str">
        <x:v>Hayır</x:v>
      </x:c>
      <x:c r="Q1114" s="14" t="str">
        <x:v>Evet</x:v>
      </x:c>
      <x:c r="R1114" s="14" t="str">
        <x:v>Planlandı</x:v>
      </x:c>
      <x:c r="S1114" s="15" t="str"/>
      <x:c r="T1114" s="14" t="str">
        <x:v>TYT etiketli kaynak temelden başlamak için sabittir; LGS dışı gereksiz ayrıntı zorunlu değildir.</x:v>
      </x:c>
    </x:row>
    <x:row r="1115">
      <x:c r="A1115" s="14" t="n">
        <x:v>1114</x:v>
      </x:c>
      <x:c r="B1115" s="15" t="n">
        <x:v>46385</x:v>
      </x:c>
      <x:c r="C1115" s="14" t="str">
        <x:v>Salı</x:v>
      </x:c>
      <x:c r="D1115" s="14" t="str">
        <x:v>Okul Günü</x:v>
      </x:c>
      <x:c r="E1115" s="14" t="str">
        <x:v>16:00 sonrası</x:v>
      </x:c>
      <x:c r="F1115" s="14" t="str">
        <x:v>F1 - Temel Kurma</x:v>
      </x:c>
      <x:c r="G1115" s="14" t="str">
        <x:v>19:40</x:v>
      </x:c>
      <x:c r="H1115" s="14" t="str">
        <x:v>20:10</x:v>
      </x:c>
      <x:c r="I1115" s="14" t="str">
        <x:v>Türkçe</x:v>
      </x:c>
      <x:c r="J1115" s="14" t="str">
        <x:v>Kitap / MEB / Mastery</x:v>
      </x:c>
      <x:c r="K1115" s="14" t="str">
        <x:v>Metin Türleri ve Söz Sanatları</x:v>
      </x:c>
      <x:c r="L1115" s="14" t="str">
        <x:v>Metin Türleri ve Söz Sanatları ile ilgili soru kitabından en az 15 soru / bugünkü test payını çöz. İlgili kitap konu bölümünü bu oturumda bitirmeyi hedefle; sonraki oturum MEB doğrulaması.</x:v>
      </x:c>
      <x:c r="M1115" s="14" t="str">
        <x:v>Ankara 8. Sınıf Dil Bilgisi Güçlendiren</x:v>
      </x:c>
      <x:c r="N1115" s="14" t="str">
        <x:v>https://odsgm.meb.gov.tr/www/8sinif-calisma-sorulari/icerik/1632</x:v>
      </x:c>
      <x:c r="O1115" s="14" t="n">
        <x:v>15</x:v>
      </x:c>
      <x:c r="P1115" s="14" t="str">
        <x:v>Hayır</x:v>
      </x:c>
      <x:c r="Q1115" s="14" t="str">
        <x:v>Evet</x:v>
      </x:c>
      <x:c r="R1115" s="14" t="str">
        <x:v>Planlandı</x:v>
      </x:c>
      <x:c r="S1115" s="15" t="str"/>
      <x:c r="T1115" s="14" t="str"/>
    </x:row>
    <x:row r="1116">
      <x:c r="A1116" s="14" t="n">
        <x:v>1115</x:v>
      </x:c>
      <x:c r="B1116" s="15" t="n">
        <x:v>46385</x:v>
      </x:c>
      <x:c r="C1116" s="14" t="str">
        <x:v>Salı</x:v>
      </x:c>
      <x:c r="D1116" s="14" t="str">
        <x:v>Okul Günü</x:v>
      </x:c>
      <x:c r="E1116" s="14" t="str">
        <x:v>16:00 sonrası</x:v>
      </x:c>
      <x:c r="F1116" s="14" t="str">
        <x:v>F1 - Temel Kurma</x:v>
      </x:c>
      <x:c r="G1116" s="14" t="str">
        <x:v>20:15</x:v>
      </x:c>
      <x:c r="H1116" s="14" t="str">
        <x:v>20:50</x:v>
      </x:c>
      <x:c r="I1116" s="14" t="str">
        <x:v>Din</x:v>
      </x:c>
      <x:c r="J1116" s="14" t="str">
        <x:v>Konu / Tekrar</x:v>
      </x:c>
      <x:c r="K1116" s="14" t="str">
        <x:v>Hz. Muhammed’in Örnekliği</x:v>
      </x:c>
      <x:c r="L1116" s="14" t="str">
        <x:v>Hz. Muhammed’in Örnekliği — genel oynatma listesinden ilgili konu/soru çalışmasını yap.</x:v>
      </x:c>
      <x:c r="M1116" s="14" t="str">
        <x:v>Din Genel Oynatma Listesi</x:v>
      </x:c>
      <x:c r="N1116" s="14" t="str">
        <x:v>https://www.youtube.com/watch?v=wvdOE_75VnA&amp;list=PLbRoPq-Zu-SWXGUbVt4t4UWo-4VjsMUo-&amp;index=2</x:v>
      </x:c>
      <x:c r="O1116" s="14" t="n">
        <x:v>0</x:v>
      </x:c>
      <x:c r="P1116" s="14" t="str">
        <x:v>Hayır</x:v>
      </x:c>
      <x:c r="Q1116" s="14" t="str">
        <x:v>Evet</x:v>
      </x:c>
      <x:c r="R1116" s="14" t="str">
        <x:v>Planlandı</x:v>
      </x:c>
      <x:c r="S1116" s="15" t="str"/>
      <x:c r="T1116" s="14" t="str"/>
    </x:row>
    <x:row r="1117">
      <x:c r="A1117" s="14" t="n">
        <x:v>1116</x:v>
      </x:c>
      <x:c r="B1117" s="15" t="n">
        <x:v>46385</x:v>
      </x:c>
      <x:c r="C1117" s="14" t="str">
        <x:v>Salı</x:v>
      </x:c>
      <x:c r="D1117" s="14" t="str">
        <x:v>Okul Günü</x:v>
      </x:c>
      <x:c r="E1117" s="14" t="str">
        <x:v>16:00 sonrası</x:v>
      </x:c>
      <x:c r="F1117" s="14" t="str">
        <x:v>F1 - Temel Kurma</x:v>
      </x:c>
      <x:c r="G1117" s="14" t="str">
        <x:v>20:55</x:v>
      </x:c>
      <x:c r="H1117" s="14" t="str">
        <x:v>21:20</x:v>
      </x:c>
      <x:c r="I1117" s="14" t="str">
        <x:v>Din</x:v>
      </x:c>
      <x:c r="J1117" s="14" t="str">
        <x:v>Kitap / MEB / Mastery</x:v>
      </x:c>
      <x:c r="K1117" s="14" t="str">
        <x:v>Hz. Muhammed’in Örnekliği</x:v>
      </x:c>
      <x:c r="L1117" s="14" t="str">
        <x:v>Hz. Muhammed’in Örnekliği ile ilgili soru kitabından en az 18 soru / bugünkü test payını çöz.</x:v>
      </x:c>
      <x:c r="M1117" s="14" t="str">
        <x:v>Hız 8. Sınıf Din Kültürü ve Ahlak Bilgisi</x:v>
      </x:c>
      <x:c r="N1117" s="14" t="str">
        <x:v>https://www.youtube.com/watch?v=wvdOE_75VnA&amp;list=PLbRoPq-Zu-SWXGUbVt4t4UWo-4VjsMUo-&amp;index=2</x:v>
      </x:c>
      <x:c r="O1117" s="14" t="n">
        <x:v>18</x:v>
      </x:c>
      <x:c r="P1117" s="14" t="str">
        <x:v>Hayır</x:v>
      </x:c>
      <x:c r="Q1117" s="14" t="str">
        <x:v>Evet</x:v>
      </x:c>
      <x:c r="R1117" s="14" t="str">
        <x:v>Planlandı</x:v>
      </x:c>
      <x:c r="S1117" s="15" t="str"/>
      <x:c r="T1117" s="14" t="str"/>
    </x:row>
    <x:row r="1118">
      <x:c r="A1118" s="14" t="n">
        <x:v>1117</x:v>
      </x:c>
      <x:c r="B1118" s="15" t="n">
        <x:v>46385</x:v>
      </x:c>
      <x:c r="C1118" s="14" t="str">
        <x:v>Salı</x:v>
      </x:c>
      <x:c r="D1118" s="14" t="str">
        <x:v>Okul Günü</x:v>
      </x:c>
      <x:c r="E1118" s="14" t="str">
        <x:v>16:00 sonrası</x:v>
      </x:c>
      <x:c r="F1118" s="14" t="str">
        <x:v>F1 - Temel Kurma</x:v>
      </x:c>
      <x:c r="G1118" s="14" t="str">
        <x:v>21:20</x:v>
      </x:c>
      <x:c r="H1118" s="14" t="str">
        <x:v>21:35</x:v>
      </x:c>
      <x:c r="I1118" s="14" t="str">
        <x:v>Genel</x:v>
      </x:c>
      <x:c r="J1118" s="14" t="str">
        <x:v>Yanlış / Boş Analizi</x:v>
      </x:c>
      <x:c r="K1118" s="14" t="str">
        <x:v>Günlük</x:v>
      </x:c>
      <x:c r="L1118" s="14" t="str">
        <x:v>Bugünkü yanlış/boşları kaydet; çözümünü öğrenmeden kapatma. Hata türünü sınıflandır.</x:v>
      </x:c>
      <x:c r="M1118" s="14" t="str">
        <x:v>Yanlış Defteri</x:v>
      </x:c>
      <x:c r="N1118" s="14" t="str"/>
      <x:c r="O1118" s="14" t="n">
        <x:v>0</x:v>
      </x:c>
      <x:c r="P1118" s="14" t="str">
        <x:v>Hayır</x:v>
      </x:c>
      <x:c r="Q1118" s="14" t="str">
        <x:v>Evet</x:v>
      </x:c>
      <x:c r="R1118" s="14" t="str">
        <x:v>Planlandı</x:v>
      </x:c>
      <x:c r="S1118" s="15" t="str"/>
      <x:c r="T1118" s="14" t="str"/>
    </x:row>
    <x:row r="1119">
      <x:c r="A1119" s="14" t="n">
        <x:v>1118</x:v>
      </x:c>
      <x:c r="B1119" s="15" t="n">
        <x:v>46385</x:v>
      </x:c>
      <x:c r="C1119" s="14" t="str">
        <x:v>Salı</x:v>
      </x:c>
      <x:c r="D1119" s="14" t="str">
        <x:v>Okul Günü</x:v>
      </x:c>
      <x:c r="E1119" s="14" t="str">
        <x:v>16:00 sonrası</x:v>
      </x:c>
      <x:c r="F1119" s="14" t="str">
        <x:v>F1 - Temel Kurma</x:v>
      </x:c>
      <x:c r="G1119" s="14" t="str">
        <x:v>21:35</x:v>
      </x:c>
      <x:c r="H1119" s="14" t="str">
        <x:v>21:50</x:v>
      </x:c>
      <x:c r="I1119" s="14" t="str">
        <x:v>Genel</x:v>
      </x:c>
      <x:c r="J1119" s="14" t="str">
        <x:v>Aralıklı Hata Tekrarı</x:v>
      </x:c>
      <x:c r="K1119" s="14" t="str">
        <x:v>+1 / +7 / +21</x:v>
      </x:c>
      <x:c r="L1119" s="14" t="str">
        <x:v>Bugün vadesi gelen yanlış soruları tekrar çöz. Vadesi yoksa bu süre serbest/okuma olabilir.</x:v>
      </x:c>
      <x:c r="M1119" s="14" t="str">
        <x:v>Yanlış Defteri</x:v>
      </x:c>
      <x:c r="N1119" s="14" t="str"/>
      <x:c r="O1119" s="14" t="n">
        <x:v>0</x:v>
      </x:c>
      <x:c r="P1119" s="14" t="str">
        <x:v>Hayır</x:v>
      </x:c>
      <x:c r="Q1119" s="14" t="str">
        <x:v>Koşullu</x:v>
      </x:c>
      <x:c r="R1119" s="14" t="str">
        <x:v>Planlandı</x:v>
      </x:c>
      <x:c r="S1119" s="15" t="str"/>
      <x:c r="T1119" s="14" t="str">
        <x:v>Yanlışlar +1, +7 ve +21 gün aralıklarıyla tekrar edilir; hâlâ yanlışsa konu mastery durumu düşürülür.</x:v>
      </x:c>
    </x:row>
    <x:row r="1120">
      <x:c r="A1120" s="14" t="n">
        <x:v>1119</x:v>
      </x:c>
      <x:c r="B1120" s="15" t="n">
        <x:v>46385</x:v>
      </x:c>
      <x:c r="C1120" s="14" t="str">
        <x:v>Salı</x:v>
      </x:c>
      <x:c r="D1120" s="14" t="str">
        <x:v>Okul Günü</x:v>
      </x:c>
      <x:c r="E1120" s="14" t="str">
        <x:v>16:00 sonrası</x:v>
      </x:c>
      <x:c r="F1120" s="14" t="str">
        <x:v>F1 - Temel Kurma</x:v>
      </x:c>
      <x:c r="G1120" s="14" t="str">
        <x:v>21:50</x:v>
      </x:c>
      <x:c r="H1120" s="14" t="str">
        <x:v>22:00</x:v>
      </x:c>
      <x:c r="I1120" s="14" t="str">
        <x:v>Genel</x:v>
      </x:c>
      <x:c r="J1120" s="14" t="str">
        <x:v>Uyku Hazırlığı</x:v>
      </x:c>
      <x:c r="K1120" s="14" t="str"/>
      <x:c r="L1120" s="14" t="str">
        <x:v>22:00'de yatakta ve uyku.</x:v>
      </x:c>
      <x:c r="M1120" s="14" t="str"/>
      <x:c r="N1120" s="14" t="str"/>
      <x:c r="O1120" s="14" t="n">
        <x:v>0</x:v>
      </x:c>
      <x:c r="P1120" s="14" t="str">
        <x:v>Hayır</x:v>
      </x:c>
      <x:c r="Q1120" s="14" t="str">
        <x:v>Hayır</x:v>
      </x:c>
      <x:c r="R1120" s="14" t="str">
        <x:v>Planlandı</x:v>
      </x:c>
      <x:c r="S1120" s="15" t="str"/>
      <x:c r="T1120" s="14" t="str"/>
    </x:row>
    <x:row r="1121">
      <x:c r="A1121" s="14" t="n">
        <x:v>1120</x:v>
      </x:c>
      <x:c r="B1121" s="15" t="n">
        <x:v>46386</x:v>
      </x:c>
      <x:c r="C1121" s="14" t="str">
        <x:v>Çarşamba</x:v>
      </x:c>
      <x:c r="D1121" s="14" t="str">
        <x:v>Okul Günü</x:v>
      </x:c>
      <x:c r="E1121" s="14" t="str">
        <x:v>16:00 sonrası</x:v>
      </x:c>
      <x:c r="F1121" s="14" t="str">
        <x:v>F1 - Temel Kurma</x:v>
      </x:c>
      <x:c r="G1121" s="14" t="str">
        <x:v>16:00</x:v>
      </x:c>
      <x:c r="H1121" s="14" t="str">
        <x:v>16:25</x:v>
      </x:c>
      <x:c r="I1121" s="14" t="str">
        <x:v>Genel</x:v>
      </x:c>
      <x:c r="J1121" s="14" t="str">
        <x:v>Dinlenme</x:v>
      </x:c>
      <x:c r="K1121" s="14" t="str"/>
      <x:c r="L1121" s="14" t="str">
        <x:v>Eve geliş, atıştırma ve dinlenme.</x:v>
      </x:c>
      <x:c r="M1121" s="14" t="str"/>
      <x:c r="N1121" s="14" t="str"/>
      <x:c r="O1121" s="14" t="n">
        <x:v>0</x:v>
      </x:c>
      <x:c r="P1121" s="14" t="str">
        <x:v>Hayır</x:v>
      </x:c>
      <x:c r="Q1121" s="14" t="str">
        <x:v>Hayır</x:v>
      </x:c>
      <x:c r="R1121" s="14" t="str">
        <x:v>Planlandı</x:v>
      </x:c>
      <x:c r="S1121" s="15" t="str"/>
      <x:c r="T1121" s="14" t="str"/>
    </x:row>
    <x:row r="1122">
      <x:c r="A1122" s="14" t="n">
        <x:v>1121</x:v>
      </x:c>
      <x:c r="B1122" s="15" t="n">
        <x:v>46386</x:v>
      </x:c>
      <x:c r="C1122" s="14" t="str">
        <x:v>Çarşamba</x:v>
      </x:c>
      <x:c r="D1122" s="14" t="str">
        <x:v>Okul Günü</x:v>
      </x:c>
      <x:c r="E1122" s="14" t="str">
        <x:v>16:00 sonrası</x:v>
      </x:c>
      <x:c r="F1122" s="14" t="str">
        <x:v>F1 - Temel Kurma</x:v>
      </x:c>
      <x:c r="G1122" s="14" t="str">
        <x:v>16:25</x:v>
      </x:c>
      <x:c r="H1122" s="14" t="str">
        <x:v>17:05</x:v>
      </x:c>
      <x:c r="I1122" s="14" t="str">
        <x:v>Matematik</x:v>
      </x:c>
      <x:c r="J1122" s="14" t="str">
        <x:v>Konu / Tekrar</x:v>
      </x:c>
      <x:c r="K1122" s="14" t="str">
        <x:v>Cebirsel İfadeler ve Özdeşlikler</x:v>
      </x:c>
      <x:c r="L1122" s="14" t="str">
        <x:v>Cebirsel İfadeler ve Özdeşlikler — genel oynatma listesinden ilgili videoyu izle (2/4).</x:v>
      </x:c>
      <x:c r="M1122" s="14" t="str">
        <x:v>Matematik Ana Oynatma Listesi</x:v>
      </x:c>
      <x:c r="N1122" s="14" t="str">
        <x:v>https://www.youtube.com/watch?v=EuJ89QzqrAg&amp;list=PLicNtF7vp6fnfDqrRLH6H7fIbzYT4ct4F&amp;index=11</x:v>
      </x:c>
      <x:c r="O1122" s="14" t="n">
        <x:v>0</x:v>
      </x:c>
      <x:c r="P1122" s="14" t="str">
        <x:v>Hayır</x:v>
      </x:c>
      <x:c r="Q1122" s="14" t="str">
        <x:v>Evet</x:v>
      </x:c>
      <x:c r="R1122" s="14" t="str">
        <x:v>Planlandı</x:v>
      </x:c>
      <x:c r="S1122" s="15" t="str"/>
      <x:c r="T1122" s="14" t="str">
        <x:v>Yeni konu ancak plan sırasıyla açılır; LGS dışı ileri TYT içeriği zorunlu değildir.</x:v>
      </x:c>
    </x:row>
    <x:row r="1123">
      <x:c r="A1123" s="14" t="n">
        <x:v>1122</x:v>
      </x:c>
      <x:c r="B1123" s="15" t="n">
        <x:v>46386</x:v>
      </x:c>
      <x:c r="C1123" s="14" t="str">
        <x:v>Çarşamba</x:v>
      </x:c>
      <x:c r="D1123" s="14" t="str">
        <x:v>Okul Günü</x:v>
      </x:c>
      <x:c r="E1123" s="14" t="str">
        <x:v>16:00 sonrası</x:v>
      </x:c>
      <x:c r="F1123" s="14" t="str">
        <x:v>F1 - Temel Kurma</x:v>
      </x:c>
      <x:c r="G1123" s="14" t="str">
        <x:v>17:10</x:v>
      </x:c>
      <x:c r="H1123" s="14" t="str">
        <x:v>17:55</x:v>
      </x:c>
      <x:c r="I1123" s="14" t="str">
        <x:v>Matematik</x:v>
      </x:c>
      <x:c r="J1123" s="14" t="str">
        <x:v>Kitap / MEB / Mastery</x:v>
      </x:c>
      <x:c r="K1123" s="14" t="str">
        <x:v>Cebirsel İfadeler ve Özdeşlikler</x:v>
      </x:c>
      <x:c r="L1123" s="14" t="str">
        <x:v>Cebirsel İfadeler ve Özdeşlikler ile ilgili soru kitabından en az 25 soru / bugünkü test payını çöz.</x:v>
      </x:c>
      <x:c r="M1123" s="14" t="str">
        <x:v>MUBA 8. Sınıf Başlangıç Matematik (ISBN 9789756526972); tamamlandıysa Mozaik 8. Sınıf Matematik</x:v>
      </x:c>
      <x:c r="N1123" s="14" t="str">
        <x:v>https://odsgm.meb.gov.tr/www/8sinif-calisma-sorulari/icerik/1632</x:v>
      </x:c>
      <x:c r="O1123" s="14" t="n">
        <x:v>25</x:v>
      </x:c>
      <x:c r="P1123" s="14" t="str">
        <x:v>İlk 20 soru</x:v>
      </x:c>
      <x:c r="Q1123" s="14" t="str">
        <x:v>Evet</x:v>
      </x:c>
      <x:c r="R1123" s="14" t="str">
        <x:v>Planlandı</x:v>
      </x:c>
      <x:c r="S1123" s="15" t="str"/>
      <x:c r="T1123" s="14" t="str">
        <x:v>Ayrı/rastgele matematik benchmark yoktur. Süreli ilk 20 soru o gün çalışılan konunun içindedir.</x:v>
      </x:c>
    </x:row>
    <x:row r="1124">
      <x:c r="A1124" s="14" t="n">
        <x:v>1123</x:v>
      </x:c>
      <x:c r="B1124" s="15" t="n">
        <x:v>46386</x:v>
      </x:c>
      <x:c r="C1124" s="14" t="str">
        <x:v>Çarşamba</x:v>
      </x:c>
      <x:c r="D1124" s="14" t="str">
        <x:v>Okul Günü</x:v>
      </x:c>
      <x:c r="E1124" s="14" t="str">
        <x:v>16:00 sonrası</x:v>
      </x:c>
      <x:c r="F1124" s="14" t="str">
        <x:v>F1 - Temel Kurma</x:v>
      </x:c>
      <x:c r="G1124" s="14" t="str">
        <x:v>17:55</x:v>
      </x:c>
      <x:c r="H1124" s="14" t="str">
        <x:v>18:25</x:v>
      </x:c>
      <x:c r="I1124" s="14" t="str">
        <x:v>Genel</x:v>
      </x:c>
      <x:c r="J1124" s="14" t="str">
        <x:v>Yemek / Serbest Zaman</x:v>
      </x:c>
      <x:c r="K1124" s="14" t="str"/>
      <x:c r="L1124" s="14" t="str">
        <x:v>Yemek, hareket ve dinlenme.</x:v>
      </x:c>
      <x:c r="M1124" s="14" t="str"/>
      <x:c r="N1124" s="14" t="str"/>
      <x:c r="O1124" s="14" t="n">
        <x:v>0</x:v>
      </x:c>
      <x:c r="P1124" s="14" t="str">
        <x:v>Hayır</x:v>
      </x:c>
      <x:c r="Q1124" s="14" t="str">
        <x:v>Hayır</x:v>
      </x:c>
      <x:c r="R1124" s="14" t="str">
        <x:v>Planlandı</x:v>
      </x:c>
      <x:c r="S1124" s="15" t="str"/>
      <x:c r="T1124" s="14" t="str"/>
    </x:row>
    <x:row r="1125">
      <x:c r="A1125" s="14" t="n">
        <x:v>1124</x:v>
      </x:c>
      <x:c r="B1125" s="15" t="n">
        <x:v>46386</x:v>
      </x:c>
      <x:c r="C1125" s="14" t="str">
        <x:v>Çarşamba</x:v>
      </x:c>
      <x:c r="D1125" s="14" t="str">
        <x:v>Okul Günü</x:v>
      </x:c>
      <x:c r="E1125" s="14" t="str">
        <x:v>16:00 sonrası</x:v>
      </x:c>
      <x:c r="F1125" s="14" t="str">
        <x:v>F1 - Temel Kurma</x:v>
      </x:c>
      <x:c r="G1125" s="14" t="str">
        <x:v>18:25</x:v>
      </x:c>
      <x:c r="H1125" s="14" t="str">
        <x:v>18:55</x:v>
      </x:c>
      <x:c r="I1125" s="14" t="str">
        <x:v>Türkçe</x:v>
      </x:c>
      <x:c r="J1125" s="14" t="str">
        <x:v>Paragraf Rutini</x:v>
      </x:c>
      <x:c r="K1125" s="14" t="str">
        <x:v>Paragraf</x:v>
      </x:c>
      <x:c r="L1125" s="14" t="str">
        <x:v>En az 25 paragraf sorusu çöz; ilk 20 soruyu ileri sayımla ölç, D/Y/B + süre kaydet.</x:v>
      </x:c>
      <x:c r="M1125" s="14" t="str">
        <x:v>Hız 8. Sınıf Türkçe Paragraf (ISBN 9786258394498)</x:v>
      </x:c>
      <x:c r="N1125" s="14" t="str"/>
      <x:c r="O1125" s="14" t="n">
        <x:v>25</x:v>
      </x:c>
      <x:c r="P1125" s="14" t="str">
        <x:v>İlk 20 soru</x:v>
      </x:c>
      <x:c r="Q1125" s="14" t="str">
        <x:v>Evet</x:v>
      </x:c>
      <x:c r="R1125" s="14" t="str">
        <x:v>Planlandı</x:v>
      </x:c>
      <x:c r="S1125" s="15" t="str"/>
      <x:c r="T1125" s="14" t="str">
        <x:v>Geri sayım ve hedef süre yok.</x:v>
      </x:c>
    </x:row>
    <x:row r="1126">
      <x:c r="A1126" s="14" t="n">
        <x:v>1125</x:v>
      </x:c>
      <x:c r="B1126" s="15" t="n">
        <x:v>46386</x:v>
      </x:c>
      <x:c r="C1126" s="14" t="str">
        <x:v>Çarşamba</x:v>
      </x:c>
      <x:c r="D1126" s="14" t="str">
        <x:v>Okul Günü</x:v>
      </x:c>
      <x:c r="E1126" s="14" t="str">
        <x:v>16:00 sonrası</x:v>
      </x:c>
      <x:c r="F1126" s="14" t="str">
        <x:v>F1 - Temel Kurma</x:v>
      </x:c>
      <x:c r="G1126" s="14" t="str">
        <x:v>19:00</x:v>
      </x:c>
      <x:c r="H1126" s="14" t="str">
        <x:v>19:35</x:v>
      </x:c>
      <x:c r="I1126" s="14" t="str">
        <x:v>Türkçe</x:v>
      </x:c>
      <x:c r="J1126" s="14" t="str">
        <x:v>Konu / Tekrar</x:v>
      </x:c>
      <x:c r="K1126" s="14" t="str">
        <x:v>Metin Türleri ve Söz Sanatları</x:v>
      </x:c>
      <x:c r="L1126" s="14" t="str">
        <x:v>Metin Türleri ve Söz Sanatları — MEB doğrulaması öncesi 5-10 dk aktif hatırlama; gerekiyorsa ilgili playlist videosuna kısa dönüş yap.</x:v>
      </x:c>
      <x:c r="M1126" s="14" t="str">
        <x:v>Türkçe Ana Oynatma Listesi</x:v>
      </x:c>
      <x:c r="N1126" s="14" t="str">
        <x:v>https://www.youtube.com/watch?v=VYsPntNKVdw&amp;list=PLIBjFaUoJJ91bz7QQEBlxNJNZka5YQRr6</x:v>
      </x:c>
      <x:c r="O1126" s="14" t="n">
        <x:v>0</x:v>
      </x:c>
      <x:c r="P1126" s="14" t="str">
        <x:v>Hayır</x:v>
      </x:c>
      <x:c r="Q1126" s="14" t="str">
        <x:v>Evet</x:v>
      </x:c>
      <x:c r="R1126" s="14" t="str">
        <x:v>Planlandı</x:v>
      </x:c>
      <x:c r="S1126" s="15" t="str"/>
      <x:c r="T1126" s="14" t="str">
        <x:v>TYT etiketli kaynak temelden başlamak için sabittir; LGS dışı gereksiz ayrıntı zorunlu değildir.</x:v>
      </x:c>
    </x:row>
    <x:row r="1127">
      <x:c r="A1127" s="14" t="n">
        <x:v>1126</x:v>
      </x:c>
      <x:c r="B1127" s="15" t="n">
        <x:v>46386</x:v>
      </x:c>
      <x:c r="C1127" s="14" t="str">
        <x:v>Çarşamba</x:v>
      </x:c>
      <x:c r="D1127" s="14" t="str">
        <x:v>Okul Günü</x:v>
      </x:c>
      <x:c r="E1127" s="14" t="str">
        <x:v>16:00 sonrası</x:v>
      </x:c>
      <x:c r="F1127" s="14" t="str">
        <x:v>F1 - Temel Kurma</x:v>
      </x:c>
      <x:c r="G1127" s="14" t="str">
        <x:v>19:40</x:v>
      </x:c>
      <x:c r="H1127" s="14" t="str">
        <x:v>20:10</x:v>
      </x:c>
      <x:c r="I1127" s="14" t="str">
        <x:v>Türkçe</x:v>
      </x:c>
      <x:c r="J1127" s="14" t="str">
        <x:v>Kitap / MEB / Mastery</x:v>
      </x:c>
      <x:c r="K1127" s="14" t="str">
        <x:v>Metin Türleri ve Söz Sanatları</x:v>
      </x:c>
      <x:c r="L1127" s="14" t="str">
        <x:v>Metin Türleri ve Söz Sanatları için ilgili MEB sorularını TAMAMLA; D/Y/B kaydet. Bu oturum konu mastery gate'idir.</x:v>
      </x:c>
      <x:c r="M1127" s="14" t="str">
        <x:v>MEB Resmî Soru Seti</x:v>
      </x:c>
      <x:c r="N1127" s="14" t="str">
        <x:v>https://odsgm.meb.gov.tr/www/8sinif-calisma-sorulari/icerik/1632</x:v>
      </x:c>
      <x:c r="O1127" s="14" t="n">
        <x:v>0</x:v>
      </x:c>
      <x:c r="P1127" s="14" t="str">
        <x:v>Hayır</x:v>
      </x:c>
      <x:c r="Q1127" s="14" t="str">
        <x:v>Evet</x:v>
      </x:c>
      <x:c r="R1127" s="14" t="str">
        <x:v>Planlandı</x:v>
      </x:c>
      <x:c r="S1127" s="15" t="str"/>
      <x:c r="T1127" s="14" t="str">
        <x:v>MEB sonucu Konu_Ustaligi sayfasına işlenir.</x:v>
      </x:c>
    </x:row>
    <x:row r="1128">
      <x:c r="A1128" s="14" t="n">
        <x:v>1127</x:v>
      </x:c>
      <x:c r="B1128" s="15" t="n">
        <x:v>46386</x:v>
      </x:c>
      <x:c r="C1128" s="14" t="str">
        <x:v>Çarşamba</x:v>
      </x:c>
      <x:c r="D1128" s="14" t="str">
        <x:v>Okul Günü</x:v>
      </x:c>
      <x:c r="E1128" s="14" t="str">
        <x:v>16:00 sonrası</x:v>
      </x:c>
      <x:c r="F1128" s="14" t="str">
        <x:v>F1 - Temel Kurma</x:v>
      </x:c>
      <x:c r="G1128" s="14" t="str">
        <x:v>20:15</x:v>
      </x:c>
      <x:c r="H1128" s="14" t="str">
        <x:v>20:50</x:v>
      </x:c>
      <x:c r="I1128" s="14" t="str">
        <x:v>İnkılap</x:v>
      </x:c>
      <x:c r="J1128" s="14" t="str">
        <x:v>Konu / Tekrar</x:v>
      </x:c>
      <x:c r="K1128" s="14" t="str">
        <x:v>TBMM’ye Karşı Ayaklanmalar ve Sevr</x:v>
      </x:c>
      <x:c r="L1128" s="14" t="str">
        <x:v>TBMM’ye Karşı Ayaklanmalar ve Sevr — MEB doğrulaması öncesi 5-10 dk aktif hatırlama; gerekiyorsa ilgili playlist videosuna kısa dönüş yap.</x:v>
      </x:c>
      <x:c r="M1128" s="14" t="str">
        <x:v>İnkılap Genel Oynatma Listesi</x:v>
      </x:c>
      <x:c r="N1128" s="14" t="str">
        <x:v>https://www.youtube.com/watch?v=MltIX0oKpYU&amp;list=PLsAsBPsriHNbXit4Ra3iuBrk1ZHZWxsOR&amp;index=78</x:v>
      </x:c>
      <x:c r="O1128" s="14" t="n">
        <x:v>0</x:v>
      </x:c>
      <x:c r="P1128" s="14" t="str">
        <x:v>Hayır</x:v>
      </x:c>
      <x:c r="Q1128" s="14" t="str">
        <x:v>Evet</x:v>
      </x:c>
      <x:c r="R1128" s="14" t="str">
        <x:v>Planlandı</x:v>
      </x:c>
      <x:c r="S1128" s="15" t="str"/>
      <x:c r="T1128" s="14" t="str">
        <x:v>İnkılapta okul yazılısı videoları zorunlu değildir.</x:v>
      </x:c>
    </x:row>
    <x:row r="1129">
      <x:c r="A1129" s="14" t="n">
        <x:v>1128</x:v>
      </x:c>
      <x:c r="B1129" s="15" t="n">
        <x:v>46386</x:v>
      </x:c>
      <x:c r="C1129" s="14" t="str">
        <x:v>Çarşamba</x:v>
      </x:c>
      <x:c r="D1129" s="14" t="str">
        <x:v>Okul Günü</x:v>
      </x:c>
      <x:c r="E1129" s="14" t="str">
        <x:v>16:00 sonrası</x:v>
      </x:c>
      <x:c r="F1129" s="14" t="str">
        <x:v>F1 - Temel Kurma</x:v>
      </x:c>
      <x:c r="G1129" s="14" t="str">
        <x:v>20:55</x:v>
      </x:c>
      <x:c r="H1129" s="14" t="str">
        <x:v>21:20</x:v>
      </x:c>
      <x:c r="I1129" s="14" t="str">
        <x:v>İnkılap</x:v>
      </x:c>
      <x:c r="J1129" s="14" t="str">
        <x:v>Kitap / MEB / Mastery</x:v>
      </x:c>
      <x:c r="K1129" s="14" t="str">
        <x:v>TBMM’ye Karşı Ayaklanmalar ve Sevr</x:v>
      </x:c>
      <x:c r="L1129" s="14" t="str">
        <x:v>TBMM’ye Karşı Ayaklanmalar ve Sevr için ilgili MEB sorularını TAMAMLA; D/Y/B kaydet. Bu oturum konu mastery gate'idir.</x:v>
      </x:c>
      <x:c r="M1129" s="14" t="str">
        <x:v>MEB 8. Sınıf İnkılap Soruları</x:v>
      </x:c>
      <x:c r="N1129" s="14" t="str">
        <x:v>https://odsgm.meb.gov.tr/www/8sinif-calisma-sorulari/icerik/1632</x:v>
      </x:c>
      <x:c r="O1129" s="14" t="n">
        <x:v>0</x:v>
      </x:c>
      <x:c r="P1129" s="14" t="str">
        <x:v>Hayır</x:v>
      </x:c>
      <x:c r="Q1129" s="14" t="str">
        <x:v>Evet</x:v>
      </x:c>
      <x:c r="R1129" s="14" t="str">
        <x:v>Planlandı</x:v>
      </x:c>
      <x:c r="S1129" s="15" t="str"/>
      <x:c r="T1129" s="14" t="str">
        <x:v>MEB sonucu Konu_Ustaligi sayfasına işlenir.</x:v>
      </x:c>
    </x:row>
    <x:row r="1130">
      <x:c r="A1130" s="14" t="n">
        <x:v>1129</x:v>
      </x:c>
      <x:c r="B1130" s="15" t="n">
        <x:v>46386</x:v>
      </x:c>
      <x:c r="C1130" s="14" t="str">
        <x:v>Çarşamba</x:v>
      </x:c>
      <x:c r="D1130" s="14" t="str">
        <x:v>Okul Günü</x:v>
      </x:c>
      <x:c r="E1130" s="14" t="str">
        <x:v>16:00 sonrası</x:v>
      </x:c>
      <x:c r="F1130" s="14" t="str">
        <x:v>F1 - Temel Kurma</x:v>
      </x:c>
      <x:c r="G1130" s="14" t="str">
        <x:v>21:20</x:v>
      </x:c>
      <x:c r="H1130" s="14" t="str">
        <x:v>21:35</x:v>
      </x:c>
      <x:c r="I1130" s="14" t="str">
        <x:v>Genel</x:v>
      </x:c>
      <x:c r="J1130" s="14" t="str">
        <x:v>Yanlış / Boş Analizi</x:v>
      </x:c>
      <x:c r="K1130" s="14" t="str">
        <x:v>Günlük</x:v>
      </x:c>
      <x:c r="L1130" s="14" t="str">
        <x:v>Bugünkü yanlış/boşları kaydet; çözümünü öğrenmeden kapatma. Hata türünü sınıflandır.</x:v>
      </x:c>
      <x:c r="M1130" s="14" t="str">
        <x:v>Yanlış Defteri</x:v>
      </x:c>
      <x:c r="N1130" s="14" t="str"/>
      <x:c r="O1130" s="14" t="n">
        <x:v>0</x:v>
      </x:c>
      <x:c r="P1130" s="14" t="str">
        <x:v>Hayır</x:v>
      </x:c>
      <x:c r="Q1130" s="14" t="str">
        <x:v>Evet</x:v>
      </x:c>
      <x:c r="R1130" s="14" t="str">
        <x:v>Planlandı</x:v>
      </x:c>
      <x:c r="S1130" s="15" t="str"/>
      <x:c r="T1130" s="14" t="str"/>
    </x:row>
    <x:row r="1131">
      <x:c r="A1131" s="14" t="n">
        <x:v>1130</x:v>
      </x:c>
      <x:c r="B1131" s="15" t="n">
        <x:v>46386</x:v>
      </x:c>
      <x:c r="C1131" s="14" t="str">
        <x:v>Çarşamba</x:v>
      </x:c>
      <x:c r="D1131" s="14" t="str">
        <x:v>Okul Günü</x:v>
      </x:c>
      <x:c r="E1131" s="14" t="str">
        <x:v>16:00 sonrası</x:v>
      </x:c>
      <x:c r="F1131" s="14" t="str">
        <x:v>F1 - Temel Kurma</x:v>
      </x:c>
      <x:c r="G1131" s="14" t="str">
        <x:v>21:35</x:v>
      </x:c>
      <x:c r="H1131" s="14" t="str">
        <x:v>21:50</x:v>
      </x:c>
      <x:c r="I1131" s="14" t="str">
        <x:v>Genel</x:v>
      </x:c>
      <x:c r="J1131" s="14" t="str">
        <x:v>Aralıklı Hata Tekrarı</x:v>
      </x:c>
      <x:c r="K1131" s="14" t="str">
        <x:v>+1 / +7 / +21</x:v>
      </x:c>
      <x:c r="L1131" s="14" t="str">
        <x:v>Bugün vadesi gelen yanlış soruları tekrar çöz. Vadesi yoksa bu süre serbest/okuma olabilir.</x:v>
      </x:c>
      <x:c r="M1131" s="14" t="str">
        <x:v>Yanlış Defteri</x:v>
      </x:c>
      <x:c r="N1131" s="14" t="str"/>
      <x:c r="O1131" s="14" t="n">
        <x:v>0</x:v>
      </x:c>
      <x:c r="P1131" s="14" t="str">
        <x:v>Hayır</x:v>
      </x:c>
      <x:c r="Q1131" s="14" t="str">
        <x:v>Koşullu</x:v>
      </x:c>
      <x:c r="R1131" s="14" t="str">
        <x:v>Planlandı</x:v>
      </x:c>
      <x:c r="S1131" s="15" t="str"/>
      <x:c r="T1131" s="14" t="str">
        <x:v>Yanlışlar +1, +7 ve +21 gün aralıklarıyla tekrar edilir; hâlâ yanlışsa konu mastery durumu düşürülür.</x:v>
      </x:c>
    </x:row>
    <x:row r="1132">
      <x:c r="A1132" s="14" t="n">
        <x:v>1131</x:v>
      </x:c>
      <x:c r="B1132" s="15" t="n">
        <x:v>46386</x:v>
      </x:c>
      <x:c r="C1132" s="14" t="str">
        <x:v>Çarşamba</x:v>
      </x:c>
      <x:c r="D1132" s="14" t="str">
        <x:v>Okul Günü</x:v>
      </x:c>
      <x:c r="E1132" s="14" t="str">
        <x:v>16:00 sonrası</x:v>
      </x:c>
      <x:c r="F1132" s="14" t="str">
        <x:v>F1 - Temel Kurma</x:v>
      </x:c>
      <x:c r="G1132" s="14" t="str">
        <x:v>21:50</x:v>
      </x:c>
      <x:c r="H1132" s="14" t="str">
        <x:v>22:00</x:v>
      </x:c>
      <x:c r="I1132" s="14" t="str">
        <x:v>Genel</x:v>
      </x:c>
      <x:c r="J1132" s="14" t="str">
        <x:v>Uyku Hazırlığı</x:v>
      </x:c>
      <x:c r="K1132" s="14" t="str"/>
      <x:c r="L1132" s="14" t="str">
        <x:v>22:00'de yatakta ve uyku.</x:v>
      </x:c>
      <x:c r="M1132" s="14" t="str"/>
      <x:c r="N1132" s="14" t="str"/>
      <x:c r="O1132" s="14" t="n">
        <x:v>0</x:v>
      </x:c>
      <x:c r="P1132" s="14" t="str">
        <x:v>Hayır</x:v>
      </x:c>
      <x:c r="Q1132" s="14" t="str">
        <x:v>Hayır</x:v>
      </x:c>
      <x:c r="R1132" s="14" t="str">
        <x:v>Planlandı</x:v>
      </x:c>
      <x:c r="S1132" s="15" t="str"/>
      <x:c r="T1132" s="14" t="str"/>
    </x:row>
    <x:row r="1133">
      <x:c r="A1133" s="14" t="n">
        <x:v>1132</x:v>
      </x:c>
      <x:c r="B1133" s="15" t="n">
        <x:v>46387</x:v>
      </x:c>
      <x:c r="C1133" s="14" t="str">
        <x:v>Perşembe</x:v>
      </x:c>
      <x:c r="D1133" s="14" t="str">
        <x:v>Okul Günü</x:v>
      </x:c>
      <x:c r="E1133" s="14" t="str">
        <x:v>16:00 sonrası</x:v>
      </x:c>
      <x:c r="F1133" s="14" t="str">
        <x:v>F1 - Temel Kurma</x:v>
      </x:c>
      <x:c r="G1133" s="14" t="str">
        <x:v>16:00</x:v>
      </x:c>
      <x:c r="H1133" s="14" t="str">
        <x:v>16:25</x:v>
      </x:c>
      <x:c r="I1133" s="14" t="str">
        <x:v>Genel</x:v>
      </x:c>
      <x:c r="J1133" s="14" t="str">
        <x:v>Dinlenme</x:v>
      </x:c>
      <x:c r="K1133" s="14" t="str"/>
      <x:c r="L1133" s="14" t="str">
        <x:v>Eve geliş, atıştırma ve dinlenme.</x:v>
      </x:c>
      <x:c r="M1133" s="14" t="str"/>
      <x:c r="N1133" s="14" t="str"/>
      <x:c r="O1133" s="14" t="n">
        <x:v>0</x:v>
      </x:c>
      <x:c r="P1133" s="14" t="str">
        <x:v>Hayır</x:v>
      </x:c>
      <x:c r="Q1133" s="14" t="str">
        <x:v>Hayır</x:v>
      </x:c>
      <x:c r="R1133" s="14" t="str">
        <x:v>Planlandı</x:v>
      </x:c>
      <x:c r="S1133" s="15" t="str"/>
      <x:c r="T1133" s="14" t="str"/>
    </x:row>
    <x:row r="1134">
      <x:c r="A1134" s="14" t="n">
        <x:v>1133</x:v>
      </x:c>
      <x:c r="B1134" s="15" t="n">
        <x:v>46387</x:v>
      </x:c>
      <x:c r="C1134" s="14" t="str">
        <x:v>Perşembe</x:v>
      </x:c>
      <x:c r="D1134" s="14" t="str">
        <x:v>Okul Günü</x:v>
      </x:c>
      <x:c r="E1134" s="14" t="str">
        <x:v>16:00 sonrası</x:v>
      </x:c>
      <x:c r="F1134" s="14" t="str">
        <x:v>F1 - Temel Kurma</x:v>
      </x:c>
      <x:c r="G1134" s="14" t="str">
        <x:v>16:25</x:v>
      </x:c>
      <x:c r="H1134" s="14" t="str">
        <x:v>17:05</x:v>
      </x:c>
      <x:c r="I1134" s="14" t="str">
        <x:v>Matematik</x:v>
      </x:c>
      <x:c r="J1134" s="14" t="str">
        <x:v>Konu / Tekrar</x:v>
      </x:c>
      <x:c r="K1134" s="14" t="str">
        <x:v>Cebirsel İfadeler ve Özdeşlikler</x:v>
      </x:c>
      <x:c r="L1134" s="14" t="str">
        <x:v>Cebirsel İfadeler ve Özdeşlikler — genel oynatma listesinden ilgili videoyu izle (3/4).</x:v>
      </x:c>
      <x:c r="M1134" s="14" t="str">
        <x:v>Matematik Ana Oynatma Listesi</x:v>
      </x:c>
      <x:c r="N1134" s="14" t="str">
        <x:v>https://www.youtube.com/watch?v=EuJ89QzqrAg&amp;list=PLicNtF7vp6fnfDqrRLH6H7fIbzYT4ct4F&amp;index=11</x:v>
      </x:c>
      <x:c r="O1134" s="14" t="n">
        <x:v>0</x:v>
      </x:c>
      <x:c r="P1134" s="14" t="str">
        <x:v>Hayır</x:v>
      </x:c>
      <x:c r="Q1134" s="14" t="str">
        <x:v>Evet</x:v>
      </x:c>
      <x:c r="R1134" s="14" t="str">
        <x:v>Planlandı</x:v>
      </x:c>
      <x:c r="S1134" s="15" t="str"/>
      <x:c r="T1134" s="14" t="str">
        <x:v>Yeni konu ancak plan sırasıyla açılır; LGS dışı ileri TYT içeriği zorunlu değildir.</x:v>
      </x:c>
    </x:row>
    <x:row r="1135">
      <x:c r="A1135" s="14" t="n">
        <x:v>1134</x:v>
      </x:c>
      <x:c r="B1135" s="15" t="n">
        <x:v>46387</x:v>
      </x:c>
      <x:c r="C1135" s="14" t="str">
        <x:v>Perşembe</x:v>
      </x:c>
      <x:c r="D1135" s="14" t="str">
        <x:v>Okul Günü</x:v>
      </x:c>
      <x:c r="E1135" s="14" t="str">
        <x:v>16:00 sonrası</x:v>
      </x:c>
      <x:c r="F1135" s="14" t="str">
        <x:v>F1 - Temel Kurma</x:v>
      </x:c>
      <x:c r="G1135" s="14" t="str">
        <x:v>17:10</x:v>
      </x:c>
      <x:c r="H1135" s="14" t="str">
        <x:v>17:55</x:v>
      </x:c>
      <x:c r="I1135" s="14" t="str">
        <x:v>Matematik</x:v>
      </x:c>
      <x:c r="J1135" s="14" t="str">
        <x:v>Kitap / MEB / Mastery</x:v>
      </x:c>
      <x:c r="K1135" s="14" t="str">
        <x:v>Cebirsel İfadeler ve Özdeşlikler</x:v>
      </x:c>
      <x:c r="L1135" s="14" t="str">
        <x:v>Cebirsel İfadeler ve Özdeşlikler ile ilgili soru kitabından en az 25 soru / bugünkü test payını çöz.</x:v>
      </x:c>
      <x:c r="M1135" s="14" t="str">
        <x:v>MUBA 8. Sınıf Başlangıç Matematik (ISBN 9789756526972); tamamlandıysa Mozaik 8. Sınıf Matematik</x:v>
      </x:c>
      <x:c r="N1135" s="14" t="str">
        <x:v>https://odsgm.meb.gov.tr/www/8sinif-calisma-sorulari/icerik/1632</x:v>
      </x:c>
      <x:c r="O1135" s="14" t="n">
        <x:v>25</x:v>
      </x:c>
      <x:c r="P1135" s="14" t="str">
        <x:v>İlk 20 soru</x:v>
      </x:c>
      <x:c r="Q1135" s="14" t="str">
        <x:v>Evet</x:v>
      </x:c>
      <x:c r="R1135" s="14" t="str">
        <x:v>Planlandı</x:v>
      </x:c>
      <x:c r="S1135" s="15" t="str"/>
      <x:c r="T1135" s="14" t="str">
        <x:v>Ayrı/rastgele matematik benchmark yoktur. Süreli ilk 20 soru o gün çalışılan konunun içindedir.</x:v>
      </x:c>
    </x:row>
    <x:row r="1136">
      <x:c r="A1136" s="14" t="n">
        <x:v>1135</x:v>
      </x:c>
      <x:c r="B1136" s="15" t="n">
        <x:v>46387</x:v>
      </x:c>
      <x:c r="C1136" s="14" t="str">
        <x:v>Perşembe</x:v>
      </x:c>
      <x:c r="D1136" s="14" t="str">
        <x:v>Okul Günü</x:v>
      </x:c>
      <x:c r="E1136" s="14" t="str">
        <x:v>16:00 sonrası</x:v>
      </x:c>
      <x:c r="F1136" s="14" t="str">
        <x:v>F1 - Temel Kurma</x:v>
      </x:c>
      <x:c r="G1136" s="14" t="str">
        <x:v>17:55</x:v>
      </x:c>
      <x:c r="H1136" s="14" t="str">
        <x:v>18:25</x:v>
      </x:c>
      <x:c r="I1136" s="14" t="str">
        <x:v>Genel</x:v>
      </x:c>
      <x:c r="J1136" s="14" t="str">
        <x:v>Yemek / Serbest Zaman</x:v>
      </x:c>
      <x:c r="K1136" s="14" t="str"/>
      <x:c r="L1136" s="14" t="str">
        <x:v>Yemek, hareket ve dinlenme.</x:v>
      </x:c>
      <x:c r="M1136" s="14" t="str"/>
      <x:c r="N1136" s="14" t="str"/>
      <x:c r="O1136" s="14" t="n">
        <x:v>0</x:v>
      </x:c>
      <x:c r="P1136" s="14" t="str">
        <x:v>Hayır</x:v>
      </x:c>
      <x:c r="Q1136" s="14" t="str">
        <x:v>Hayır</x:v>
      </x:c>
      <x:c r="R1136" s="14" t="str">
        <x:v>Planlandı</x:v>
      </x:c>
      <x:c r="S1136" s="15" t="str"/>
      <x:c r="T1136" s="14" t="str"/>
    </x:row>
    <x:row r="1137">
      <x:c r="A1137" s="14" t="n">
        <x:v>1136</x:v>
      </x:c>
      <x:c r="B1137" s="15" t="n">
        <x:v>46387</x:v>
      </x:c>
      <x:c r="C1137" s="14" t="str">
        <x:v>Perşembe</x:v>
      </x:c>
      <x:c r="D1137" s="14" t="str">
        <x:v>Okul Günü</x:v>
      </x:c>
      <x:c r="E1137" s="14" t="str">
        <x:v>16:00 sonrası</x:v>
      </x:c>
      <x:c r="F1137" s="14" t="str">
        <x:v>F1 - Temel Kurma</x:v>
      </x:c>
      <x:c r="G1137" s="14" t="str">
        <x:v>18:25</x:v>
      </x:c>
      <x:c r="H1137" s="14" t="str">
        <x:v>18:55</x:v>
      </x:c>
      <x:c r="I1137" s="14" t="str">
        <x:v>Türkçe</x:v>
      </x:c>
      <x:c r="J1137" s="14" t="str">
        <x:v>Paragraf Rutini</x:v>
      </x:c>
      <x:c r="K1137" s="14" t="str">
        <x:v>Paragraf</x:v>
      </x:c>
      <x:c r="L1137" s="14" t="str">
        <x:v>En az 25 paragraf sorusu çöz; ilk 20 soruyu ileri sayımla ölç, D/Y/B + süre kaydet.</x:v>
      </x:c>
      <x:c r="M1137" s="14" t="str">
        <x:v>Hız 8. Sınıf Türkçe Paragraf (ISBN 9786258394498)</x:v>
      </x:c>
      <x:c r="N1137" s="14" t="str"/>
      <x:c r="O1137" s="14" t="n">
        <x:v>25</x:v>
      </x:c>
      <x:c r="P1137" s="14" t="str">
        <x:v>İlk 20 soru</x:v>
      </x:c>
      <x:c r="Q1137" s="14" t="str">
        <x:v>Evet</x:v>
      </x:c>
      <x:c r="R1137" s="14" t="str">
        <x:v>Planlandı</x:v>
      </x:c>
      <x:c r="S1137" s="15" t="str"/>
      <x:c r="T1137" s="14" t="str">
        <x:v>Geri sayım ve hedef süre yok.</x:v>
      </x:c>
    </x:row>
    <x:row r="1138">
      <x:c r="A1138" s="14" t="n">
        <x:v>1137</x:v>
      </x:c>
      <x:c r="B1138" s="15" t="n">
        <x:v>46387</x:v>
      </x:c>
      <x:c r="C1138" s="14" t="str">
        <x:v>Perşembe</x:v>
      </x:c>
      <x:c r="D1138" s="14" t="str">
        <x:v>Okul Günü</x:v>
      </x:c>
      <x:c r="E1138" s="14" t="str">
        <x:v>16:00 sonrası</x:v>
      </x:c>
      <x:c r="F1138" s="14" t="str">
        <x:v>F1 - Temel Kurma</x:v>
      </x:c>
      <x:c r="G1138" s="14" t="str">
        <x:v>19:00</x:v>
      </x:c>
      <x:c r="H1138" s="14" t="str">
        <x:v>19:35</x:v>
      </x:c>
      <x:c r="I1138" s="14" t="str">
        <x:v>Türkçe</x:v>
      </x:c>
      <x:c r="J1138" s="14" t="str">
        <x:v>Konu / Tekrar</x:v>
      </x:c>
      <x:c r="K1138" s="14" t="str">
        <x:v>Görsel Okuma, Grafik ve Sözel Mantık</x:v>
      </x:c>
      <x:c r="L1138" s="14" t="str">
        <x:v>Görsel Okuma, Grafik ve Sözel Mantık — genel oynatma listesinden ilgili videoyu izle (1/3).</x:v>
      </x:c>
      <x:c r="M1138" s="14" t="str">
        <x:v>Türkçe Ana Oynatma Listesi</x:v>
      </x:c>
      <x:c r="N1138" s="14" t="str">
        <x:v>https://www.youtube.com/watch?v=VYsPntNKVdw&amp;list=PLIBjFaUoJJ91bz7QQEBlxNJNZka5YQRr6</x:v>
      </x:c>
      <x:c r="O1138" s="14" t="n">
        <x:v>0</x:v>
      </x:c>
      <x:c r="P1138" s="14" t="str">
        <x:v>Hayır</x:v>
      </x:c>
      <x:c r="Q1138" s="14" t="str">
        <x:v>Evet</x:v>
      </x:c>
      <x:c r="R1138" s="14" t="str">
        <x:v>Planlandı</x:v>
      </x:c>
      <x:c r="S1138" s="15" t="str"/>
      <x:c r="T1138" s="14" t="str">
        <x:v>TYT etiketli kaynak temelden başlamak için sabittir; LGS dışı gereksiz ayrıntı zorunlu değildir.</x:v>
      </x:c>
    </x:row>
    <x:row r="1139">
      <x:c r="A1139" s="14" t="n">
        <x:v>1138</x:v>
      </x:c>
      <x:c r="B1139" s="15" t="n">
        <x:v>46387</x:v>
      </x:c>
      <x:c r="C1139" s="14" t="str">
        <x:v>Perşembe</x:v>
      </x:c>
      <x:c r="D1139" s="14" t="str">
        <x:v>Okul Günü</x:v>
      </x:c>
      <x:c r="E1139" s="14" t="str">
        <x:v>16:00 sonrası</x:v>
      </x:c>
      <x:c r="F1139" s="14" t="str">
        <x:v>F1 - Temel Kurma</x:v>
      </x:c>
      <x:c r="G1139" s="14" t="str">
        <x:v>19:40</x:v>
      </x:c>
      <x:c r="H1139" s="14" t="str">
        <x:v>20:10</x:v>
      </x:c>
      <x:c r="I1139" s="14" t="str">
        <x:v>Türkçe</x:v>
      </x:c>
      <x:c r="J1139" s="14" t="str">
        <x:v>Kitap / MEB / Mastery</x:v>
      </x:c>
      <x:c r="K1139" s="14" t="str">
        <x:v>Görsel Okuma, Grafik ve Sözel Mantık</x:v>
      </x:c>
      <x:c r="L1139" s="14" t="str">
        <x:v>Görsel Okuma, Grafik ve Sözel Mantık ile ilgili soru kitabından en az 15 soru / bugünkü test payını çöz.</x:v>
      </x:c>
      <x:c r="M1139" s="14" t="str">
        <x:v>Ankara 8. Sınıf Dil Bilgisi Güçlendiren</x:v>
      </x:c>
      <x:c r="N1139" s="14" t="str">
        <x:v>https://odsgm.meb.gov.tr/www/8sinif-calisma-sorulari/icerik/1632</x:v>
      </x:c>
      <x:c r="O1139" s="14" t="n">
        <x:v>15</x:v>
      </x:c>
      <x:c r="P1139" s="14" t="str">
        <x:v>Hayır</x:v>
      </x:c>
      <x:c r="Q1139" s="14" t="str">
        <x:v>Evet</x:v>
      </x:c>
      <x:c r="R1139" s="14" t="str">
        <x:v>Planlandı</x:v>
      </x:c>
      <x:c r="S1139" s="15" t="str"/>
      <x:c r="T1139" s="14" t="str"/>
    </x:row>
    <x:row r="1140">
      <x:c r="A1140" s="14" t="n">
        <x:v>1139</x:v>
      </x:c>
      <x:c r="B1140" s="15" t="n">
        <x:v>46387</x:v>
      </x:c>
      <x:c r="C1140" s="14" t="str">
        <x:v>Perşembe</x:v>
      </x:c>
      <x:c r="D1140" s="14" t="str">
        <x:v>Okul Günü</x:v>
      </x:c>
      <x:c r="E1140" s="14" t="str">
        <x:v>16:00 sonrası</x:v>
      </x:c>
      <x:c r="F1140" s="14" t="str">
        <x:v>F1 - Temel Kurma</x:v>
      </x:c>
      <x:c r="G1140" s="14" t="str">
        <x:v>20:15</x:v>
      </x:c>
      <x:c r="H1140" s="14" t="str">
        <x:v>20:50</x:v>
      </x:c>
      <x:c r="I1140" s="14" t="str">
        <x:v>İngilizce</x:v>
      </x:c>
      <x:c r="J1140" s="14" t="str">
        <x:v>Konu / Tekrar</x:v>
      </x:c>
      <x:c r="K1140" s="14" t="str">
        <x:v>Unit 6 - Adventures</x:v>
      </x:c>
      <x:c r="L1140" s="14" t="str">
        <x:v>Unit 6 - Adventures — Worksheet çalışmasını playlistten yap.</x:v>
      </x:c>
      <x:c r="M1140" s="14" t="str">
        <x:v>İngilizce Genel Oynatma Listesi</x:v>
      </x:c>
      <x:c r="N1140" s="14" t="str">
        <x:v>https://www.youtube.com/watch?v=FaY3dFjZbns&amp;list=PLSgpQDrUSYp94WgE9pzpHiOG5FwxnZBrr</x:v>
      </x:c>
      <x:c r="O1140" s="14" t="n">
        <x:v>0</x:v>
      </x:c>
      <x:c r="P1140" s="14" t="str">
        <x:v>Hayır</x:v>
      </x:c>
      <x:c r="Q1140" s="14" t="str">
        <x:v>Evet</x:v>
      </x:c>
      <x:c r="R1140" s="14" t="str">
        <x:v>Planlandı</x:v>
      </x:c>
      <x:c r="S1140" s="15" t="str"/>
      <x:c r="T1140" s="14" t="str"/>
    </x:row>
    <x:row r="1141">
      <x:c r="A1141" s="14" t="n">
        <x:v>1140</x:v>
      </x:c>
      <x:c r="B1141" s="15" t="n">
        <x:v>46387</x:v>
      </x:c>
      <x:c r="C1141" s="14" t="str">
        <x:v>Perşembe</x:v>
      </x:c>
      <x:c r="D1141" s="14" t="str">
        <x:v>Okul Günü</x:v>
      </x:c>
      <x:c r="E1141" s="14" t="str">
        <x:v>16:00 sonrası</x:v>
      </x:c>
      <x:c r="F1141" s="14" t="str">
        <x:v>F1 - Temel Kurma</x:v>
      </x:c>
      <x:c r="G1141" s="14" t="str">
        <x:v>20:55</x:v>
      </x:c>
      <x:c r="H1141" s="14" t="str">
        <x:v>21:20</x:v>
      </x:c>
      <x:c r="I1141" s="14" t="str">
        <x:v>İngilizce</x:v>
      </x:c>
      <x:c r="J1141" s="14" t="str">
        <x:v>Kitap / MEB / Mastery</x:v>
      </x:c>
      <x:c r="K1141" s="14" t="str">
        <x:v>Unit 6 - Adventures</x:v>
      </x:c>
      <x:c r="L1141" s="14" t="str">
        <x:v>Unit 6 - Adventures ile ilgili soru kitabından en az 18 soru / bugünkü test payını çöz.</x:v>
      </x:c>
      <x:c r="M1141" s="14" t="str">
        <x:v>More &amp; More 8 Worksheets Notebook</x:v>
      </x:c>
      <x:c r="N1141" s="14" t="str">
        <x:v>https://www.youtube.com/watch?v=FaY3dFjZbns&amp;list=PLSgpQDrUSYp94WgE9pzpHiOG5FwxnZBrr</x:v>
      </x:c>
      <x:c r="O1141" s="14" t="n">
        <x:v>18</x:v>
      </x:c>
      <x:c r="P1141" s="14" t="str">
        <x:v>Hayır</x:v>
      </x:c>
      <x:c r="Q1141" s="14" t="str">
        <x:v>Evet</x:v>
      </x:c>
      <x:c r="R1141" s="14" t="str">
        <x:v>Planlandı</x:v>
      </x:c>
      <x:c r="S1141" s="15" t="str"/>
      <x:c r="T1141" s="14" t="str"/>
    </x:row>
    <x:row r="1142">
      <x:c r="A1142" s="14" t="n">
        <x:v>1141</x:v>
      </x:c>
      <x:c r="B1142" s="15" t="n">
        <x:v>46387</x:v>
      </x:c>
      <x:c r="C1142" s="14" t="str">
        <x:v>Perşembe</x:v>
      </x:c>
      <x:c r="D1142" s="14" t="str">
        <x:v>Okul Günü</x:v>
      </x:c>
      <x:c r="E1142" s="14" t="str">
        <x:v>16:00 sonrası</x:v>
      </x:c>
      <x:c r="F1142" s="14" t="str">
        <x:v>F1 - Temel Kurma</x:v>
      </x:c>
      <x:c r="G1142" s="14" t="str">
        <x:v>21:20</x:v>
      </x:c>
      <x:c r="H1142" s="14" t="str">
        <x:v>21:35</x:v>
      </x:c>
      <x:c r="I1142" s="14" t="str">
        <x:v>Genel</x:v>
      </x:c>
      <x:c r="J1142" s="14" t="str">
        <x:v>Yanlış / Boş Analizi</x:v>
      </x:c>
      <x:c r="K1142" s="14" t="str">
        <x:v>Günlük</x:v>
      </x:c>
      <x:c r="L1142" s="14" t="str">
        <x:v>Bugünkü yanlış/boşları kaydet; çözümünü öğrenmeden kapatma. Hata türünü sınıflandır.</x:v>
      </x:c>
      <x:c r="M1142" s="14" t="str">
        <x:v>Yanlış Defteri</x:v>
      </x:c>
      <x:c r="N1142" s="14" t="str"/>
      <x:c r="O1142" s="14" t="n">
        <x:v>0</x:v>
      </x:c>
      <x:c r="P1142" s="14" t="str">
        <x:v>Hayır</x:v>
      </x:c>
      <x:c r="Q1142" s="14" t="str">
        <x:v>Evet</x:v>
      </x:c>
      <x:c r="R1142" s="14" t="str">
        <x:v>Planlandı</x:v>
      </x:c>
      <x:c r="S1142" s="15" t="str"/>
      <x:c r="T1142" s="14" t="str"/>
    </x:row>
    <x:row r="1143">
      <x:c r="A1143" s="14" t="n">
        <x:v>1142</x:v>
      </x:c>
      <x:c r="B1143" s="15" t="n">
        <x:v>46387</x:v>
      </x:c>
      <x:c r="C1143" s="14" t="str">
        <x:v>Perşembe</x:v>
      </x:c>
      <x:c r="D1143" s="14" t="str">
        <x:v>Okul Günü</x:v>
      </x:c>
      <x:c r="E1143" s="14" t="str">
        <x:v>16:00 sonrası</x:v>
      </x:c>
      <x:c r="F1143" s="14" t="str">
        <x:v>F1 - Temel Kurma</x:v>
      </x:c>
      <x:c r="G1143" s="14" t="str">
        <x:v>21:35</x:v>
      </x:c>
      <x:c r="H1143" s="14" t="str">
        <x:v>21:50</x:v>
      </x:c>
      <x:c r="I1143" s="14" t="str">
        <x:v>Genel</x:v>
      </x:c>
      <x:c r="J1143" s="14" t="str">
        <x:v>Aralıklı Hata Tekrarı</x:v>
      </x:c>
      <x:c r="K1143" s="14" t="str">
        <x:v>+1 / +7 / +21</x:v>
      </x:c>
      <x:c r="L1143" s="14" t="str">
        <x:v>Bugün vadesi gelen yanlış soruları tekrar çöz. Vadesi yoksa bu süre serbest/okuma olabilir.</x:v>
      </x:c>
      <x:c r="M1143" s="14" t="str">
        <x:v>Yanlış Defteri</x:v>
      </x:c>
      <x:c r="N1143" s="14" t="str"/>
      <x:c r="O1143" s="14" t="n">
        <x:v>0</x:v>
      </x:c>
      <x:c r="P1143" s="14" t="str">
        <x:v>Hayır</x:v>
      </x:c>
      <x:c r="Q1143" s="14" t="str">
        <x:v>Koşullu</x:v>
      </x:c>
      <x:c r="R1143" s="14" t="str">
        <x:v>Planlandı</x:v>
      </x:c>
      <x:c r="S1143" s="15" t="str"/>
      <x:c r="T1143" s="14" t="str">
        <x:v>Yanlışlar +1, +7 ve +21 gün aralıklarıyla tekrar edilir; hâlâ yanlışsa konu mastery durumu düşürülür.</x:v>
      </x:c>
    </x:row>
    <x:row r="1144">
      <x:c r="A1144" s="14" t="n">
        <x:v>1143</x:v>
      </x:c>
      <x:c r="B1144" s="15" t="n">
        <x:v>46387</x:v>
      </x:c>
      <x:c r="C1144" s="14" t="str">
        <x:v>Perşembe</x:v>
      </x:c>
      <x:c r="D1144" s="14" t="str">
        <x:v>Okul Günü</x:v>
      </x:c>
      <x:c r="E1144" s="14" t="str">
        <x:v>16:00 sonrası</x:v>
      </x:c>
      <x:c r="F1144" s="14" t="str">
        <x:v>F1 - Temel Kurma</x:v>
      </x:c>
      <x:c r="G1144" s="14" t="str">
        <x:v>21:50</x:v>
      </x:c>
      <x:c r="H1144" s="14" t="str">
        <x:v>22:00</x:v>
      </x:c>
      <x:c r="I1144" s="14" t="str">
        <x:v>Genel</x:v>
      </x:c>
      <x:c r="J1144" s="14" t="str">
        <x:v>Uyku Hazırlığı</x:v>
      </x:c>
      <x:c r="K1144" s="14" t="str"/>
      <x:c r="L1144" s="14" t="str">
        <x:v>22:00'de yatakta ve uyku.</x:v>
      </x:c>
      <x:c r="M1144" s="14" t="str"/>
      <x:c r="N1144" s="14" t="str"/>
      <x:c r="O1144" s="14" t="n">
        <x:v>0</x:v>
      </x:c>
      <x:c r="P1144" s="14" t="str">
        <x:v>Hayır</x:v>
      </x:c>
      <x:c r="Q1144" s="14" t="str">
        <x:v>Hayır</x:v>
      </x:c>
      <x:c r="R1144" s="14" t="str">
        <x:v>Planlandı</x:v>
      </x:c>
      <x:c r="S1144" s="15" t="str"/>
      <x:c r="T1144" s="14" t="str"/>
    </x:row>
    <x:row r="1145">
      <x:c r="A1145" s="14" t="n">
        <x:v>1144</x:v>
      </x:c>
      <x:c r="B1145" s="15" t="n">
        <x:v>46388</x:v>
      </x:c>
      <x:c r="C1145" s="14" t="str">
        <x:v>Cuma</x:v>
      </x:c>
      <x:c r="D1145" s="14" t="str">
        <x:v>Resmî Tatil</x:v>
      </x:c>
      <x:c r="E1145" s="14" t="str">
        <x:v>Yılbaşı</x:v>
      </x:c>
      <x:c r="F1145" s="14" t="str">
        <x:v>F2 - LGS Kapsam + Ustalık</x:v>
      </x:c>
      <x:c r="G1145" s="14" t="str">
        <x:v>09:30</x:v>
      </x:c>
      <x:c r="H1145" s="14" t="str">
        <x:v>10:15</x:v>
      </x:c>
      <x:c r="I1145" s="14" t="str">
        <x:v>Matematik</x:v>
      </x:c>
      <x:c r="J1145" s="14" t="str">
        <x:v>Konu / Tekrar</x:v>
      </x:c>
      <x:c r="K1145" s="14" t="str">
        <x:v>Cebirsel İfadeler ve Özdeşlikler</x:v>
      </x:c>
      <x:c r="L1145" s="14" t="str">
        <x:v>Cebirsel İfadeler ve Özdeşlikler — genel oynatma listesinden ilgili videoyu izle (4/4).</x:v>
      </x:c>
      <x:c r="M1145" s="14" t="str">
        <x:v>Matematik Ana Oynatma Listesi</x:v>
      </x:c>
      <x:c r="N1145" s="14" t="str">
        <x:v>https://www.youtube.com/watch?v=EuJ89QzqrAg&amp;list=PLicNtF7vp6fnfDqrRLH6H7fIbzYT4ct4F&amp;index=11</x:v>
      </x:c>
      <x:c r="O1145" s="14" t="n">
        <x:v>0</x:v>
      </x:c>
      <x:c r="P1145" s="14" t="str">
        <x:v>Hayır</x:v>
      </x:c>
      <x:c r="Q1145" s="14" t="str">
        <x:v>Evet</x:v>
      </x:c>
      <x:c r="R1145" s="14" t="str">
        <x:v>Planlandı</x:v>
      </x:c>
      <x:c r="S1145" s="15" t="str"/>
      <x:c r="T1145" s="14" t="str">
        <x:v>Yeni konu ancak plan sırasıyla açılır; LGS dışı ileri TYT içeriği zorunlu değildir.</x:v>
      </x:c>
    </x:row>
    <x:row r="1146">
      <x:c r="A1146" s="14" t="n">
        <x:v>1145</x:v>
      </x:c>
      <x:c r="B1146" s="15" t="n">
        <x:v>46388</x:v>
      </x:c>
      <x:c r="C1146" s="14" t="str">
        <x:v>Cuma</x:v>
      </x:c>
      <x:c r="D1146" s="14" t="str">
        <x:v>Resmî Tatil</x:v>
      </x:c>
      <x:c r="E1146" s="14" t="str">
        <x:v>Yılbaşı</x:v>
      </x:c>
      <x:c r="F1146" s="14" t="str">
        <x:v>F2 - LGS Kapsam + Ustalık</x:v>
      </x:c>
      <x:c r="G1146" s="14" t="str">
        <x:v>10:25</x:v>
      </x:c>
      <x:c r="H1146" s="14" t="str">
        <x:v>11:15</x:v>
      </x:c>
      <x:c r="I1146" s="14" t="str">
        <x:v>Matematik</x:v>
      </x:c>
      <x:c r="J1146" s="14" t="str">
        <x:v>Kitap / MEB / Mastery</x:v>
      </x:c>
      <x:c r="K1146" s="14" t="str">
        <x:v>Cebirsel İfadeler ve Özdeşlikler</x:v>
      </x:c>
      <x:c r="L1146" s="14" t="str">
        <x:v>Cebirsel İfadeler ve Özdeşlikler ile ilgili soru kitabından en az 25 soru / bugünkü test payını çöz. İlgili kitap konu bölümünü bu oturumda bitirmeyi hedefle; sonraki oturum MEB doğrulaması.</x:v>
      </x:c>
      <x:c r="M1146" s="14" t="str">
        <x:v>MUBA 8. Sınıf Başlangıç Matematik (ISBN 9789756526972); tamamlandıysa Mozaik 8. Sınıf Matematik</x:v>
      </x:c>
      <x:c r="N1146" s="14" t="str">
        <x:v>https://odsgm.meb.gov.tr/www/8sinif-calisma-sorulari/icerik/1632</x:v>
      </x:c>
      <x:c r="O1146" s="14" t="n">
        <x:v>25</x:v>
      </x:c>
      <x:c r="P1146" s="14" t="str">
        <x:v>İlk 20 soru</x:v>
      </x:c>
      <x:c r="Q1146" s="14" t="str">
        <x:v>Evet</x:v>
      </x:c>
      <x:c r="R1146" s="14" t="str">
        <x:v>Planlandı</x:v>
      </x:c>
      <x:c r="S1146" s="15" t="str"/>
      <x:c r="T1146" s="14" t="str">
        <x:v>Ayrı/rastgele matematik benchmark yoktur. Süreli ilk 20 soru o gün çalışılan konunun içindedir.</x:v>
      </x:c>
    </x:row>
    <x:row r="1147">
      <x:c r="A1147" s="14" t="n">
        <x:v>1146</x:v>
      </x:c>
      <x:c r="B1147" s="15" t="n">
        <x:v>46388</x:v>
      </x:c>
      <x:c r="C1147" s="14" t="str">
        <x:v>Cuma</x:v>
      </x:c>
      <x:c r="D1147" s="14" t="str">
        <x:v>Resmî Tatil</x:v>
      </x:c>
      <x:c r="E1147" s="14" t="str">
        <x:v>Yılbaşı</x:v>
      </x:c>
      <x:c r="F1147" s="14" t="str">
        <x:v>F2 - LGS Kapsam + Ustalık</x:v>
      </x:c>
      <x:c r="G1147" s="14" t="str">
        <x:v>12:00</x:v>
      </x:c>
      <x:c r="H1147" s="14" t="str">
        <x:v>14:00</x:v>
      </x:c>
      <x:c r="I1147" s="14" t="str">
        <x:v>Genel</x:v>
      </x:c>
      <x:c r="J1147" s="14" t="str">
        <x:v>Yemek / Serbest Zaman</x:v>
      </x:c>
      <x:c r="K1147" s="14" t="str"/>
      <x:c r="L1147" s="14" t="str">
        <x:v>Yemek, hareket ve dinlenme.</x:v>
      </x:c>
      <x:c r="M1147" s="14" t="str"/>
      <x:c r="N1147" s="14" t="str"/>
      <x:c r="O1147" s="14" t="n">
        <x:v>0</x:v>
      </x:c>
      <x:c r="P1147" s="14" t="str">
        <x:v>Hayır</x:v>
      </x:c>
      <x:c r="Q1147" s="14" t="str">
        <x:v>Hayır</x:v>
      </x:c>
      <x:c r="R1147" s="14" t="str">
        <x:v>Planlandı</x:v>
      </x:c>
      <x:c r="S1147" s="15" t="str"/>
      <x:c r="T1147" s="14" t="str"/>
    </x:row>
    <x:row r="1148">
      <x:c r="A1148" s="14" t="n">
        <x:v>1147</x:v>
      </x:c>
      <x:c r="B1148" s="15" t="n">
        <x:v>46388</x:v>
      </x:c>
      <x:c r="C1148" s="14" t="str">
        <x:v>Cuma</x:v>
      </x:c>
      <x:c r="D1148" s="14" t="str">
        <x:v>Resmî Tatil</x:v>
      </x:c>
      <x:c r="E1148" s="14" t="str">
        <x:v>Yılbaşı</x:v>
      </x:c>
      <x:c r="F1148" s="14" t="str">
        <x:v>F2 - LGS Kapsam + Ustalık</x:v>
      </x:c>
      <x:c r="G1148" s="14" t="str">
        <x:v>11:25</x:v>
      </x:c>
      <x:c r="H1148" s="14" t="str">
        <x:v>11:55</x:v>
      </x:c>
      <x:c r="I1148" s="14" t="str">
        <x:v>Türkçe</x:v>
      </x:c>
      <x:c r="J1148" s="14" t="str">
        <x:v>Paragraf Rutini</x:v>
      </x:c>
      <x:c r="K1148" s="14" t="str">
        <x:v>Paragraf</x:v>
      </x:c>
      <x:c r="L1148" s="14" t="str">
        <x:v>En az 25 paragraf sorusu çöz; ilk 20 soruyu ileri sayımla ölç, D/Y/B + süre kaydet.</x:v>
      </x:c>
      <x:c r="M1148" s="14" t="str">
        <x:v>Hız 8. Sınıf Türkçe Paragraf (ISBN 9786258394498)</x:v>
      </x:c>
      <x:c r="N1148" s="14" t="str"/>
      <x:c r="O1148" s="14" t="n">
        <x:v>25</x:v>
      </x:c>
      <x:c r="P1148" s="14" t="str">
        <x:v>İlk 20 soru</x:v>
      </x:c>
      <x:c r="Q1148" s="14" t="str">
        <x:v>Evet</x:v>
      </x:c>
      <x:c r="R1148" s="14" t="str">
        <x:v>Planlandı</x:v>
      </x:c>
      <x:c r="S1148" s="15" t="str"/>
      <x:c r="T1148" s="14" t="str">
        <x:v>Geri sayım ve hedef süre yok.</x:v>
      </x:c>
    </x:row>
    <x:row r="1149">
      <x:c r="A1149" s="14" t="n">
        <x:v>1148</x:v>
      </x:c>
      <x:c r="B1149" s="15" t="n">
        <x:v>46388</x:v>
      </x:c>
      <x:c r="C1149" s="14" t="str">
        <x:v>Cuma</x:v>
      </x:c>
      <x:c r="D1149" s="14" t="str">
        <x:v>Resmî Tatil</x:v>
      </x:c>
      <x:c r="E1149" s="14" t="str">
        <x:v>Yılbaşı</x:v>
      </x:c>
      <x:c r="F1149" s="14" t="str">
        <x:v>F2 - LGS Kapsam + Ustalık</x:v>
      </x:c>
      <x:c r="G1149" s="14" t="str">
        <x:v>14:00</x:v>
      </x:c>
      <x:c r="H1149" s="14" t="str">
        <x:v>14:40</x:v>
      </x:c>
      <x:c r="I1149" s="14" t="str">
        <x:v>Türkçe</x:v>
      </x:c>
      <x:c r="J1149" s="14" t="str">
        <x:v>Konu / Tekrar</x:v>
      </x:c>
      <x:c r="K1149" s="14" t="str">
        <x:v>Görsel Okuma, Grafik ve Sözel Mantık</x:v>
      </x:c>
      <x:c r="L1149" s="14" t="str">
        <x:v>Görsel Okuma, Grafik ve Sözel Mantık — genel oynatma listesinden ilgili videoyu izle (2/3).</x:v>
      </x:c>
      <x:c r="M1149" s="14" t="str">
        <x:v>Türkçe Ana Oynatma Listesi</x:v>
      </x:c>
      <x:c r="N1149" s="14" t="str">
        <x:v>https://www.youtube.com/watch?v=VYsPntNKVdw&amp;list=PLIBjFaUoJJ91bz7QQEBlxNJNZka5YQRr6</x:v>
      </x:c>
      <x:c r="O1149" s="14" t="n">
        <x:v>0</x:v>
      </x:c>
      <x:c r="P1149" s="14" t="str">
        <x:v>Hayır</x:v>
      </x:c>
      <x:c r="Q1149" s="14" t="str">
        <x:v>Evet</x:v>
      </x:c>
      <x:c r="R1149" s="14" t="str">
        <x:v>Planlandı</x:v>
      </x:c>
      <x:c r="S1149" s="15" t="str"/>
      <x:c r="T1149" s="14" t="str">
        <x:v>TYT etiketli kaynak temelden başlamak için sabittir; LGS dışı gereksiz ayrıntı zorunlu değildir.</x:v>
      </x:c>
    </x:row>
    <x:row r="1150">
      <x:c r="A1150" s="14" t="n">
        <x:v>1149</x:v>
      </x:c>
      <x:c r="B1150" s="15" t="n">
        <x:v>46388</x:v>
      </x:c>
      <x:c r="C1150" s="14" t="str">
        <x:v>Cuma</x:v>
      </x:c>
      <x:c r="D1150" s="14" t="str">
        <x:v>Resmî Tatil</x:v>
      </x:c>
      <x:c r="E1150" s="14" t="str">
        <x:v>Yılbaşı</x:v>
      </x:c>
      <x:c r="F1150" s="14" t="str">
        <x:v>F2 - LGS Kapsam + Ustalık</x:v>
      </x:c>
      <x:c r="G1150" s="14" t="str">
        <x:v>14:50</x:v>
      </x:c>
      <x:c r="H1150" s="14" t="str">
        <x:v>15:30</x:v>
      </x:c>
      <x:c r="I1150" s="14" t="str">
        <x:v>Türkçe</x:v>
      </x:c>
      <x:c r="J1150" s="14" t="str">
        <x:v>Kitap / MEB / Mastery</x:v>
      </x:c>
      <x:c r="K1150" s="14" t="str">
        <x:v>Görsel Okuma, Grafik ve Sözel Mantık</x:v>
      </x:c>
      <x:c r="L1150" s="14" t="str">
        <x:v>Görsel Okuma, Grafik ve Sözel Mantık ile ilgili soru kitabından en az 15 soru / bugünkü test payını çöz.</x:v>
      </x:c>
      <x:c r="M1150" s="14" t="str">
        <x:v>Ankara 8. Sınıf Dil Bilgisi Güçlendiren</x:v>
      </x:c>
      <x:c r="N1150" s="14" t="str">
        <x:v>https://odsgm.meb.gov.tr/www/8sinif-calisma-sorulari/icerik/1632</x:v>
      </x:c>
      <x:c r="O1150" s="14" t="n">
        <x:v>15</x:v>
      </x:c>
      <x:c r="P1150" s="14" t="str">
        <x:v>Hayır</x:v>
      </x:c>
      <x:c r="Q1150" s="14" t="str">
        <x:v>Evet</x:v>
      </x:c>
      <x:c r="R1150" s="14" t="str">
        <x:v>Planlandı</x:v>
      </x:c>
      <x:c r="S1150" s="15" t="str"/>
      <x:c r="T1150" s="14" t="str"/>
    </x:row>
    <x:row r="1151">
      <x:c r="A1151" s="14" t="n">
        <x:v>1150</x:v>
      </x:c>
      <x:c r="B1151" s="15" t="n">
        <x:v>46388</x:v>
      </x:c>
      <x:c r="C1151" s="14" t="str">
        <x:v>Cuma</x:v>
      </x:c>
      <x:c r="D1151" s="14" t="str">
        <x:v>Resmî Tatil</x:v>
      </x:c>
      <x:c r="E1151" s="14" t="str">
        <x:v>Yılbaşı</x:v>
      </x:c>
      <x:c r="F1151" s="14" t="str">
        <x:v>F2 - LGS Kapsam + Ustalık</x:v>
      </x:c>
      <x:c r="G1151" s="14" t="str">
        <x:v>15:45</x:v>
      </x:c>
      <x:c r="H1151" s="14" t="str">
        <x:v>16:25</x:v>
      </x:c>
      <x:c r="I1151" s="14" t="str">
        <x:v>Fen</x:v>
      </x:c>
      <x:c r="J1151" s="14" t="str">
        <x:v>Konu / Tekrar</x:v>
      </x:c>
      <x:c r="K1151" s="14" t="str">
        <x:v>Maddenin Isı ile Etkileşimi</x:v>
      </x:c>
      <x:c r="L1151" s="14" t="str">
        <x:v>Maddenin Isı ile Etkileşimi — Fen konu anlatım playlistinden ilgili videoyu izle.</x:v>
      </x:c>
      <x:c r="M1151" s="14" t="str">
        <x:v>Fen Konu Anlatım</x:v>
      </x:c>
      <x:c r="N1151" s="14" t="str">
        <x:v>https://www.youtube.com/watch?v=AHdk01aR4Ko&amp;list=PLrQm7mt99FRV_Oe9xFavWzFpCIl7_XiWj</x:v>
      </x:c>
      <x:c r="O1151" s="14" t="n">
        <x:v>0</x:v>
      </x:c>
      <x:c r="P1151" s="14" t="str">
        <x:v>Hayır</x:v>
      </x:c>
      <x:c r="Q1151" s="14" t="str">
        <x:v>Evet</x:v>
      </x:c>
      <x:c r="R1151" s="14" t="str">
        <x:v>Planlandı</x:v>
      </x:c>
      <x:c r="S1151" s="15" t="str"/>
      <x:c r="T1151" s="14" t="str"/>
    </x:row>
    <x:row r="1152">
      <x:c r="A1152" s="14" t="n">
        <x:v>1151</x:v>
      </x:c>
      <x:c r="B1152" s="15" t="n">
        <x:v>46388</x:v>
      </x:c>
      <x:c r="C1152" s="14" t="str">
        <x:v>Cuma</x:v>
      </x:c>
      <x:c r="D1152" s="14" t="str">
        <x:v>Resmî Tatil</x:v>
      </x:c>
      <x:c r="E1152" s="14" t="str">
        <x:v>Yılbaşı</x:v>
      </x:c>
      <x:c r="F1152" s="14" t="str">
        <x:v>F2 - LGS Kapsam + Ustalık</x:v>
      </x:c>
      <x:c r="G1152" s="14" t="str">
        <x:v>16:35</x:v>
      </x:c>
      <x:c r="H1152" s="14" t="str">
        <x:v>17:15</x:v>
      </x:c>
      <x:c r="I1152" s="14" t="str">
        <x:v>Fen</x:v>
      </x:c>
      <x:c r="J1152" s="14" t="str">
        <x:v>Kitap / MEB / Mastery</x:v>
      </x:c>
      <x:c r="K1152" s="14" t="str">
        <x:v>Maddenin Isı ile Etkileşimi</x:v>
      </x:c>
      <x:c r="L1152" s="14" t="str">
        <x:v>Maddenin Isı ile Etkileşimi ile ilgili soru kitabından en az 18 soru / bugünkü test payını çöz.</x:v>
      </x:c>
      <x:c r="M1152" s="14" t="str">
        <x:v>Hız 8. Sınıf Fen (ISBN 9786257514859); tamamlandıysa Mozaik 8. Sınıf Fen</x:v>
      </x:c>
      <x:c r="N1152" s="14" t="str">
        <x:v>https://www.youtube.com/watch?v=AHdk01aR4Ko&amp;list=PLrQm7mt99FRV_Oe9xFavWzFpCIl7_XiWj</x:v>
      </x:c>
      <x:c r="O1152" s="14" t="n">
        <x:v>18</x:v>
      </x:c>
      <x:c r="P1152" s="14" t="str">
        <x:v>Hayır</x:v>
      </x:c>
      <x:c r="Q1152" s="14" t="str">
        <x:v>Evet</x:v>
      </x:c>
      <x:c r="R1152" s="14" t="str">
        <x:v>Planlandı</x:v>
      </x:c>
      <x:c r="S1152" s="15" t="str"/>
      <x:c r="T1152" s="14" t="str"/>
    </x:row>
    <x:row r="1153">
      <x:c r="A1153" s="14" t="n">
        <x:v>1152</x:v>
      </x:c>
      <x:c r="B1153" s="15" t="n">
        <x:v>46388</x:v>
      </x:c>
      <x:c r="C1153" s="14" t="str">
        <x:v>Cuma</x:v>
      </x:c>
      <x:c r="D1153" s="14" t="str">
        <x:v>Resmî Tatil</x:v>
      </x:c>
      <x:c r="E1153" s="14" t="str">
        <x:v>Yılbaşı</x:v>
      </x:c>
      <x:c r="F1153" s="14" t="str">
        <x:v>F2 - LGS Kapsam + Ustalık</x:v>
      </x:c>
      <x:c r="G1153" s="14" t="str">
        <x:v>18:25</x:v>
      </x:c>
      <x:c r="H1153" s="14" t="str">
        <x:v>18:45</x:v>
      </x:c>
      <x:c r="I1153" s="14" t="str">
        <x:v>Genel</x:v>
      </x:c>
      <x:c r="J1153" s="14" t="str">
        <x:v>Yanlış / Boş Analizi</x:v>
      </x:c>
      <x:c r="K1153" s="14" t="str">
        <x:v>Günlük</x:v>
      </x:c>
      <x:c r="L1153" s="14" t="str">
        <x:v>Bugünkü yanlış/boşları kaydet; çözümünü öğrenmeden kapatma. Hata türünü sınıflandır.</x:v>
      </x:c>
      <x:c r="M1153" s="14" t="str">
        <x:v>Yanlış Defteri</x:v>
      </x:c>
      <x:c r="N1153" s="14" t="str"/>
      <x:c r="O1153" s="14" t="n">
        <x:v>0</x:v>
      </x:c>
      <x:c r="P1153" s="14" t="str">
        <x:v>Hayır</x:v>
      </x:c>
      <x:c r="Q1153" s="14" t="str">
        <x:v>Evet</x:v>
      </x:c>
      <x:c r="R1153" s="14" t="str">
        <x:v>Planlandı</x:v>
      </x:c>
      <x:c r="S1153" s="15" t="str"/>
      <x:c r="T1153" s="14" t="str"/>
    </x:row>
    <x:row r="1154">
      <x:c r="A1154" s="14" t="n">
        <x:v>1153</x:v>
      </x:c>
      <x:c r="B1154" s="15" t="n">
        <x:v>46388</x:v>
      </x:c>
      <x:c r="C1154" s="14" t="str">
        <x:v>Cuma</x:v>
      </x:c>
      <x:c r="D1154" s="14" t="str">
        <x:v>Resmî Tatil</x:v>
      </x:c>
      <x:c r="E1154" s="14" t="str">
        <x:v>Yılbaşı</x:v>
      </x:c>
      <x:c r="F1154" s="14" t="str">
        <x:v>F2 - LGS Kapsam + Ustalık</x:v>
      </x:c>
      <x:c r="G1154" s="14" t="str">
        <x:v>18:45</x:v>
      </x:c>
      <x:c r="H1154" s="14" t="str">
        <x:v>19:05</x:v>
      </x:c>
      <x:c r="I1154" s="14" t="str">
        <x:v>Genel</x:v>
      </x:c>
      <x:c r="J1154" s="14" t="str">
        <x:v>Aralıklı Hata Tekrarı</x:v>
      </x:c>
      <x:c r="K1154" s="14" t="str">
        <x:v>+1 / +7 / +21</x:v>
      </x:c>
      <x:c r="L1154" s="14" t="str">
        <x:v>Bugün vadesi gelen yanlış soruları tekrar çöz. Vadesi yoksa bu süre serbest/okuma olabilir.</x:v>
      </x:c>
      <x:c r="M1154" s="14" t="str">
        <x:v>Yanlış Defteri</x:v>
      </x:c>
      <x:c r="N1154" s="14" t="str"/>
      <x:c r="O1154" s="14" t="n">
        <x:v>0</x:v>
      </x:c>
      <x:c r="P1154" s="14" t="str">
        <x:v>Hayır</x:v>
      </x:c>
      <x:c r="Q1154" s="14" t="str">
        <x:v>Koşullu</x:v>
      </x:c>
      <x:c r="R1154" s="14" t="str">
        <x:v>Planlandı</x:v>
      </x:c>
      <x:c r="S1154" s="15" t="str"/>
      <x:c r="T1154" s="14" t="str">
        <x:v>Yanlışlar +1, +7 ve +21 gün aralıklarıyla tekrar edilir; hâlâ yanlışsa konu mastery durumu düşürülür.</x:v>
      </x:c>
    </x:row>
    <x:row r="1155">
      <x:c r="A1155" s="14" t="n">
        <x:v>1154</x:v>
      </x:c>
      <x:c r="B1155" s="15" t="n">
        <x:v>46388</x:v>
      </x:c>
      <x:c r="C1155" s="14" t="str">
        <x:v>Cuma</x:v>
      </x:c>
      <x:c r="D1155" s="14" t="str">
        <x:v>Resmî Tatil</x:v>
      </x:c>
      <x:c r="E1155" s="14" t="str">
        <x:v>Yılbaşı</x:v>
      </x:c>
      <x:c r="F1155" s="14" t="str">
        <x:v>F2 - LGS Kapsam + Ustalık</x:v>
      </x:c>
      <x:c r="G1155" s="14" t="str">
        <x:v>20:00</x:v>
      </x:c>
      <x:c r="H1155" s="14" t="str">
        <x:v>20:30</x:v>
      </x:c>
      <x:c r="I1155" s="14" t="str">
        <x:v>Okuma</x:v>
      </x:c>
      <x:c r="J1155" s="14" t="str">
        <x:v>İsteğe Bağlı</x:v>
      </x:c>
      <x:c r="K1155" s="14" t="str">
        <x:v>Serbest Kitap</x:v>
      </x:c>
      <x:c r="L1155" s="14" t="str">
        <x:v>Zorunlu çalışmalar bittiyse isteğe bağlı kitap oku.</x:v>
      </x:c>
      <x:c r="M1155" s="14" t="str">
        <x:v>Serbest Kitap</x:v>
      </x:c>
      <x:c r="N1155" s="14" t="str"/>
      <x:c r="O1155" s="14" t="n">
        <x:v>0</x:v>
      </x:c>
      <x:c r="P1155" s="14" t="str">
        <x:v>İsteğe Bağlı</x:v>
      </x:c>
      <x:c r="Q1155" s="14" t="str">
        <x:v>Hayır</x:v>
      </x:c>
      <x:c r="R1155" s="14" t="str">
        <x:v>Planlandı</x:v>
      </x:c>
      <x:c r="S1155" s="15" t="str"/>
      <x:c r="T1155" s="14" t="str">
        <x:v>Minimum süre yok.</x:v>
      </x:c>
    </x:row>
    <x:row r="1156">
      <x:c r="A1156" s="14" t="n">
        <x:v>1155</x:v>
      </x:c>
      <x:c r="B1156" s="15" t="n">
        <x:v>46388</x:v>
      </x:c>
      <x:c r="C1156" s="14" t="str">
        <x:v>Cuma</x:v>
      </x:c>
      <x:c r="D1156" s="14" t="str">
        <x:v>Resmî Tatil</x:v>
      </x:c>
      <x:c r="E1156" s="14" t="str">
        <x:v>Yılbaşı</x:v>
      </x:c>
      <x:c r="F1156" s="14" t="str">
        <x:v>F2 - LGS Kapsam + Ustalık</x:v>
      </x:c>
      <x:c r="G1156" s="14" t="str">
        <x:v>21:50</x:v>
      </x:c>
      <x:c r="H1156" s="14" t="str">
        <x:v>22:00</x:v>
      </x:c>
      <x:c r="I1156" s="14" t="str">
        <x:v>Genel</x:v>
      </x:c>
      <x:c r="J1156" s="14" t="str">
        <x:v>Uyku Hazırlığı</x:v>
      </x:c>
      <x:c r="K1156" s="14" t="str"/>
      <x:c r="L1156" s="14" t="str">
        <x:v>22:00'de yatakta ve uyku.</x:v>
      </x:c>
      <x:c r="M1156" s="14" t="str"/>
      <x:c r="N1156" s="14" t="str"/>
      <x:c r="O1156" s="14" t="n">
        <x:v>0</x:v>
      </x:c>
      <x:c r="P1156" s="14" t="str">
        <x:v>Hayır</x:v>
      </x:c>
      <x:c r="Q1156" s="14" t="str">
        <x:v>Hayır</x:v>
      </x:c>
      <x:c r="R1156" s="14" t="str">
        <x:v>Planlandı</x:v>
      </x:c>
      <x:c r="S1156" s="15" t="str"/>
      <x:c r="T1156" s="14" t="str"/>
    </x:row>
    <x:row r="1157">
      <x:c r="A1157" s="14" t="n">
        <x:v>1156</x:v>
      </x:c>
      <x:c r="B1157" s="15" t="n">
        <x:v>46389</x:v>
      </x:c>
      <x:c r="C1157" s="14" t="str">
        <x:v>Cumartesi</x:v>
      </x:c>
      <x:c r="D1157" s="14" t="str">
        <x:v>Hafta Sonu</x:v>
      </x:c>
      <x:c r="E1157" s="14" t="str">
        <x:v>Tam gün</x:v>
      </x:c>
      <x:c r="F1157" s="14" t="str">
        <x:v>F2 - LGS Kapsam + Ustalık</x:v>
      </x:c>
      <x:c r="G1157" s="14" t="str">
        <x:v>09:30</x:v>
      </x:c>
      <x:c r="H1157" s="14" t="str">
        <x:v>10:15</x:v>
      </x:c>
      <x:c r="I1157" s="14" t="str">
        <x:v>Matematik</x:v>
      </x:c>
      <x:c r="J1157" s="14" t="str">
        <x:v>Konu / Tekrar</x:v>
      </x:c>
      <x:c r="K1157" s="14" t="str">
        <x:v>Cebirsel İfadeler ve Özdeşlikler</x:v>
      </x:c>
      <x:c r="L1157" s="14" t="str">
        <x:v>Cebirsel İfadeler ve Özdeşlikler — MEB doğrulaması öncesi 5-10 dk aktif hatırlama; gerekiyorsa ilgili playlist videosuna kısa dönüş yap.</x:v>
      </x:c>
      <x:c r="M1157" s="14" t="str">
        <x:v>Matematik Ana Oynatma Listesi</x:v>
      </x:c>
      <x:c r="N1157" s="14" t="str">
        <x:v>https://www.youtube.com/watch?v=EuJ89QzqrAg&amp;list=PLicNtF7vp6fnfDqrRLH6H7fIbzYT4ct4F&amp;index=11</x:v>
      </x:c>
      <x:c r="O1157" s="14" t="n">
        <x:v>0</x:v>
      </x:c>
      <x:c r="P1157" s="14" t="str">
        <x:v>Hayır</x:v>
      </x:c>
      <x:c r="Q1157" s="14" t="str">
        <x:v>Evet</x:v>
      </x:c>
      <x:c r="R1157" s="14" t="str">
        <x:v>Planlandı</x:v>
      </x:c>
      <x:c r="S1157" s="15" t="str"/>
      <x:c r="T1157" s="14" t="str">
        <x:v>Yeni konu ancak plan sırasıyla açılır; LGS dışı ileri TYT içeriği zorunlu değildir.</x:v>
      </x:c>
    </x:row>
    <x:row r="1158">
      <x:c r="A1158" s="14" t="n">
        <x:v>1157</x:v>
      </x:c>
      <x:c r="B1158" s="15" t="n">
        <x:v>46389</x:v>
      </x:c>
      <x:c r="C1158" s="14" t="str">
        <x:v>Cumartesi</x:v>
      </x:c>
      <x:c r="D1158" s="14" t="str">
        <x:v>Hafta Sonu</x:v>
      </x:c>
      <x:c r="E1158" s="14" t="str">
        <x:v>Tam gün</x:v>
      </x:c>
      <x:c r="F1158" s="14" t="str">
        <x:v>F2 - LGS Kapsam + Ustalık</x:v>
      </x:c>
      <x:c r="G1158" s="14" t="str">
        <x:v>10:25</x:v>
      </x:c>
      <x:c r="H1158" s="14" t="str">
        <x:v>11:15</x:v>
      </x:c>
      <x:c r="I1158" s="14" t="str">
        <x:v>Matematik</x:v>
      </x:c>
      <x:c r="J1158" s="14" t="str">
        <x:v>Kitap / MEB / Mastery</x:v>
      </x:c>
      <x:c r="K1158" s="14" t="str">
        <x:v>Cebirsel İfadeler ve Özdeşlikler</x:v>
      </x:c>
      <x:c r="L1158" s="14" t="str">
        <x:v>Cebirsel İfadeler ve Özdeşlikler için ilgili MEB sorularını TAMAMLA; D/Y/B kaydet. Bu oturum konu mastery gate'idir.</x:v>
      </x:c>
      <x:c r="M1158" s="14" t="str">
        <x:v>MEB Resmî Soru Seti</x:v>
      </x:c>
      <x:c r="N1158" s="14" t="str">
        <x:v>https://odsgm.meb.gov.tr/www/8sinif-calisma-sorulari/icerik/1632</x:v>
      </x:c>
      <x:c r="O1158" s="14" t="n">
        <x:v>0</x:v>
      </x:c>
      <x:c r="P1158" s="14" t="str">
        <x:v>Hayır</x:v>
      </x:c>
      <x:c r="Q1158" s="14" t="str">
        <x:v>Evet</x:v>
      </x:c>
      <x:c r="R1158" s="14" t="str">
        <x:v>Planlandı</x:v>
      </x:c>
      <x:c r="S1158" s="15" t="str"/>
      <x:c r="T1158" s="14" t="str">
        <x:v>MEB sonucu Konu_Ustaligi sayfasına işlenir.</x:v>
      </x:c>
    </x:row>
    <x:row r="1159">
      <x:c r="A1159" s="14" t="n">
        <x:v>1158</x:v>
      </x:c>
      <x:c r="B1159" s="15" t="n">
        <x:v>46389</x:v>
      </x:c>
      <x:c r="C1159" s="14" t="str">
        <x:v>Cumartesi</x:v>
      </x:c>
      <x:c r="D1159" s="14" t="str">
        <x:v>Hafta Sonu</x:v>
      </x:c>
      <x:c r="E1159" s="14" t="str">
        <x:v>Tam gün</x:v>
      </x:c>
      <x:c r="F1159" s="14" t="str">
        <x:v>F2 - LGS Kapsam + Ustalık</x:v>
      </x:c>
      <x:c r="G1159" s="14" t="str">
        <x:v>12:00</x:v>
      </x:c>
      <x:c r="H1159" s="14" t="str">
        <x:v>14:00</x:v>
      </x:c>
      <x:c r="I1159" s="14" t="str">
        <x:v>Genel</x:v>
      </x:c>
      <x:c r="J1159" s="14" t="str">
        <x:v>Yemek / Serbest Zaman</x:v>
      </x:c>
      <x:c r="K1159" s="14" t="str"/>
      <x:c r="L1159" s="14" t="str">
        <x:v>Yemek, hareket ve dinlenme.</x:v>
      </x:c>
      <x:c r="M1159" s="14" t="str"/>
      <x:c r="N1159" s="14" t="str"/>
      <x:c r="O1159" s="14" t="n">
        <x:v>0</x:v>
      </x:c>
      <x:c r="P1159" s="14" t="str">
        <x:v>Hayır</x:v>
      </x:c>
      <x:c r="Q1159" s="14" t="str">
        <x:v>Hayır</x:v>
      </x:c>
      <x:c r="R1159" s="14" t="str">
        <x:v>Planlandı</x:v>
      </x:c>
      <x:c r="S1159" s="15" t="str"/>
      <x:c r="T1159" s="14" t="str"/>
    </x:row>
    <x:row r="1160">
      <x:c r="A1160" s="14" t="n">
        <x:v>1159</x:v>
      </x:c>
      <x:c r="B1160" s="15" t="n">
        <x:v>46389</x:v>
      </x:c>
      <x:c r="C1160" s="14" t="str">
        <x:v>Cumartesi</x:v>
      </x:c>
      <x:c r="D1160" s="14" t="str">
        <x:v>Hafta Sonu</x:v>
      </x:c>
      <x:c r="E1160" s="14" t="str">
        <x:v>Tam gün</x:v>
      </x:c>
      <x:c r="F1160" s="14" t="str">
        <x:v>F2 - LGS Kapsam + Ustalık</x:v>
      </x:c>
      <x:c r="G1160" s="14" t="str">
        <x:v>11:25</x:v>
      </x:c>
      <x:c r="H1160" s="14" t="str">
        <x:v>11:55</x:v>
      </x:c>
      <x:c r="I1160" s="14" t="str">
        <x:v>Türkçe</x:v>
      </x:c>
      <x:c r="J1160" s="14" t="str">
        <x:v>Paragraf Rutini</x:v>
      </x:c>
      <x:c r="K1160" s="14" t="str">
        <x:v>Paragraf</x:v>
      </x:c>
      <x:c r="L1160" s="14" t="str">
        <x:v>En az 25 paragraf sorusu çöz; ilk 20 soruyu ileri sayımla ölç, D/Y/B + süre kaydet.</x:v>
      </x:c>
      <x:c r="M1160" s="14" t="str">
        <x:v>Hız 8. Sınıf Türkçe Paragraf (ISBN 9786258394498)</x:v>
      </x:c>
      <x:c r="N1160" s="14" t="str"/>
      <x:c r="O1160" s="14" t="n">
        <x:v>25</x:v>
      </x:c>
      <x:c r="P1160" s="14" t="str">
        <x:v>İlk 20 soru</x:v>
      </x:c>
      <x:c r="Q1160" s="14" t="str">
        <x:v>Evet</x:v>
      </x:c>
      <x:c r="R1160" s="14" t="str">
        <x:v>Planlandı</x:v>
      </x:c>
      <x:c r="S1160" s="15" t="str"/>
      <x:c r="T1160" s="14" t="str">
        <x:v>Geri sayım ve hedef süre yok.</x:v>
      </x:c>
    </x:row>
    <x:row r="1161">
      <x:c r="A1161" s="14" t="n">
        <x:v>1160</x:v>
      </x:c>
      <x:c r="B1161" s="15" t="n">
        <x:v>46389</x:v>
      </x:c>
      <x:c r="C1161" s="14" t="str">
        <x:v>Cumartesi</x:v>
      </x:c>
      <x:c r="D1161" s="14" t="str">
        <x:v>Hafta Sonu</x:v>
      </x:c>
      <x:c r="E1161" s="14" t="str">
        <x:v>Tam gün</x:v>
      </x:c>
      <x:c r="F1161" s="14" t="str">
        <x:v>F2 - LGS Kapsam + Ustalık</x:v>
      </x:c>
      <x:c r="G1161" s="14" t="str">
        <x:v>14:00</x:v>
      </x:c>
      <x:c r="H1161" s="14" t="str">
        <x:v>14:40</x:v>
      </x:c>
      <x:c r="I1161" s="14" t="str">
        <x:v>Türkçe</x:v>
      </x:c>
      <x:c r="J1161" s="14" t="str">
        <x:v>Konu / Tekrar</x:v>
      </x:c>
      <x:c r="K1161" s="14" t="str">
        <x:v>Görsel Okuma, Grafik ve Sözel Mantık</x:v>
      </x:c>
      <x:c r="L1161" s="14" t="str">
        <x:v>Görsel Okuma, Grafik ve Sözel Mantık — genel oynatma listesinden ilgili videoyu izle (3/3).</x:v>
      </x:c>
      <x:c r="M1161" s="14" t="str">
        <x:v>Türkçe Ana Oynatma Listesi</x:v>
      </x:c>
      <x:c r="N1161" s="14" t="str">
        <x:v>https://www.youtube.com/watch?v=VYsPntNKVdw&amp;list=PLIBjFaUoJJ91bz7QQEBlxNJNZka5YQRr6</x:v>
      </x:c>
      <x:c r="O1161" s="14" t="n">
        <x:v>0</x:v>
      </x:c>
      <x:c r="P1161" s="14" t="str">
        <x:v>Hayır</x:v>
      </x:c>
      <x:c r="Q1161" s="14" t="str">
        <x:v>Evet</x:v>
      </x:c>
      <x:c r="R1161" s="14" t="str">
        <x:v>Planlandı</x:v>
      </x:c>
      <x:c r="S1161" s="15" t="str"/>
      <x:c r="T1161" s="14" t="str">
        <x:v>TYT etiketli kaynak temelden başlamak için sabittir; LGS dışı gereksiz ayrıntı zorunlu değildir.</x:v>
      </x:c>
    </x:row>
    <x:row r="1162">
      <x:c r="A1162" s="14" t="n">
        <x:v>1161</x:v>
      </x:c>
      <x:c r="B1162" s="15" t="n">
        <x:v>46389</x:v>
      </x:c>
      <x:c r="C1162" s="14" t="str">
        <x:v>Cumartesi</x:v>
      </x:c>
      <x:c r="D1162" s="14" t="str">
        <x:v>Hafta Sonu</x:v>
      </x:c>
      <x:c r="E1162" s="14" t="str">
        <x:v>Tam gün</x:v>
      </x:c>
      <x:c r="F1162" s="14" t="str">
        <x:v>F2 - LGS Kapsam + Ustalık</x:v>
      </x:c>
      <x:c r="G1162" s="14" t="str">
        <x:v>14:50</x:v>
      </x:c>
      <x:c r="H1162" s="14" t="str">
        <x:v>15:30</x:v>
      </x:c>
      <x:c r="I1162" s="14" t="str">
        <x:v>Türkçe</x:v>
      </x:c>
      <x:c r="J1162" s="14" t="str">
        <x:v>Kitap / MEB / Mastery</x:v>
      </x:c>
      <x:c r="K1162" s="14" t="str">
        <x:v>Görsel Okuma, Grafik ve Sözel Mantık</x:v>
      </x:c>
      <x:c r="L1162" s="14" t="str">
        <x:v>Görsel Okuma, Grafik ve Sözel Mantık ile ilgili soru kitabından en az 15 soru / bugünkü test payını çöz. İlgili kitap konu bölümünü bu oturumda bitirmeyi hedefle; sonraki oturum MEB doğrulaması.</x:v>
      </x:c>
      <x:c r="M1162" s="14" t="str">
        <x:v>Ankara 8. Sınıf Dil Bilgisi Güçlendiren</x:v>
      </x:c>
      <x:c r="N1162" s="14" t="str">
        <x:v>https://odsgm.meb.gov.tr/www/8sinif-calisma-sorulari/icerik/1632</x:v>
      </x:c>
      <x:c r="O1162" s="14" t="n">
        <x:v>15</x:v>
      </x:c>
      <x:c r="P1162" s="14" t="str">
        <x:v>Hayır</x:v>
      </x:c>
      <x:c r="Q1162" s="14" t="str">
        <x:v>Evet</x:v>
      </x:c>
      <x:c r="R1162" s="14" t="str">
        <x:v>Planlandı</x:v>
      </x:c>
      <x:c r="S1162" s="15" t="str"/>
      <x:c r="T1162" s="14" t="str"/>
    </x:row>
    <x:row r="1163">
      <x:c r="A1163" s="14" t="n">
        <x:v>1162</x:v>
      </x:c>
      <x:c r="B1163" s="15" t="n">
        <x:v>46389</x:v>
      </x:c>
      <x:c r="C1163" s="14" t="str">
        <x:v>Cumartesi</x:v>
      </x:c>
      <x:c r="D1163" s="14" t="str">
        <x:v>Hafta Sonu</x:v>
      </x:c>
      <x:c r="E1163" s="14" t="str">
        <x:v>Tam gün</x:v>
      </x:c>
      <x:c r="F1163" s="14" t="str">
        <x:v>F2 - LGS Kapsam + Ustalık</x:v>
      </x:c>
      <x:c r="G1163" s="14" t="str">
        <x:v>15:45</x:v>
      </x:c>
      <x:c r="H1163" s="14" t="str">
        <x:v>16:25</x:v>
      </x:c>
      <x:c r="I1163" s="14" t="str">
        <x:v>Din</x:v>
      </x:c>
      <x:c r="J1163" s="14" t="str">
        <x:v>Konu / Tekrar</x:v>
      </x:c>
      <x:c r="K1163" s="14" t="str">
        <x:v>Hz. Muhammed’in Örnekliği</x:v>
      </x:c>
      <x:c r="L1163" s="14" t="str">
        <x:v>Hz. Muhammed’in Örnekliği — MEB doğrulaması öncesi 5-10 dk aktif hatırlama; gerekiyorsa ilgili playlist videosuna kısa dönüş yap.</x:v>
      </x:c>
      <x:c r="M1163" s="14" t="str">
        <x:v>Din Genel Oynatma Listesi</x:v>
      </x:c>
      <x:c r="N1163" s="14" t="str">
        <x:v>https://www.youtube.com/watch?v=wvdOE_75VnA&amp;list=PLbRoPq-Zu-SWXGUbVt4t4UWo-4VjsMUo-&amp;index=2</x:v>
      </x:c>
      <x:c r="O1163" s="14" t="n">
        <x:v>0</x:v>
      </x:c>
      <x:c r="P1163" s="14" t="str">
        <x:v>Hayır</x:v>
      </x:c>
      <x:c r="Q1163" s="14" t="str">
        <x:v>Evet</x:v>
      </x:c>
      <x:c r="R1163" s="14" t="str">
        <x:v>Planlandı</x:v>
      </x:c>
      <x:c r="S1163" s="15" t="str"/>
      <x:c r="T1163" s="14" t="str"/>
    </x:row>
    <x:row r="1164">
      <x:c r="A1164" s="14" t="n">
        <x:v>1163</x:v>
      </x:c>
      <x:c r="B1164" s="15" t="n">
        <x:v>46389</x:v>
      </x:c>
      <x:c r="C1164" s="14" t="str">
        <x:v>Cumartesi</x:v>
      </x:c>
      <x:c r="D1164" s="14" t="str">
        <x:v>Hafta Sonu</x:v>
      </x:c>
      <x:c r="E1164" s="14" t="str">
        <x:v>Tam gün</x:v>
      </x:c>
      <x:c r="F1164" s="14" t="str">
        <x:v>F2 - LGS Kapsam + Ustalık</x:v>
      </x:c>
      <x:c r="G1164" s="14" t="str">
        <x:v>16:35</x:v>
      </x:c>
      <x:c r="H1164" s="14" t="str">
        <x:v>17:15</x:v>
      </x:c>
      <x:c r="I1164" s="14" t="str">
        <x:v>Din</x:v>
      </x:c>
      <x:c r="J1164" s="14" t="str">
        <x:v>Kitap / MEB / Mastery</x:v>
      </x:c>
      <x:c r="K1164" s="14" t="str">
        <x:v>Hz. Muhammed’in Örnekliği</x:v>
      </x:c>
      <x:c r="L1164" s="14" t="str">
        <x:v>Hz. Muhammed’in Örnekliği için ilgili MEB sorularını TAMAMLA; D/Y/B kaydet. Bu oturum konu mastery gate'idir.</x:v>
      </x:c>
      <x:c r="M1164" s="14" t="str">
        <x:v>MEB 8. Sınıf Din Soruları</x:v>
      </x:c>
      <x:c r="N1164" s="14" t="str">
        <x:v>https://odsgm.meb.gov.tr/www/8sinif-calisma-sorulari/icerik/1632</x:v>
      </x:c>
      <x:c r="O1164" s="14" t="n">
        <x:v>0</x:v>
      </x:c>
      <x:c r="P1164" s="14" t="str">
        <x:v>Hayır</x:v>
      </x:c>
      <x:c r="Q1164" s="14" t="str">
        <x:v>Evet</x:v>
      </x:c>
      <x:c r="R1164" s="14" t="str">
        <x:v>Planlandı</x:v>
      </x:c>
      <x:c r="S1164" s="15" t="str"/>
      <x:c r="T1164" s="14" t="str">
        <x:v>MEB sonucu Konu_Ustaligi sayfasına işlenir.</x:v>
      </x:c>
    </x:row>
    <x:row r="1165">
      <x:c r="A1165" s="14" t="n">
        <x:v>1164</x:v>
      </x:c>
      <x:c r="B1165" s="15" t="n">
        <x:v>46389</x:v>
      </x:c>
      <x:c r="C1165" s="14" t="str">
        <x:v>Cumartesi</x:v>
      </x:c>
      <x:c r="D1165" s="14" t="str">
        <x:v>Hafta Sonu</x:v>
      </x:c>
      <x:c r="E1165" s="14" t="str">
        <x:v>Tam gün</x:v>
      </x:c>
      <x:c r="F1165" s="14" t="str">
        <x:v>F2 - LGS Kapsam + Ustalık</x:v>
      </x:c>
      <x:c r="G1165" s="14" t="str">
        <x:v>17:25</x:v>
      </x:c>
      <x:c r="H1165" s="14" t="str">
        <x:v>17:55</x:v>
      </x:c>
      <x:c r="I1165" s="14" t="str">
        <x:v>Fen</x:v>
      </x:c>
      <x:c r="J1165" s="14" t="str">
        <x:v>Ek Fen Pekiştirme</x:v>
      </x:c>
      <x:c r="K1165" s="14" t="str">
        <x:v>Maddenin Isı ile Etkileşimi</x:v>
      </x:c>
      <x:c r="L1165" s="14" t="str">
        <x:v>Maddenin Isı ile Etkileşimi — Fen soru çözüm playlistinden ilgili videoyu izle.</x:v>
      </x:c>
      <x:c r="M1165" s="14" t="str">
        <x:v>Fen Konu/Soru Oynatma Listesi</x:v>
      </x:c>
      <x:c r="N1165" s="14" t="str">
        <x:v>https://www.youtube.com/watch?v=pQXhWnDZ3vM&amp;list=PLrQm7mt99FRXcBnorCttd31HJEvg0En26&amp;index=23</x:v>
      </x:c>
      <x:c r="O1165" s="14" t="n">
        <x:v>0</x:v>
      </x:c>
      <x:c r="P1165" s="14" t="str">
        <x:v>Hayır</x:v>
      </x:c>
      <x:c r="Q1165" s="14" t="str">
        <x:v>Evet</x:v>
      </x:c>
      <x:c r="R1165" s="14" t="str">
        <x:v>Planlandı</x:v>
      </x:c>
      <x:c r="S1165" s="15" t="str"/>
      <x:c r="T1165" s="14" t="str">
        <x:v>Fen haftalık temas sıklığını artırmak için ek Cumartesi oturumu.</x:v>
      </x:c>
    </x:row>
    <x:row r="1166">
      <x:c r="A1166" s="14" t="n">
        <x:v>1165</x:v>
      </x:c>
      <x:c r="B1166" s="15" t="n">
        <x:v>46389</x:v>
      </x:c>
      <x:c r="C1166" s="14" t="str">
        <x:v>Cumartesi</x:v>
      </x:c>
      <x:c r="D1166" s="14" t="str">
        <x:v>Hafta Sonu</x:v>
      </x:c>
      <x:c r="E1166" s="14" t="str">
        <x:v>Tam gün</x:v>
      </x:c>
      <x:c r="F1166" s="14" t="str">
        <x:v>F2 - LGS Kapsam + Ustalık</x:v>
      </x:c>
      <x:c r="G1166" s="14" t="str">
        <x:v>17:55</x:v>
      </x:c>
      <x:c r="H1166" s="14" t="str">
        <x:v>18:25</x:v>
      </x:c>
      <x:c r="I1166" s="14" t="str">
        <x:v>Fen</x:v>
      </x:c>
      <x:c r="J1166" s="14" t="str">
        <x:v>Ek Fen Kitap / MEB</x:v>
      </x:c>
      <x:c r="K1166" s="14" t="str">
        <x:v>Maddenin Isı ile Etkileşimi</x:v>
      </x:c>
      <x:c r="L1166" s="14" t="str">
        <x:v>Maddenin Isı ile Etkileşimi ile ilgili soru kitabından en az 18 soru / bugünkü test payını çöz.</x:v>
      </x:c>
      <x:c r="M1166" s="14" t="str">
        <x:v>Hız 8. Sınıf Fen (ISBN 9786257514859); tamamlandıysa Mozaik 8. Sınıf Fen</x:v>
      </x:c>
      <x:c r="N1166" s="14" t="str">
        <x:v>https://www.youtube.com/watch?v=pQXhWnDZ3vM&amp;list=PLrQm7mt99FRXcBnorCttd31HJEvg0En26&amp;index=23</x:v>
      </x:c>
      <x:c r="O1166" s="14" t="n">
        <x:v>18</x:v>
      </x:c>
      <x:c r="P1166" s="14" t="str">
        <x:v>Hayır</x:v>
      </x:c>
      <x:c r="Q1166" s="14" t="str">
        <x:v>Evet</x:v>
      </x:c>
      <x:c r="R1166" s="14" t="str">
        <x:v>Planlandı</x:v>
      </x:c>
      <x:c r="S1166" s="15" t="str"/>
      <x:c r="T1166" s="14" t="str">
        <x:v>Fen için Hız → gerekiyorsa Mozaik; MEB doğrulaması konu bitiminde.</x:v>
      </x:c>
    </x:row>
    <x:row r="1167">
      <x:c r="A1167" s="14" t="n">
        <x:v>1166</x:v>
      </x:c>
      <x:c r="B1167" s="15" t="n">
        <x:v>46389</x:v>
      </x:c>
      <x:c r="C1167" s="14" t="str">
        <x:v>Cumartesi</x:v>
      </x:c>
      <x:c r="D1167" s="14" t="str">
        <x:v>Hafta Sonu</x:v>
      </x:c>
      <x:c r="E1167" s="14" t="str">
        <x:v>Tam gün</x:v>
      </x:c>
      <x:c r="F1167" s="14" t="str">
        <x:v>F2 - LGS Kapsam + Ustalık</x:v>
      </x:c>
      <x:c r="G1167" s="14" t="str">
        <x:v>18:25</x:v>
      </x:c>
      <x:c r="H1167" s="14" t="str">
        <x:v>18:45</x:v>
      </x:c>
      <x:c r="I1167" s="14" t="str">
        <x:v>Genel</x:v>
      </x:c>
      <x:c r="J1167" s="14" t="str">
        <x:v>Yanlış / Boş Analizi</x:v>
      </x:c>
      <x:c r="K1167" s="14" t="str">
        <x:v>Günlük</x:v>
      </x:c>
      <x:c r="L1167" s="14" t="str">
        <x:v>Bugünkü yanlış/boşları kaydet; çözümünü öğrenmeden kapatma. Hata türünü sınıflandır.</x:v>
      </x:c>
      <x:c r="M1167" s="14" t="str">
        <x:v>Yanlış Defteri</x:v>
      </x:c>
      <x:c r="N1167" s="14" t="str"/>
      <x:c r="O1167" s="14" t="n">
        <x:v>0</x:v>
      </x:c>
      <x:c r="P1167" s="14" t="str">
        <x:v>Hayır</x:v>
      </x:c>
      <x:c r="Q1167" s="14" t="str">
        <x:v>Evet</x:v>
      </x:c>
      <x:c r="R1167" s="14" t="str">
        <x:v>Planlandı</x:v>
      </x:c>
      <x:c r="S1167" s="15" t="str"/>
      <x:c r="T1167" s="14" t="str"/>
    </x:row>
    <x:row r="1168">
      <x:c r="A1168" s="14" t="n">
        <x:v>1167</x:v>
      </x:c>
      <x:c r="B1168" s="15" t="n">
        <x:v>46389</x:v>
      </x:c>
      <x:c r="C1168" s="14" t="str">
        <x:v>Cumartesi</x:v>
      </x:c>
      <x:c r="D1168" s="14" t="str">
        <x:v>Hafta Sonu</x:v>
      </x:c>
      <x:c r="E1168" s="14" t="str">
        <x:v>Tam gün</x:v>
      </x:c>
      <x:c r="F1168" s="14" t="str">
        <x:v>F2 - LGS Kapsam + Ustalık</x:v>
      </x:c>
      <x:c r="G1168" s="14" t="str">
        <x:v>18:45</x:v>
      </x:c>
      <x:c r="H1168" s="14" t="str">
        <x:v>19:05</x:v>
      </x:c>
      <x:c r="I1168" s="14" t="str">
        <x:v>Genel</x:v>
      </x:c>
      <x:c r="J1168" s="14" t="str">
        <x:v>Aralıklı Hata Tekrarı</x:v>
      </x:c>
      <x:c r="K1168" s="14" t="str">
        <x:v>+1 / +7 / +21</x:v>
      </x:c>
      <x:c r="L1168" s="14" t="str">
        <x:v>Bugün vadesi gelen yanlış soruları tekrar çöz. Vadesi yoksa bu süre serbest/okuma olabilir.</x:v>
      </x:c>
      <x:c r="M1168" s="14" t="str">
        <x:v>Yanlış Defteri</x:v>
      </x:c>
      <x:c r="N1168" s="14" t="str"/>
      <x:c r="O1168" s="14" t="n">
        <x:v>0</x:v>
      </x:c>
      <x:c r="P1168" s="14" t="str">
        <x:v>Hayır</x:v>
      </x:c>
      <x:c r="Q1168" s="14" t="str">
        <x:v>Koşullu</x:v>
      </x:c>
      <x:c r="R1168" s="14" t="str">
        <x:v>Planlandı</x:v>
      </x:c>
      <x:c r="S1168" s="15" t="str"/>
      <x:c r="T1168" s="14" t="str">
        <x:v>Yanlışlar +1, +7 ve +21 gün aralıklarıyla tekrar edilir; hâlâ yanlışsa konu mastery durumu düşürülür.</x:v>
      </x:c>
    </x:row>
    <x:row r="1169">
      <x:c r="A1169" s="14" t="n">
        <x:v>1168</x:v>
      </x:c>
      <x:c r="B1169" s="15" t="n">
        <x:v>46389</x:v>
      </x:c>
      <x:c r="C1169" s="14" t="str">
        <x:v>Cumartesi</x:v>
      </x:c>
      <x:c r="D1169" s="14" t="str">
        <x:v>Hafta Sonu</x:v>
      </x:c>
      <x:c r="E1169" s="14" t="str">
        <x:v>Tam gün</x:v>
      </x:c>
      <x:c r="F1169" s="14" t="str">
        <x:v>F2 - LGS Kapsam + Ustalık</x:v>
      </x:c>
      <x:c r="G1169" s="14" t="str">
        <x:v>20:00</x:v>
      </x:c>
      <x:c r="H1169" s="14" t="str">
        <x:v>20:30</x:v>
      </x:c>
      <x:c r="I1169" s="14" t="str">
        <x:v>Okuma</x:v>
      </x:c>
      <x:c r="J1169" s="14" t="str">
        <x:v>İsteğe Bağlı</x:v>
      </x:c>
      <x:c r="K1169" s="14" t="str">
        <x:v>Serbest Kitap</x:v>
      </x:c>
      <x:c r="L1169" s="14" t="str">
        <x:v>Zorunlu çalışmalar bittiyse isteğe bağlı kitap oku.</x:v>
      </x:c>
      <x:c r="M1169" s="14" t="str">
        <x:v>Serbest Kitap</x:v>
      </x:c>
      <x:c r="N1169" s="14" t="str"/>
      <x:c r="O1169" s="14" t="n">
        <x:v>0</x:v>
      </x:c>
      <x:c r="P1169" s="14" t="str">
        <x:v>İsteğe Bağlı</x:v>
      </x:c>
      <x:c r="Q1169" s="14" t="str">
        <x:v>Hayır</x:v>
      </x:c>
      <x:c r="R1169" s="14" t="str">
        <x:v>Planlandı</x:v>
      </x:c>
      <x:c r="S1169" s="15" t="str"/>
      <x:c r="T1169" s="14" t="str">
        <x:v>Minimum süre yok.</x:v>
      </x:c>
    </x:row>
    <x:row r="1170">
      <x:c r="A1170" s="14" t="n">
        <x:v>1169</x:v>
      </x:c>
      <x:c r="B1170" s="15" t="n">
        <x:v>46389</x:v>
      </x:c>
      <x:c r="C1170" s="14" t="str">
        <x:v>Cumartesi</x:v>
      </x:c>
      <x:c r="D1170" s="14" t="str">
        <x:v>Hafta Sonu</x:v>
      </x:c>
      <x:c r="E1170" s="14" t="str">
        <x:v>Tam gün</x:v>
      </x:c>
      <x:c r="F1170" s="14" t="str">
        <x:v>F2 - LGS Kapsam + Ustalık</x:v>
      </x:c>
      <x:c r="G1170" s="14" t="str">
        <x:v>21:50</x:v>
      </x:c>
      <x:c r="H1170" s="14" t="str">
        <x:v>22:00</x:v>
      </x:c>
      <x:c r="I1170" s="14" t="str">
        <x:v>Genel</x:v>
      </x:c>
      <x:c r="J1170" s="14" t="str">
        <x:v>Uyku Hazırlığı</x:v>
      </x:c>
      <x:c r="K1170" s="14" t="str"/>
      <x:c r="L1170" s="14" t="str">
        <x:v>22:00'de yatakta ve uyku.</x:v>
      </x:c>
      <x:c r="M1170" s="14" t="str"/>
      <x:c r="N1170" s="14" t="str"/>
      <x:c r="O1170" s="14" t="n">
        <x:v>0</x:v>
      </x:c>
      <x:c r="P1170" s="14" t="str">
        <x:v>Hayır</x:v>
      </x:c>
      <x:c r="Q1170" s="14" t="str">
        <x:v>Hayır</x:v>
      </x:c>
      <x:c r="R1170" s="14" t="str">
        <x:v>Planlandı</x:v>
      </x:c>
      <x:c r="S1170" s="15" t="str"/>
      <x:c r="T1170" s="14" t="str"/>
    </x:row>
    <x:row r="1171">
      <x:c r="A1171" s="14" t="n">
        <x:v>1170</x:v>
      </x:c>
      <x:c r="B1171" s="15" t="n">
        <x:v>46390</x:v>
      </x:c>
      <x:c r="C1171" s="14" t="str">
        <x:v>Pazar</x:v>
      </x:c>
      <x:c r="D1171" s="14" t="str">
        <x:v>Hafta Sonu</x:v>
      </x:c>
      <x:c r="E1171" s="14" t="str">
        <x:v>Tam gün</x:v>
      </x:c>
      <x:c r="F1171" s="14" t="str">
        <x:v>F2 - LGS Kapsam + Ustalık</x:v>
      </x:c>
      <x:c r="G1171" s="14" t="str">
        <x:v>09:30</x:v>
      </x:c>
      <x:c r="H1171" s="14" t="str">
        <x:v>10:15</x:v>
      </x:c>
      <x:c r="I1171" s="14" t="str">
        <x:v>Matematik</x:v>
      </x:c>
      <x:c r="J1171" s="14" t="str">
        <x:v>Konu / Tekrar</x:v>
      </x:c>
      <x:c r="K1171" s="14" t="str">
        <x:v>Doğrusal Denklemler</x:v>
      </x:c>
      <x:c r="L1171" s="14" t="str">
        <x:v>Doğrusal Denklemler — genel oynatma listesinden ilgili videoyu izle (1/4).</x:v>
      </x:c>
      <x:c r="M1171" s="14" t="str">
        <x:v>Matematik Ana Oynatma Listesi</x:v>
      </x:c>
      <x:c r="N1171" s="14" t="str">
        <x:v>https://www.youtube.com/watch?v=EuJ89QzqrAg&amp;list=PLicNtF7vp6fnfDqrRLH6H7fIbzYT4ct4F&amp;index=11</x:v>
      </x:c>
      <x:c r="O1171" s="14" t="n">
        <x:v>0</x:v>
      </x:c>
      <x:c r="P1171" s="14" t="str">
        <x:v>Hayır</x:v>
      </x:c>
      <x:c r="Q1171" s="14" t="str">
        <x:v>Evet</x:v>
      </x:c>
      <x:c r="R1171" s="14" t="str">
        <x:v>Planlandı</x:v>
      </x:c>
      <x:c r="S1171" s="15" t="str"/>
      <x:c r="T1171" s="14" t="str">
        <x:v>Yeni konu ancak plan sırasıyla açılır; LGS dışı ileri TYT içeriği zorunlu değildir.</x:v>
      </x:c>
    </x:row>
    <x:row r="1172">
      <x:c r="A1172" s="14" t="n">
        <x:v>1171</x:v>
      </x:c>
      <x:c r="B1172" s="15" t="n">
        <x:v>46390</x:v>
      </x:c>
      <x:c r="C1172" s="14" t="str">
        <x:v>Pazar</x:v>
      </x:c>
      <x:c r="D1172" s="14" t="str">
        <x:v>Hafta Sonu</x:v>
      </x:c>
      <x:c r="E1172" s="14" t="str">
        <x:v>Tam gün</x:v>
      </x:c>
      <x:c r="F1172" s="14" t="str">
        <x:v>F2 - LGS Kapsam + Ustalık</x:v>
      </x:c>
      <x:c r="G1172" s="14" t="str">
        <x:v>10:25</x:v>
      </x:c>
      <x:c r="H1172" s="14" t="str">
        <x:v>11:15</x:v>
      </x:c>
      <x:c r="I1172" s="14" t="str">
        <x:v>Matematik</x:v>
      </x:c>
      <x:c r="J1172" s="14" t="str">
        <x:v>Kitap / MEB / Mastery</x:v>
      </x:c>
      <x:c r="K1172" s="14" t="str">
        <x:v>Doğrusal Denklemler</x:v>
      </x:c>
      <x:c r="L1172" s="14" t="str">
        <x:v>Doğrusal Denklemler ile ilgili soru kitabından en az 25 soru / bugünkü test payını çöz.</x:v>
      </x:c>
      <x:c r="M1172" s="14" t="str">
        <x:v>MUBA 8. Sınıf Başlangıç Matematik (ISBN 9789756526972); tamamlandıysa Mozaik 8. Sınıf Matematik</x:v>
      </x:c>
      <x:c r="N1172" s="14" t="str">
        <x:v>https://odsgm.meb.gov.tr/www/8sinif-calisma-sorulari/icerik/1632</x:v>
      </x:c>
      <x:c r="O1172" s="14" t="n">
        <x:v>25</x:v>
      </x:c>
      <x:c r="P1172" s="14" t="str">
        <x:v>İlk 20 soru</x:v>
      </x:c>
      <x:c r="Q1172" s="14" t="str">
        <x:v>Evet</x:v>
      </x:c>
      <x:c r="R1172" s="14" t="str">
        <x:v>Planlandı</x:v>
      </x:c>
      <x:c r="S1172" s="15" t="str"/>
      <x:c r="T1172" s="14" t="str">
        <x:v>Ayrı/rastgele matematik benchmark yoktur. Süreli ilk 20 soru o gün çalışılan konunun içindedir.</x:v>
      </x:c>
    </x:row>
    <x:row r="1173">
      <x:c r="A1173" s="14" t="n">
        <x:v>1172</x:v>
      </x:c>
      <x:c r="B1173" s="15" t="n">
        <x:v>46390</x:v>
      </x:c>
      <x:c r="C1173" s="14" t="str">
        <x:v>Pazar</x:v>
      </x:c>
      <x:c r="D1173" s="14" t="str">
        <x:v>Hafta Sonu</x:v>
      </x:c>
      <x:c r="E1173" s="14" t="str">
        <x:v>Tam gün</x:v>
      </x:c>
      <x:c r="F1173" s="14" t="str">
        <x:v>F2 - LGS Kapsam + Ustalık</x:v>
      </x:c>
      <x:c r="G1173" s="14" t="str">
        <x:v>12:00</x:v>
      </x:c>
      <x:c r="H1173" s="14" t="str">
        <x:v>14:00</x:v>
      </x:c>
      <x:c r="I1173" s="14" t="str">
        <x:v>Genel</x:v>
      </x:c>
      <x:c r="J1173" s="14" t="str">
        <x:v>Yemek / Serbest Zaman</x:v>
      </x:c>
      <x:c r="K1173" s="14" t="str"/>
      <x:c r="L1173" s="14" t="str">
        <x:v>Yemek, hareket ve dinlenme.</x:v>
      </x:c>
      <x:c r="M1173" s="14" t="str"/>
      <x:c r="N1173" s="14" t="str"/>
      <x:c r="O1173" s="14" t="n">
        <x:v>0</x:v>
      </x:c>
      <x:c r="P1173" s="14" t="str">
        <x:v>Hayır</x:v>
      </x:c>
      <x:c r="Q1173" s="14" t="str">
        <x:v>Hayır</x:v>
      </x:c>
      <x:c r="R1173" s="14" t="str">
        <x:v>Planlandı</x:v>
      </x:c>
      <x:c r="S1173" s="15" t="str"/>
      <x:c r="T1173" s="14" t="str"/>
    </x:row>
    <x:row r="1174">
      <x:c r="A1174" s="14" t="n">
        <x:v>1173</x:v>
      </x:c>
      <x:c r="B1174" s="15" t="n">
        <x:v>46390</x:v>
      </x:c>
      <x:c r="C1174" s="14" t="str">
        <x:v>Pazar</x:v>
      </x:c>
      <x:c r="D1174" s="14" t="str">
        <x:v>Hafta Sonu</x:v>
      </x:c>
      <x:c r="E1174" s="14" t="str">
        <x:v>Tam gün</x:v>
      </x:c>
      <x:c r="F1174" s="14" t="str">
        <x:v>F2 - LGS Kapsam + Ustalık</x:v>
      </x:c>
      <x:c r="G1174" s="14" t="str">
        <x:v>11:25</x:v>
      </x:c>
      <x:c r="H1174" s="14" t="str">
        <x:v>11:55</x:v>
      </x:c>
      <x:c r="I1174" s="14" t="str">
        <x:v>Türkçe</x:v>
      </x:c>
      <x:c r="J1174" s="14" t="str">
        <x:v>Paragraf Rutini</x:v>
      </x:c>
      <x:c r="K1174" s="14" t="str">
        <x:v>Paragraf</x:v>
      </x:c>
      <x:c r="L1174" s="14" t="str">
        <x:v>En az 25 paragraf sorusu çöz; ilk 20 soruyu ileri sayımla ölç, D/Y/B + süre kaydet.</x:v>
      </x:c>
      <x:c r="M1174" s="14" t="str">
        <x:v>Hız 8. Sınıf Türkçe Paragraf (ISBN 9786258394498)</x:v>
      </x:c>
      <x:c r="N1174" s="14" t="str"/>
      <x:c r="O1174" s="14" t="n">
        <x:v>25</x:v>
      </x:c>
      <x:c r="P1174" s="14" t="str">
        <x:v>İlk 20 soru</x:v>
      </x:c>
      <x:c r="Q1174" s="14" t="str">
        <x:v>Evet</x:v>
      </x:c>
      <x:c r="R1174" s="14" t="str">
        <x:v>Planlandı</x:v>
      </x:c>
      <x:c r="S1174" s="15" t="str"/>
      <x:c r="T1174" s="14" t="str">
        <x:v>Geri sayım ve hedef süre yok.</x:v>
      </x:c>
    </x:row>
    <x:row r="1175">
      <x:c r="A1175" s="14" t="n">
        <x:v>1174</x:v>
      </x:c>
      <x:c r="B1175" s="15" t="n">
        <x:v>46390</x:v>
      </x:c>
      <x:c r="C1175" s="14" t="str">
        <x:v>Pazar</x:v>
      </x:c>
      <x:c r="D1175" s="14" t="str">
        <x:v>Hafta Sonu</x:v>
      </x:c>
      <x:c r="E1175" s="14" t="str">
        <x:v>Tam gün</x:v>
      </x:c>
      <x:c r="F1175" s="14" t="str">
        <x:v>F2 - LGS Kapsam + Ustalık</x:v>
      </x:c>
      <x:c r="G1175" s="14" t="str">
        <x:v>14:00</x:v>
      </x:c>
      <x:c r="H1175" s="14" t="str">
        <x:v>14:40</x:v>
      </x:c>
      <x:c r="I1175" s="14" t="str">
        <x:v>Türkçe</x:v>
      </x:c>
      <x:c r="J1175" s="14" t="str">
        <x:v>Konu / Tekrar</x:v>
      </x:c>
      <x:c r="K1175" s="14" t="str">
        <x:v>Görsel Okuma, Grafik ve Sözel Mantık</x:v>
      </x:c>
      <x:c r="L1175" s="14" t="str">
        <x:v>Görsel Okuma, Grafik ve Sözel Mantık — MEB doğrulaması öncesi 5-10 dk aktif hatırlama; gerekiyorsa ilgili playlist videosuna kısa dönüş yap.</x:v>
      </x:c>
      <x:c r="M1175" s="14" t="str">
        <x:v>Türkçe Ana Oynatma Listesi</x:v>
      </x:c>
      <x:c r="N1175" s="14" t="str">
        <x:v>https://www.youtube.com/watch?v=VYsPntNKVdw&amp;list=PLIBjFaUoJJ91bz7QQEBlxNJNZka5YQRr6</x:v>
      </x:c>
      <x:c r="O1175" s="14" t="n">
        <x:v>0</x:v>
      </x:c>
      <x:c r="P1175" s="14" t="str">
        <x:v>Hayır</x:v>
      </x:c>
      <x:c r="Q1175" s="14" t="str">
        <x:v>Evet</x:v>
      </x:c>
      <x:c r="R1175" s="14" t="str">
        <x:v>Planlandı</x:v>
      </x:c>
      <x:c r="S1175" s="15" t="str"/>
      <x:c r="T1175" s="14" t="str">
        <x:v>TYT etiketli kaynak temelden başlamak için sabittir; LGS dışı gereksiz ayrıntı zorunlu değildir.</x:v>
      </x:c>
    </x:row>
    <x:row r="1176">
      <x:c r="A1176" s="14" t="n">
        <x:v>1175</x:v>
      </x:c>
      <x:c r="B1176" s="15" t="n">
        <x:v>46390</x:v>
      </x:c>
      <x:c r="C1176" s="14" t="str">
        <x:v>Pazar</x:v>
      </x:c>
      <x:c r="D1176" s="14" t="str">
        <x:v>Hafta Sonu</x:v>
      </x:c>
      <x:c r="E1176" s="14" t="str">
        <x:v>Tam gün</x:v>
      </x:c>
      <x:c r="F1176" s="14" t="str">
        <x:v>F2 - LGS Kapsam + Ustalık</x:v>
      </x:c>
      <x:c r="G1176" s="14" t="str">
        <x:v>14:50</x:v>
      </x:c>
      <x:c r="H1176" s="14" t="str">
        <x:v>15:30</x:v>
      </x:c>
      <x:c r="I1176" s="14" t="str">
        <x:v>Türkçe</x:v>
      </x:c>
      <x:c r="J1176" s="14" t="str">
        <x:v>Kitap / MEB / Mastery</x:v>
      </x:c>
      <x:c r="K1176" s="14" t="str">
        <x:v>Görsel Okuma, Grafik ve Sözel Mantık</x:v>
      </x:c>
      <x:c r="L1176" s="14" t="str">
        <x:v>Görsel Okuma, Grafik ve Sözel Mantık için ilgili MEB sorularını TAMAMLA; D/Y/B kaydet. Bu oturum konu mastery gate'idir.</x:v>
      </x:c>
      <x:c r="M1176" s="14" t="str">
        <x:v>MEB Resmî Soru Seti</x:v>
      </x:c>
      <x:c r="N1176" s="14" t="str">
        <x:v>https://odsgm.meb.gov.tr/www/8sinif-calisma-sorulari/icerik/1632</x:v>
      </x:c>
      <x:c r="O1176" s="14" t="n">
        <x:v>0</x:v>
      </x:c>
      <x:c r="P1176" s="14" t="str">
        <x:v>Hayır</x:v>
      </x:c>
      <x:c r="Q1176" s="14" t="str">
        <x:v>Evet</x:v>
      </x:c>
      <x:c r="R1176" s="14" t="str">
        <x:v>Planlandı</x:v>
      </x:c>
      <x:c r="S1176" s="15" t="str"/>
      <x:c r="T1176" s="14" t="str">
        <x:v>MEB sonucu Konu_Ustaligi sayfasına işlenir.</x:v>
      </x:c>
    </x:row>
    <x:row r="1177">
      <x:c r="A1177" s="14" t="n">
        <x:v>1176</x:v>
      </x:c>
      <x:c r="B1177" s="15" t="n">
        <x:v>46390</x:v>
      </x:c>
      <x:c r="C1177" s="14" t="str">
        <x:v>Pazar</x:v>
      </x:c>
      <x:c r="D1177" s="14" t="str">
        <x:v>Hafta Sonu</x:v>
      </x:c>
      <x:c r="E1177" s="14" t="str">
        <x:v>Tam gün</x:v>
      </x:c>
      <x:c r="F1177" s="14" t="str">
        <x:v>F2 - LGS Kapsam + Ustalık</x:v>
      </x:c>
      <x:c r="G1177" s="14" t="str">
        <x:v>15:45</x:v>
      </x:c>
      <x:c r="H1177" s="14" t="str">
        <x:v>16:25</x:v>
      </x:c>
      <x:c r="I1177" s="14" t="str">
        <x:v>İnkılap</x:v>
      </x:c>
      <x:c r="J1177" s="14" t="str">
        <x:v>Konu / Tekrar</x:v>
      </x:c>
      <x:c r="K1177" s="14" t="str">
        <x:v>Millî Mücadele - Cepheler</x:v>
      </x:c>
      <x:c r="L1177" s="14" t="str">
        <x:v>Millî Mücadele - Cepheler — genel oynatma listesinden ilgili konu/soru çalışmasını yap.</x:v>
      </x:c>
      <x:c r="M1177" s="14" t="str">
        <x:v>İnkılap Genel Oynatma Listesi</x:v>
      </x:c>
      <x:c r="N1177" s="14" t="str">
        <x:v>https://www.youtube.com/watch?v=MltIX0oKpYU&amp;list=PLsAsBPsriHNbXit4Ra3iuBrk1ZHZWxsOR&amp;index=78</x:v>
      </x:c>
      <x:c r="O1177" s="14" t="n">
        <x:v>0</x:v>
      </x:c>
      <x:c r="P1177" s="14" t="str">
        <x:v>Hayır</x:v>
      </x:c>
      <x:c r="Q1177" s="14" t="str">
        <x:v>Evet</x:v>
      </x:c>
      <x:c r="R1177" s="14" t="str">
        <x:v>Planlandı</x:v>
      </x:c>
      <x:c r="S1177" s="15" t="str"/>
      <x:c r="T1177" s="14" t="str">
        <x:v>İnkılapta okul yazılısı videoları zorunlu değildir.</x:v>
      </x:c>
    </x:row>
    <x:row r="1178">
      <x:c r="A1178" s="14" t="n">
        <x:v>1177</x:v>
      </x:c>
      <x:c r="B1178" s="15" t="n">
        <x:v>46390</x:v>
      </x:c>
      <x:c r="C1178" s="14" t="str">
        <x:v>Pazar</x:v>
      </x:c>
      <x:c r="D1178" s="14" t="str">
        <x:v>Hafta Sonu</x:v>
      </x:c>
      <x:c r="E1178" s="14" t="str">
        <x:v>Tam gün</x:v>
      </x:c>
      <x:c r="F1178" s="14" t="str">
        <x:v>F2 - LGS Kapsam + Ustalık</x:v>
      </x:c>
      <x:c r="G1178" s="14" t="str">
        <x:v>16:35</x:v>
      </x:c>
      <x:c r="H1178" s="14" t="str">
        <x:v>17:15</x:v>
      </x:c>
      <x:c r="I1178" s="14" t="str">
        <x:v>İnkılap</x:v>
      </x:c>
      <x:c r="J1178" s="14" t="str">
        <x:v>Kitap / MEB / Mastery</x:v>
      </x:c>
      <x:c r="K1178" s="14" t="str">
        <x:v>Millî Mücadele - Cepheler</x:v>
      </x:c>
      <x:c r="L1178" s="14" t="str">
        <x:v>Millî Mücadele - Cepheler ile ilgili soru kitabından en az 18 soru / bugünkü test payını çöz.</x:v>
      </x:c>
      <x:c r="M1178" s="14" t="str">
        <x:v>Hız 8. Sınıf T.C. İnkılap Tarihi ve Atatürkçülük</x:v>
      </x:c>
      <x:c r="N1178" s="14" t="str">
        <x:v>https://www.youtube.com/watch?v=MltIX0oKpYU&amp;list=PLsAsBPsriHNbXit4Ra3iuBrk1ZHZWxsOR&amp;index=78</x:v>
      </x:c>
      <x:c r="O1178" s="14" t="n">
        <x:v>18</x:v>
      </x:c>
      <x:c r="P1178" s="14" t="str">
        <x:v>Hayır</x:v>
      </x:c>
      <x:c r="Q1178" s="14" t="str">
        <x:v>Evet</x:v>
      </x:c>
      <x:c r="R1178" s="14" t="str">
        <x:v>Planlandı</x:v>
      </x:c>
      <x:c r="S1178" s="15" t="str"/>
      <x:c r="T1178" s="14" t="str"/>
    </x:row>
    <x:row r="1179">
      <x:c r="A1179" s="14" t="n">
        <x:v>1178</x:v>
      </x:c>
      <x:c r="B1179" s="15" t="n">
        <x:v>46390</x:v>
      </x:c>
      <x:c r="C1179" s="14" t="str">
        <x:v>Pazar</x:v>
      </x:c>
      <x:c r="D1179" s="14" t="str">
        <x:v>Hafta Sonu</x:v>
      </x:c>
      <x:c r="E1179" s="14" t="str">
        <x:v>Tam gün</x:v>
      </x:c>
      <x:c r="F1179" s="14" t="str">
        <x:v>F2 - LGS Kapsam + Ustalık</x:v>
      </x:c>
      <x:c r="G1179" s="14" t="str">
        <x:v>17:25</x:v>
      </x:c>
      <x:c r="H1179" s="14" t="str">
        <x:v>18:25</x:v>
      </x:c>
      <x:c r="I1179" s="14" t="str">
        <x:v>Genel</x:v>
      </x:c>
      <x:c r="J1179" s="14" t="str">
        <x:v>Kaynak Tamamlama</x:v>
      </x:c>
      <x:c r="K1179" s="14" t="str">
        <x:v>En Geride Kalan Kaynak</x:v>
      </x:c>
      <x:c r="L1179" s="14" t="str">
        <x:v>Kaynak_Ilerleme sayfasında hedef yüzdesinin en gerisinde kalan ZORUNLU soru kaynağına 60 dk ayır. Öğrenilmemiş konudan ileri gitme.</x:v>
      </x:c>
      <x:c r="M1179" s="14" t="str">
        <x:v>Kaynak İlerleme</x:v>
      </x:c>
      <x:c r="N1179" s="14" t="str"/>
      <x:c r="O1179" s="14" t="n">
        <x:v>0</x:v>
      </x:c>
      <x:c r="P1179" s="14" t="str">
        <x:v>Hayır</x:v>
      </x:c>
      <x:c r="Q1179" s="14" t="str">
        <x:v>Evet</x:v>
      </x:c>
      <x:c r="R1179" s="14" t="str">
        <x:v>Planlandı</x:v>
      </x:c>
      <x:c r="S1179" s="15" t="str"/>
      <x:c r="T1179" s="14" t="str">
        <x:v>Amaç 13.04.2027'de zorunlu soru kitapları + ilgili MEB setlerini %100 tamamlamak.</x:v>
      </x:c>
    </x:row>
    <x:row r="1180">
      <x:c r="A1180" s="14" t="n">
        <x:v>1179</x:v>
      </x:c>
      <x:c r="B1180" s="15" t="n">
        <x:v>46390</x:v>
      </x:c>
      <x:c r="C1180" s="14" t="str">
        <x:v>Pazar</x:v>
      </x:c>
      <x:c r="D1180" s="14" t="str">
        <x:v>Hafta Sonu</x:v>
      </x:c>
      <x:c r="E1180" s="14" t="str">
        <x:v>Tam gün</x:v>
      </x:c>
      <x:c r="F1180" s="14" t="str">
        <x:v>F2 - LGS Kapsam + Ustalık</x:v>
      </x:c>
      <x:c r="G1180" s="14" t="str">
        <x:v>18:25</x:v>
      </x:c>
      <x:c r="H1180" s="14" t="str">
        <x:v>18:45</x:v>
      </x:c>
      <x:c r="I1180" s="14" t="str">
        <x:v>Genel</x:v>
      </x:c>
      <x:c r="J1180" s="14" t="str">
        <x:v>Yanlış / Boş Analizi</x:v>
      </x:c>
      <x:c r="K1180" s="14" t="str">
        <x:v>Günlük</x:v>
      </x:c>
      <x:c r="L1180" s="14" t="str">
        <x:v>Bugünkü yanlış/boşları kaydet; çözümünü öğrenmeden kapatma. Hata türünü sınıflandır.</x:v>
      </x:c>
      <x:c r="M1180" s="14" t="str">
        <x:v>Yanlış Defteri</x:v>
      </x:c>
      <x:c r="N1180" s="14" t="str"/>
      <x:c r="O1180" s="14" t="n">
        <x:v>0</x:v>
      </x:c>
      <x:c r="P1180" s="14" t="str">
        <x:v>Hayır</x:v>
      </x:c>
      <x:c r="Q1180" s="14" t="str">
        <x:v>Evet</x:v>
      </x:c>
      <x:c r="R1180" s="14" t="str">
        <x:v>Planlandı</x:v>
      </x:c>
      <x:c r="S1180" s="15" t="str"/>
      <x:c r="T1180" s="14" t="str"/>
    </x:row>
    <x:row r="1181">
      <x:c r="A1181" s="14" t="n">
        <x:v>1180</x:v>
      </x:c>
      <x:c r="B1181" s="15" t="n">
        <x:v>46390</x:v>
      </x:c>
      <x:c r="C1181" s="14" t="str">
        <x:v>Pazar</x:v>
      </x:c>
      <x:c r="D1181" s="14" t="str">
        <x:v>Hafta Sonu</x:v>
      </x:c>
      <x:c r="E1181" s="14" t="str">
        <x:v>Tam gün</x:v>
      </x:c>
      <x:c r="F1181" s="14" t="str">
        <x:v>F2 - LGS Kapsam + Ustalık</x:v>
      </x:c>
      <x:c r="G1181" s="14" t="str">
        <x:v>18:45</x:v>
      </x:c>
      <x:c r="H1181" s="14" t="str">
        <x:v>19:05</x:v>
      </x:c>
      <x:c r="I1181" s="14" t="str">
        <x:v>Genel</x:v>
      </x:c>
      <x:c r="J1181" s="14" t="str">
        <x:v>Aralıklı Hata Tekrarı</x:v>
      </x:c>
      <x:c r="K1181" s="14" t="str">
        <x:v>+1 / +7 / +21</x:v>
      </x:c>
      <x:c r="L1181" s="14" t="str">
        <x:v>Bugün vadesi gelen yanlış soruları tekrar çöz. Vadesi yoksa bu süre serbest/okuma olabilir.</x:v>
      </x:c>
      <x:c r="M1181" s="14" t="str">
        <x:v>Yanlış Defteri</x:v>
      </x:c>
      <x:c r="N1181" s="14" t="str"/>
      <x:c r="O1181" s="14" t="n">
        <x:v>0</x:v>
      </x:c>
      <x:c r="P1181" s="14" t="str">
        <x:v>Hayır</x:v>
      </x:c>
      <x:c r="Q1181" s="14" t="str">
        <x:v>Koşullu</x:v>
      </x:c>
      <x:c r="R1181" s="14" t="str">
        <x:v>Planlandı</x:v>
      </x:c>
      <x:c r="S1181" s="15" t="str"/>
      <x:c r="T1181" s="14" t="str">
        <x:v>Yanlışlar +1, +7 ve +21 gün aralıklarıyla tekrar edilir; hâlâ yanlışsa konu mastery durumu düşürülür.</x:v>
      </x:c>
    </x:row>
    <x:row r="1182">
      <x:c r="A1182" s="14" t="n">
        <x:v>1181</x:v>
      </x:c>
      <x:c r="B1182" s="15" t="n">
        <x:v>46390</x:v>
      </x:c>
      <x:c r="C1182" s="14" t="str">
        <x:v>Pazar</x:v>
      </x:c>
      <x:c r="D1182" s="14" t="str">
        <x:v>Hafta Sonu</x:v>
      </x:c>
      <x:c r="E1182" s="14" t="str">
        <x:v>Tam gün</x:v>
      </x:c>
      <x:c r="F1182" s="14" t="str">
        <x:v>F2 - LGS Kapsam + Ustalık</x:v>
      </x:c>
      <x:c r="G1182" s="14" t="str">
        <x:v>20:00</x:v>
      </x:c>
      <x:c r="H1182" s="14" t="str">
        <x:v>20:30</x:v>
      </x:c>
      <x:c r="I1182" s="14" t="str">
        <x:v>Okuma</x:v>
      </x:c>
      <x:c r="J1182" s="14" t="str">
        <x:v>İsteğe Bağlı</x:v>
      </x:c>
      <x:c r="K1182" s="14" t="str">
        <x:v>Serbest Kitap</x:v>
      </x:c>
      <x:c r="L1182" s="14" t="str">
        <x:v>Zorunlu çalışmalar bittiyse isteğe bağlı kitap oku.</x:v>
      </x:c>
      <x:c r="M1182" s="14" t="str">
        <x:v>Serbest Kitap</x:v>
      </x:c>
      <x:c r="N1182" s="14" t="str"/>
      <x:c r="O1182" s="14" t="n">
        <x:v>0</x:v>
      </x:c>
      <x:c r="P1182" s="14" t="str">
        <x:v>İsteğe Bağlı</x:v>
      </x:c>
      <x:c r="Q1182" s="14" t="str">
        <x:v>Hayır</x:v>
      </x:c>
      <x:c r="R1182" s="14" t="str">
        <x:v>Planlandı</x:v>
      </x:c>
      <x:c r="S1182" s="15" t="str"/>
      <x:c r="T1182" s="14" t="str">
        <x:v>Minimum süre yok.</x:v>
      </x:c>
    </x:row>
    <x:row r="1183">
      <x:c r="A1183" s="14" t="n">
        <x:v>1182</x:v>
      </x:c>
      <x:c r="B1183" s="15" t="n">
        <x:v>46390</x:v>
      </x:c>
      <x:c r="C1183" s="14" t="str">
        <x:v>Pazar</x:v>
      </x:c>
      <x:c r="D1183" s="14" t="str">
        <x:v>Hafta Sonu</x:v>
      </x:c>
      <x:c r="E1183" s="14" t="str">
        <x:v>Tam gün</x:v>
      </x:c>
      <x:c r="F1183" s="14" t="str">
        <x:v>F2 - LGS Kapsam + Ustalık</x:v>
      </x:c>
      <x:c r="G1183" s="14" t="str">
        <x:v>21:50</x:v>
      </x:c>
      <x:c r="H1183" s="14" t="str">
        <x:v>22:00</x:v>
      </x:c>
      <x:c r="I1183" s="14" t="str">
        <x:v>Genel</x:v>
      </x:c>
      <x:c r="J1183" s="14" t="str">
        <x:v>Uyku Hazırlığı</x:v>
      </x:c>
      <x:c r="K1183" s="14" t="str"/>
      <x:c r="L1183" s="14" t="str">
        <x:v>22:00'de yatakta ve uyku.</x:v>
      </x:c>
      <x:c r="M1183" s="14" t="str"/>
      <x:c r="N1183" s="14" t="str"/>
      <x:c r="O1183" s="14" t="n">
        <x:v>0</x:v>
      </x:c>
      <x:c r="P1183" s="14" t="str">
        <x:v>Hayır</x:v>
      </x:c>
      <x:c r="Q1183" s="14" t="str">
        <x:v>Hayır</x:v>
      </x:c>
      <x:c r="R1183" s="14" t="str">
        <x:v>Planlandı</x:v>
      </x:c>
      <x:c r="S1183" s="15" t="str"/>
      <x:c r="T1183" s="14" t="str"/>
    </x:row>
    <x:row r="1184">
      <x:c r="A1184" s="14" t="n">
        <x:v>1183</x:v>
      </x:c>
      <x:c r="B1184" s="15" t="n">
        <x:v>46391</x:v>
      </x:c>
      <x:c r="C1184" s="14" t="str">
        <x:v>Pazartesi</x:v>
      </x:c>
      <x:c r="D1184" s="14" t="str">
        <x:v>Okul Günü</x:v>
      </x:c>
      <x:c r="E1184" s="14" t="str">
        <x:v>16:00 sonrası</x:v>
      </x:c>
      <x:c r="F1184" s="14" t="str">
        <x:v>F2 - LGS Kapsam + Ustalık</x:v>
      </x:c>
      <x:c r="G1184" s="14" t="str">
        <x:v>16:00</x:v>
      </x:c>
      <x:c r="H1184" s="14" t="str">
        <x:v>16:25</x:v>
      </x:c>
      <x:c r="I1184" s="14" t="str">
        <x:v>Genel</x:v>
      </x:c>
      <x:c r="J1184" s="14" t="str">
        <x:v>Dinlenme</x:v>
      </x:c>
      <x:c r="K1184" s="14" t="str"/>
      <x:c r="L1184" s="14" t="str">
        <x:v>Eve geliş, atıştırma ve dinlenme.</x:v>
      </x:c>
      <x:c r="M1184" s="14" t="str"/>
      <x:c r="N1184" s="14" t="str"/>
      <x:c r="O1184" s="14" t="n">
        <x:v>0</x:v>
      </x:c>
      <x:c r="P1184" s="14" t="str">
        <x:v>Hayır</x:v>
      </x:c>
      <x:c r="Q1184" s="14" t="str">
        <x:v>Hayır</x:v>
      </x:c>
      <x:c r="R1184" s="14" t="str">
        <x:v>Planlandı</x:v>
      </x:c>
      <x:c r="S1184" s="15" t="str"/>
      <x:c r="T1184" s="14" t="str"/>
    </x:row>
    <x:row r="1185">
      <x:c r="A1185" s="14" t="n">
        <x:v>1184</x:v>
      </x:c>
      <x:c r="B1185" s="15" t="n">
        <x:v>46391</x:v>
      </x:c>
      <x:c r="C1185" s="14" t="str">
        <x:v>Pazartesi</x:v>
      </x:c>
      <x:c r="D1185" s="14" t="str">
        <x:v>Okul Günü</x:v>
      </x:c>
      <x:c r="E1185" s="14" t="str">
        <x:v>16:00 sonrası</x:v>
      </x:c>
      <x:c r="F1185" s="14" t="str">
        <x:v>F2 - LGS Kapsam + Ustalık</x:v>
      </x:c>
      <x:c r="G1185" s="14" t="str">
        <x:v>16:25</x:v>
      </x:c>
      <x:c r="H1185" s="14" t="str">
        <x:v>17:05</x:v>
      </x:c>
      <x:c r="I1185" s="14" t="str">
        <x:v>Matematik</x:v>
      </x:c>
      <x:c r="J1185" s="14" t="str">
        <x:v>Konu / Tekrar</x:v>
      </x:c>
      <x:c r="K1185" s="14" t="str">
        <x:v>Doğrusal Denklemler</x:v>
      </x:c>
      <x:c r="L1185" s="14" t="str">
        <x:v>Doğrusal Denklemler — genel oynatma listesinden ilgili videoyu izle (2/4).</x:v>
      </x:c>
      <x:c r="M1185" s="14" t="str">
        <x:v>Matematik Ana Oynatma Listesi</x:v>
      </x:c>
      <x:c r="N1185" s="14" t="str">
        <x:v>https://www.youtube.com/watch?v=EuJ89QzqrAg&amp;list=PLicNtF7vp6fnfDqrRLH6H7fIbzYT4ct4F&amp;index=11</x:v>
      </x:c>
      <x:c r="O1185" s="14" t="n">
        <x:v>0</x:v>
      </x:c>
      <x:c r="P1185" s="14" t="str">
        <x:v>Hayır</x:v>
      </x:c>
      <x:c r="Q1185" s="14" t="str">
        <x:v>Evet</x:v>
      </x:c>
      <x:c r="R1185" s="14" t="str">
        <x:v>Planlandı</x:v>
      </x:c>
      <x:c r="S1185" s="15" t="str"/>
      <x:c r="T1185" s="14" t="str">
        <x:v>Yeni konu ancak plan sırasıyla açılır; LGS dışı ileri TYT içeriği zorunlu değildir.</x:v>
      </x:c>
    </x:row>
    <x:row r="1186">
      <x:c r="A1186" s="14" t="n">
        <x:v>1185</x:v>
      </x:c>
      <x:c r="B1186" s="15" t="n">
        <x:v>46391</x:v>
      </x:c>
      <x:c r="C1186" s="14" t="str">
        <x:v>Pazartesi</x:v>
      </x:c>
      <x:c r="D1186" s="14" t="str">
        <x:v>Okul Günü</x:v>
      </x:c>
      <x:c r="E1186" s="14" t="str">
        <x:v>16:00 sonrası</x:v>
      </x:c>
      <x:c r="F1186" s="14" t="str">
        <x:v>F2 - LGS Kapsam + Ustalık</x:v>
      </x:c>
      <x:c r="G1186" s="14" t="str">
        <x:v>17:10</x:v>
      </x:c>
      <x:c r="H1186" s="14" t="str">
        <x:v>17:55</x:v>
      </x:c>
      <x:c r="I1186" s="14" t="str">
        <x:v>Matematik</x:v>
      </x:c>
      <x:c r="J1186" s="14" t="str">
        <x:v>Kitap / MEB / Mastery</x:v>
      </x:c>
      <x:c r="K1186" s="14" t="str">
        <x:v>Doğrusal Denklemler</x:v>
      </x:c>
      <x:c r="L1186" s="14" t="str">
        <x:v>Doğrusal Denklemler ile ilgili soru kitabından en az 25 soru / bugünkü test payını çöz.</x:v>
      </x:c>
      <x:c r="M1186" s="14" t="str">
        <x:v>MUBA 8. Sınıf Başlangıç Matematik (ISBN 9789756526972); tamamlandıysa Mozaik 8. Sınıf Matematik</x:v>
      </x:c>
      <x:c r="N1186" s="14" t="str">
        <x:v>https://odsgm.meb.gov.tr/www/8sinif-calisma-sorulari/icerik/1632</x:v>
      </x:c>
      <x:c r="O1186" s="14" t="n">
        <x:v>25</x:v>
      </x:c>
      <x:c r="P1186" s="14" t="str">
        <x:v>İlk 20 soru</x:v>
      </x:c>
      <x:c r="Q1186" s="14" t="str">
        <x:v>Evet</x:v>
      </x:c>
      <x:c r="R1186" s="14" t="str">
        <x:v>Planlandı</x:v>
      </x:c>
      <x:c r="S1186" s="15" t="str"/>
      <x:c r="T1186" s="14" t="str">
        <x:v>Ayrı/rastgele matematik benchmark yoktur. Süreli ilk 20 soru o gün çalışılan konunun içindedir.</x:v>
      </x:c>
    </x:row>
    <x:row r="1187">
      <x:c r="A1187" s="14" t="n">
        <x:v>1186</x:v>
      </x:c>
      <x:c r="B1187" s="15" t="n">
        <x:v>46391</x:v>
      </x:c>
      <x:c r="C1187" s="14" t="str">
        <x:v>Pazartesi</x:v>
      </x:c>
      <x:c r="D1187" s="14" t="str">
        <x:v>Okul Günü</x:v>
      </x:c>
      <x:c r="E1187" s="14" t="str">
        <x:v>16:00 sonrası</x:v>
      </x:c>
      <x:c r="F1187" s="14" t="str">
        <x:v>F2 - LGS Kapsam + Ustalık</x:v>
      </x:c>
      <x:c r="G1187" s="14" t="str">
        <x:v>17:55</x:v>
      </x:c>
      <x:c r="H1187" s="14" t="str">
        <x:v>18:25</x:v>
      </x:c>
      <x:c r="I1187" s="14" t="str">
        <x:v>Genel</x:v>
      </x:c>
      <x:c r="J1187" s="14" t="str">
        <x:v>Yemek / Serbest Zaman</x:v>
      </x:c>
      <x:c r="K1187" s="14" t="str"/>
      <x:c r="L1187" s="14" t="str">
        <x:v>Yemek, hareket ve dinlenme.</x:v>
      </x:c>
      <x:c r="M1187" s="14" t="str"/>
      <x:c r="N1187" s="14" t="str"/>
      <x:c r="O1187" s="14" t="n">
        <x:v>0</x:v>
      </x:c>
      <x:c r="P1187" s="14" t="str">
        <x:v>Hayır</x:v>
      </x:c>
      <x:c r="Q1187" s="14" t="str">
        <x:v>Hayır</x:v>
      </x:c>
      <x:c r="R1187" s="14" t="str">
        <x:v>Planlandı</x:v>
      </x:c>
      <x:c r="S1187" s="15" t="str"/>
      <x:c r="T1187" s="14" t="str"/>
    </x:row>
    <x:row r="1188">
      <x:c r="A1188" s="14" t="n">
        <x:v>1187</x:v>
      </x:c>
      <x:c r="B1188" s="15" t="n">
        <x:v>46391</x:v>
      </x:c>
      <x:c r="C1188" s="14" t="str">
        <x:v>Pazartesi</x:v>
      </x:c>
      <x:c r="D1188" s="14" t="str">
        <x:v>Okul Günü</x:v>
      </x:c>
      <x:c r="E1188" s="14" t="str">
        <x:v>16:00 sonrası</x:v>
      </x:c>
      <x:c r="F1188" s="14" t="str">
        <x:v>F2 - LGS Kapsam + Ustalık</x:v>
      </x:c>
      <x:c r="G1188" s="14" t="str">
        <x:v>18:25</x:v>
      </x:c>
      <x:c r="H1188" s="14" t="str">
        <x:v>18:55</x:v>
      </x:c>
      <x:c r="I1188" s="14" t="str">
        <x:v>Türkçe</x:v>
      </x:c>
      <x:c r="J1188" s="14" t="str">
        <x:v>Paragraf Rutini</x:v>
      </x:c>
      <x:c r="K1188" s="14" t="str">
        <x:v>Paragraf</x:v>
      </x:c>
      <x:c r="L1188" s="14" t="str">
        <x:v>En az 25 paragraf sorusu çöz; ilk 20 soruyu ileri sayımla ölç, D/Y/B + süre kaydet.</x:v>
      </x:c>
      <x:c r="M1188" s="14" t="str">
        <x:v>Hız 8. Sınıf Türkçe Paragraf (ISBN 9786258394498)</x:v>
      </x:c>
      <x:c r="N1188" s="14" t="str"/>
      <x:c r="O1188" s="14" t="n">
        <x:v>25</x:v>
      </x:c>
      <x:c r="P1188" s="14" t="str">
        <x:v>İlk 20 soru</x:v>
      </x:c>
      <x:c r="Q1188" s="14" t="str">
        <x:v>Evet</x:v>
      </x:c>
      <x:c r="R1188" s="14" t="str">
        <x:v>Planlandı</x:v>
      </x:c>
      <x:c r="S1188" s="15" t="str"/>
      <x:c r="T1188" s="14" t="str">
        <x:v>Geri sayım ve hedef süre yok.</x:v>
      </x:c>
    </x:row>
    <x:row r="1189">
      <x:c r="A1189" s="14" t="n">
        <x:v>1188</x:v>
      </x:c>
      <x:c r="B1189" s="15" t="n">
        <x:v>46391</x:v>
      </x:c>
      <x:c r="C1189" s="14" t="str">
        <x:v>Pazartesi</x:v>
      </x:c>
      <x:c r="D1189" s="14" t="str">
        <x:v>Okul Günü</x:v>
      </x:c>
      <x:c r="E1189" s="14" t="str">
        <x:v>16:00 sonrası</x:v>
      </x:c>
      <x:c r="F1189" s="14" t="str">
        <x:v>F2 - LGS Kapsam + Ustalık</x:v>
      </x:c>
      <x:c r="G1189" s="14" t="str">
        <x:v>19:00</x:v>
      </x:c>
      <x:c r="H1189" s="14" t="str">
        <x:v>19:35</x:v>
      </x:c>
      <x:c r="I1189" s="14" t="str">
        <x:v>Türkçe</x:v>
      </x:c>
      <x:c r="J1189" s="14" t="str">
        <x:v>Konu / Tekrar</x:v>
      </x:c>
      <x:c r="K1189" s="14" t="str">
        <x:v>Kaynak Tamamlama / Zayıf Konu</x:v>
      </x:c>
      <x:c r="L1189" s="14" t="str">
        <x:v>Yeni konu açma. En zayıf/açık konunun ilgili playlist videosunu yalnız gerekiyorsa tekrar izle.</x:v>
      </x:c>
      <x:c r="M1189" s="14" t="str">
        <x:v>Türkçe Ana Oynatma Listesi</x:v>
      </x:c>
      <x:c r="N1189" s="14" t="str">
        <x:v>https://www.youtube.com/watch?v=VYsPntNKVdw&amp;list=PLIBjFaUoJJ91bz7QQEBlxNJNZka5YQRr6</x:v>
      </x:c>
      <x:c r="O1189" s="14" t="n">
        <x:v>0</x:v>
      </x:c>
      <x:c r="P1189" s="14" t="str">
        <x:v>Hayır</x:v>
      </x:c>
      <x:c r="Q1189" s="14" t="str">
        <x:v>Evet</x:v>
      </x:c>
      <x:c r="R1189" s="14" t="str">
        <x:v>Planlandı</x:v>
      </x:c>
      <x:c r="S1189" s="15" t="str"/>
      <x:c r="T1189" s="14" t="str">
        <x:v>TYT etiketli kaynak temelden başlamak için sabittir; LGS dışı gereksiz ayrıntı zorunlu değildir.</x:v>
      </x:c>
    </x:row>
    <x:row r="1190">
      <x:c r="A1190" s="14" t="n">
        <x:v>1189</x:v>
      </x:c>
      <x:c r="B1190" s="15" t="n">
        <x:v>46391</x:v>
      </x:c>
      <x:c r="C1190" s="14" t="str">
        <x:v>Pazartesi</x:v>
      </x:c>
      <x:c r="D1190" s="14" t="str">
        <x:v>Okul Günü</x:v>
      </x:c>
      <x:c r="E1190" s="14" t="str">
        <x:v>16:00 sonrası</x:v>
      </x:c>
      <x:c r="F1190" s="14" t="str">
        <x:v>F2 - LGS Kapsam + Ustalık</x:v>
      </x:c>
      <x:c r="G1190" s="14" t="str">
        <x:v>19:40</x:v>
      </x:c>
      <x:c r="H1190" s="14" t="str">
        <x:v>20:10</x:v>
      </x:c>
      <x:c r="I1190" s="14" t="str">
        <x:v>Türkçe</x:v>
      </x:c>
      <x:c r="J1190" s="14" t="str">
        <x:v>Kitap / MEB / Mastery</x:v>
      </x:c>
      <x:c r="K1190" s="14" t="str">
        <x:v>Kaynak Tamamlama / Zayıf Konu</x:v>
      </x:c>
      <x:c r="L1190" s="14" t="str">
        <x:v>13 Nisan %100 tamamlama hedefine göre en geride kalan Türkçe soru kaynağını/eksik MEB setini ilerlet; açık yanlışları kapat.</x:v>
      </x:c>
      <x:c r="M1190" s="14" t="str">
        <x:v>Ankara 8. Sınıf Dil Bilgisi Güçlendiren + açık MEB/yanlışlar</x:v>
      </x:c>
      <x:c r="N1190" s="14" t="str">
        <x:v>https://odsgm.meb.gov.tr/www/8sinif-calisma-sorulari/icerik/1632</x:v>
      </x:c>
      <x:c r="O1190" s="14" t="n">
        <x:v>15</x:v>
      </x:c>
      <x:c r="P1190" s="14" t="str">
        <x:v>Hayır</x:v>
      </x:c>
      <x:c r="Q1190" s="14" t="str">
        <x:v>Evet</x:v>
      </x:c>
      <x:c r="R1190" s="14" t="str">
        <x:v>Planlandı</x:v>
      </x:c>
      <x:c r="S1190" s="15" t="str"/>
      <x:c r="T1190" s="14" t="str"/>
    </x:row>
    <x:row r="1191">
      <x:c r="A1191" s="14" t="n">
        <x:v>1190</x:v>
      </x:c>
      <x:c r="B1191" s="15" t="n">
        <x:v>46391</x:v>
      </x:c>
      <x:c r="C1191" s="14" t="str">
        <x:v>Pazartesi</x:v>
      </x:c>
      <x:c r="D1191" s="14" t="str">
        <x:v>Okul Günü</x:v>
      </x:c>
      <x:c r="E1191" s="14" t="str">
        <x:v>16:00 sonrası</x:v>
      </x:c>
      <x:c r="F1191" s="14" t="str">
        <x:v>F2 - LGS Kapsam + Ustalık</x:v>
      </x:c>
      <x:c r="G1191" s="14" t="str">
        <x:v>20:15</x:v>
      </x:c>
      <x:c r="H1191" s="14" t="str">
        <x:v>20:50</x:v>
      </x:c>
      <x:c r="I1191" s="14" t="str">
        <x:v>İngilizce</x:v>
      </x:c>
      <x:c r="J1191" s="14" t="str">
        <x:v>Konu / Tekrar</x:v>
      </x:c>
      <x:c r="K1191" s="14" t="str">
        <x:v>Unit 6 - Adventures</x:v>
      </x:c>
      <x:c r="L1191" s="14" t="str">
        <x:v>Unit 6 - Adventures — MEB doğrulaması öncesi 5-10 dk aktif hatırlama; gerekiyorsa ilgili playlist videosuna kısa dönüş yap.</x:v>
      </x:c>
      <x:c r="M1191" s="14" t="str">
        <x:v>İngilizce Genel Oynatma Listesi</x:v>
      </x:c>
      <x:c r="N1191" s="14" t="str">
        <x:v>https://www.youtube.com/watch?v=FaY3dFjZbns&amp;list=PLSgpQDrUSYp94WgE9pzpHiOG5FwxnZBrr</x:v>
      </x:c>
      <x:c r="O1191" s="14" t="n">
        <x:v>0</x:v>
      </x:c>
      <x:c r="P1191" s="14" t="str">
        <x:v>Hayır</x:v>
      </x:c>
      <x:c r="Q1191" s="14" t="str">
        <x:v>Evet</x:v>
      </x:c>
      <x:c r="R1191" s="14" t="str">
        <x:v>Planlandı</x:v>
      </x:c>
      <x:c r="S1191" s="15" t="str"/>
      <x:c r="T1191" s="14" t="str"/>
    </x:row>
    <x:row r="1192">
      <x:c r="A1192" s="14" t="n">
        <x:v>1191</x:v>
      </x:c>
      <x:c r="B1192" s="15" t="n">
        <x:v>46391</x:v>
      </x:c>
      <x:c r="C1192" s="14" t="str">
        <x:v>Pazartesi</x:v>
      </x:c>
      <x:c r="D1192" s="14" t="str">
        <x:v>Okul Günü</x:v>
      </x:c>
      <x:c r="E1192" s="14" t="str">
        <x:v>16:00 sonrası</x:v>
      </x:c>
      <x:c r="F1192" s="14" t="str">
        <x:v>F2 - LGS Kapsam + Ustalık</x:v>
      </x:c>
      <x:c r="G1192" s="14" t="str">
        <x:v>20:55</x:v>
      </x:c>
      <x:c r="H1192" s="14" t="str">
        <x:v>21:20</x:v>
      </x:c>
      <x:c r="I1192" s="14" t="str">
        <x:v>İngilizce</x:v>
      </x:c>
      <x:c r="J1192" s="14" t="str">
        <x:v>Kitap / MEB / Mastery</x:v>
      </x:c>
      <x:c r="K1192" s="14" t="str">
        <x:v>Unit 6 - Adventures</x:v>
      </x:c>
      <x:c r="L1192" s="14" t="str">
        <x:v>Unit 6 - Adventures için ilgili MEB sorularını TAMAMLA; D/Y/B kaydet. Bu oturum konu mastery gate'idir.</x:v>
      </x:c>
      <x:c r="M1192" s="14" t="str">
        <x:v>MEB 8. Sınıf İngilizce Soruları</x:v>
      </x:c>
      <x:c r="N1192" s="14" t="str">
        <x:v>https://odsgm.meb.gov.tr/www/8sinif-calisma-sorulari/icerik/1632</x:v>
      </x:c>
      <x:c r="O1192" s="14" t="n">
        <x:v>0</x:v>
      </x:c>
      <x:c r="P1192" s="14" t="str">
        <x:v>Hayır</x:v>
      </x:c>
      <x:c r="Q1192" s="14" t="str">
        <x:v>Evet</x:v>
      </x:c>
      <x:c r="R1192" s="14" t="str">
        <x:v>Planlandı</x:v>
      </x:c>
      <x:c r="S1192" s="15" t="str"/>
      <x:c r="T1192" s="14" t="str">
        <x:v>MEB sonucu Konu_Ustaligi sayfasına işlenir.</x:v>
      </x:c>
    </x:row>
    <x:row r="1193">
      <x:c r="A1193" s="14" t="n">
        <x:v>1192</x:v>
      </x:c>
      <x:c r="B1193" s="15" t="n">
        <x:v>46391</x:v>
      </x:c>
      <x:c r="C1193" s="14" t="str">
        <x:v>Pazartesi</x:v>
      </x:c>
      <x:c r="D1193" s="14" t="str">
        <x:v>Okul Günü</x:v>
      </x:c>
      <x:c r="E1193" s="14" t="str">
        <x:v>16:00 sonrası</x:v>
      </x:c>
      <x:c r="F1193" s="14" t="str">
        <x:v>F2 - LGS Kapsam + Ustalık</x:v>
      </x:c>
      <x:c r="G1193" s="14" t="str">
        <x:v>21:20</x:v>
      </x:c>
      <x:c r="H1193" s="14" t="str">
        <x:v>21:35</x:v>
      </x:c>
      <x:c r="I1193" s="14" t="str">
        <x:v>Genel</x:v>
      </x:c>
      <x:c r="J1193" s="14" t="str">
        <x:v>Yanlış / Boş Analizi</x:v>
      </x:c>
      <x:c r="K1193" s="14" t="str">
        <x:v>Günlük</x:v>
      </x:c>
      <x:c r="L1193" s="14" t="str">
        <x:v>Bugünkü yanlış/boşları kaydet; çözümünü öğrenmeden kapatma. Hata türünü sınıflandır.</x:v>
      </x:c>
      <x:c r="M1193" s="14" t="str">
        <x:v>Yanlış Defteri</x:v>
      </x:c>
      <x:c r="N1193" s="14" t="str"/>
      <x:c r="O1193" s="14" t="n">
        <x:v>0</x:v>
      </x:c>
      <x:c r="P1193" s="14" t="str">
        <x:v>Hayır</x:v>
      </x:c>
      <x:c r="Q1193" s="14" t="str">
        <x:v>Evet</x:v>
      </x:c>
      <x:c r="R1193" s="14" t="str">
        <x:v>Planlandı</x:v>
      </x:c>
      <x:c r="S1193" s="15" t="str"/>
      <x:c r="T1193" s="14" t="str"/>
    </x:row>
    <x:row r="1194">
      <x:c r="A1194" s="14" t="n">
        <x:v>1193</x:v>
      </x:c>
      <x:c r="B1194" s="15" t="n">
        <x:v>46391</x:v>
      </x:c>
      <x:c r="C1194" s="14" t="str">
        <x:v>Pazartesi</x:v>
      </x:c>
      <x:c r="D1194" s="14" t="str">
        <x:v>Okul Günü</x:v>
      </x:c>
      <x:c r="E1194" s="14" t="str">
        <x:v>16:00 sonrası</x:v>
      </x:c>
      <x:c r="F1194" s="14" t="str">
        <x:v>F2 - LGS Kapsam + Ustalık</x:v>
      </x:c>
      <x:c r="G1194" s="14" t="str">
        <x:v>21:35</x:v>
      </x:c>
      <x:c r="H1194" s="14" t="str">
        <x:v>21:50</x:v>
      </x:c>
      <x:c r="I1194" s="14" t="str">
        <x:v>Genel</x:v>
      </x:c>
      <x:c r="J1194" s="14" t="str">
        <x:v>Aralıklı Hata Tekrarı</x:v>
      </x:c>
      <x:c r="K1194" s="14" t="str">
        <x:v>+1 / +7 / +21</x:v>
      </x:c>
      <x:c r="L1194" s="14" t="str">
        <x:v>Bugün vadesi gelen yanlış soruları tekrar çöz. Vadesi yoksa bu süre serbest/okuma olabilir.</x:v>
      </x:c>
      <x:c r="M1194" s="14" t="str">
        <x:v>Yanlış Defteri</x:v>
      </x:c>
      <x:c r="N1194" s="14" t="str"/>
      <x:c r="O1194" s="14" t="n">
        <x:v>0</x:v>
      </x:c>
      <x:c r="P1194" s="14" t="str">
        <x:v>Hayır</x:v>
      </x:c>
      <x:c r="Q1194" s="14" t="str">
        <x:v>Koşullu</x:v>
      </x:c>
      <x:c r="R1194" s="14" t="str">
        <x:v>Planlandı</x:v>
      </x:c>
      <x:c r="S1194" s="15" t="str"/>
      <x:c r="T1194" s="14" t="str">
        <x:v>Yanlışlar +1, +7 ve +21 gün aralıklarıyla tekrar edilir; hâlâ yanlışsa konu mastery durumu düşürülür.</x:v>
      </x:c>
    </x:row>
    <x:row r="1195">
      <x:c r="A1195" s="14" t="n">
        <x:v>1194</x:v>
      </x:c>
      <x:c r="B1195" s="15" t="n">
        <x:v>46391</x:v>
      </x:c>
      <x:c r="C1195" s="14" t="str">
        <x:v>Pazartesi</x:v>
      </x:c>
      <x:c r="D1195" s="14" t="str">
        <x:v>Okul Günü</x:v>
      </x:c>
      <x:c r="E1195" s="14" t="str">
        <x:v>16:00 sonrası</x:v>
      </x:c>
      <x:c r="F1195" s="14" t="str">
        <x:v>F2 - LGS Kapsam + Ustalık</x:v>
      </x:c>
      <x:c r="G1195" s="14" t="str">
        <x:v>21:50</x:v>
      </x:c>
      <x:c r="H1195" s="14" t="str">
        <x:v>22:00</x:v>
      </x:c>
      <x:c r="I1195" s="14" t="str">
        <x:v>Genel</x:v>
      </x:c>
      <x:c r="J1195" s="14" t="str">
        <x:v>Uyku Hazırlığı</x:v>
      </x:c>
      <x:c r="K1195" s="14" t="str"/>
      <x:c r="L1195" s="14" t="str">
        <x:v>22:00'de yatakta ve uyku.</x:v>
      </x:c>
      <x:c r="M1195" s="14" t="str"/>
      <x:c r="N1195" s="14" t="str"/>
      <x:c r="O1195" s="14" t="n">
        <x:v>0</x:v>
      </x:c>
      <x:c r="P1195" s="14" t="str">
        <x:v>Hayır</x:v>
      </x:c>
      <x:c r="Q1195" s="14" t="str">
        <x:v>Hayır</x:v>
      </x:c>
      <x:c r="R1195" s="14" t="str">
        <x:v>Planlandı</x:v>
      </x:c>
      <x:c r="S1195" s="15" t="str"/>
      <x:c r="T1195" s="14" t="str"/>
    </x:row>
    <x:row r="1196">
      <x:c r="A1196" s="14" t="n">
        <x:v>1195</x:v>
      </x:c>
      <x:c r="B1196" s="15" t="n">
        <x:v>46392</x:v>
      </x:c>
      <x:c r="C1196" s="14" t="str">
        <x:v>Salı</x:v>
      </x:c>
      <x:c r="D1196" s="14" t="str">
        <x:v>Okul Günü</x:v>
      </x:c>
      <x:c r="E1196" s="14" t="str">
        <x:v>16:00 sonrası</x:v>
      </x:c>
      <x:c r="F1196" s="14" t="str">
        <x:v>F2 - LGS Kapsam + Ustalık</x:v>
      </x:c>
      <x:c r="G1196" s="14" t="str">
        <x:v>16:00</x:v>
      </x:c>
      <x:c r="H1196" s="14" t="str">
        <x:v>16:25</x:v>
      </x:c>
      <x:c r="I1196" s="14" t="str">
        <x:v>Genel</x:v>
      </x:c>
      <x:c r="J1196" s="14" t="str">
        <x:v>Dinlenme</x:v>
      </x:c>
      <x:c r="K1196" s="14" t="str"/>
      <x:c r="L1196" s="14" t="str">
        <x:v>Eve geliş, atıştırma ve dinlenme.</x:v>
      </x:c>
      <x:c r="M1196" s="14" t="str"/>
      <x:c r="N1196" s="14" t="str"/>
      <x:c r="O1196" s="14" t="n">
        <x:v>0</x:v>
      </x:c>
      <x:c r="P1196" s="14" t="str">
        <x:v>Hayır</x:v>
      </x:c>
      <x:c r="Q1196" s="14" t="str">
        <x:v>Hayır</x:v>
      </x:c>
      <x:c r="R1196" s="14" t="str">
        <x:v>Planlandı</x:v>
      </x:c>
      <x:c r="S1196" s="15" t="str"/>
      <x:c r="T1196" s="14" t="str"/>
    </x:row>
    <x:row r="1197">
      <x:c r="A1197" s="14" t="n">
        <x:v>1196</x:v>
      </x:c>
      <x:c r="B1197" s="15" t="n">
        <x:v>46392</x:v>
      </x:c>
      <x:c r="C1197" s="14" t="str">
        <x:v>Salı</x:v>
      </x:c>
      <x:c r="D1197" s="14" t="str">
        <x:v>Okul Günü</x:v>
      </x:c>
      <x:c r="E1197" s="14" t="str">
        <x:v>16:00 sonrası</x:v>
      </x:c>
      <x:c r="F1197" s="14" t="str">
        <x:v>F2 - LGS Kapsam + Ustalık</x:v>
      </x:c>
      <x:c r="G1197" s="14" t="str">
        <x:v>16:25</x:v>
      </x:c>
      <x:c r="H1197" s="14" t="str">
        <x:v>17:05</x:v>
      </x:c>
      <x:c r="I1197" s="14" t="str">
        <x:v>Matematik</x:v>
      </x:c>
      <x:c r="J1197" s="14" t="str">
        <x:v>Konu / Tekrar</x:v>
      </x:c>
      <x:c r="K1197" s="14" t="str">
        <x:v>Doğrusal Denklemler</x:v>
      </x:c>
      <x:c r="L1197" s="14" t="str">
        <x:v>Doğrusal Denklemler — genel oynatma listesinden ilgili videoyu izle (3/4).</x:v>
      </x:c>
      <x:c r="M1197" s="14" t="str">
        <x:v>Matematik Ana Oynatma Listesi</x:v>
      </x:c>
      <x:c r="N1197" s="14" t="str">
        <x:v>https://www.youtube.com/watch?v=EuJ89QzqrAg&amp;list=PLicNtF7vp6fnfDqrRLH6H7fIbzYT4ct4F&amp;index=11</x:v>
      </x:c>
      <x:c r="O1197" s="14" t="n">
        <x:v>0</x:v>
      </x:c>
      <x:c r="P1197" s="14" t="str">
        <x:v>Hayır</x:v>
      </x:c>
      <x:c r="Q1197" s="14" t="str">
        <x:v>Evet</x:v>
      </x:c>
      <x:c r="R1197" s="14" t="str">
        <x:v>Planlandı</x:v>
      </x:c>
      <x:c r="S1197" s="15" t="str"/>
      <x:c r="T1197" s="14" t="str">
        <x:v>Yeni konu ancak plan sırasıyla açılır; LGS dışı ileri TYT içeriği zorunlu değildir.</x:v>
      </x:c>
    </x:row>
    <x:row r="1198">
      <x:c r="A1198" s="14" t="n">
        <x:v>1197</x:v>
      </x:c>
      <x:c r="B1198" s="15" t="n">
        <x:v>46392</x:v>
      </x:c>
      <x:c r="C1198" s="14" t="str">
        <x:v>Salı</x:v>
      </x:c>
      <x:c r="D1198" s="14" t="str">
        <x:v>Okul Günü</x:v>
      </x:c>
      <x:c r="E1198" s="14" t="str">
        <x:v>16:00 sonrası</x:v>
      </x:c>
      <x:c r="F1198" s="14" t="str">
        <x:v>F2 - LGS Kapsam + Ustalık</x:v>
      </x:c>
      <x:c r="G1198" s="14" t="str">
        <x:v>17:10</x:v>
      </x:c>
      <x:c r="H1198" s="14" t="str">
        <x:v>17:55</x:v>
      </x:c>
      <x:c r="I1198" s="14" t="str">
        <x:v>Matematik</x:v>
      </x:c>
      <x:c r="J1198" s="14" t="str">
        <x:v>Kitap / MEB / Mastery</x:v>
      </x:c>
      <x:c r="K1198" s="14" t="str">
        <x:v>Doğrusal Denklemler</x:v>
      </x:c>
      <x:c r="L1198" s="14" t="str">
        <x:v>Doğrusal Denklemler ile ilgili soru kitabından en az 25 soru / bugünkü test payını çöz.</x:v>
      </x:c>
      <x:c r="M1198" s="14" t="str">
        <x:v>MUBA 8. Sınıf Başlangıç Matematik (ISBN 9789756526972); tamamlandıysa Mozaik 8. Sınıf Matematik</x:v>
      </x:c>
      <x:c r="N1198" s="14" t="str">
        <x:v>https://odsgm.meb.gov.tr/www/8sinif-calisma-sorulari/icerik/1632</x:v>
      </x:c>
      <x:c r="O1198" s="14" t="n">
        <x:v>25</x:v>
      </x:c>
      <x:c r="P1198" s="14" t="str">
        <x:v>İlk 20 soru</x:v>
      </x:c>
      <x:c r="Q1198" s="14" t="str">
        <x:v>Evet</x:v>
      </x:c>
      <x:c r="R1198" s="14" t="str">
        <x:v>Planlandı</x:v>
      </x:c>
      <x:c r="S1198" s="15" t="str"/>
      <x:c r="T1198" s="14" t="str">
        <x:v>Ayrı/rastgele matematik benchmark yoktur. Süreli ilk 20 soru o gün çalışılan konunun içindedir.</x:v>
      </x:c>
    </x:row>
    <x:row r="1199">
      <x:c r="A1199" s="14" t="n">
        <x:v>1198</x:v>
      </x:c>
      <x:c r="B1199" s="15" t="n">
        <x:v>46392</x:v>
      </x:c>
      <x:c r="C1199" s="14" t="str">
        <x:v>Salı</x:v>
      </x:c>
      <x:c r="D1199" s="14" t="str">
        <x:v>Okul Günü</x:v>
      </x:c>
      <x:c r="E1199" s="14" t="str">
        <x:v>16:00 sonrası</x:v>
      </x:c>
      <x:c r="F1199" s="14" t="str">
        <x:v>F2 - LGS Kapsam + Ustalık</x:v>
      </x:c>
      <x:c r="G1199" s="14" t="str">
        <x:v>17:55</x:v>
      </x:c>
      <x:c r="H1199" s="14" t="str">
        <x:v>18:25</x:v>
      </x:c>
      <x:c r="I1199" s="14" t="str">
        <x:v>Genel</x:v>
      </x:c>
      <x:c r="J1199" s="14" t="str">
        <x:v>Yemek / Serbest Zaman</x:v>
      </x:c>
      <x:c r="K1199" s="14" t="str"/>
      <x:c r="L1199" s="14" t="str">
        <x:v>Yemek, hareket ve dinlenme.</x:v>
      </x:c>
      <x:c r="M1199" s="14" t="str"/>
      <x:c r="N1199" s="14" t="str"/>
      <x:c r="O1199" s="14" t="n">
        <x:v>0</x:v>
      </x:c>
      <x:c r="P1199" s="14" t="str">
        <x:v>Hayır</x:v>
      </x:c>
      <x:c r="Q1199" s="14" t="str">
        <x:v>Hayır</x:v>
      </x:c>
      <x:c r="R1199" s="14" t="str">
        <x:v>Planlandı</x:v>
      </x:c>
      <x:c r="S1199" s="15" t="str"/>
      <x:c r="T1199" s="14" t="str"/>
    </x:row>
    <x:row r="1200">
      <x:c r="A1200" s="14" t="n">
        <x:v>1199</x:v>
      </x:c>
      <x:c r="B1200" s="15" t="n">
        <x:v>46392</x:v>
      </x:c>
      <x:c r="C1200" s="14" t="str">
        <x:v>Salı</x:v>
      </x:c>
      <x:c r="D1200" s="14" t="str">
        <x:v>Okul Günü</x:v>
      </x:c>
      <x:c r="E1200" s="14" t="str">
        <x:v>16:00 sonrası</x:v>
      </x:c>
      <x:c r="F1200" s="14" t="str">
        <x:v>F2 - LGS Kapsam + Ustalık</x:v>
      </x:c>
      <x:c r="G1200" s="14" t="str">
        <x:v>18:25</x:v>
      </x:c>
      <x:c r="H1200" s="14" t="str">
        <x:v>18:55</x:v>
      </x:c>
      <x:c r="I1200" s="14" t="str">
        <x:v>Türkçe</x:v>
      </x:c>
      <x:c r="J1200" s="14" t="str">
        <x:v>Paragraf Rutini</x:v>
      </x:c>
      <x:c r="K1200" s="14" t="str">
        <x:v>Paragraf</x:v>
      </x:c>
      <x:c r="L1200" s="14" t="str">
        <x:v>En az 25 paragraf sorusu çöz; ilk 20 soruyu ileri sayımla ölç, D/Y/B + süre kaydet.</x:v>
      </x:c>
      <x:c r="M1200" s="14" t="str">
        <x:v>Hız 8. Sınıf Türkçe Paragraf (ISBN 9786258394498)</x:v>
      </x:c>
      <x:c r="N1200" s="14" t="str"/>
      <x:c r="O1200" s="14" t="n">
        <x:v>25</x:v>
      </x:c>
      <x:c r="P1200" s="14" t="str">
        <x:v>İlk 20 soru</x:v>
      </x:c>
      <x:c r="Q1200" s="14" t="str">
        <x:v>Evet</x:v>
      </x:c>
      <x:c r="R1200" s="14" t="str">
        <x:v>Planlandı</x:v>
      </x:c>
      <x:c r="S1200" s="15" t="str"/>
      <x:c r="T1200" s="14" t="str">
        <x:v>Geri sayım ve hedef süre yok.</x:v>
      </x:c>
    </x:row>
    <x:row r="1201">
      <x:c r="A1201" s="14" t="n">
        <x:v>1200</x:v>
      </x:c>
      <x:c r="B1201" s="15" t="n">
        <x:v>46392</x:v>
      </x:c>
      <x:c r="C1201" s="14" t="str">
        <x:v>Salı</x:v>
      </x:c>
      <x:c r="D1201" s="14" t="str">
        <x:v>Okul Günü</x:v>
      </x:c>
      <x:c r="E1201" s="14" t="str">
        <x:v>16:00 sonrası</x:v>
      </x:c>
      <x:c r="F1201" s="14" t="str">
        <x:v>F2 - LGS Kapsam + Ustalık</x:v>
      </x:c>
      <x:c r="G1201" s="14" t="str">
        <x:v>19:00</x:v>
      </x:c>
      <x:c r="H1201" s="14" t="str">
        <x:v>19:35</x:v>
      </x:c>
      <x:c r="I1201" s="14" t="str">
        <x:v>Türkçe</x:v>
      </x:c>
      <x:c r="J1201" s="14" t="str">
        <x:v>Konu / Tekrar</x:v>
      </x:c>
      <x:c r="K1201" s="14" t="str">
        <x:v>Kaynak Tamamlama / Zayıf Konu</x:v>
      </x:c>
      <x:c r="L1201" s="14" t="str">
        <x:v>Yeni konu açma. En zayıf/açık konunun ilgili playlist videosunu yalnız gerekiyorsa tekrar izle.</x:v>
      </x:c>
      <x:c r="M1201" s="14" t="str">
        <x:v>Türkçe Ana Oynatma Listesi</x:v>
      </x:c>
      <x:c r="N1201" s="14" t="str">
        <x:v>https://www.youtube.com/watch?v=VYsPntNKVdw&amp;list=PLIBjFaUoJJ91bz7QQEBlxNJNZka5YQRr6</x:v>
      </x:c>
      <x:c r="O1201" s="14" t="n">
        <x:v>0</x:v>
      </x:c>
      <x:c r="P1201" s="14" t="str">
        <x:v>Hayır</x:v>
      </x:c>
      <x:c r="Q1201" s="14" t="str">
        <x:v>Evet</x:v>
      </x:c>
      <x:c r="R1201" s="14" t="str">
        <x:v>Planlandı</x:v>
      </x:c>
      <x:c r="S1201" s="15" t="str"/>
      <x:c r="T1201" s="14" t="str">
        <x:v>TYT etiketli kaynak temelden başlamak için sabittir; LGS dışı gereksiz ayrıntı zorunlu değildir.</x:v>
      </x:c>
    </x:row>
    <x:row r="1202">
      <x:c r="A1202" s="14" t="n">
        <x:v>1201</x:v>
      </x:c>
      <x:c r="B1202" s="15" t="n">
        <x:v>46392</x:v>
      </x:c>
      <x:c r="C1202" s="14" t="str">
        <x:v>Salı</x:v>
      </x:c>
      <x:c r="D1202" s="14" t="str">
        <x:v>Okul Günü</x:v>
      </x:c>
      <x:c r="E1202" s="14" t="str">
        <x:v>16:00 sonrası</x:v>
      </x:c>
      <x:c r="F1202" s="14" t="str">
        <x:v>F2 - LGS Kapsam + Ustalık</x:v>
      </x:c>
      <x:c r="G1202" s="14" t="str">
        <x:v>19:40</x:v>
      </x:c>
      <x:c r="H1202" s="14" t="str">
        <x:v>20:10</x:v>
      </x:c>
      <x:c r="I1202" s="14" t="str">
        <x:v>Türkçe</x:v>
      </x:c>
      <x:c r="J1202" s="14" t="str">
        <x:v>Kitap / MEB / Mastery</x:v>
      </x:c>
      <x:c r="K1202" s="14" t="str">
        <x:v>Kaynak Tamamlama / Zayıf Konu</x:v>
      </x:c>
      <x:c r="L1202" s="14" t="str">
        <x:v>13 Nisan %100 tamamlama hedefine göre en geride kalan Türkçe soru kaynağını/eksik MEB setini ilerlet; açık yanlışları kapat.</x:v>
      </x:c>
      <x:c r="M1202" s="14" t="str">
        <x:v>Ankara 8. Sınıf Dil Bilgisi Güçlendiren + açık MEB/yanlışlar</x:v>
      </x:c>
      <x:c r="N1202" s="14" t="str">
        <x:v>https://odsgm.meb.gov.tr/www/8sinif-calisma-sorulari/icerik/1632</x:v>
      </x:c>
      <x:c r="O1202" s="14" t="n">
        <x:v>15</x:v>
      </x:c>
      <x:c r="P1202" s="14" t="str">
        <x:v>Hayır</x:v>
      </x:c>
      <x:c r="Q1202" s="14" t="str">
        <x:v>Evet</x:v>
      </x:c>
      <x:c r="R1202" s="14" t="str">
        <x:v>Planlandı</x:v>
      </x:c>
      <x:c r="S1202" s="15" t="str"/>
      <x:c r="T1202" s="14" t="str"/>
    </x:row>
    <x:row r="1203">
      <x:c r="A1203" s="14" t="n">
        <x:v>1202</x:v>
      </x:c>
      <x:c r="B1203" s="15" t="n">
        <x:v>46392</x:v>
      </x:c>
      <x:c r="C1203" s="14" t="str">
        <x:v>Salı</x:v>
      </x:c>
      <x:c r="D1203" s="14" t="str">
        <x:v>Okul Günü</x:v>
      </x:c>
      <x:c r="E1203" s="14" t="str">
        <x:v>16:00 sonrası</x:v>
      </x:c>
      <x:c r="F1203" s="14" t="str">
        <x:v>F2 - LGS Kapsam + Ustalık</x:v>
      </x:c>
      <x:c r="G1203" s="14" t="str">
        <x:v>20:15</x:v>
      </x:c>
      <x:c r="H1203" s="14" t="str">
        <x:v>20:50</x:v>
      </x:c>
      <x:c r="I1203" s="14" t="str">
        <x:v>Fen</x:v>
      </x:c>
      <x:c r="J1203" s="14" t="str">
        <x:v>Konu / Tekrar</x:v>
      </x:c>
      <x:c r="K1203" s="14" t="str">
        <x:v>Maddenin Isı ile Etkileşimi</x:v>
      </x:c>
      <x:c r="L1203" s="14" t="str">
        <x:v>Maddenin Isı ile Etkileşimi — MEB doğrulaması öncesi 5-10 dk aktif hatırlama; gerekiyorsa ilgili playlist videosuna kısa dönüş yap.</x:v>
      </x:c>
      <x:c r="M1203" s="14" t="str">
        <x:v>Fen Soru Çözüm / Tekrar</x:v>
      </x:c>
      <x:c r="N1203" s="14" t="str">
        <x:v>https://www.youtube.com/watch?v=pQXhWnDZ3vM&amp;list=PLrQm7mt99FRXcBnorCttd31HJEvg0En26&amp;index=23</x:v>
      </x:c>
      <x:c r="O1203" s="14" t="n">
        <x:v>0</x:v>
      </x:c>
      <x:c r="P1203" s="14" t="str">
        <x:v>Hayır</x:v>
      </x:c>
      <x:c r="Q1203" s="14" t="str">
        <x:v>Evet</x:v>
      </x:c>
      <x:c r="R1203" s="14" t="str">
        <x:v>Planlandı</x:v>
      </x:c>
      <x:c r="S1203" s="15" t="str"/>
      <x:c r="T1203" s="14" t="str"/>
    </x:row>
    <x:row r="1204">
      <x:c r="A1204" s="14" t="n">
        <x:v>1203</x:v>
      </x:c>
      <x:c r="B1204" s="15" t="n">
        <x:v>46392</x:v>
      </x:c>
      <x:c r="C1204" s="14" t="str">
        <x:v>Salı</x:v>
      </x:c>
      <x:c r="D1204" s="14" t="str">
        <x:v>Okul Günü</x:v>
      </x:c>
      <x:c r="E1204" s="14" t="str">
        <x:v>16:00 sonrası</x:v>
      </x:c>
      <x:c r="F1204" s="14" t="str">
        <x:v>F2 - LGS Kapsam + Ustalık</x:v>
      </x:c>
      <x:c r="G1204" s="14" t="str">
        <x:v>20:55</x:v>
      </x:c>
      <x:c r="H1204" s="14" t="str">
        <x:v>21:20</x:v>
      </x:c>
      <x:c r="I1204" s="14" t="str">
        <x:v>Fen</x:v>
      </x:c>
      <x:c r="J1204" s="14" t="str">
        <x:v>Kitap / MEB / Mastery</x:v>
      </x:c>
      <x:c r="K1204" s="14" t="str">
        <x:v>Maddenin Isı ile Etkileşimi</x:v>
      </x:c>
      <x:c r="L1204" s="14" t="str">
        <x:v>Maddenin Isı ile Etkileşimi için ilgili MEB sorularını TAMAMLA; D/Y/B kaydet. Bu oturum konu mastery gate'idir.</x:v>
      </x:c>
      <x:c r="M1204" s="14" t="str">
        <x:v>MEB 8. Sınıf Fen Soruları</x:v>
      </x:c>
      <x:c r="N1204" s="14" t="str">
        <x:v>https://odsgm.meb.gov.tr/www/8sinif-calisma-sorulari/icerik/1632</x:v>
      </x:c>
      <x:c r="O1204" s="14" t="n">
        <x:v>0</x:v>
      </x:c>
      <x:c r="P1204" s="14" t="str">
        <x:v>Hayır</x:v>
      </x:c>
      <x:c r="Q1204" s="14" t="str">
        <x:v>Evet</x:v>
      </x:c>
      <x:c r="R1204" s="14" t="str">
        <x:v>Planlandı</x:v>
      </x:c>
      <x:c r="S1204" s="15" t="str"/>
      <x:c r="T1204" s="14" t="str">
        <x:v>MEB sonucu Konu_Ustaligi sayfasına işlenir.</x:v>
      </x:c>
    </x:row>
    <x:row r="1205">
      <x:c r="A1205" s="14" t="n">
        <x:v>1204</x:v>
      </x:c>
      <x:c r="B1205" s="15" t="n">
        <x:v>46392</x:v>
      </x:c>
      <x:c r="C1205" s="14" t="str">
        <x:v>Salı</x:v>
      </x:c>
      <x:c r="D1205" s="14" t="str">
        <x:v>Okul Günü</x:v>
      </x:c>
      <x:c r="E1205" s="14" t="str">
        <x:v>16:00 sonrası</x:v>
      </x:c>
      <x:c r="F1205" s="14" t="str">
        <x:v>F2 - LGS Kapsam + Ustalık</x:v>
      </x:c>
      <x:c r="G1205" s="14" t="str">
        <x:v>21:20</x:v>
      </x:c>
      <x:c r="H1205" s="14" t="str">
        <x:v>21:35</x:v>
      </x:c>
      <x:c r="I1205" s="14" t="str">
        <x:v>Genel</x:v>
      </x:c>
      <x:c r="J1205" s="14" t="str">
        <x:v>Yanlış / Boş Analizi</x:v>
      </x:c>
      <x:c r="K1205" s="14" t="str">
        <x:v>Günlük</x:v>
      </x:c>
      <x:c r="L1205" s="14" t="str">
        <x:v>Bugünkü yanlış/boşları kaydet; çözümünü öğrenmeden kapatma. Hata türünü sınıflandır.</x:v>
      </x:c>
      <x:c r="M1205" s="14" t="str">
        <x:v>Yanlış Defteri</x:v>
      </x:c>
      <x:c r="N1205" s="14" t="str"/>
      <x:c r="O1205" s="14" t="n">
        <x:v>0</x:v>
      </x:c>
      <x:c r="P1205" s="14" t="str">
        <x:v>Hayır</x:v>
      </x:c>
      <x:c r="Q1205" s="14" t="str">
        <x:v>Evet</x:v>
      </x:c>
      <x:c r="R1205" s="14" t="str">
        <x:v>Planlandı</x:v>
      </x:c>
      <x:c r="S1205" s="15" t="str"/>
      <x:c r="T1205" s="14" t="str"/>
    </x:row>
    <x:row r="1206">
      <x:c r="A1206" s="14" t="n">
        <x:v>1205</x:v>
      </x:c>
      <x:c r="B1206" s="15" t="n">
        <x:v>46392</x:v>
      </x:c>
      <x:c r="C1206" s="14" t="str">
        <x:v>Salı</x:v>
      </x:c>
      <x:c r="D1206" s="14" t="str">
        <x:v>Okul Günü</x:v>
      </x:c>
      <x:c r="E1206" s="14" t="str">
        <x:v>16:00 sonrası</x:v>
      </x:c>
      <x:c r="F1206" s="14" t="str">
        <x:v>F2 - LGS Kapsam + Ustalık</x:v>
      </x:c>
      <x:c r="G1206" s="14" t="str">
        <x:v>21:35</x:v>
      </x:c>
      <x:c r="H1206" s="14" t="str">
        <x:v>21:50</x:v>
      </x:c>
      <x:c r="I1206" s="14" t="str">
        <x:v>Genel</x:v>
      </x:c>
      <x:c r="J1206" s="14" t="str">
        <x:v>Aralıklı Hata Tekrarı</x:v>
      </x:c>
      <x:c r="K1206" s="14" t="str">
        <x:v>+1 / +7 / +21</x:v>
      </x:c>
      <x:c r="L1206" s="14" t="str">
        <x:v>Bugün vadesi gelen yanlış soruları tekrar çöz. Vadesi yoksa bu süre serbest/okuma olabilir.</x:v>
      </x:c>
      <x:c r="M1206" s="14" t="str">
        <x:v>Yanlış Defteri</x:v>
      </x:c>
      <x:c r="N1206" s="14" t="str"/>
      <x:c r="O1206" s="14" t="n">
        <x:v>0</x:v>
      </x:c>
      <x:c r="P1206" s="14" t="str">
        <x:v>Hayır</x:v>
      </x:c>
      <x:c r="Q1206" s="14" t="str">
        <x:v>Koşullu</x:v>
      </x:c>
      <x:c r="R1206" s="14" t="str">
        <x:v>Planlandı</x:v>
      </x:c>
      <x:c r="S1206" s="15" t="str"/>
      <x:c r="T1206" s="14" t="str">
        <x:v>Yanlışlar +1, +7 ve +21 gün aralıklarıyla tekrar edilir; hâlâ yanlışsa konu mastery durumu düşürülür.</x:v>
      </x:c>
    </x:row>
    <x:row r="1207">
      <x:c r="A1207" s="14" t="n">
        <x:v>1206</x:v>
      </x:c>
      <x:c r="B1207" s="15" t="n">
        <x:v>46392</x:v>
      </x:c>
      <x:c r="C1207" s="14" t="str">
        <x:v>Salı</x:v>
      </x:c>
      <x:c r="D1207" s="14" t="str">
        <x:v>Okul Günü</x:v>
      </x:c>
      <x:c r="E1207" s="14" t="str">
        <x:v>16:00 sonrası</x:v>
      </x:c>
      <x:c r="F1207" s="14" t="str">
        <x:v>F2 - LGS Kapsam + Ustalık</x:v>
      </x:c>
      <x:c r="G1207" s="14" t="str">
        <x:v>21:50</x:v>
      </x:c>
      <x:c r="H1207" s="14" t="str">
        <x:v>22:00</x:v>
      </x:c>
      <x:c r="I1207" s="14" t="str">
        <x:v>Genel</x:v>
      </x:c>
      <x:c r="J1207" s="14" t="str">
        <x:v>Uyku Hazırlığı</x:v>
      </x:c>
      <x:c r="K1207" s="14" t="str"/>
      <x:c r="L1207" s="14" t="str">
        <x:v>22:00'de yatakta ve uyku.</x:v>
      </x:c>
      <x:c r="M1207" s="14" t="str"/>
      <x:c r="N1207" s="14" t="str"/>
      <x:c r="O1207" s="14" t="n">
        <x:v>0</x:v>
      </x:c>
      <x:c r="P1207" s="14" t="str">
        <x:v>Hayır</x:v>
      </x:c>
      <x:c r="Q1207" s="14" t="str">
        <x:v>Hayır</x:v>
      </x:c>
      <x:c r="R1207" s="14" t="str">
        <x:v>Planlandı</x:v>
      </x:c>
      <x:c r="S1207" s="15" t="str"/>
      <x:c r="T1207" s="14" t="str"/>
    </x:row>
    <x:row r="1208">
      <x:c r="A1208" s="14" t="n">
        <x:v>1207</x:v>
      </x:c>
      <x:c r="B1208" s="15" t="n">
        <x:v>46393</x:v>
      </x:c>
      <x:c r="C1208" s="14" t="str">
        <x:v>Çarşamba</x:v>
      </x:c>
      <x:c r="D1208" s="14" t="str">
        <x:v>Okul Günü</x:v>
      </x:c>
      <x:c r="E1208" s="14" t="str">
        <x:v>16:00 sonrası</x:v>
      </x:c>
      <x:c r="F1208" s="14" t="str">
        <x:v>F2 - LGS Kapsam + Ustalık</x:v>
      </x:c>
      <x:c r="G1208" s="14" t="str">
        <x:v>16:00</x:v>
      </x:c>
      <x:c r="H1208" s="14" t="str">
        <x:v>16:25</x:v>
      </x:c>
      <x:c r="I1208" s="14" t="str">
        <x:v>Genel</x:v>
      </x:c>
      <x:c r="J1208" s="14" t="str">
        <x:v>Dinlenme</x:v>
      </x:c>
      <x:c r="K1208" s="14" t="str"/>
      <x:c r="L1208" s="14" t="str">
        <x:v>Eve geliş, atıştırma ve dinlenme.</x:v>
      </x:c>
      <x:c r="M1208" s="14" t="str"/>
      <x:c r="N1208" s="14" t="str"/>
      <x:c r="O1208" s="14" t="n">
        <x:v>0</x:v>
      </x:c>
      <x:c r="P1208" s="14" t="str">
        <x:v>Hayır</x:v>
      </x:c>
      <x:c r="Q1208" s="14" t="str">
        <x:v>Hayır</x:v>
      </x:c>
      <x:c r="R1208" s="14" t="str">
        <x:v>Planlandı</x:v>
      </x:c>
      <x:c r="S1208" s="15" t="str"/>
      <x:c r="T1208" s="14" t="str"/>
    </x:row>
    <x:row r="1209">
      <x:c r="A1209" s="14" t="n">
        <x:v>1208</x:v>
      </x:c>
      <x:c r="B1209" s="15" t="n">
        <x:v>46393</x:v>
      </x:c>
      <x:c r="C1209" s="14" t="str">
        <x:v>Çarşamba</x:v>
      </x:c>
      <x:c r="D1209" s="14" t="str">
        <x:v>Okul Günü</x:v>
      </x:c>
      <x:c r="E1209" s="14" t="str">
        <x:v>16:00 sonrası</x:v>
      </x:c>
      <x:c r="F1209" s="14" t="str">
        <x:v>F2 - LGS Kapsam + Ustalık</x:v>
      </x:c>
      <x:c r="G1209" s="14" t="str">
        <x:v>16:25</x:v>
      </x:c>
      <x:c r="H1209" s="14" t="str">
        <x:v>17:05</x:v>
      </x:c>
      <x:c r="I1209" s="14" t="str">
        <x:v>Matematik</x:v>
      </x:c>
      <x:c r="J1209" s="14" t="str">
        <x:v>Konu / Tekrar</x:v>
      </x:c>
      <x:c r="K1209" s="14" t="str">
        <x:v>Doğrusal Denklemler</x:v>
      </x:c>
      <x:c r="L1209" s="14" t="str">
        <x:v>Doğrusal Denklemler — genel oynatma listesinden ilgili videoyu izle (4/4).</x:v>
      </x:c>
      <x:c r="M1209" s="14" t="str">
        <x:v>Matematik Ana Oynatma Listesi</x:v>
      </x:c>
      <x:c r="N1209" s="14" t="str">
        <x:v>https://www.youtube.com/watch?v=EuJ89QzqrAg&amp;list=PLicNtF7vp6fnfDqrRLH6H7fIbzYT4ct4F&amp;index=11</x:v>
      </x:c>
      <x:c r="O1209" s="14" t="n">
        <x:v>0</x:v>
      </x:c>
      <x:c r="P1209" s="14" t="str">
        <x:v>Hayır</x:v>
      </x:c>
      <x:c r="Q1209" s="14" t="str">
        <x:v>Evet</x:v>
      </x:c>
      <x:c r="R1209" s="14" t="str">
        <x:v>Planlandı</x:v>
      </x:c>
      <x:c r="S1209" s="15" t="str"/>
      <x:c r="T1209" s="14" t="str">
        <x:v>Yeni konu ancak plan sırasıyla açılır; LGS dışı ileri TYT içeriği zorunlu değildir.</x:v>
      </x:c>
    </x:row>
    <x:row r="1210">
      <x:c r="A1210" s="14" t="n">
        <x:v>1209</x:v>
      </x:c>
      <x:c r="B1210" s="15" t="n">
        <x:v>46393</x:v>
      </x:c>
      <x:c r="C1210" s="14" t="str">
        <x:v>Çarşamba</x:v>
      </x:c>
      <x:c r="D1210" s="14" t="str">
        <x:v>Okul Günü</x:v>
      </x:c>
      <x:c r="E1210" s="14" t="str">
        <x:v>16:00 sonrası</x:v>
      </x:c>
      <x:c r="F1210" s="14" t="str">
        <x:v>F2 - LGS Kapsam + Ustalık</x:v>
      </x:c>
      <x:c r="G1210" s="14" t="str">
        <x:v>17:10</x:v>
      </x:c>
      <x:c r="H1210" s="14" t="str">
        <x:v>17:55</x:v>
      </x:c>
      <x:c r="I1210" s="14" t="str">
        <x:v>Matematik</x:v>
      </x:c>
      <x:c r="J1210" s="14" t="str">
        <x:v>Kitap / MEB / Mastery</x:v>
      </x:c>
      <x:c r="K1210" s="14" t="str">
        <x:v>Doğrusal Denklemler</x:v>
      </x:c>
      <x:c r="L1210" s="14" t="str">
        <x:v>Doğrusal Denklemler ile ilgili soru kitabından en az 25 soru / bugünkü test payını çöz. İlgili kitap konu bölümünü bu oturumda bitirmeyi hedefle; sonraki oturum MEB doğrulaması.</x:v>
      </x:c>
      <x:c r="M1210" s="14" t="str">
        <x:v>MUBA 8. Sınıf Başlangıç Matematik (ISBN 9789756526972); tamamlandıysa Mozaik 8. Sınıf Matematik</x:v>
      </x:c>
      <x:c r="N1210" s="14" t="str">
        <x:v>https://odsgm.meb.gov.tr/www/8sinif-calisma-sorulari/icerik/1632</x:v>
      </x:c>
      <x:c r="O1210" s="14" t="n">
        <x:v>25</x:v>
      </x:c>
      <x:c r="P1210" s="14" t="str">
        <x:v>İlk 20 soru</x:v>
      </x:c>
      <x:c r="Q1210" s="14" t="str">
        <x:v>Evet</x:v>
      </x:c>
      <x:c r="R1210" s="14" t="str">
        <x:v>Planlandı</x:v>
      </x:c>
      <x:c r="S1210" s="15" t="str"/>
      <x:c r="T1210" s="14" t="str">
        <x:v>Ayrı/rastgele matematik benchmark yoktur. Süreli ilk 20 soru o gün çalışılan konunun içindedir.</x:v>
      </x:c>
    </x:row>
    <x:row r="1211">
      <x:c r="A1211" s="14" t="n">
        <x:v>1210</x:v>
      </x:c>
      <x:c r="B1211" s="15" t="n">
        <x:v>46393</x:v>
      </x:c>
      <x:c r="C1211" s="14" t="str">
        <x:v>Çarşamba</x:v>
      </x:c>
      <x:c r="D1211" s="14" t="str">
        <x:v>Okul Günü</x:v>
      </x:c>
      <x:c r="E1211" s="14" t="str">
        <x:v>16:00 sonrası</x:v>
      </x:c>
      <x:c r="F1211" s="14" t="str">
        <x:v>F2 - LGS Kapsam + Ustalık</x:v>
      </x:c>
      <x:c r="G1211" s="14" t="str">
        <x:v>17:55</x:v>
      </x:c>
      <x:c r="H1211" s="14" t="str">
        <x:v>18:25</x:v>
      </x:c>
      <x:c r="I1211" s="14" t="str">
        <x:v>Genel</x:v>
      </x:c>
      <x:c r="J1211" s="14" t="str">
        <x:v>Yemek / Serbest Zaman</x:v>
      </x:c>
      <x:c r="K1211" s="14" t="str"/>
      <x:c r="L1211" s="14" t="str">
        <x:v>Yemek, hareket ve dinlenme.</x:v>
      </x:c>
      <x:c r="M1211" s="14" t="str"/>
      <x:c r="N1211" s="14" t="str"/>
      <x:c r="O1211" s="14" t="n">
        <x:v>0</x:v>
      </x:c>
      <x:c r="P1211" s="14" t="str">
        <x:v>Hayır</x:v>
      </x:c>
      <x:c r="Q1211" s="14" t="str">
        <x:v>Hayır</x:v>
      </x:c>
      <x:c r="R1211" s="14" t="str">
        <x:v>Planlandı</x:v>
      </x:c>
      <x:c r="S1211" s="15" t="str"/>
      <x:c r="T1211" s="14" t="str"/>
    </x:row>
    <x:row r="1212">
      <x:c r="A1212" s="14" t="n">
        <x:v>1211</x:v>
      </x:c>
      <x:c r="B1212" s="15" t="n">
        <x:v>46393</x:v>
      </x:c>
      <x:c r="C1212" s="14" t="str">
        <x:v>Çarşamba</x:v>
      </x:c>
      <x:c r="D1212" s="14" t="str">
        <x:v>Okul Günü</x:v>
      </x:c>
      <x:c r="E1212" s="14" t="str">
        <x:v>16:00 sonrası</x:v>
      </x:c>
      <x:c r="F1212" s="14" t="str">
        <x:v>F2 - LGS Kapsam + Ustalık</x:v>
      </x:c>
      <x:c r="G1212" s="14" t="str">
        <x:v>18:25</x:v>
      </x:c>
      <x:c r="H1212" s="14" t="str">
        <x:v>18:55</x:v>
      </x:c>
      <x:c r="I1212" s="14" t="str">
        <x:v>Türkçe</x:v>
      </x:c>
      <x:c r="J1212" s="14" t="str">
        <x:v>Paragraf Rutini</x:v>
      </x:c>
      <x:c r="K1212" s="14" t="str">
        <x:v>Paragraf</x:v>
      </x:c>
      <x:c r="L1212" s="14" t="str">
        <x:v>En az 25 paragraf sorusu çöz; ilk 20 soruyu ileri sayımla ölç, D/Y/B + süre kaydet.</x:v>
      </x:c>
      <x:c r="M1212" s="14" t="str">
        <x:v>Hız 8. Sınıf Türkçe Paragraf (ISBN 9786258394498)</x:v>
      </x:c>
      <x:c r="N1212" s="14" t="str"/>
      <x:c r="O1212" s="14" t="n">
        <x:v>25</x:v>
      </x:c>
      <x:c r="P1212" s="14" t="str">
        <x:v>İlk 20 soru</x:v>
      </x:c>
      <x:c r="Q1212" s="14" t="str">
        <x:v>Evet</x:v>
      </x:c>
      <x:c r="R1212" s="14" t="str">
        <x:v>Planlandı</x:v>
      </x:c>
      <x:c r="S1212" s="15" t="str"/>
      <x:c r="T1212" s="14" t="str">
        <x:v>Geri sayım ve hedef süre yok.</x:v>
      </x:c>
    </x:row>
    <x:row r="1213">
      <x:c r="A1213" s="14" t="n">
        <x:v>1212</x:v>
      </x:c>
      <x:c r="B1213" s="15" t="n">
        <x:v>46393</x:v>
      </x:c>
      <x:c r="C1213" s="14" t="str">
        <x:v>Çarşamba</x:v>
      </x:c>
      <x:c r="D1213" s="14" t="str">
        <x:v>Okul Günü</x:v>
      </x:c>
      <x:c r="E1213" s="14" t="str">
        <x:v>16:00 sonrası</x:v>
      </x:c>
      <x:c r="F1213" s="14" t="str">
        <x:v>F2 - LGS Kapsam + Ustalık</x:v>
      </x:c>
      <x:c r="G1213" s="14" t="str">
        <x:v>19:00</x:v>
      </x:c>
      <x:c r="H1213" s="14" t="str">
        <x:v>19:35</x:v>
      </x:c>
      <x:c r="I1213" s="14" t="str">
        <x:v>Türkçe</x:v>
      </x:c>
      <x:c r="J1213" s="14" t="str">
        <x:v>Konu / Tekrar</x:v>
      </x:c>
      <x:c r="K1213" s="14" t="str">
        <x:v>Kaynak Tamamlama / Zayıf Konu</x:v>
      </x:c>
      <x:c r="L1213" s="14" t="str">
        <x:v>Yeni konu açma. En zayıf/açık konunun ilgili playlist videosunu yalnız gerekiyorsa tekrar izle.</x:v>
      </x:c>
      <x:c r="M1213" s="14" t="str">
        <x:v>Türkçe Ana Oynatma Listesi</x:v>
      </x:c>
      <x:c r="N1213" s="14" t="str">
        <x:v>https://www.youtube.com/watch?v=VYsPntNKVdw&amp;list=PLIBjFaUoJJ91bz7QQEBlxNJNZka5YQRr6</x:v>
      </x:c>
      <x:c r="O1213" s="14" t="n">
        <x:v>0</x:v>
      </x:c>
      <x:c r="P1213" s="14" t="str">
        <x:v>Hayır</x:v>
      </x:c>
      <x:c r="Q1213" s="14" t="str">
        <x:v>Evet</x:v>
      </x:c>
      <x:c r="R1213" s="14" t="str">
        <x:v>Planlandı</x:v>
      </x:c>
      <x:c r="S1213" s="15" t="str"/>
      <x:c r="T1213" s="14" t="str">
        <x:v>TYT etiketli kaynak temelden başlamak için sabittir; LGS dışı gereksiz ayrıntı zorunlu değildir.</x:v>
      </x:c>
    </x:row>
    <x:row r="1214">
      <x:c r="A1214" s="14" t="n">
        <x:v>1213</x:v>
      </x:c>
      <x:c r="B1214" s="15" t="n">
        <x:v>46393</x:v>
      </x:c>
      <x:c r="C1214" s="14" t="str">
        <x:v>Çarşamba</x:v>
      </x:c>
      <x:c r="D1214" s="14" t="str">
        <x:v>Okul Günü</x:v>
      </x:c>
      <x:c r="E1214" s="14" t="str">
        <x:v>16:00 sonrası</x:v>
      </x:c>
      <x:c r="F1214" s="14" t="str">
        <x:v>F2 - LGS Kapsam + Ustalık</x:v>
      </x:c>
      <x:c r="G1214" s="14" t="str">
        <x:v>19:40</x:v>
      </x:c>
      <x:c r="H1214" s="14" t="str">
        <x:v>20:10</x:v>
      </x:c>
      <x:c r="I1214" s="14" t="str">
        <x:v>Türkçe</x:v>
      </x:c>
      <x:c r="J1214" s="14" t="str">
        <x:v>Kitap / MEB / Mastery</x:v>
      </x:c>
      <x:c r="K1214" s="14" t="str">
        <x:v>Kaynak Tamamlama / Zayıf Konu</x:v>
      </x:c>
      <x:c r="L1214" s="14" t="str">
        <x:v>13 Nisan %100 tamamlama hedefine göre en geride kalan Türkçe soru kaynağını/eksik MEB setini ilerlet; açık yanlışları kapat.</x:v>
      </x:c>
      <x:c r="M1214" s="14" t="str">
        <x:v>Ankara 8. Sınıf Dil Bilgisi Güçlendiren + açık MEB/yanlışlar</x:v>
      </x:c>
      <x:c r="N1214" s="14" t="str">
        <x:v>https://odsgm.meb.gov.tr/www/8sinif-calisma-sorulari/icerik/1632</x:v>
      </x:c>
      <x:c r="O1214" s="14" t="n">
        <x:v>15</x:v>
      </x:c>
      <x:c r="P1214" s="14" t="str">
        <x:v>Hayır</x:v>
      </x:c>
      <x:c r="Q1214" s="14" t="str">
        <x:v>Evet</x:v>
      </x:c>
      <x:c r="R1214" s="14" t="str">
        <x:v>Planlandı</x:v>
      </x:c>
      <x:c r="S1214" s="15" t="str"/>
      <x:c r="T1214" s="14" t="str"/>
    </x:row>
    <x:row r="1215">
      <x:c r="A1215" s="14" t="n">
        <x:v>1214</x:v>
      </x:c>
      <x:c r="B1215" s="15" t="n">
        <x:v>46393</x:v>
      </x:c>
      <x:c r="C1215" s="14" t="str">
        <x:v>Çarşamba</x:v>
      </x:c>
      <x:c r="D1215" s="14" t="str">
        <x:v>Okul Günü</x:v>
      </x:c>
      <x:c r="E1215" s="14" t="str">
        <x:v>16:00 sonrası</x:v>
      </x:c>
      <x:c r="F1215" s="14" t="str">
        <x:v>F2 - LGS Kapsam + Ustalık</x:v>
      </x:c>
      <x:c r="G1215" s="14" t="str">
        <x:v>20:15</x:v>
      </x:c>
      <x:c r="H1215" s="14" t="str">
        <x:v>20:50</x:v>
      </x:c>
      <x:c r="I1215" s="14" t="str">
        <x:v>Din</x:v>
      </x:c>
      <x:c r="J1215" s="14" t="str">
        <x:v>Konu / Tekrar</x:v>
      </x:c>
      <x:c r="K1215" s="14" t="str">
        <x:v>Kureyş Suresi</x:v>
      </x:c>
      <x:c r="L1215" s="14" t="str">
        <x:v>Kureyş Suresi — genel oynatma listesinden ilgili konu/soru çalışmasını yap.</x:v>
      </x:c>
      <x:c r="M1215" s="14" t="str">
        <x:v>Din Genel Oynatma Listesi</x:v>
      </x:c>
      <x:c r="N1215" s="14" t="str">
        <x:v>https://www.youtube.com/watch?v=wvdOE_75VnA&amp;list=PLbRoPq-Zu-SWXGUbVt4t4UWo-4VjsMUo-&amp;index=2</x:v>
      </x:c>
      <x:c r="O1215" s="14" t="n">
        <x:v>0</x:v>
      </x:c>
      <x:c r="P1215" s="14" t="str">
        <x:v>Hayır</x:v>
      </x:c>
      <x:c r="Q1215" s="14" t="str">
        <x:v>Evet</x:v>
      </x:c>
      <x:c r="R1215" s="14" t="str">
        <x:v>Planlandı</x:v>
      </x:c>
      <x:c r="S1215" s="15" t="str"/>
      <x:c r="T1215" s="14" t="str"/>
    </x:row>
    <x:row r="1216">
      <x:c r="A1216" s="14" t="n">
        <x:v>1215</x:v>
      </x:c>
      <x:c r="B1216" s="15" t="n">
        <x:v>46393</x:v>
      </x:c>
      <x:c r="C1216" s="14" t="str">
        <x:v>Çarşamba</x:v>
      </x:c>
      <x:c r="D1216" s="14" t="str">
        <x:v>Okul Günü</x:v>
      </x:c>
      <x:c r="E1216" s="14" t="str">
        <x:v>16:00 sonrası</x:v>
      </x:c>
      <x:c r="F1216" s="14" t="str">
        <x:v>F2 - LGS Kapsam + Ustalık</x:v>
      </x:c>
      <x:c r="G1216" s="14" t="str">
        <x:v>20:55</x:v>
      </x:c>
      <x:c r="H1216" s="14" t="str">
        <x:v>21:20</x:v>
      </x:c>
      <x:c r="I1216" s="14" t="str">
        <x:v>Din</x:v>
      </x:c>
      <x:c r="J1216" s="14" t="str">
        <x:v>Kitap / MEB / Mastery</x:v>
      </x:c>
      <x:c r="K1216" s="14" t="str">
        <x:v>Kureyş Suresi</x:v>
      </x:c>
      <x:c r="L1216" s="14" t="str">
        <x:v>Kureyş Suresi ile ilgili soru kitabından en az 18 soru / bugünkü test payını çöz.</x:v>
      </x:c>
      <x:c r="M1216" s="14" t="str">
        <x:v>Hız 8. Sınıf Din Kültürü ve Ahlak Bilgisi</x:v>
      </x:c>
      <x:c r="N1216" s="14" t="str">
        <x:v>https://www.youtube.com/watch?v=wvdOE_75VnA&amp;list=PLbRoPq-Zu-SWXGUbVt4t4UWo-4VjsMUo-&amp;index=2</x:v>
      </x:c>
      <x:c r="O1216" s="14" t="n">
        <x:v>18</x:v>
      </x:c>
      <x:c r="P1216" s="14" t="str">
        <x:v>Hayır</x:v>
      </x:c>
      <x:c r="Q1216" s="14" t="str">
        <x:v>Evet</x:v>
      </x:c>
      <x:c r="R1216" s="14" t="str">
        <x:v>Planlandı</x:v>
      </x:c>
      <x:c r="S1216" s="15" t="str"/>
      <x:c r="T1216" s="14" t="str"/>
    </x:row>
    <x:row r="1217">
      <x:c r="A1217" s="14" t="n">
        <x:v>1216</x:v>
      </x:c>
      <x:c r="B1217" s="15" t="n">
        <x:v>46393</x:v>
      </x:c>
      <x:c r="C1217" s="14" t="str">
        <x:v>Çarşamba</x:v>
      </x:c>
      <x:c r="D1217" s="14" t="str">
        <x:v>Okul Günü</x:v>
      </x:c>
      <x:c r="E1217" s="14" t="str">
        <x:v>16:00 sonrası</x:v>
      </x:c>
      <x:c r="F1217" s="14" t="str">
        <x:v>F2 - LGS Kapsam + Ustalık</x:v>
      </x:c>
      <x:c r="G1217" s="14" t="str">
        <x:v>21:20</x:v>
      </x:c>
      <x:c r="H1217" s="14" t="str">
        <x:v>21:35</x:v>
      </x:c>
      <x:c r="I1217" s="14" t="str">
        <x:v>Genel</x:v>
      </x:c>
      <x:c r="J1217" s="14" t="str">
        <x:v>Yanlış / Boş Analizi</x:v>
      </x:c>
      <x:c r="K1217" s="14" t="str">
        <x:v>Günlük</x:v>
      </x:c>
      <x:c r="L1217" s="14" t="str">
        <x:v>Bugünkü yanlış/boşları kaydet; çözümünü öğrenmeden kapatma. Hata türünü sınıflandır.</x:v>
      </x:c>
      <x:c r="M1217" s="14" t="str">
        <x:v>Yanlış Defteri</x:v>
      </x:c>
      <x:c r="N1217" s="14" t="str"/>
      <x:c r="O1217" s="14" t="n">
        <x:v>0</x:v>
      </x:c>
      <x:c r="P1217" s="14" t="str">
        <x:v>Hayır</x:v>
      </x:c>
      <x:c r="Q1217" s="14" t="str">
        <x:v>Evet</x:v>
      </x:c>
      <x:c r="R1217" s="14" t="str">
        <x:v>Planlandı</x:v>
      </x:c>
      <x:c r="S1217" s="15" t="str"/>
      <x:c r="T1217" s="14" t="str"/>
    </x:row>
    <x:row r="1218">
      <x:c r="A1218" s="14" t="n">
        <x:v>1217</x:v>
      </x:c>
      <x:c r="B1218" s="15" t="n">
        <x:v>46393</x:v>
      </x:c>
      <x:c r="C1218" s="14" t="str">
        <x:v>Çarşamba</x:v>
      </x:c>
      <x:c r="D1218" s="14" t="str">
        <x:v>Okul Günü</x:v>
      </x:c>
      <x:c r="E1218" s="14" t="str">
        <x:v>16:00 sonrası</x:v>
      </x:c>
      <x:c r="F1218" s="14" t="str">
        <x:v>F2 - LGS Kapsam + Ustalık</x:v>
      </x:c>
      <x:c r="G1218" s="14" t="str">
        <x:v>21:35</x:v>
      </x:c>
      <x:c r="H1218" s="14" t="str">
        <x:v>21:50</x:v>
      </x:c>
      <x:c r="I1218" s="14" t="str">
        <x:v>Genel</x:v>
      </x:c>
      <x:c r="J1218" s="14" t="str">
        <x:v>Aralıklı Hata Tekrarı</x:v>
      </x:c>
      <x:c r="K1218" s="14" t="str">
        <x:v>+1 / +7 / +21</x:v>
      </x:c>
      <x:c r="L1218" s="14" t="str">
        <x:v>Bugün vadesi gelen yanlış soruları tekrar çöz. Vadesi yoksa bu süre serbest/okuma olabilir.</x:v>
      </x:c>
      <x:c r="M1218" s="14" t="str">
        <x:v>Yanlış Defteri</x:v>
      </x:c>
      <x:c r="N1218" s="14" t="str"/>
      <x:c r="O1218" s="14" t="n">
        <x:v>0</x:v>
      </x:c>
      <x:c r="P1218" s="14" t="str">
        <x:v>Hayır</x:v>
      </x:c>
      <x:c r="Q1218" s="14" t="str">
        <x:v>Koşullu</x:v>
      </x:c>
      <x:c r="R1218" s="14" t="str">
        <x:v>Planlandı</x:v>
      </x:c>
      <x:c r="S1218" s="15" t="str"/>
      <x:c r="T1218" s="14" t="str">
        <x:v>Yanlışlar +1, +7 ve +21 gün aralıklarıyla tekrar edilir; hâlâ yanlışsa konu mastery durumu düşürülür.</x:v>
      </x:c>
    </x:row>
    <x:row r="1219">
      <x:c r="A1219" s="14" t="n">
        <x:v>1218</x:v>
      </x:c>
      <x:c r="B1219" s="15" t="n">
        <x:v>46393</x:v>
      </x:c>
      <x:c r="C1219" s="14" t="str">
        <x:v>Çarşamba</x:v>
      </x:c>
      <x:c r="D1219" s="14" t="str">
        <x:v>Okul Günü</x:v>
      </x:c>
      <x:c r="E1219" s="14" t="str">
        <x:v>16:00 sonrası</x:v>
      </x:c>
      <x:c r="F1219" s="14" t="str">
        <x:v>F2 - LGS Kapsam + Ustalık</x:v>
      </x:c>
      <x:c r="G1219" s="14" t="str">
        <x:v>21:50</x:v>
      </x:c>
      <x:c r="H1219" s="14" t="str">
        <x:v>22:00</x:v>
      </x:c>
      <x:c r="I1219" s="14" t="str">
        <x:v>Genel</x:v>
      </x:c>
      <x:c r="J1219" s="14" t="str">
        <x:v>Uyku Hazırlığı</x:v>
      </x:c>
      <x:c r="K1219" s="14" t="str"/>
      <x:c r="L1219" s="14" t="str">
        <x:v>22:00'de yatakta ve uyku.</x:v>
      </x:c>
      <x:c r="M1219" s="14" t="str"/>
      <x:c r="N1219" s="14" t="str"/>
      <x:c r="O1219" s="14" t="n">
        <x:v>0</x:v>
      </x:c>
      <x:c r="P1219" s="14" t="str">
        <x:v>Hayır</x:v>
      </x:c>
      <x:c r="Q1219" s="14" t="str">
        <x:v>Hayır</x:v>
      </x:c>
      <x:c r="R1219" s="14" t="str">
        <x:v>Planlandı</x:v>
      </x:c>
      <x:c r="S1219" s="15" t="str"/>
      <x:c r="T1219" s="14" t="str"/>
    </x:row>
    <x:row r="1220">
      <x:c r="A1220" s="14" t="n">
        <x:v>1219</x:v>
      </x:c>
      <x:c r="B1220" s="15" t="n">
        <x:v>46394</x:v>
      </x:c>
      <x:c r="C1220" s="14" t="str">
        <x:v>Perşembe</x:v>
      </x:c>
      <x:c r="D1220" s="14" t="str">
        <x:v>Okul Günü</x:v>
      </x:c>
      <x:c r="E1220" s="14" t="str">
        <x:v>16:00 sonrası</x:v>
      </x:c>
      <x:c r="F1220" s="14" t="str">
        <x:v>F2 - LGS Kapsam + Ustalık</x:v>
      </x:c>
      <x:c r="G1220" s="14" t="str">
        <x:v>16:00</x:v>
      </x:c>
      <x:c r="H1220" s="14" t="str">
        <x:v>16:25</x:v>
      </x:c>
      <x:c r="I1220" s="14" t="str">
        <x:v>Genel</x:v>
      </x:c>
      <x:c r="J1220" s="14" t="str">
        <x:v>Dinlenme</x:v>
      </x:c>
      <x:c r="K1220" s="14" t="str"/>
      <x:c r="L1220" s="14" t="str">
        <x:v>Eve geliş, atıştırma ve dinlenme.</x:v>
      </x:c>
      <x:c r="M1220" s="14" t="str"/>
      <x:c r="N1220" s="14" t="str"/>
      <x:c r="O1220" s="14" t="n">
        <x:v>0</x:v>
      </x:c>
      <x:c r="P1220" s="14" t="str">
        <x:v>Hayır</x:v>
      </x:c>
      <x:c r="Q1220" s="14" t="str">
        <x:v>Hayır</x:v>
      </x:c>
      <x:c r="R1220" s="14" t="str">
        <x:v>Planlandı</x:v>
      </x:c>
      <x:c r="S1220" s="15" t="str"/>
      <x:c r="T1220" s="14" t="str"/>
    </x:row>
    <x:row r="1221">
      <x:c r="A1221" s="14" t="n">
        <x:v>1220</x:v>
      </x:c>
      <x:c r="B1221" s="15" t="n">
        <x:v>46394</x:v>
      </x:c>
      <x:c r="C1221" s="14" t="str">
        <x:v>Perşembe</x:v>
      </x:c>
      <x:c r="D1221" s="14" t="str">
        <x:v>Okul Günü</x:v>
      </x:c>
      <x:c r="E1221" s="14" t="str">
        <x:v>16:00 sonrası</x:v>
      </x:c>
      <x:c r="F1221" s="14" t="str">
        <x:v>F2 - LGS Kapsam + Ustalık</x:v>
      </x:c>
      <x:c r="G1221" s="14" t="str">
        <x:v>16:25</x:v>
      </x:c>
      <x:c r="H1221" s="14" t="str">
        <x:v>17:05</x:v>
      </x:c>
      <x:c r="I1221" s="14" t="str">
        <x:v>Matematik</x:v>
      </x:c>
      <x:c r="J1221" s="14" t="str">
        <x:v>Konu / Tekrar</x:v>
      </x:c>
      <x:c r="K1221" s="14" t="str">
        <x:v>Doğrusal Denklemler</x:v>
      </x:c>
      <x:c r="L1221" s="14" t="str">
        <x:v>Doğrusal Denklemler — MEB doğrulaması öncesi 5-10 dk aktif hatırlama; gerekiyorsa ilgili playlist videosuna kısa dönüş yap.</x:v>
      </x:c>
      <x:c r="M1221" s="14" t="str">
        <x:v>Matematik Ana Oynatma Listesi</x:v>
      </x:c>
      <x:c r="N1221" s="14" t="str">
        <x:v>https://www.youtube.com/watch?v=EuJ89QzqrAg&amp;list=PLicNtF7vp6fnfDqrRLH6H7fIbzYT4ct4F&amp;index=11</x:v>
      </x:c>
      <x:c r="O1221" s="14" t="n">
        <x:v>0</x:v>
      </x:c>
      <x:c r="P1221" s="14" t="str">
        <x:v>Hayır</x:v>
      </x:c>
      <x:c r="Q1221" s="14" t="str">
        <x:v>Evet</x:v>
      </x:c>
      <x:c r="R1221" s="14" t="str">
        <x:v>Planlandı</x:v>
      </x:c>
      <x:c r="S1221" s="15" t="str"/>
      <x:c r="T1221" s="14" t="str">
        <x:v>Yeni konu ancak plan sırasıyla açılır; LGS dışı ileri TYT içeriği zorunlu değildir.</x:v>
      </x:c>
    </x:row>
    <x:row r="1222">
      <x:c r="A1222" s="14" t="n">
        <x:v>1221</x:v>
      </x:c>
      <x:c r="B1222" s="15" t="n">
        <x:v>46394</x:v>
      </x:c>
      <x:c r="C1222" s="14" t="str">
        <x:v>Perşembe</x:v>
      </x:c>
      <x:c r="D1222" s="14" t="str">
        <x:v>Okul Günü</x:v>
      </x:c>
      <x:c r="E1222" s="14" t="str">
        <x:v>16:00 sonrası</x:v>
      </x:c>
      <x:c r="F1222" s="14" t="str">
        <x:v>F2 - LGS Kapsam + Ustalık</x:v>
      </x:c>
      <x:c r="G1222" s="14" t="str">
        <x:v>17:10</x:v>
      </x:c>
      <x:c r="H1222" s="14" t="str">
        <x:v>17:55</x:v>
      </x:c>
      <x:c r="I1222" s="14" t="str">
        <x:v>Matematik</x:v>
      </x:c>
      <x:c r="J1222" s="14" t="str">
        <x:v>Kitap / MEB / Mastery</x:v>
      </x:c>
      <x:c r="K1222" s="14" t="str">
        <x:v>Doğrusal Denklemler</x:v>
      </x:c>
      <x:c r="L1222" s="14" t="str">
        <x:v>Doğrusal Denklemler için ilgili MEB sorularını TAMAMLA; D/Y/B kaydet. Bu oturum konu mastery gate'idir.</x:v>
      </x:c>
      <x:c r="M1222" s="14" t="str">
        <x:v>MEB Resmî Soru Seti</x:v>
      </x:c>
      <x:c r="N1222" s="14" t="str">
        <x:v>https://odsgm.meb.gov.tr/www/8sinif-calisma-sorulari/icerik/1632</x:v>
      </x:c>
      <x:c r="O1222" s="14" t="n">
        <x:v>0</x:v>
      </x:c>
      <x:c r="P1222" s="14" t="str">
        <x:v>Hayır</x:v>
      </x:c>
      <x:c r="Q1222" s="14" t="str">
        <x:v>Evet</x:v>
      </x:c>
      <x:c r="R1222" s="14" t="str">
        <x:v>Planlandı</x:v>
      </x:c>
      <x:c r="S1222" s="15" t="str"/>
      <x:c r="T1222" s="14" t="str">
        <x:v>MEB sonucu Konu_Ustaligi sayfasına işlenir.</x:v>
      </x:c>
    </x:row>
    <x:row r="1223">
      <x:c r="A1223" s="14" t="n">
        <x:v>1222</x:v>
      </x:c>
      <x:c r="B1223" s="15" t="n">
        <x:v>46394</x:v>
      </x:c>
      <x:c r="C1223" s="14" t="str">
        <x:v>Perşembe</x:v>
      </x:c>
      <x:c r="D1223" s="14" t="str">
        <x:v>Okul Günü</x:v>
      </x:c>
      <x:c r="E1223" s="14" t="str">
        <x:v>16:00 sonrası</x:v>
      </x:c>
      <x:c r="F1223" s="14" t="str">
        <x:v>F2 - LGS Kapsam + Ustalık</x:v>
      </x:c>
      <x:c r="G1223" s="14" t="str">
        <x:v>17:55</x:v>
      </x:c>
      <x:c r="H1223" s="14" t="str">
        <x:v>18:25</x:v>
      </x:c>
      <x:c r="I1223" s="14" t="str">
        <x:v>Genel</x:v>
      </x:c>
      <x:c r="J1223" s="14" t="str">
        <x:v>Yemek / Serbest Zaman</x:v>
      </x:c>
      <x:c r="K1223" s="14" t="str"/>
      <x:c r="L1223" s="14" t="str">
        <x:v>Yemek, hareket ve dinlenme.</x:v>
      </x:c>
      <x:c r="M1223" s="14" t="str"/>
      <x:c r="N1223" s="14" t="str"/>
      <x:c r="O1223" s="14" t="n">
        <x:v>0</x:v>
      </x:c>
      <x:c r="P1223" s="14" t="str">
        <x:v>Hayır</x:v>
      </x:c>
      <x:c r="Q1223" s="14" t="str">
        <x:v>Hayır</x:v>
      </x:c>
      <x:c r="R1223" s="14" t="str">
        <x:v>Planlandı</x:v>
      </x:c>
      <x:c r="S1223" s="15" t="str"/>
      <x:c r="T1223" s="14" t="str"/>
    </x:row>
    <x:row r="1224">
      <x:c r="A1224" s="14" t="n">
        <x:v>1223</x:v>
      </x:c>
      <x:c r="B1224" s="15" t="n">
        <x:v>46394</x:v>
      </x:c>
      <x:c r="C1224" s="14" t="str">
        <x:v>Perşembe</x:v>
      </x:c>
      <x:c r="D1224" s="14" t="str">
        <x:v>Okul Günü</x:v>
      </x:c>
      <x:c r="E1224" s="14" t="str">
        <x:v>16:00 sonrası</x:v>
      </x:c>
      <x:c r="F1224" s="14" t="str">
        <x:v>F2 - LGS Kapsam + Ustalık</x:v>
      </x:c>
      <x:c r="G1224" s="14" t="str">
        <x:v>18:25</x:v>
      </x:c>
      <x:c r="H1224" s="14" t="str">
        <x:v>18:55</x:v>
      </x:c>
      <x:c r="I1224" s="14" t="str">
        <x:v>Türkçe</x:v>
      </x:c>
      <x:c r="J1224" s="14" t="str">
        <x:v>Paragraf Rutini</x:v>
      </x:c>
      <x:c r="K1224" s="14" t="str">
        <x:v>Paragraf</x:v>
      </x:c>
      <x:c r="L1224" s="14" t="str">
        <x:v>En az 25 paragraf sorusu çöz; ilk 20 soruyu ileri sayımla ölç, D/Y/B + süre kaydet.</x:v>
      </x:c>
      <x:c r="M1224" s="14" t="str">
        <x:v>Hız 8. Sınıf Türkçe Paragraf (ISBN 9786258394498)</x:v>
      </x:c>
      <x:c r="N1224" s="14" t="str"/>
      <x:c r="O1224" s="14" t="n">
        <x:v>25</x:v>
      </x:c>
      <x:c r="P1224" s="14" t="str">
        <x:v>İlk 20 soru</x:v>
      </x:c>
      <x:c r="Q1224" s="14" t="str">
        <x:v>Evet</x:v>
      </x:c>
      <x:c r="R1224" s="14" t="str">
        <x:v>Planlandı</x:v>
      </x:c>
      <x:c r="S1224" s="15" t="str"/>
      <x:c r="T1224" s="14" t="str">
        <x:v>Geri sayım ve hedef süre yok.</x:v>
      </x:c>
    </x:row>
    <x:row r="1225">
      <x:c r="A1225" s="14" t="n">
        <x:v>1224</x:v>
      </x:c>
      <x:c r="B1225" s="15" t="n">
        <x:v>46394</x:v>
      </x:c>
      <x:c r="C1225" s="14" t="str">
        <x:v>Perşembe</x:v>
      </x:c>
      <x:c r="D1225" s="14" t="str">
        <x:v>Okul Günü</x:v>
      </x:c>
      <x:c r="E1225" s="14" t="str">
        <x:v>16:00 sonrası</x:v>
      </x:c>
      <x:c r="F1225" s="14" t="str">
        <x:v>F2 - LGS Kapsam + Ustalık</x:v>
      </x:c>
      <x:c r="G1225" s="14" t="str">
        <x:v>19:00</x:v>
      </x:c>
      <x:c r="H1225" s="14" t="str">
        <x:v>19:35</x:v>
      </x:c>
      <x:c r="I1225" s="14" t="str">
        <x:v>Türkçe</x:v>
      </x:c>
      <x:c r="J1225" s="14" t="str">
        <x:v>Konu / Tekrar</x:v>
      </x:c>
      <x:c r="K1225" s="14" t="str">
        <x:v>Kaynak Tamamlama / Zayıf Konu</x:v>
      </x:c>
      <x:c r="L1225" s="14" t="str">
        <x:v>Yeni konu açma. En zayıf/açık konunun ilgili playlist videosunu yalnız gerekiyorsa tekrar izle.</x:v>
      </x:c>
      <x:c r="M1225" s="14" t="str">
        <x:v>Türkçe Ana Oynatma Listesi</x:v>
      </x:c>
      <x:c r="N1225" s="14" t="str">
        <x:v>https://www.youtube.com/watch?v=VYsPntNKVdw&amp;list=PLIBjFaUoJJ91bz7QQEBlxNJNZka5YQRr6</x:v>
      </x:c>
      <x:c r="O1225" s="14" t="n">
        <x:v>0</x:v>
      </x:c>
      <x:c r="P1225" s="14" t="str">
        <x:v>Hayır</x:v>
      </x:c>
      <x:c r="Q1225" s="14" t="str">
        <x:v>Evet</x:v>
      </x:c>
      <x:c r="R1225" s="14" t="str">
        <x:v>Planlandı</x:v>
      </x:c>
      <x:c r="S1225" s="15" t="str"/>
      <x:c r="T1225" s="14" t="str">
        <x:v>TYT etiketli kaynak temelden başlamak için sabittir; LGS dışı gereksiz ayrıntı zorunlu değildir.</x:v>
      </x:c>
    </x:row>
    <x:row r="1226">
      <x:c r="A1226" s="14" t="n">
        <x:v>1225</x:v>
      </x:c>
      <x:c r="B1226" s="15" t="n">
        <x:v>46394</x:v>
      </x:c>
      <x:c r="C1226" s="14" t="str">
        <x:v>Perşembe</x:v>
      </x:c>
      <x:c r="D1226" s="14" t="str">
        <x:v>Okul Günü</x:v>
      </x:c>
      <x:c r="E1226" s="14" t="str">
        <x:v>16:00 sonrası</x:v>
      </x:c>
      <x:c r="F1226" s="14" t="str">
        <x:v>F2 - LGS Kapsam + Ustalık</x:v>
      </x:c>
      <x:c r="G1226" s="14" t="str">
        <x:v>19:40</x:v>
      </x:c>
      <x:c r="H1226" s="14" t="str">
        <x:v>20:10</x:v>
      </x:c>
      <x:c r="I1226" s="14" t="str">
        <x:v>Türkçe</x:v>
      </x:c>
      <x:c r="J1226" s="14" t="str">
        <x:v>Kitap / MEB / Mastery</x:v>
      </x:c>
      <x:c r="K1226" s="14" t="str">
        <x:v>Kaynak Tamamlama / Zayıf Konu</x:v>
      </x:c>
      <x:c r="L1226" s="14" t="str">
        <x:v>13 Nisan %100 tamamlama hedefine göre en geride kalan Türkçe soru kaynağını/eksik MEB setini ilerlet; açık yanlışları kapat.</x:v>
      </x:c>
      <x:c r="M1226" s="14" t="str">
        <x:v>Ankara 8. Sınıf Dil Bilgisi Güçlendiren + açık MEB/yanlışlar</x:v>
      </x:c>
      <x:c r="N1226" s="14" t="str">
        <x:v>https://odsgm.meb.gov.tr/www/8sinif-calisma-sorulari/icerik/1632</x:v>
      </x:c>
      <x:c r="O1226" s="14" t="n">
        <x:v>15</x:v>
      </x:c>
      <x:c r="P1226" s="14" t="str">
        <x:v>Hayır</x:v>
      </x:c>
      <x:c r="Q1226" s="14" t="str">
        <x:v>Evet</x:v>
      </x:c>
      <x:c r="R1226" s="14" t="str">
        <x:v>Planlandı</x:v>
      </x:c>
      <x:c r="S1226" s="15" t="str"/>
      <x:c r="T1226" s="14" t="str"/>
    </x:row>
    <x:row r="1227">
      <x:c r="A1227" s="14" t="n">
        <x:v>1226</x:v>
      </x:c>
      <x:c r="B1227" s="15" t="n">
        <x:v>46394</x:v>
      </x:c>
      <x:c r="C1227" s="14" t="str">
        <x:v>Perşembe</x:v>
      </x:c>
      <x:c r="D1227" s="14" t="str">
        <x:v>Okul Günü</x:v>
      </x:c>
      <x:c r="E1227" s="14" t="str">
        <x:v>16:00 sonrası</x:v>
      </x:c>
      <x:c r="F1227" s="14" t="str">
        <x:v>F2 - LGS Kapsam + Ustalık</x:v>
      </x:c>
      <x:c r="G1227" s="14" t="str">
        <x:v>20:15</x:v>
      </x:c>
      <x:c r="H1227" s="14" t="str">
        <x:v>20:50</x:v>
      </x:c>
      <x:c r="I1227" s="14" t="str">
        <x:v>İnkılap</x:v>
      </x:c>
      <x:c r="J1227" s="14" t="str">
        <x:v>Konu / Tekrar</x:v>
      </x:c>
      <x:c r="K1227" s="14" t="str">
        <x:v>Millî Mücadele - Cepheler</x:v>
      </x:c>
      <x:c r="L1227" s="14" t="str">
        <x:v>Millî Mücadele - Cepheler — genel oynatma listesinden ilgili konu/soru çalışmasını yap.</x:v>
      </x:c>
      <x:c r="M1227" s="14" t="str">
        <x:v>İnkılap Genel Oynatma Listesi</x:v>
      </x:c>
      <x:c r="N1227" s="14" t="str">
        <x:v>https://www.youtube.com/watch?v=MltIX0oKpYU&amp;list=PLsAsBPsriHNbXit4Ra3iuBrk1ZHZWxsOR&amp;index=78</x:v>
      </x:c>
      <x:c r="O1227" s="14" t="n">
        <x:v>0</x:v>
      </x:c>
      <x:c r="P1227" s="14" t="str">
        <x:v>Hayır</x:v>
      </x:c>
      <x:c r="Q1227" s="14" t="str">
        <x:v>Evet</x:v>
      </x:c>
      <x:c r="R1227" s="14" t="str">
        <x:v>Planlandı</x:v>
      </x:c>
      <x:c r="S1227" s="15" t="str"/>
      <x:c r="T1227" s="14" t="str">
        <x:v>İnkılapta okul yazılısı videoları zorunlu değildir.</x:v>
      </x:c>
    </x:row>
    <x:row r="1228">
      <x:c r="A1228" s="14" t="n">
        <x:v>1227</x:v>
      </x:c>
      <x:c r="B1228" s="15" t="n">
        <x:v>46394</x:v>
      </x:c>
      <x:c r="C1228" s="14" t="str">
        <x:v>Perşembe</x:v>
      </x:c>
      <x:c r="D1228" s="14" t="str">
        <x:v>Okul Günü</x:v>
      </x:c>
      <x:c r="E1228" s="14" t="str">
        <x:v>16:00 sonrası</x:v>
      </x:c>
      <x:c r="F1228" s="14" t="str">
        <x:v>F2 - LGS Kapsam + Ustalık</x:v>
      </x:c>
      <x:c r="G1228" s="14" t="str">
        <x:v>20:55</x:v>
      </x:c>
      <x:c r="H1228" s="14" t="str">
        <x:v>21:20</x:v>
      </x:c>
      <x:c r="I1228" s="14" t="str">
        <x:v>İnkılap</x:v>
      </x:c>
      <x:c r="J1228" s="14" t="str">
        <x:v>Kitap / MEB / Mastery</x:v>
      </x:c>
      <x:c r="K1228" s="14" t="str">
        <x:v>Millî Mücadele - Cepheler</x:v>
      </x:c>
      <x:c r="L1228" s="14" t="str">
        <x:v>Millî Mücadele - Cepheler ile ilgili soru kitabından en az 18 soru / bugünkü test payını çöz.</x:v>
      </x:c>
      <x:c r="M1228" s="14" t="str">
        <x:v>Hız 8. Sınıf T.C. İnkılap Tarihi ve Atatürkçülük</x:v>
      </x:c>
      <x:c r="N1228" s="14" t="str">
        <x:v>https://www.youtube.com/watch?v=MltIX0oKpYU&amp;list=PLsAsBPsriHNbXit4Ra3iuBrk1ZHZWxsOR&amp;index=78</x:v>
      </x:c>
      <x:c r="O1228" s="14" t="n">
        <x:v>18</x:v>
      </x:c>
      <x:c r="P1228" s="14" t="str">
        <x:v>Hayır</x:v>
      </x:c>
      <x:c r="Q1228" s="14" t="str">
        <x:v>Evet</x:v>
      </x:c>
      <x:c r="R1228" s="14" t="str">
        <x:v>Planlandı</x:v>
      </x:c>
      <x:c r="S1228" s="15" t="str"/>
      <x:c r="T1228" s="14" t="str"/>
    </x:row>
    <x:row r="1229">
      <x:c r="A1229" s="14" t="n">
        <x:v>1228</x:v>
      </x:c>
      <x:c r="B1229" s="15" t="n">
        <x:v>46394</x:v>
      </x:c>
      <x:c r="C1229" s="14" t="str">
        <x:v>Perşembe</x:v>
      </x:c>
      <x:c r="D1229" s="14" t="str">
        <x:v>Okul Günü</x:v>
      </x:c>
      <x:c r="E1229" s="14" t="str">
        <x:v>16:00 sonrası</x:v>
      </x:c>
      <x:c r="F1229" s="14" t="str">
        <x:v>F2 - LGS Kapsam + Ustalık</x:v>
      </x:c>
      <x:c r="G1229" s="14" t="str">
        <x:v>21:20</x:v>
      </x:c>
      <x:c r="H1229" s="14" t="str">
        <x:v>21:35</x:v>
      </x:c>
      <x:c r="I1229" s="14" t="str">
        <x:v>Genel</x:v>
      </x:c>
      <x:c r="J1229" s="14" t="str">
        <x:v>Yanlış / Boş Analizi</x:v>
      </x:c>
      <x:c r="K1229" s="14" t="str">
        <x:v>Günlük</x:v>
      </x:c>
      <x:c r="L1229" s="14" t="str">
        <x:v>Bugünkü yanlış/boşları kaydet; çözümünü öğrenmeden kapatma. Hata türünü sınıflandır.</x:v>
      </x:c>
      <x:c r="M1229" s="14" t="str">
        <x:v>Yanlış Defteri</x:v>
      </x:c>
      <x:c r="N1229" s="14" t="str"/>
      <x:c r="O1229" s="14" t="n">
        <x:v>0</x:v>
      </x:c>
      <x:c r="P1229" s="14" t="str">
        <x:v>Hayır</x:v>
      </x:c>
      <x:c r="Q1229" s="14" t="str">
        <x:v>Evet</x:v>
      </x:c>
      <x:c r="R1229" s="14" t="str">
        <x:v>Planlandı</x:v>
      </x:c>
      <x:c r="S1229" s="15" t="str"/>
      <x:c r="T1229" s="14" t="str"/>
    </x:row>
    <x:row r="1230">
      <x:c r="A1230" s="14" t="n">
        <x:v>1229</x:v>
      </x:c>
      <x:c r="B1230" s="15" t="n">
        <x:v>46394</x:v>
      </x:c>
      <x:c r="C1230" s="14" t="str">
        <x:v>Perşembe</x:v>
      </x:c>
      <x:c r="D1230" s="14" t="str">
        <x:v>Okul Günü</x:v>
      </x:c>
      <x:c r="E1230" s="14" t="str">
        <x:v>16:00 sonrası</x:v>
      </x:c>
      <x:c r="F1230" s="14" t="str">
        <x:v>F2 - LGS Kapsam + Ustalık</x:v>
      </x:c>
      <x:c r="G1230" s="14" t="str">
        <x:v>21:35</x:v>
      </x:c>
      <x:c r="H1230" s="14" t="str">
        <x:v>21:50</x:v>
      </x:c>
      <x:c r="I1230" s="14" t="str">
        <x:v>Genel</x:v>
      </x:c>
      <x:c r="J1230" s="14" t="str">
        <x:v>Aralıklı Hata Tekrarı</x:v>
      </x:c>
      <x:c r="K1230" s="14" t="str">
        <x:v>+1 / +7 / +21</x:v>
      </x:c>
      <x:c r="L1230" s="14" t="str">
        <x:v>Bugün vadesi gelen yanlış soruları tekrar çöz. Vadesi yoksa bu süre serbest/okuma olabilir.</x:v>
      </x:c>
      <x:c r="M1230" s="14" t="str">
        <x:v>Yanlış Defteri</x:v>
      </x:c>
      <x:c r="N1230" s="14" t="str"/>
      <x:c r="O1230" s="14" t="n">
        <x:v>0</x:v>
      </x:c>
      <x:c r="P1230" s="14" t="str">
        <x:v>Hayır</x:v>
      </x:c>
      <x:c r="Q1230" s="14" t="str">
        <x:v>Koşullu</x:v>
      </x:c>
      <x:c r="R1230" s="14" t="str">
        <x:v>Planlandı</x:v>
      </x:c>
      <x:c r="S1230" s="15" t="str"/>
      <x:c r="T1230" s="14" t="str">
        <x:v>Yanlışlar +1, +7 ve +21 gün aralıklarıyla tekrar edilir; hâlâ yanlışsa konu mastery durumu düşürülür.</x:v>
      </x:c>
    </x:row>
    <x:row r="1231">
      <x:c r="A1231" s="14" t="n">
        <x:v>1230</x:v>
      </x:c>
      <x:c r="B1231" s="15" t="n">
        <x:v>46394</x:v>
      </x:c>
      <x:c r="C1231" s="14" t="str">
        <x:v>Perşembe</x:v>
      </x:c>
      <x:c r="D1231" s="14" t="str">
        <x:v>Okul Günü</x:v>
      </x:c>
      <x:c r="E1231" s="14" t="str">
        <x:v>16:00 sonrası</x:v>
      </x:c>
      <x:c r="F1231" s="14" t="str">
        <x:v>F2 - LGS Kapsam + Ustalık</x:v>
      </x:c>
      <x:c r="G1231" s="14" t="str">
        <x:v>21:50</x:v>
      </x:c>
      <x:c r="H1231" s="14" t="str">
        <x:v>22:00</x:v>
      </x:c>
      <x:c r="I1231" s="14" t="str">
        <x:v>Genel</x:v>
      </x:c>
      <x:c r="J1231" s="14" t="str">
        <x:v>Uyku Hazırlığı</x:v>
      </x:c>
      <x:c r="K1231" s="14" t="str"/>
      <x:c r="L1231" s="14" t="str">
        <x:v>22:00'de yatakta ve uyku.</x:v>
      </x:c>
      <x:c r="M1231" s="14" t="str"/>
      <x:c r="N1231" s="14" t="str"/>
      <x:c r="O1231" s="14" t="n">
        <x:v>0</x:v>
      </x:c>
      <x:c r="P1231" s="14" t="str">
        <x:v>Hayır</x:v>
      </x:c>
      <x:c r="Q1231" s="14" t="str">
        <x:v>Hayır</x:v>
      </x:c>
      <x:c r="R1231" s="14" t="str">
        <x:v>Planlandı</x:v>
      </x:c>
      <x:c r="S1231" s="15" t="str"/>
      <x:c r="T1231" s="14" t="str"/>
    </x:row>
    <x:row r="1232">
      <x:c r="A1232" s="14" t="n">
        <x:v>1231</x:v>
      </x:c>
      <x:c r="B1232" s="15" t="n">
        <x:v>46395</x:v>
      </x:c>
      <x:c r="C1232" s="14" t="str">
        <x:v>Cuma</x:v>
      </x:c>
      <x:c r="D1232" s="14" t="str">
        <x:v>Okul Günü</x:v>
      </x:c>
      <x:c r="E1232" s="14" t="str">
        <x:v>16:00 sonrası</x:v>
      </x:c>
      <x:c r="F1232" s="14" t="str">
        <x:v>F2 - LGS Kapsam + Ustalık</x:v>
      </x:c>
      <x:c r="G1232" s="14" t="str">
        <x:v>16:00</x:v>
      </x:c>
      <x:c r="H1232" s="14" t="str">
        <x:v>16:25</x:v>
      </x:c>
      <x:c r="I1232" s="14" t="str">
        <x:v>Genel</x:v>
      </x:c>
      <x:c r="J1232" s="14" t="str">
        <x:v>Dinlenme</x:v>
      </x:c>
      <x:c r="K1232" s="14" t="str"/>
      <x:c r="L1232" s="14" t="str">
        <x:v>Eve geliş, atıştırma ve dinlenme.</x:v>
      </x:c>
      <x:c r="M1232" s="14" t="str"/>
      <x:c r="N1232" s="14" t="str"/>
      <x:c r="O1232" s="14" t="n">
        <x:v>0</x:v>
      </x:c>
      <x:c r="P1232" s="14" t="str">
        <x:v>Hayır</x:v>
      </x:c>
      <x:c r="Q1232" s="14" t="str">
        <x:v>Hayır</x:v>
      </x:c>
      <x:c r="R1232" s="14" t="str">
        <x:v>Planlandı</x:v>
      </x:c>
      <x:c r="S1232" s="15" t="str"/>
      <x:c r="T1232" s="14" t="str"/>
    </x:row>
    <x:row r="1233">
      <x:c r="A1233" s="14" t="n">
        <x:v>1232</x:v>
      </x:c>
      <x:c r="B1233" s="15" t="n">
        <x:v>46395</x:v>
      </x:c>
      <x:c r="C1233" s="14" t="str">
        <x:v>Cuma</x:v>
      </x:c>
      <x:c r="D1233" s="14" t="str">
        <x:v>Okul Günü</x:v>
      </x:c>
      <x:c r="E1233" s="14" t="str">
        <x:v>16:00 sonrası</x:v>
      </x:c>
      <x:c r="F1233" s="14" t="str">
        <x:v>F2 - LGS Kapsam + Ustalık</x:v>
      </x:c>
      <x:c r="G1233" s="14" t="str">
        <x:v>16:25</x:v>
      </x:c>
      <x:c r="H1233" s="14" t="str">
        <x:v>17:05</x:v>
      </x:c>
      <x:c r="I1233" s="14" t="str">
        <x:v>Matematik</x:v>
      </x:c>
      <x:c r="J1233" s="14" t="str">
        <x:v>Konu / Tekrar</x:v>
      </x:c>
      <x:c r="K1233" s="14" t="str">
        <x:v>Eşitsizlikler</x:v>
      </x:c>
      <x:c r="L1233" s="14" t="str">
        <x:v>Eşitsizlikler — genel oynatma listesinden ilgili videoyu izle (1/3).</x:v>
      </x:c>
      <x:c r="M1233" s="14" t="str">
        <x:v>Matematik Ana Oynatma Listesi</x:v>
      </x:c>
      <x:c r="N1233" s="14" t="str">
        <x:v>https://www.youtube.com/watch?v=EuJ89QzqrAg&amp;list=PLicNtF7vp6fnfDqrRLH6H7fIbzYT4ct4F&amp;index=11</x:v>
      </x:c>
      <x:c r="O1233" s="14" t="n">
        <x:v>0</x:v>
      </x:c>
      <x:c r="P1233" s="14" t="str">
        <x:v>Hayır</x:v>
      </x:c>
      <x:c r="Q1233" s="14" t="str">
        <x:v>Evet</x:v>
      </x:c>
      <x:c r="R1233" s="14" t="str">
        <x:v>Planlandı</x:v>
      </x:c>
      <x:c r="S1233" s="15" t="str"/>
      <x:c r="T1233" s="14" t="str">
        <x:v>Yeni konu ancak plan sırasıyla açılır; LGS dışı ileri TYT içeriği zorunlu değildir.</x:v>
      </x:c>
    </x:row>
    <x:row r="1234">
      <x:c r="A1234" s="14" t="n">
        <x:v>1233</x:v>
      </x:c>
      <x:c r="B1234" s="15" t="n">
        <x:v>46395</x:v>
      </x:c>
      <x:c r="C1234" s="14" t="str">
        <x:v>Cuma</x:v>
      </x:c>
      <x:c r="D1234" s="14" t="str">
        <x:v>Okul Günü</x:v>
      </x:c>
      <x:c r="E1234" s="14" t="str">
        <x:v>16:00 sonrası</x:v>
      </x:c>
      <x:c r="F1234" s="14" t="str">
        <x:v>F2 - LGS Kapsam + Ustalık</x:v>
      </x:c>
      <x:c r="G1234" s="14" t="str">
        <x:v>17:10</x:v>
      </x:c>
      <x:c r="H1234" s="14" t="str">
        <x:v>17:55</x:v>
      </x:c>
      <x:c r="I1234" s="14" t="str">
        <x:v>Matematik</x:v>
      </x:c>
      <x:c r="J1234" s="14" t="str">
        <x:v>Kitap / MEB / Mastery</x:v>
      </x:c>
      <x:c r="K1234" s="14" t="str">
        <x:v>Eşitsizlikler</x:v>
      </x:c>
      <x:c r="L1234" s="14" t="str">
        <x:v>Eşitsizlikler ile ilgili soru kitabından en az 25 soru / bugünkü test payını çöz.</x:v>
      </x:c>
      <x:c r="M1234" s="14" t="str">
        <x:v>MUBA 8. Sınıf Başlangıç Matematik (ISBN 9789756526972); tamamlandıysa Mozaik 8. Sınıf Matematik</x:v>
      </x:c>
      <x:c r="N1234" s="14" t="str">
        <x:v>https://odsgm.meb.gov.tr/www/8sinif-calisma-sorulari/icerik/1632</x:v>
      </x:c>
      <x:c r="O1234" s="14" t="n">
        <x:v>25</x:v>
      </x:c>
      <x:c r="P1234" s="14" t="str">
        <x:v>İlk 20 soru</x:v>
      </x:c>
      <x:c r="Q1234" s="14" t="str">
        <x:v>Evet</x:v>
      </x:c>
      <x:c r="R1234" s="14" t="str">
        <x:v>Planlandı</x:v>
      </x:c>
      <x:c r="S1234" s="15" t="str"/>
      <x:c r="T1234" s="14" t="str">
        <x:v>Ayrı/rastgele matematik benchmark yoktur. Süreli ilk 20 soru o gün çalışılan konunun içindedir.</x:v>
      </x:c>
    </x:row>
    <x:row r="1235">
      <x:c r="A1235" s="14" t="n">
        <x:v>1234</x:v>
      </x:c>
      <x:c r="B1235" s="15" t="n">
        <x:v>46395</x:v>
      </x:c>
      <x:c r="C1235" s="14" t="str">
        <x:v>Cuma</x:v>
      </x:c>
      <x:c r="D1235" s="14" t="str">
        <x:v>Okul Günü</x:v>
      </x:c>
      <x:c r="E1235" s="14" t="str">
        <x:v>16:00 sonrası</x:v>
      </x:c>
      <x:c r="F1235" s="14" t="str">
        <x:v>F2 - LGS Kapsam + Ustalık</x:v>
      </x:c>
      <x:c r="G1235" s="14" t="str">
        <x:v>17:55</x:v>
      </x:c>
      <x:c r="H1235" s="14" t="str">
        <x:v>18:25</x:v>
      </x:c>
      <x:c r="I1235" s="14" t="str">
        <x:v>Genel</x:v>
      </x:c>
      <x:c r="J1235" s="14" t="str">
        <x:v>Yemek / Serbest Zaman</x:v>
      </x:c>
      <x:c r="K1235" s="14" t="str"/>
      <x:c r="L1235" s="14" t="str">
        <x:v>Yemek, hareket ve dinlenme.</x:v>
      </x:c>
      <x:c r="M1235" s="14" t="str"/>
      <x:c r="N1235" s="14" t="str"/>
      <x:c r="O1235" s="14" t="n">
        <x:v>0</x:v>
      </x:c>
      <x:c r="P1235" s="14" t="str">
        <x:v>Hayır</x:v>
      </x:c>
      <x:c r="Q1235" s="14" t="str">
        <x:v>Hayır</x:v>
      </x:c>
      <x:c r="R1235" s="14" t="str">
        <x:v>Planlandı</x:v>
      </x:c>
      <x:c r="S1235" s="15" t="str"/>
      <x:c r="T1235" s="14" t="str"/>
    </x:row>
    <x:row r="1236">
      <x:c r="A1236" s="14" t="n">
        <x:v>1235</x:v>
      </x:c>
      <x:c r="B1236" s="15" t="n">
        <x:v>46395</x:v>
      </x:c>
      <x:c r="C1236" s="14" t="str">
        <x:v>Cuma</x:v>
      </x:c>
      <x:c r="D1236" s="14" t="str">
        <x:v>Okul Günü</x:v>
      </x:c>
      <x:c r="E1236" s="14" t="str">
        <x:v>16:00 sonrası</x:v>
      </x:c>
      <x:c r="F1236" s="14" t="str">
        <x:v>F2 - LGS Kapsam + Ustalık</x:v>
      </x:c>
      <x:c r="G1236" s="14" t="str">
        <x:v>18:25</x:v>
      </x:c>
      <x:c r="H1236" s="14" t="str">
        <x:v>18:55</x:v>
      </x:c>
      <x:c r="I1236" s="14" t="str">
        <x:v>Türkçe</x:v>
      </x:c>
      <x:c r="J1236" s="14" t="str">
        <x:v>Paragraf Rutini</x:v>
      </x:c>
      <x:c r="K1236" s="14" t="str">
        <x:v>Paragraf</x:v>
      </x:c>
      <x:c r="L1236" s="14" t="str">
        <x:v>En az 25 paragraf sorusu çöz; ilk 20 soruyu ileri sayımla ölç, D/Y/B + süre kaydet.</x:v>
      </x:c>
      <x:c r="M1236" s="14" t="str">
        <x:v>Hız 8. Sınıf Türkçe Paragraf (ISBN 9786258394498)</x:v>
      </x:c>
      <x:c r="N1236" s="14" t="str"/>
      <x:c r="O1236" s="14" t="n">
        <x:v>25</x:v>
      </x:c>
      <x:c r="P1236" s="14" t="str">
        <x:v>İlk 20 soru</x:v>
      </x:c>
      <x:c r="Q1236" s="14" t="str">
        <x:v>Evet</x:v>
      </x:c>
      <x:c r="R1236" s="14" t="str">
        <x:v>Planlandı</x:v>
      </x:c>
      <x:c r="S1236" s="15" t="str"/>
      <x:c r="T1236" s="14" t="str">
        <x:v>Geri sayım ve hedef süre yok.</x:v>
      </x:c>
    </x:row>
    <x:row r="1237">
      <x:c r="A1237" s="14" t="n">
        <x:v>1236</x:v>
      </x:c>
      <x:c r="B1237" s="15" t="n">
        <x:v>46395</x:v>
      </x:c>
      <x:c r="C1237" s="14" t="str">
        <x:v>Cuma</x:v>
      </x:c>
      <x:c r="D1237" s="14" t="str">
        <x:v>Okul Günü</x:v>
      </x:c>
      <x:c r="E1237" s="14" t="str">
        <x:v>16:00 sonrası</x:v>
      </x:c>
      <x:c r="F1237" s="14" t="str">
        <x:v>F2 - LGS Kapsam + Ustalık</x:v>
      </x:c>
      <x:c r="G1237" s="14" t="str">
        <x:v>19:00</x:v>
      </x:c>
      <x:c r="H1237" s="14" t="str">
        <x:v>19:35</x:v>
      </x:c>
      <x:c r="I1237" s="14" t="str">
        <x:v>Türkçe</x:v>
      </x:c>
      <x:c r="J1237" s="14" t="str">
        <x:v>Konu / Tekrar</x:v>
      </x:c>
      <x:c r="K1237" s="14" t="str">
        <x:v>Kaynak Tamamlama / Zayıf Konu</x:v>
      </x:c>
      <x:c r="L1237" s="14" t="str">
        <x:v>Yeni konu açma. En zayıf/açık konunun ilgili playlist videosunu yalnız gerekiyorsa tekrar izle.</x:v>
      </x:c>
      <x:c r="M1237" s="14" t="str">
        <x:v>Türkçe Ana Oynatma Listesi</x:v>
      </x:c>
      <x:c r="N1237" s="14" t="str">
        <x:v>https://www.youtube.com/watch?v=VYsPntNKVdw&amp;list=PLIBjFaUoJJ91bz7QQEBlxNJNZka5YQRr6</x:v>
      </x:c>
      <x:c r="O1237" s="14" t="n">
        <x:v>0</x:v>
      </x:c>
      <x:c r="P1237" s="14" t="str">
        <x:v>Hayır</x:v>
      </x:c>
      <x:c r="Q1237" s="14" t="str">
        <x:v>Evet</x:v>
      </x:c>
      <x:c r="R1237" s="14" t="str">
        <x:v>Planlandı</x:v>
      </x:c>
      <x:c r="S1237" s="15" t="str"/>
      <x:c r="T1237" s="14" t="str">
        <x:v>TYT etiketli kaynak temelden başlamak için sabittir; LGS dışı gereksiz ayrıntı zorunlu değildir.</x:v>
      </x:c>
    </x:row>
    <x:row r="1238">
      <x:c r="A1238" s="14" t="n">
        <x:v>1237</x:v>
      </x:c>
      <x:c r="B1238" s="15" t="n">
        <x:v>46395</x:v>
      </x:c>
      <x:c r="C1238" s="14" t="str">
        <x:v>Cuma</x:v>
      </x:c>
      <x:c r="D1238" s="14" t="str">
        <x:v>Okul Günü</x:v>
      </x:c>
      <x:c r="E1238" s="14" t="str">
        <x:v>16:00 sonrası</x:v>
      </x:c>
      <x:c r="F1238" s="14" t="str">
        <x:v>F2 - LGS Kapsam + Ustalık</x:v>
      </x:c>
      <x:c r="G1238" s="14" t="str">
        <x:v>19:40</x:v>
      </x:c>
      <x:c r="H1238" s="14" t="str">
        <x:v>20:10</x:v>
      </x:c>
      <x:c r="I1238" s="14" t="str">
        <x:v>Türkçe</x:v>
      </x:c>
      <x:c r="J1238" s="14" t="str">
        <x:v>Kitap / MEB / Mastery</x:v>
      </x:c>
      <x:c r="K1238" s="14" t="str">
        <x:v>Kaynak Tamamlama / Zayıf Konu</x:v>
      </x:c>
      <x:c r="L1238" s="14" t="str">
        <x:v>13 Nisan %100 tamamlama hedefine göre en geride kalan Türkçe soru kaynağını/eksik MEB setini ilerlet; açık yanlışları kapat.</x:v>
      </x:c>
      <x:c r="M1238" s="14" t="str">
        <x:v>Ankara 8. Sınıf Dil Bilgisi Güçlendiren + açık MEB/yanlışlar</x:v>
      </x:c>
      <x:c r="N1238" s="14" t="str">
        <x:v>https://odsgm.meb.gov.tr/www/8sinif-calisma-sorulari/icerik/1632</x:v>
      </x:c>
      <x:c r="O1238" s="14" t="n">
        <x:v>15</x:v>
      </x:c>
      <x:c r="P1238" s="14" t="str">
        <x:v>Hayır</x:v>
      </x:c>
      <x:c r="Q1238" s="14" t="str">
        <x:v>Evet</x:v>
      </x:c>
      <x:c r="R1238" s="14" t="str">
        <x:v>Planlandı</x:v>
      </x:c>
      <x:c r="S1238" s="15" t="str"/>
      <x:c r="T1238" s="14" t="str"/>
    </x:row>
    <x:row r="1239">
      <x:c r="A1239" s="14" t="n">
        <x:v>1238</x:v>
      </x:c>
      <x:c r="B1239" s="15" t="n">
        <x:v>46395</x:v>
      </x:c>
      <x:c r="C1239" s="14" t="str">
        <x:v>Cuma</x:v>
      </x:c>
      <x:c r="D1239" s="14" t="str">
        <x:v>Okul Günü</x:v>
      </x:c>
      <x:c r="E1239" s="14" t="str">
        <x:v>16:00 sonrası</x:v>
      </x:c>
      <x:c r="F1239" s="14" t="str">
        <x:v>F2 - LGS Kapsam + Ustalık</x:v>
      </x:c>
      <x:c r="G1239" s="14" t="str">
        <x:v>20:15</x:v>
      </x:c>
      <x:c r="H1239" s="14" t="str">
        <x:v>20:50</x:v>
      </x:c>
      <x:c r="I1239" s="14" t="str">
        <x:v>İngilizce</x:v>
      </x:c>
      <x:c r="J1239" s="14" t="str">
        <x:v>Konu / Tekrar</x:v>
      </x:c>
      <x:c r="K1239" s="14" t="str">
        <x:v>Unit 7 - Tourism</x:v>
      </x:c>
      <x:c r="L1239" s="14" t="str">
        <x:v>Unit 7 - Tourism — Content çalışmasını playlistten yap.</x:v>
      </x:c>
      <x:c r="M1239" s="14" t="str">
        <x:v>İngilizce Genel Oynatma Listesi</x:v>
      </x:c>
      <x:c r="N1239" s="14" t="str">
        <x:v>https://www.youtube.com/watch?v=FaY3dFjZbns&amp;list=PLSgpQDrUSYp94WgE9pzpHiOG5FwxnZBrr</x:v>
      </x:c>
      <x:c r="O1239" s="14" t="n">
        <x:v>0</x:v>
      </x:c>
      <x:c r="P1239" s="14" t="str">
        <x:v>Hayır</x:v>
      </x:c>
      <x:c r="Q1239" s="14" t="str">
        <x:v>Evet</x:v>
      </x:c>
      <x:c r="R1239" s="14" t="str">
        <x:v>Planlandı</x:v>
      </x:c>
      <x:c r="S1239" s="15" t="str"/>
      <x:c r="T1239" s="14" t="str"/>
    </x:row>
    <x:row r="1240">
      <x:c r="A1240" s="14" t="n">
        <x:v>1239</x:v>
      </x:c>
      <x:c r="B1240" s="15" t="n">
        <x:v>46395</x:v>
      </x:c>
      <x:c r="C1240" s="14" t="str">
        <x:v>Cuma</x:v>
      </x:c>
      <x:c r="D1240" s="14" t="str">
        <x:v>Okul Günü</x:v>
      </x:c>
      <x:c r="E1240" s="14" t="str">
        <x:v>16:00 sonrası</x:v>
      </x:c>
      <x:c r="F1240" s="14" t="str">
        <x:v>F2 - LGS Kapsam + Ustalık</x:v>
      </x:c>
      <x:c r="G1240" s="14" t="str">
        <x:v>20:55</x:v>
      </x:c>
      <x:c r="H1240" s="14" t="str">
        <x:v>21:20</x:v>
      </x:c>
      <x:c r="I1240" s="14" t="str">
        <x:v>İngilizce</x:v>
      </x:c>
      <x:c r="J1240" s="14" t="str">
        <x:v>Kitap / MEB / Mastery</x:v>
      </x:c>
      <x:c r="K1240" s="14" t="str">
        <x:v>Unit 7 - Tourism</x:v>
      </x:c>
      <x:c r="L1240" s="14" t="str">
        <x:v>Unit 7 - Tourism ile ilgili soru kitabından en az 18 soru / bugünkü test payını çöz.</x:v>
      </x:c>
      <x:c r="M1240" s="14" t="str">
        <x:v>More &amp; More 8 Worksheets Notebook</x:v>
      </x:c>
      <x:c r="N1240" s="14" t="str">
        <x:v>https://www.youtube.com/watch?v=FaY3dFjZbns&amp;list=PLSgpQDrUSYp94WgE9pzpHiOG5FwxnZBrr</x:v>
      </x:c>
      <x:c r="O1240" s="14" t="n">
        <x:v>18</x:v>
      </x:c>
      <x:c r="P1240" s="14" t="str">
        <x:v>Hayır</x:v>
      </x:c>
      <x:c r="Q1240" s="14" t="str">
        <x:v>Evet</x:v>
      </x:c>
      <x:c r="R1240" s="14" t="str">
        <x:v>Planlandı</x:v>
      </x:c>
      <x:c r="S1240" s="15" t="str"/>
      <x:c r="T1240" s="14" t="str"/>
    </x:row>
    <x:row r="1241">
      <x:c r="A1241" s="14" t="n">
        <x:v>1240</x:v>
      </x:c>
      <x:c r="B1241" s="15" t="n">
        <x:v>46395</x:v>
      </x:c>
      <x:c r="C1241" s="14" t="str">
        <x:v>Cuma</x:v>
      </x:c>
      <x:c r="D1241" s="14" t="str">
        <x:v>Okul Günü</x:v>
      </x:c>
      <x:c r="E1241" s="14" t="str">
        <x:v>16:00 sonrası</x:v>
      </x:c>
      <x:c r="F1241" s="14" t="str">
        <x:v>F2 - LGS Kapsam + Ustalık</x:v>
      </x:c>
      <x:c r="G1241" s="14" t="str">
        <x:v>21:20</x:v>
      </x:c>
      <x:c r="H1241" s="14" t="str">
        <x:v>21:35</x:v>
      </x:c>
      <x:c r="I1241" s="14" t="str">
        <x:v>Genel</x:v>
      </x:c>
      <x:c r="J1241" s="14" t="str">
        <x:v>Yanlış / Boş Analizi</x:v>
      </x:c>
      <x:c r="K1241" s="14" t="str">
        <x:v>Günlük</x:v>
      </x:c>
      <x:c r="L1241" s="14" t="str">
        <x:v>Bugünkü yanlış/boşları kaydet; çözümünü öğrenmeden kapatma. Hata türünü sınıflandır.</x:v>
      </x:c>
      <x:c r="M1241" s="14" t="str">
        <x:v>Yanlış Defteri</x:v>
      </x:c>
      <x:c r="N1241" s="14" t="str"/>
      <x:c r="O1241" s="14" t="n">
        <x:v>0</x:v>
      </x:c>
      <x:c r="P1241" s="14" t="str">
        <x:v>Hayır</x:v>
      </x:c>
      <x:c r="Q1241" s="14" t="str">
        <x:v>Evet</x:v>
      </x:c>
      <x:c r="R1241" s="14" t="str">
        <x:v>Planlandı</x:v>
      </x:c>
      <x:c r="S1241" s="15" t="str"/>
      <x:c r="T1241" s="14" t="str"/>
    </x:row>
    <x:row r="1242">
      <x:c r="A1242" s="14" t="n">
        <x:v>1241</x:v>
      </x:c>
      <x:c r="B1242" s="15" t="n">
        <x:v>46395</x:v>
      </x:c>
      <x:c r="C1242" s="14" t="str">
        <x:v>Cuma</x:v>
      </x:c>
      <x:c r="D1242" s="14" t="str">
        <x:v>Okul Günü</x:v>
      </x:c>
      <x:c r="E1242" s="14" t="str">
        <x:v>16:00 sonrası</x:v>
      </x:c>
      <x:c r="F1242" s="14" t="str">
        <x:v>F2 - LGS Kapsam + Ustalık</x:v>
      </x:c>
      <x:c r="G1242" s="14" t="str">
        <x:v>21:35</x:v>
      </x:c>
      <x:c r="H1242" s="14" t="str">
        <x:v>21:50</x:v>
      </x:c>
      <x:c r="I1242" s="14" t="str">
        <x:v>Genel</x:v>
      </x:c>
      <x:c r="J1242" s="14" t="str">
        <x:v>Aralıklı Hata Tekrarı</x:v>
      </x:c>
      <x:c r="K1242" s="14" t="str">
        <x:v>+1 / +7 / +21</x:v>
      </x:c>
      <x:c r="L1242" s="14" t="str">
        <x:v>Bugün vadesi gelen yanlış soruları tekrar çöz. Vadesi yoksa bu süre serbest/okuma olabilir.</x:v>
      </x:c>
      <x:c r="M1242" s="14" t="str">
        <x:v>Yanlış Defteri</x:v>
      </x:c>
      <x:c r="N1242" s="14" t="str"/>
      <x:c r="O1242" s="14" t="n">
        <x:v>0</x:v>
      </x:c>
      <x:c r="P1242" s="14" t="str">
        <x:v>Hayır</x:v>
      </x:c>
      <x:c r="Q1242" s="14" t="str">
        <x:v>Koşullu</x:v>
      </x:c>
      <x:c r="R1242" s="14" t="str">
        <x:v>Planlandı</x:v>
      </x:c>
      <x:c r="S1242" s="15" t="str"/>
      <x:c r="T1242" s="14" t="str">
        <x:v>Yanlışlar +1, +7 ve +21 gün aralıklarıyla tekrar edilir; hâlâ yanlışsa konu mastery durumu düşürülür.</x:v>
      </x:c>
    </x:row>
    <x:row r="1243">
      <x:c r="A1243" s="14" t="n">
        <x:v>1242</x:v>
      </x:c>
      <x:c r="B1243" s="15" t="n">
        <x:v>46395</x:v>
      </x:c>
      <x:c r="C1243" s="14" t="str">
        <x:v>Cuma</x:v>
      </x:c>
      <x:c r="D1243" s="14" t="str">
        <x:v>Okul Günü</x:v>
      </x:c>
      <x:c r="E1243" s="14" t="str">
        <x:v>16:00 sonrası</x:v>
      </x:c>
      <x:c r="F1243" s="14" t="str">
        <x:v>F2 - LGS Kapsam + Ustalık</x:v>
      </x:c>
      <x:c r="G1243" s="14" t="str">
        <x:v>21:50</x:v>
      </x:c>
      <x:c r="H1243" s="14" t="str">
        <x:v>22:00</x:v>
      </x:c>
      <x:c r="I1243" s="14" t="str">
        <x:v>Genel</x:v>
      </x:c>
      <x:c r="J1243" s="14" t="str">
        <x:v>Uyku Hazırlığı</x:v>
      </x:c>
      <x:c r="K1243" s="14" t="str"/>
      <x:c r="L1243" s="14" t="str">
        <x:v>22:00'de yatakta ve uyku.</x:v>
      </x:c>
      <x:c r="M1243" s="14" t="str"/>
      <x:c r="N1243" s="14" t="str"/>
      <x:c r="O1243" s="14" t="n">
        <x:v>0</x:v>
      </x:c>
      <x:c r="P1243" s="14" t="str">
        <x:v>Hayır</x:v>
      </x:c>
      <x:c r="Q1243" s="14" t="str">
        <x:v>Hayır</x:v>
      </x:c>
      <x:c r="R1243" s="14" t="str">
        <x:v>Planlandı</x:v>
      </x:c>
      <x:c r="S1243" s="15" t="str"/>
      <x:c r="T1243" s="14" t="str"/>
    </x:row>
    <x:row r="1244">
      <x:c r="A1244" s="14" t="n">
        <x:v>1243</x:v>
      </x:c>
      <x:c r="B1244" s="15" t="n">
        <x:v>46396</x:v>
      </x:c>
      <x:c r="C1244" s="14" t="str">
        <x:v>Cumartesi</x:v>
      </x:c>
      <x:c r="D1244" s="14" t="str">
        <x:v>Hafta Sonu</x:v>
      </x:c>
      <x:c r="E1244" s="14" t="str">
        <x:v>Tam gün</x:v>
      </x:c>
      <x:c r="F1244" s="14" t="str">
        <x:v>F2 - LGS Kapsam + Ustalık</x:v>
      </x:c>
      <x:c r="G1244" s="14" t="str">
        <x:v>09:30</x:v>
      </x:c>
      <x:c r="H1244" s="14" t="str">
        <x:v>10:15</x:v>
      </x:c>
      <x:c r="I1244" s="14" t="str">
        <x:v>Matematik</x:v>
      </x:c>
      <x:c r="J1244" s="14" t="str">
        <x:v>Konu / Tekrar</x:v>
      </x:c>
      <x:c r="K1244" s="14" t="str">
        <x:v>Eşitsizlikler</x:v>
      </x:c>
      <x:c r="L1244" s="14" t="str">
        <x:v>Eşitsizlikler — genel oynatma listesinden ilgili videoyu izle (2/3).</x:v>
      </x:c>
      <x:c r="M1244" s="14" t="str">
        <x:v>Matematik Ana Oynatma Listesi</x:v>
      </x:c>
      <x:c r="N1244" s="14" t="str">
        <x:v>https://www.youtube.com/watch?v=EuJ89QzqrAg&amp;list=PLicNtF7vp6fnfDqrRLH6H7fIbzYT4ct4F&amp;index=11</x:v>
      </x:c>
      <x:c r="O1244" s="14" t="n">
        <x:v>0</x:v>
      </x:c>
      <x:c r="P1244" s="14" t="str">
        <x:v>Hayır</x:v>
      </x:c>
      <x:c r="Q1244" s="14" t="str">
        <x:v>Evet</x:v>
      </x:c>
      <x:c r="R1244" s="14" t="str">
        <x:v>Planlandı</x:v>
      </x:c>
      <x:c r="S1244" s="15" t="str"/>
      <x:c r="T1244" s="14" t="str">
        <x:v>Yeni konu ancak plan sırasıyla açılır; LGS dışı ileri TYT içeriği zorunlu değildir.</x:v>
      </x:c>
    </x:row>
    <x:row r="1245">
      <x:c r="A1245" s="14" t="n">
        <x:v>1244</x:v>
      </x:c>
      <x:c r="B1245" s="15" t="n">
        <x:v>46396</x:v>
      </x:c>
      <x:c r="C1245" s="14" t="str">
        <x:v>Cumartesi</x:v>
      </x:c>
      <x:c r="D1245" s="14" t="str">
        <x:v>Hafta Sonu</x:v>
      </x:c>
      <x:c r="E1245" s="14" t="str">
        <x:v>Tam gün</x:v>
      </x:c>
      <x:c r="F1245" s="14" t="str">
        <x:v>F2 - LGS Kapsam + Ustalık</x:v>
      </x:c>
      <x:c r="G1245" s="14" t="str">
        <x:v>10:25</x:v>
      </x:c>
      <x:c r="H1245" s="14" t="str">
        <x:v>11:15</x:v>
      </x:c>
      <x:c r="I1245" s="14" t="str">
        <x:v>Matematik</x:v>
      </x:c>
      <x:c r="J1245" s="14" t="str">
        <x:v>Kitap / MEB / Mastery</x:v>
      </x:c>
      <x:c r="K1245" s="14" t="str">
        <x:v>Eşitsizlikler</x:v>
      </x:c>
      <x:c r="L1245" s="14" t="str">
        <x:v>Eşitsizlikler ile ilgili soru kitabından en az 25 soru / bugünkü test payını çöz.</x:v>
      </x:c>
      <x:c r="M1245" s="14" t="str">
        <x:v>MUBA 8. Sınıf Başlangıç Matematik (ISBN 9789756526972); tamamlandıysa Mozaik 8. Sınıf Matematik</x:v>
      </x:c>
      <x:c r="N1245" s="14" t="str">
        <x:v>https://odsgm.meb.gov.tr/www/8sinif-calisma-sorulari/icerik/1632</x:v>
      </x:c>
      <x:c r="O1245" s="14" t="n">
        <x:v>25</x:v>
      </x:c>
      <x:c r="P1245" s="14" t="str">
        <x:v>İlk 20 soru</x:v>
      </x:c>
      <x:c r="Q1245" s="14" t="str">
        <x:v>Evet</x:v>
      </x:c>
      <x:c r="R1245" s="14" t="str">
        <x:v>Planlandı</x:v>
      </x:c>
      <x:c r="S1245" s="15" t="str"/>
      <x:c r="T1245" s="14" t="str">
        <x:v>Ayrı/rastgele matematik benchmark yoktur. Süreli ilk 20 soru o gün çalışılan konunun içindedir.</x:v>
      </x:c>
    </x:row>
    <x:row r="1246">
      <x:c r="A1246" s="14" t="n">
        <x:v>1245</x:v>
      </x:c>
      <x:c r="B1246" s="15" t="n">
        <x:v>46396</x:v>
      </x:c>
      <x:c r="C1246" s="14" t="str">
        <x:v>Cumartesi</x:v>
      </x:c>
      <x:c r="D1246" s="14" t="str">
        <x:v>Hafta Sonu</x:v>
      </x:c>
      <x:c r="E1246" s="14" t="str">
        <x:v>Tam gün</x:v>
      </x:c>
      <x:c r="F1246" s="14" t="str">
        <x:v>F2 - LGS Kapsam + Ustalık</x:v>
      </x:c>
      <x:c r="G1246" s="14" t="str">
        <x:v>12:00</x:v>
      </x:c>
      <x:c r="H1246" s="14" t="str">
        <x:v>14:00</x:v>
      </x:c>
      <x:c r="I1246" s="14" t="str">
        <x:v>Genel</x:v>
      </x:c>
      <x:c r="J1246" s="14" t="str">
        <x:v>Yemek / Serbest Zaman</x:v>
      </x:c>
      <x:c r="K1246" s="14" t="str"/>
      <x:c r="L1246" s="14" t="str">
        <x:v>Yemek, hareket ve dinlenme.</x:v>
      </x:c>
      <x:c r="M1246" s="14" t="str"/>
      <x:c r="N1246" s="14" t="str"/>
      <x:c r="O1246" s="14" t="n">
        <x:v>0</x:v>
      </x:c>
      <x:c r="P1246" s="14" t="str">
        <x:v>Hayır</x:v>
      </x:c>
      <x:c r="Q1246" s="14" t="str">
        <x:v>Hayır</x:v>
      </x:c>
      <x:c r="R1246" s="14" t="str">
        <x:v>Planlandı</x:v>
      </x:c>
      <x:c r="S1246" s="15" t="str"/>
      <x:c r="T1246" s="14" t="str"/>
    </x:row>
    <x:row r="1247">
      <x:c r="A1247" s="14" t="n">
        <x:v>1246</x:v>
      </x:c>
      <x:c r="B1247" s="15" t="n">
        <x:v>46396</x:v>
      </x:c>
      <x:c r="C1247" s="14" t="str">
        <x:v>Cumartesi</x:v>
      </x:c>
      <x:c r="D1247" s="14" t="str">
        <x:v>Hafta Sonu</x:v>
      </x:c>
      <x:c r="E1247" s="14" t="str">
        <x:v>Tam gün</x:v>
      </x:c>
      <x:c r="F1247" s="14" t="str">
        <x:v>F2 - LGS Kapsam + Ustalık</x:v>
      </x:c>
      <x:c r="G1247" s="14" t="str">
        <x:v>11:25</x:v>
      </x:c>
      <x:c r="H1247" s="14" t="str">
        <x:v>11:55</x:v>
      </x:c>
      <x:c r="I1247" s="14" t="str">
        <x:v>Türkçe</x:v>
      </x:c>
      <x:c r="J1247" s="14" t="str">
        <x:v>Paragraf Rutini</x:v>
      </x:c>
      <x:c r="K1247" s="14" t="str">
        <x:v>Paragraf</x:v>
      </x:c>
      <x:c r="L1247" s="14" t="str">
        <x:v>En az 25 paragraf sorusu çöz; ilk 20 soruyu ileri sayımla ölç, D/Y/B + süre kaydet.</x:v>
      </x:c>
      <x:c r="M1247" s="14" t="str">
        <x:v>Hız 8. Sınıf Türkçe Paragraf (ISBN 9786258394498)</x:v>
      </x:c>
      <x:c r="N1247" s="14" t="str"/>
      <x:c r="O1247" s="14" t="n">
        <x:v>25</x:v>
      </x:c>
      <x:c r="P1247" s="14" t="str">
        <x:v>İlk 20 soru</x:v>
      </x:c>
      <x:c r="Q1247" s="14" t="str">
        <x:v>Evet</x:v>
      </x:c>
      <x:c r="R1247" s="14" t="str">
        <x:v>Planlandı</x:v>
      </x:c>
      <x:c r="S1247" s="15" t="str"/>
      <x:c r="T1247" s="14" t="str">
        <x:v>Geri sayım ve hedef süre yok.</x:v>
      </x:c>
    </x:row>
    <x:row r="1248">
      <x:c r="A1248" s="14" t="n">
        <x:v>1247</x:v>
      </x:c>
      <x:c r="B1248" s="15" t="n">
        <x:v>46396</x:v>
      </x:c>
      <x:c r="C1248" s="14" t="str">
        <x:v>Cumartesi</x:v>
      </x:c>
      <x:c r="D1248" s="14" t="str">
        <x:v>Hafta Sonu</x:v>
      </x:c>
      <x:c r="E1248" s="14" t="str">
        <x:v>Tam gün</x:v>
      </x:c>
      <x:c r="F1248" s="14" t="str">
        <x:v>F2 - LGS Kapsam + Ustalık</x:v>
      </x:c>
      <x:c r="G1248" s="14" t="str">
        <x:v>14:00</x:v>
      </x:c>
      <x:c r="H1248" s="14" t="str">
        <x:v>14:40</x:v>
      </x:c>
      <x:c r="I1248" s="14" t="str">
        <x:v>Türkçe</x:v>
      </x:c>
      <x:c r="J1248" s="14" t="str">
        <x:v>Konu / Tekrar</x:v>
      </x:c>
      <x:c r="K1248" s="14" t="str">
        <x:v>Kaynak Tamamlama / Zayıf Konu</x:v>
      </x:c>
      <x:c r="L1248" s="14" t="str">
        <x:v>Yeni konu açma. En zayıf/açık konunun ilgili playlist videosunu yalnız gerekiyorsa tekrar izle.</x:v>
      </x:c>
      <x:c r="M1248" s="14" t="str">
        <x:v>Türkçe Ana Oynatma Listesi</x:v>
      </x:c>
      <x:c r="N1248" s="14" t="str">
        <x:v>https://www.youtube.com/watch?v=VYsPntNKVdw&amp;list=PLIBjFaUoJJ91bz7QQEBlxNJNZka5YQRr6</x:v>
      </x:c>
      <x:c r="O1248" s="14" t="n">
        <x:v>0</x:v>
      </x:c>
      <x:c r="P1248" s="14" t="str">
        <x:v>Hayır</x:v>
      </x:c>
      <x:c r="Q1248" s="14" t="str">
        <x:v>Evet</x:v>
      </x:c>
      <x:c r="R1248" s="14" t="str">
        <x:v>Planlandı</x:v>
      </x:c>
      <x:c r="S1248" s="15" t="str"/>
      <x:c r="T1248" s="14" t="str">
        <x:v>TYT etiketli kaynak temelden başlamak için sabittir; LGS dışı gereksiz ayrıntı zorunlu değildir.</x:v>
      </x:c>
    </x:row>
    <x:row r="1249">
      <x:c r="A1249" s="14" t="n">
        <x:v>1248</x:v>
      </x:c>
      <x:c r="B1249" s="15" t="n">
        <x:v>46396</x:v>
      </x:c>
      <x:c r="C1249" s="14" t="str">
        <x:v>Cumartesi</x:v>
      </x:c>
      <x:c r="D1249" s="14" t="str">
        <x:v>Hafta Sonu</x:v>
      </x:c>
      <x:c r="E1249" s="14" t="str">
        <x:v>Tam gün</x:v>
      </x:c>
      <x:c r="F1249" s="14" t="str">
        <x:v>F2 - LGS Kapsam + Ustalık</x:v>
      </x:c>
      <x:c r="G1249" s="14" t="str">
        <x:v>14:50</x:v>
      </x:c>
      <x:c r="H1249" s="14" t="str">
        <x:v>15:30</x:v>
      </x:c>
      <x:c r="I1249" s="14" t="str">
        <x:v>Türkçe</x:v>
      </x:c>
      <x:c r="J1249" s="14" t="str">
        <x:v>Kitap / MEB / Mastery</x:v>
      </x:c>
      <x:c r="K1249" s="14" t="str">
        <x:v>Kaynak Tamamlama / Zayıf Konu</x:v>
      </x:c>
      <x:c r="L1249" s="14" t="str">
        <x:v>13 Nisan %100 tamamlama hedefine göre en geride kalan Türkçe soru kaynağını/eksik MEB setini ilerlet; açık yanlışları kapat.</x:v>
      </x:c>
      <x:c r="M1249" s="14" t="str">
        <x:v>Ankara 8. Sınıf Dil Bilgisi Güçlendiren + açık MEB/yanlışlar</x:v>
      </x:c>
      <x:c r="N1249" s="14" t="str">
        <x:v>https://odsgm.meb.gov.tr/www/8sinif-calisma-sorulari/icerik/1632</x:v>
      </x:c>
      <x:c r="O1249" s="14" t="n">
        <x:v>15</x:v>
      </x:c>
      <x:c r="P1249" s="14" t="str">
        <x:v>Hayır</x:v>
      </x:c>
      <x:c r="Q1249" s="14" t="str">
        <x:v>Evet</x:v>
      </x:c>
      <x:c r="R1249" s="14" t="str">
        <x:v>Planlandı</x:v>
      </x:c>
      <x:c r="S1249" s="15" t="str"/>
      <x:c r="T1249" s="14" t="str"/>
    </x:row>
    <x:row r="1250">
      <x:c r="A1250" s="14" t="n">
        <x:v>1249</x:v>
      </x:c>
      <x:c r="B1250" s="15" t="n">
        <x:v>46396</x:v>
      </x:c>
      <x:c r="C1250" s="14" t="str">
        <x:v>Cumartesi</x:v>
      </x:c>
      <x:c r="D1250" s="14" t="str">
        <x:v>Hafta Sonu</x:v>
      </x:c>
      <x:c r="E1250" s="14" t="str">
        <x:v>Tam gün</x:v>
      </x:c>
      <x:c r="F1250" s="14" t="str">
        <x:v>F2 - LGS Kapsam + Ustalık</x:v>
      </x:c>
      <x:c r="G1250" s="14" t="str">
        <x:v>15:45</x:v>
      </x:c>
      <x:c r="H1250" s="14" t="str">
        <x:v>16:25</x:v>
      </x:c>
      <x:c r="I1250" s="14" t="str">
        <x:v>Fen</x:v>
      </x:c>
      <x:c r="J1250" s="14" t="str">
        <x:v>Konu / Tekrar</x:v>
      </x:c>
      <x:c r="K1250" s="14" t="str">
        <x:v>Basit Makineler - Makaralar</x:v>
      </x:c>
      <x:c r="L1250" s="14" t="str">
        <x:v>Basit Makineler - Makaralar — Fen konu anlatım playlistinden ilgili videoyu izle.</x:v>
      </x:c>
      <x:c r="M1250" s="14" t="str">
        <x:v>Fen Konu Anlatım</x:v>
      </x:c>
      <x:c r="N1250" s="14" t="str">
        <x:v>https://www.youtube.com/watch?v=AHdk01aR4Ko&amp;list=PLrQm7mt99FRV_Oe9xFavWzFpCIl7_XiWj</x:v>
      </x:c>
      <x:c r="O1250" s="14" t="n">
        <x:v>0</x:v>
      </x:c>
      <x:c r="P1250" s="14" t="str">
        <x:v>Hayır</x:v>
      </x:c>
      <x:c r="Q1250" s="14" t="str">
        <x:v>Evet</x:v>
      </x:c>
      <x:c r="R1250" s="14" t="str">
        <x:v>Planlandı</x:v>
      </x:c>
      <x:c r="S1250" s="15" t="str"/>
      <x:c r="T1250" s="14" t="str"/>
    </x:row>
    <x:row r="1251">
      <x:c r="A1251" s="14" t="n">
        <x:v>1250</x:v>
      </x:c>
      <x:c r="B1251" s="15" t="n">
        <x:v>46396</x:v>
      </x:c>
      <x:c r="C1251" s="14" t="str">
        <x:v>Cumartesi</x:v>
      </x:c>
      <x:c r="D1251" s="14" t="str">
        <x:v>Hafta Sonu</x:v>
      </x:c>
      <x:c r="E1251" s="14" t="str">
        <x:v>Tam gün</x:v>
      </x:c>
      <x:c r="F1251" s="14" t="str">
        <x:v>F2 - LGS Kapsam + Ustalık</x:v>
      </x:c>
      <x:c r="G1251" s="14" t="str">
        <x:v>16:35</x:v>
      </x:c>
      <x:c r="H1251" s="14" t="str">
        <x:v>17:15</x:v>
      </x:c>
      <x:c r="I1251" s="14" t="str">
        <x:v>Fen</x:v>
      </x:c>
      <x:c r="J1251" s="14" t="str">
        <x:v>Kitap / MEB / Mastery</x:v>
      </x:c>
      <x:c r="K1251" s="14" t="str">
        <x:v>Basit Makineler - Makaralar</x:v>
      </x:c>
      <x:c r="L1251" s="14" t="str">
        <x:v>Basit Makineler - Makaralar ile ilgili soru kitabından en az 18 soru / bugünkü test payını çöz.</x:v>
      </x:c>
      <x:c r="M1251" s="14" t="str">
        <x:v>Hız 8. Sınıf Fen (ISBN 9786257514859); tamamlandıysa Mozaik 8. Sınıf Fen</x:v>
      </x:c>
      <x:c r="N1251" s="14" t="str">
        <x:v>https://www.youtube.com/watch?v=AHdk01aR4Ko&amp;list=PLrQm7mt99FRV_Oe9xFavWzFpCIl7_XiWj</x:v>
      </x:c>
      <x:c r="O1251" s="14" t="n">
        <x:v>18</x:v>
      </x:c>
      <x:c r="P1251" s="14" t="str">
        <x:v>Hayır</x:v>
      </x:c>
      <x:c r="Q1251" s="14" t="str">
        <x:v>Evet</x:v>
      </x:c>
      <x:c r="R1251" s="14" t="str">
        <x:v>Planlandı</x:v>
      </x:c>
      <x:c r="S1251" s="15" t="str"/>
      <x:c r="T1251" s="14" t="str"/>
    </x:row>
    <x:row r="1252">
      <x:c r="A1252" s="14" t="n">
        <x:v>1251</x:v>
      </x:c>
      <x:c r="B1252" s="15" t="n">
        <x:v>46396</x:v>
      </x:c>
      <x:c r="C1252" s="14" t="str">
        <x:v>Cumartesi</x:v>
      </x:c>
      <x:c r="D1252" s="14" t="str">
        <x:v>Hafta Sonu</x:v>
      </x:c>
      <x:c r="E1252" s="14" t="str">
        <x:v>Tam gün</x:v>
      </x:c>
      <x:c r="F1252" s="14" t="str">
        <x:v>F2 - LGS Kapsam + Ustalık</x:v>
      </x:c>
      <x:c r="G1252" s="14" t="str">
        <x:v>17:25</x:v>
      </x:c>
      <x:c r="H1252" s="14" t="str">
        <x:v>17:55</x:v>
      </x:c>
      <x:c r="I1252" s="14" t="str">
        <x:v>Fen</x:v>
      </x:c>
      <x:c r="J1252" s="14" t="str">
        <x:v>Ek Fen Pekiştirme</x:v>
      </x:c>
      <x:c r="K1252" s="14" t="str">
        <x:v>Basit Makineler - Makaralar</x:v>
      </x:c>
      <x:c r="L1252" s="14" t="str">
        <x:v>Basit Makineler - Makaralar — Fen soru çözüm playlistinden ilgili videoyu izle.</x:v>
      </x:c>
      <x:c r="M1252" s="14" t="str">
        <x:v>Fen Konu/Soru Oynatma Listesi</x:v>
      </x:c>
      <x:c r="N1252" s="14" t="str">
        <x:v>https://www.youtube.com/watch?v=pQXhWnDZ3vM&amp;list=PLrQm7mt99FRXcBnorCttd31HJEvg0En26&amp;index=23</x:v>
      </x:c>
      <x:c r="O1252" s="14" t="n">
        <x:v>0</x:v>
      </x:c>
      <x:c r="P1252" s="14" t="str">
        <x:v>Hayır</x:v>
      </x:c>
      <x:c r="Q1252" s="14" t="str">
        <x:v>Evet</x:v>
      </x:c>
      <x:c r="R1252" s="14" t="str">
        <x:v>Planlandı</x:v>
      </x:c>
      <x:c r="S1252" s="15" t="str"/>
      <x:c r="T1252" s="14" t="str">
        <x:v>Fen haftalık temas sıklığını artırmak için ek Cumartesi oturumu.</x:v>
      </x:c>
    </x:row>
    <x:row r="1253">
      <x:c r="A1253" s="14" t="n">
        <x:v>1252</x:v>
      </x:c>
      <x:c r="B1253" s="15" t="n">
        <x:v>46396</x:v>
      </x:c>
      <x:c r="C1253" s="14" t="str">
        <x:v>Cumartesi</x:v>
      </x:c>
      <x:c r="D1253" s="14" t="str">
        <x:v>Hafta Sonu</x:v>
      </x:c>
      <x:c r="E1253" s="14" t="str">
        <x:v>Tam gün</x:v>
      </x:c>
      <x:c r="F1253" s="14" t="str">
        <x:v>F2 - LGS Kapsam + Ustalık</x:v>
      </x:c>
      <x:c r="G1253" s="14" t="str">
        <x:v>17:55</x:v>
      </x:c>
      <x:c r="H1253" s="14" t="str">
        <x:v>18:25</x:v>
      </x:c>
      <x:c r="I1253" s="14" t="str">
        <x:v>Fen</x:v>
      </x:c>
      <x:c r="J1253" s="14" t="str">
        <x:v>Ek Fen Kitap / MEB</x:v>
      </x:c>
      <x:c r="K1253" s="14" t="str">
        <x:v>Basit Makineler - Makaralar</x:v>
      </x:c>
      <x:c r="L1253" s="14" t="str">
        <x:v>Basit Makineler - Makaralar ile ilgili soru kitabından en az 18 soru / bugünkü test payını çöz.</x:v>
      </x:c>
      <x:c r="M1253" s="14" t="str">
        <x:v>Hız 8. Sınıf Fen (ISBN 9786257514859); tamamlandıysa Mozaik 8. Sınıf Fen</x:v>
      </x:c>
      <x:c r="N1253" s="14" t="str">
        <x:v>https://www.youtube.com/watch?v=pQXhWnDZ3vM&amp;list=PLrQm7mt99FRXcBnorCttd31HJEvg0En26&amp;index=23</x:v>
      </x:c>
      <x:c r="O1253" s="14" t="n">
        <x:v>18</x:v>
      </x:c>
      <x:c r="P1253" s="14" t="str">
        <x:v>Hayır</x:v>
      </x:c>
      <x:c r="Q1253" s="14" t="str">
        <x:v>Evet</x:v>
      </x:c>
      <x:c r="R1253" s="14" t="str">
        <x:v>Planlandı</x:v>
      </x:c>
      <x:c r="S1253" s="15" t="str"/>
      <x:c r="T1253" s="14" t="str">
        <x:v>Fen için Hız → gerekiyorsa Mozaik; MEB doğrulaması konu bitiminde.</x:v>
      </x:c>
    </x:row>
    <x:row r="1254">
      <x:c r="A1254" s="14" t="n">
        <x:v>1253</x:v>
      </x:c>
      <x:c r="B1254" s="15" t="n">
        <x:v>46396</x:v>
      </x:c>
      <x:c r="C1254" s="14" t="str">
        <x:v>Cumartesi</x:v>
      </x:c>
      <x:c r="D1254" s="14" t="str">
        <x:v>Hafta Sonu</x:v>
      </x:c>
      <x:c r="E1254" s="14" t="str">
        <x:v>Tam gün</x:v>
      </x:c>
      <x:c r="F1254" s="14" t="str">
        <x:v>F2 - LGS Kapsam + Ustalık</x:v>
      </x:c>
      <x:c r="G1254" s="14" t="str">
        <x:v>18:25</x:v>
      </x:c>
      <x:c r="H1254" s="14" t="str">
        <x:v>18:45</x:v>
      </x:c>
      <x:c r="I1254" s="14" t="str">
        <x:v>Genel</x:v>
      </x:c>
      <x:c r="J1254" s="14" t="str">
        <x:v>Yanlış / Boş Analizi</x:v>
      </x:c>
      <x:c r="K1254" s="14" t="str">
        <x:v>Günlük</x:v>
      </x:c>
      <x:c r="L1254" s="14" t="str">
        <x:v>Bugünkü yanlış/boşları kaydet; çözümünü öğrenmeden kapatma. Hata türünü sınıflandır.</x:v>
      </x:c>
      <x:c r="M1254" s="14" t="str">
        <x:v>Yanlış Defteri</x:v>
      </x:c>
      <x:c r="N1254" s="14" t="str"/>
      <x:c r="O1254" s="14" t="n">
        <x:v>0</x:v>
      </x:c>
      <x:c r="P1254" s="14" t="str">
        <x:v>Hayır</x:v>
      </x:c>
      <x:c r="Q1254" s="14" t="str">
        <x:v>Evet</x:v>
      </x:c>
      <x:c r="R1254" s="14" t="str">
        <x:v>Planlandı</x:v>
      </x:c>
      <x:c r="S1254" s="15" t="str"/>
      <x:c r="T1254" s="14" t="str"/>
    </x:row>
    <x:row r="1255">
      <x:c r="A1255" s="14" t="n">
        <x:v>1254</x:v>
      </x:c>
      <x:c r="B1255" s="15" t="n">
        <x:v>46396</x:v>
      </x:c>
      <x:c r="C1255" s="14" t="str">
        <x:v>Cumartesi</x:v>
      </x:c>
      <x:c r="D1255" s="14" t="str">
        <x:v>Hafta Sonu</x:v>
      </x:c>
      <x:c r="E1255" s="14" t="str">
        <x:v>Tam gün</x:v>
      </x:c>
      <x:c r="F1255" s="14" t="str">
        <x:v>F2 - LGS Kapsam + Ustalık</x:v>
      </x:c>
      <x:c r="G1255" s="14" t="str">
        <x:v>18:45</x:v>
      </x:c>
      <x:c r="H1255" s="14" t="str">
        <x:v>19:05</x:v>
      </x:c>
      <x:c r="I1255" s="14" t="str">
        <x:v>Genel</x:v>
      </x:c>
      <x:c r="J1255" s="14" t="str">
        <x:v>Aralıklı Hata Tekrarı</x:v>
      </x:c>
      <x:c r="K1255" s="14" t="str">
        <x:v>+1 / +7 / +21</x:v>
      </x:c>
      <x:c r="L1255" s="14" t="str">
        <x:v>Bugün vadesi gelen yanlış soruları tekrar çöz. Vadesi yoksa bu süre serbest/okuma olabilir.</x:v>
      </x:c>
      <x:c r="M1255" s="14" t="str">
        <x:v>Yanlış Defteri</x:v>
      </x:c>
      <x:c r="N1255" s="14" t="str"/>
      <x:c r="O1255" s="14" t="n">
        <x:v>0</x:v>
      </x:c>
      <x:c r="P1255" s="14" t="str">
        <x:v>Hayır</x:v>
      </x:c>
      <x:c r="Q1255" s="14" t="str">
        <x:v>Koşullu</x:v>
      </x:c>
      <x:c r="R1255" s="14" t="str">
        <x:v>Planlandı</x:v>
      </x:c>
      <x:c r="S1255" s="15" t="str"/>
      <x:c r="T1255" s="14" t="str">
        <x:v>Yanlışlar +1, +7 ve +21 gün aralıklarıyla tekrar edilir; hâlâ yanlışsa konu mastery durumu düşürülür.</x:v>
      </x:c>
    </x:row>
    <x:row r="1256">
      <x:c r="A1256" s="14" t="n">
        <x:v>1255</x:v>
      </x:c>
      <x:c r="B1256" s="15" t="n">
        <x:v>46396</x:v>
      </x:c>
      <x:c r="C1256" s="14" t="str">
        <x:v>Cumartesi</x:v>
      </x:c>
      <x:c r="D1256" s="14" t="str">
        <x:v>Hafta Sonu</x:v>
      </x:c>
      <x:c r="E1256" s="14" t="str">
        <x:v>Tam gün</x:v>
      </x:c>
      <x:c r="F1256" s="14" t="str">
        <x:v>F2 - LGS Kapsam + Ustalık</x:v>
      </x:c>
      <x:c r="G1256" s="14" t="str">
        <x:v>20:00</x:v>
      </x:c>
      <x:c r="H1256" s="14" t="str">
        <x:v>20:30</x:v>
      </x:c>
      <x:c r="I1256" s="14" t="str">
        <x:v>Okuma</x:v>
      </x:c>
      <x:c r="J1256" s="14" t="str">
        <x:v>İsteğe Bağlı</x:v>
      </x:c>
      <x:c r="K1256" s="14" t="str">
        <x:v>Serbest Kitap</x:v>
      </x:c>
      <x:c r="L1256" s="14" t="str">
        <x:v>Zorunlu çalışmalar bittiyse isteğe bağlı kitap oku.</x:v>
      </x:c>
      <x:c r="M1256" s="14" t="str">
        <x:v>Serbest Kitap</x:v>
      </x:c>
      <x:c r="N1256" s="14" t="str"/>
      <x:c r="O1256" s="14" t="n">
        <x:v>0</x:v>
      </x:c>
      <x:c r="P1256" s="14" t="str">
        <x:v>İsteğe Bağlı</x:v>
      </x:c>
      <x:c r="Q1256" s="14" t="str">
        <x:v>Hayır</x:v>
      </x:c>
      <x:c r="R1256" s="14" t="str">
        <x:v>Planlandı</x:v>
      </x:c>
      <x:c r="S1256" s="15" t="str"/>
      <x:c r="T1256" s="14" t="str">
        <x:v>Minimum süre yok.</x:v>
      </x:c>
    </x:row>
    <x:row r="1257">
      <x:c r="A1257" s="14" t="n">
        <x:v>1256</x:v>
      </x:c>
      <x:c r="B1257" s="15" t="n">
        <x:v>46396</x:v>
      </x:c>
      <x:c r="C1257" s="14" t="str">
        <x:v>Cumartesi</x:v>
      </x:c>
      <x:c r="D1257" s="14" t="str">
        <x:v>Hafta Sonu</x:v>
      </x:c>
      <x:c r="E1257" s="14" t="str">
        <x:v>Tam gün</x:v>
      </x:c>
      <x:c r="F1257" s="14" t="str">
        <x:v>F2 - LGS Kapsam + Ustalık</x:v>
      </x:c>
      <x:c r="G1257" s="14" t="str">
        <x:v>21:50</x:v>
      </x:c>
      <x:c r="H1257" s="14" t="str">
        <x:v>22:00</x:v>
      </x:c>
      <x:c r="I1257" s="14" t="str">
        <x:v>Genel</x:v>
      </x:c>
      <x:c r="J1257" s="14" t="str">
        <x:v>Uyku Hazırlığı</x:v>
      </x:c>
      <x:c r="K1257" s="14" t="str"/>
      <x:c r="L1257" s="14" t="str">
        <x:v>22:00'de yatakta ve uyku.</x:v>
      </x:c>
      <x:c r="M1257" s="14" t="str"/>
      <x:c r="N1257" s="14" t="str"/>
      <x:c r="O1257" s="14" t="n">
        <x:v>0</x:v>
      </x:c>
      <x:c r="P1257" s="14" t="str">
        <x:v>Hayır</x:v>
      </x:c>
      <x:c r="Q1257" s="14" t="str">
        <x:v>Hayır</x:v>
      </x:c>
      <x:c r="R1257" s="14" t="str">
        <x:v>Planlandı</x:v>
      </x:c>
      <x:c r="S1257" s="15" t="str"/>
      <x:c r="T1257" s="14" t="str"/>
    </x:row>
    <x:row r="1258">
      <x:c r="A1258" s="14" t="n">
        <x:v>1257</x:v>
      </x:c>
      <x:c r="B1258" s="15" t="n">
        <x:v>46397</x:v>
      </x:c>
      <x:c r="C1258" s="14" t="str">
        <x:v>Pazar</x:v>
      </x:c>
      <x:c r="D1258" s="14" t="str">
        <x:v>Hafta Sonu</x:v>
      </x:c>
      <x:c r="E1258" s="14" t="str">
        <x:v>Tam gün</x:v>
      </x:c>
      <x:c r="F1258" s="14" t="str">
        <x:v>F2 - LGS Kapsam + Ustalık</x:v>
      </x:c>
      <x:c r="G1258" s="14" t="str">
        <x:v>09:30</x:v>
      </x:c>
      <x:c r="H1258" s="14" t="str">
        <x:v>10:15</x:v>
      </x:c>
      <x:c r="I1258" s="14" t="str">
        <x:v>Matematik</x:v>
      </x:c>
      <x:c r="J1258" s="14" t="str">
        <x:v>Konu / Tekrar</x:v>
      </x:c>
      <x:c r="K1258" s="14" t="str">
        <x:v>Eşitsizlikler</x:v>
      </x:c>
      <x:c r="L1258" s="14" t="str">
        <x:v>Eşitsizlikler — genel oynatma listesinden ilgili videoyu izle (3/3).</x:v>
      </x:c>
      <x:c r="M1258" s="14" t="str">
        <x:v>Matematik Ana Oynatma Listesi</x:v>
      </x:c>
      <x:c r="N1258" s="14" t="str">
        <x:v>https://www.youtube.com/watch?v=EuJ89QzqrAg&amp;list=PLicNtF7vp6fnfDqrRLH6H7fIbzYT4ct4F&amp;index=11</x:v>
      </x:c>
      <x:c r="O1258" s="14" t="n">
        <x:v>0</x:v>
      </x:c>
      <x:c r="P1258" s="14" t="str">
        <x:v>Hayır</x:v>
      </x:c>
      <x:c r="Q1258" s="14" t="str">
        <x:v>Evet</x:v>
      </x:c>
      <x:c r="R1258" s="14" t="str">
        <x:v>Planlandı</x:v>
      </x:c>
      <x:c r="S1258" s="15" t="str"/>
      <x:c r="T1258" s="14" t="str">
        <x:v>Yeni konu ancak plan sırasıyla açılır; LGS dışı ileri TYT içeriği zorunlu değildir.</x:v>
      </x:c>
    </x:row>
    <x:row r="1259">
      <x:c r="A1259" s="14" t="n">
        <x:v>1258</x:v>
      </x:c>
      <x:c r="B1259" s="15" t="n">
        <x:v>46397</x:v>
      </x:c>
      <x:c r="C1259" s="14" t="str">
        <x:v>Pazar</x:v>
      </x:c>
      <x:c r="D1259" s="14" t="str">
        <x:v>Hafta Sonu</x:v>
      </x:c>
      <x:c r="E1259" s="14" t="str">
        <x:v>Tam gün</x:v>
      </x:c>
      <x:c r="F1259" s="14" t="str">
        <x:v>F2 - LGS Kapsam + Ustalık</x:v>
      </x:c>
      <x:c r="G1259" s="14" t="str">
        <x:v>10:25</x:v>
      </x:c>
      <x:c r="H1259" s="14" t="str">
        <x:v>11:15</x:v>
      </x:c>
      <x:c r="I1259" s="14" t="str">
        <x:v>Matematik</x:v>
      </x:c>
      <x:c r="J1259" s="14" t="str">
        <x:v>Kitap / MEB / Mastery</x:v>
      </x:c>
      <x:c r="K1259" s="14" t="str">
        <x:v>Eşitsizlikler</x:v>
      </x:c>
      <x:c r="L1259" s="14" t="str">
        <x:v>Eşitsizlikler ile ilgili soru kitabından en az 25 soru / bugünkü test payını çöz. İlgili kitap konu bölümünü bu oturumda bitirmeyi hedefle; sonraki oturum MEB doğrulaması.</x:v>
      </x:c>
      <x:c r="M1259" s="14" t="str">
        <x:v>MUBA 8. Sınıf Başlangıç Matematik (ISBN 9789756526972); tamamlandıysa Mozaik 8. Sınıf Matematik</x:v>
      </x:c>
      <x:c r="N1259" s="14" t="str">
        <x:v>https://odsgm.meb.gov.tr/www/8sinif-calisma-sorulari/icerik/1632</x:v>
      </x:c>
      <x:c r="O1259" s="14" t="n">
        <x:v>25</x:v>
      </x:c>
      <x:c r="P1259" s="14" t="str">
        <x:v>İlk 20 soru</x:v>
      </x:c>
      <x:c r="Q1259" s="14" t="str">
        <x:v>Evet</x:v>
      </x:c>
      <x:c r="R1259" s="14" t="str">
        <x:v>Planlandı</x:v>
      </x:c>
      <x:c r="S1259" s="15" t="str"/>
      <x:c r="T1259" s="14" t="str">
        <x:v>Ayrı/rastgele matematik benchmark yoktur. Süreli ilk 20 soru o gün çalışılan konunun içindedir.</x:v>
      </x:c>
    </x:row>
    <x:row r="1260">
      <x:c r="A1260" s="14" t="n">
        <x:v>1259</x:v>
      </x:c>
      <x:c r="B1260" s="15" t="n">
        <x:v>46397</x:v>
      </x:c>
      <x:c r="C1260" s="14" t="str">
        <x:v>Pazar</x:v>
      </x:c>
      <x:c r="D1260" s="14" t="str">
        <x:v>Hafta Sonu</x:v>
      </x:c>
      <x:c r="E1260" s="14" t="str">
        <x:v>Tam gün</x:v>
      </x:c>
      <x:c r="F1260" s="14" t="str">
        <x:v>F2 - LGS Kapsam + Ustalık</x:v>
      </x:c>
      <x:c r="G1260" s="14" t="str">
        <x:v>12:00</x:v>
      </x:c>
      <x:c r="H1260" s="14" t="str">
        <x:v>14:00</x:v>
      </x:c>
      <x:c r="I1260" s="14" t="str">
        <x:v>Genel</x:v>
      </x:c>
      <x:c r="J1260" s="14" t="str">
        <x:v>Yemek / Serbest Zaman</x:v>
      </x:c>
      <x:c r="K1260" s="14" t="str"/>
      <x:c r="L1260" s="14" t="str">
        <x:v>Yemek, hareket ve dinlenme.</x:v>
      </x:c>
      <x:c r="M1260" s="14" t="str"/>
      <x:c r="N1260" s="14" t="str"/>
      <x:c r="O1260" s="14" t="n">
        <x:v>0</x:v>
      </x:c>
      <x:c r="P1260" s="14" t="str">
        <x:v>Hayır</x:v>
      </x:c>
      <x:c r="Q1260" s="14" t="str">
        <x:v>Hayır</x:v>
      </x:c>
      <x:c r="R1260" s="14" t="str">
        <x:v>Planlandı</x:v>
      </x:c>
      <x:c r="S1260" s="15" t="str"/>
      <x:c r="T1260" s="14" t="str"/>
    </x:row>
    <x:row r="1261">
      <x:c r="A1261" s="14" t="n">
        <x:v>1260</x:v>
      </x:c>
      <x:c r="B1261" s="15" t="n">
        <x:v>46397</x:v>
      </x:c>
      <x:c r="C1261" s="14" t="str">
        <x:v>Pazar</x:v>
      </x:c>
      <x:c r="D1261" s="14" t="str">
        <x:v>Hafta Sonu</x:v>
      </x:c>
      <x:c r="E1261" s="14" t="str">
        <x:v>Tam gün</x:v>
      </x:c>
      <x:c r="F1261" s="14" t="str">
        <x:v>F2 - LGS Kapsam + Ustalık</x:v>
      </x:c>
      <x:c r="G1261" s="14" t="str">
        <x:v>11:25</x:v>
      </x:c>
      <x:c r="H1261" s="14" t="str">
        <x:v>11:55</x:v>
      </x:c>
      <x:c r="I1261" s="14" t="str">
        <x:v>Türkçe</x:v>
      </x:c>
      <x:c r="J1261" s="14" t="str">
        <x:v>Paragraf Rutini</x:v>
      </x:c>
      <x:c r="K1261" s="14" t="str">
        <x:v>Paragraf</x:v>
      </x:c>
      <x:c r="L1261" s="14" t="str">
        <x:v>En az 25 paragraf sorusu çöz; ilk 20 soruyu ileri sayımla ölç, D/Y/B + süre kaydet.</x:v>
      </x:c>
      <x:c r="M1261" s="14" t="str">
        <x:v>Hız 8. Sınıf Türkçe Paragraf (ISBN 9786258394498)</x:v>
      </x:c>
      <x:c r="N1261" s="14" t="str"/>
      <x:c r="O1261" s="14" t="n">
        <x:v>25</x:v>
      </x:c>
      <x:c r="P1261" s="14" t="str">
        <x:v>İlk 20 soru</x:v>
      </x:c>
      <x:c r="Q1261" s="14" t="str">
        <x:v>Evet</x:v>
      </x:c>
      <x:c r="R1261" s="14" t="str">
        <x:v>Planlandı</x:v>
      </x:c>
      <x:c r="S1261" s="15" t="str"/>
      <x:c r="T1261" s="14" t="str">
        <x:v>Geri sayım ve hedef süre yok.</x:v>
      </x:c>
    </x:row>
    <x:row r="1262">
      <x:c r="A1262" s="14" t="n">
        <x:v>1261</x:v>
      </x:c>
      <x:c r="B1262" s="15" t="n">
        <x:v>46397</x:v>
      </x:c>
      <x:c r="C1262" s="14" t="str">
        <x:v>Pazar</x:v>
      </x:c>
      <x:c r="D1262" s="14" t="str">
        <x:v>Hafta Sonu</x:v>
      </x:c>
      <x:c r="E1262" s="14" t="str">
        <x:v>Tam gün</x:v>
      </x:c>
      <x:c r="F1262" s="14" t="str">
        <x:v>F2 - LGS Kapsam + Ustalık</x:v>
      </x:c>
      <x:c r="G1262" s="14" t="str">
        <x:v>14:00</x:v>
      </x:c>
      <x:c r="H1262" s="14" t="str">
        <x:v>14:40</x:v>
      </x:c>
      <x:c r="I1262" s="14" t="str">
        <x:v>Türkçe</x:v>
      </x:c>
      <x:c r="J1262" s="14" t="str">
        <x:v>Konu / Tekrar</x:v>
      </x:c>
      <x:c r="K1262" s="14" t="str">
        <x:v>Kaynak Tamamlama / Zayıf Konu</x:v>
      </x:c>
      <x:c r="L1262" s="14" t="str">
        <x:v>Yeni konu açma. En zayıf/açık konunun ilgili playlist videosunu yalnız gerekiyorsa tekrar izle.</x:v>
      </x:c>
      <x:c r="M1262" s="14" t="str">
        <x:v>Türkçe Ana Oynatma Listesi</x:v>
      </x:c>
      <x:c r="N1262" s="14" t="str">
        <x:v>https://www.youtube.com/watch?v=VYsPntNKVdw&amp;list=PLIBjFaUoJJ91bz7QQEBlxNJNZka5YQRr6</x:v>
      </x:c>
      <x:c r="O1262" s="14" t="n">
        <x:v>0</x:v>
      </x:c>
      <x:c r="P1262" s="14" t="str">
        <x:v>Hayır</x:v>
      </x:c>
      <x:c r="Q1262" s="14" t="str">
        <x:v>Evet</x:v>
      </x:c>
      <x:c r="R1262" s="14" t="str">
        <x:v>Planlandı</x:v>
      </x:c>
      <x:c r="S1262" s="15" t="str"/>
      <x:c r="T1262" s="14" t="str">
        <x:v>TYT etiketli kaynak temelden başlamak için sabittir; LGS dışı gereksiz ayrıntı zorunlu değildir.</x:v>
      </x:c>
    </x:row>
    <x:row r="1263">
      <x:c r="A1263" s="14" t="n">
        <x:v>1262</x:v>
      </x:c>
      <x:c r="B1263" s="15" t="n">
        <x:v>46397</x:v>
      </x:c>
      <x:c r="C1263" s="14" t="str">
        <x:v>Pazar</x:v>
      </x:c>
      <x:c r="D1263" s="14" t="str">
        <x:v>Hafta Sonu</x:v>
      </x:c>
      <x:c r="E1263" s="14" t="str">
        <x:v>Tam gün</x:v>
      </x:c>
      <x:c r="F1263" s="14" t="str">
        <x:v>F2 - LGS Kapsam + Ustalık</x:v>
      </x:c>
      <x:c r="G1263" s="14" t="str">
        <x:v>14:50</x:v>
      </x:c>
      <x:c r="H1263" s="14" t="str">
        <x:v>15:30</x:v>
      </x:c>
      <x:c r="I1263" s="14" t="str">
        <x:v>Türkçe</x:v>
      </x:c>
      <x:c r="J1263" s="14" t="str">
        <x:v>Kitap / MEB / Mastery</x:v>
      </x:c>
      <x:c r="K1263" s="14" t="str">
        <x:v>Kaynak Tamamlama / Zayıf Konu</x:v>
      </x:c>
      <x:c r="L1263" s="14" t="str">
        <x:v>13 Nisan %100 tamamlama hedefine göre en geride kalan Türkçe soru kaynağını/eksik MEB setini ilerlet; açık yanlışları kapat.</x:v>
      </x:c>
      <x:c r="M1263" s="14" t="str">
        <x:v>Ankara 8. Sınıf Dil Bilgisi Güçlendiren + açık MEB/yanlışlar</x:v>
      </x:c>
      <x:c r="N1263" s="14" t="str">
        <x:v>https://odsgm.meb.gov.tr/www/8sinif-calisma-sorulari/icerik/1632</x:v>
      </x:c>
      <x:c r="O1263" s="14" t="n">
        <x:v>15</x:v>
      </x:c>
      <x:c r="P1263" s="14" t="str">
        <x:v>Hayır</x:v>
      </x:c>
      <x:c r="Q1263" s="14" t="str">
        <x:v>Evet</x:v>
      </x:c>
      <x:c r="R1263" s="14" t="str">
        <x:v>Planlandı</x:v>
      </x:c>
      <x:c r="S1263" s="15" t="str"/>
      <x:c r="T1263" s="14" t="str"/>
    </x:row>
    <x:row r="1264">
      <x:c r="A1264" s="14" t="n">
        <x:v>1263</x:v>
      </x:c>
      <x:c r="B1264" s="15" t="n">
        <x:v>46397</x:v>
      </x:c>
      <x:c r="C1264" s="14" t="str">
        <x:v>Pazar</x:v>
      </x:c>
      <x:c r="D1264" s="14" t="str">
        <x:v>Hafta Sonu</x:v>
      </x:c>
      <x:c r="E1264" s="14" t="str">
        <x:v>Tam gün</x:v>
      </x:c>
      <x:c r="F1264" s="14" t="str">
        <x:v>F2 - LGS Kapsam + Ustalık</x:v>
      </x:c>
      <x:c r="G1264" s="14" t="str">
        <x:v>15:45</x:v>
      </x:c>
      <x:c r="H1264" s="14" t="str">
        <x:v>16:25</x:v>
      </x:c>
      <x:c r="I1264" s="14" t="str">
        <x:v>Din</x:v>
      </x:c>
      <x:c r="J1264" s="14" t="str">
        <x:v>Konu / Tekrar</x:v>
      </x:c>
      <x:c r="K1264" s="14" t="str">
        <x:v>Kureyş Suresi</x:v>
      </x:c>
      <x:c r="L1264" s="14" t="str">
        <x:v>Kureyş Suresi — genel oynatma listesinden ilgili konu/soru çalışmasını yap.</x:v>
      </x:c>
      <x:c r="M1264" s="14" t="str">
        <x:v>Din Genel Oynatma Listesi</x:v>
      </x:c>
      <x:c r="N1264" s="14" t="str">
        <x:v>https://www.youtube.com/watch?v=wvdOE_75VnA&amp;list=PLbRoPq-Zu-SWXGUbVt4t4UWo-4VjsMUo-&amp;index=2</x:v>
      </x:c>
      <x:c r="O1264" s="14" t="n">
        <x:v>0</x:v>
      </x:c>
      <x:c r="P1264" s="14" t="str">
        <x:v>Hayır</x:v>
      </x:c>
      <x:c r="Q1264" s="14" t="str">
        <x:v>Evet</x:v>
      </x:c>
      <x:c r="R1264" s="14" t="str">
        <x:v>Planlandı</x:v>
      </x:c>
      <x:c r="S1264" s="15" t="str"/>
      <x:c r="T1264" s="14" t="str"/>
    </x:row>
    <x:row r="1265">
      <x:c r="A1265" s="14" t="n">
        <x:v>1264</x:v>
      </x:c>
      <x:c r="B1265" s="15" t="n">
        <x:v>46397</x:v>
      </x:c>
      <x:c r="C1265" s="14" t="str">
        <x:v>Pazar</x:v>
      </x:c>
      <x:c r="D1265" s="14" t="str">
        <x:v>Hafta Sonu</x:v>
      </x:c>
      <x:c r="E1265" s="14" t="str">
        <x:v>Tam gün</x:v>
      </x:c>
      <x:c r="F1265" s="14" t="str">
        <x:v>F2 - LGS Kapsam + Ustalık</x:v>
      </x:c>
      <x:c r="G1265" s="14" t="str">
        <x:v>16:35</x:v>
      </x:c>
      <x:c r="H1265" s="14" t="str">
        <x:v>17:15</x:v>
      </x:c>
      <x:c r="I1265" s="14" t="str">
        <x:v>Din</x:v>
      </x:c>
      <x:c r="J1265" s="14" t="str">
        <x:v>Kitap / MEB / Mastery</x:v>
      </x:c>
      <x:c r="K1265" s="14" t="str">
        <x:v>Kureyş Suresi</x:v>
      </x:c>
      <x:c r="L1265" s="14" t="str">
        <x:v>Kureyş Suresi ile ilgili soru kitabından en az 18 soru / bugünkü test payını çöz.</x:v>
      </x:c>
      <x:c r="M1265" s="14" t="str">
        <x:v>Hız 8. Sınıf Din Kültürü ve Ahlak Bilgisi</x:v>
      </x:c>
      <x:c r="N1265" s="14" t="str">
        <x:v>https://www.youtube.com/watch?v=wvdOE_75VnA&amp;list=PLbRoPq-Zu-SWXGUbVt4t4UWo-4VjsMUo-&amp;index=2</x:v>
      </x:c>
      <x:c r="O1265" s="14" t="n">
        <x:v>18</x:v>
      </x:c>
      <x:c r="P1265" s="14" t="str">
        <x:v>Hayır</x:v>
      </x:c>
      <x:c r="Q1265" s="14" t="str">
        <x:v>Evet</x:v>
      </x:c>
      <x:c r="R1265" s="14" t="str">
        <x:v>Planlandı</x:v>
      </x:c>
      <x:c r="S1265" s="15" t="str"/>
      <x:c r="T1265" s="14" t="str"/>
    </x:row>
    <x:row r="1266">
      <x:c r="A1266" s="14" t="n">
        <x:v>1265</x:v>
      </x:c>
      <x:c r="B1266" s="15" t="n">
        <x:v>46397</x:v>
      </x:c>
      <x:c r="C1266" s="14" t="str">
        <x:v>Pazar</x:v>
      </x:c>
      <x:c r="D1266" s="14" t="str">
        <x:v>Hafta Sonu</x:v>
      </x:c>
      <x:c r="E1266" s="14" t="str">
        <x:v>Tam gün</x:v>
      </x:c>
      <x:c r="F1266" s="14" t="str">
        <x:v>F2 - LGS Kapsam + Ustalık</x:v>
      </x:c>
      <x:c r="G1266" s="14" t="str">
        <x:v>17:25</x:v>
      </x:c>
      <x:c r="H1266" s="14" t="str">
        <x:v>18:25</x:v>
      </x:c>
      <x:c r="I1266" s="14" t="str">
        <x:v>Genel</x:v>
      </x:c>
      <x:c r="J1266" s="14" t="str">
        <x:v>Kaynak Tamamlama</x:v>
      </x:c>
      <x:c r="K1266" s="14" t="str">
        <x:v>En Geride Kalan Kaynak</x:v>
      </x:c>
      <x:c r="L1266" s="14" t="str">
        <x:v>Kaynak_Ilerleme sayfasında hedef yüzdesinin en gerisinde kalan ZORUNLU soru kaynağına 60 dk ayır. Öğrenilmemiş konudan ileri gitme.</x:v>
      </x:c>
      <x:c r="M1266" s="14" t="str">
        <x:v>Kaynak İlerleme</x:v>
      </x:c>
      <x:c r="N1266" s="14" t="str"/>
      <x:c r="O1266" s="14" t="n">
        <x:v>0</x:v>
      </x:c>
      <x:c r="P1266" s="14" t="str">
        <x:v>Hayır</x:v>
      </x:c>
      <x:c r="Q1266" s="14" t="str">
        <x:v>Evet</x:v>
      </x:c>
      <x:c r="R1266" s="14" t="str">
        <x:v>Planlandı</x:v>
      </x:c>
      <x:c r="S1266" s="15" t="str"/>
      <x:c r="T1266" s="14" t="str">
        <x:v>Amaç 13.04.2027'de zorunlu soru kitapları + ilgili MEB setlerini %100 tamamlamak.</x:v>
      </x:c>
    </x:row>
    <x:row r="1267">
      <x:c r="A1267" s="14" t="n">
        <x:v>1266</x:v>
      </x:c>
      <x:c r="B1267" s="15" t="n">
        <x:v>46397</x:v>
      </x:c>
      <x:c r="C1267" s="14" t="str">
        <x:v>Pazar</x:v>
      </x:c>
      <x:c r="D1267" s="14" t="str">
        <x:v>Hafta Sonu</x:v>
      </x:c>
      <x:c r="E1267" s="14" t="str">
        <x:v>Tam gün</x:v>
      </x:c>
      <x:c r="F1267" s="14" t="str">
        <x:v>F2 - LGS Kapsam + Ustalık</x:v>
      </x:c>
      <x:c r="G1267" s="14" t="str">
        <x:v>18:25</x:v>
      </x:c>
      <x:c r="H1267" s="14" t="str">
        <x:v>18:45</x:v>
      </x:c>
      <x:c r="I1267" s="14" t="str">
        <x:v>Genel</x:v>
      </x:c>
      <x:c r="J1267" s="14" t="str">
        <x:v>Yanlış / Boş Analizi</x:v>
      </x:c>
      <x:c r="K1267" s="14" t="str">
        <x:v>Günlük</x:v>
      </x:c>
      <x:c r="L1267" s="14" t="str">
        <x:v>Bugünkü yanlış/boşları kaydet; çözümünü öğrenmeden kapatma. Hata türünü sınıflandır.</x:v>
      </x:c>
      <x:c r="M1267" s="14" t="str">
        <x:v>Yanlış Defteri</x:v>
      </x:c>
      <x:c r="N1267" s="14" t="str"/>
      <x:c r="O1267" s="14" t="n">
        <x:v>0</x:v>
      </x:c>
      <x:c r="P1267" s="14" t="str">
        <x:v>Hayır</x:v>
      </x:c>
      <x:c r="Q1267" s="14" t="str">
        <x:v>Evet</x:v>
      </x:c>
      <x:c r="R1267" s="14" t="str">
        <x:v>Planlandı</x:v>
      </x:c>
      <x:c r="S1267" s="15" t="str"/>
      <x:c r="T1267" s="14" t="str"/>
    </x:row>
    <x:row r="1268">
      <x:c r="A1268" s="14" t="n">
        <x:v>1267</x:v>
      </x:c>
      <x:c r="B1268" s="15" t="n">
        <x:v>46397</x:v>
      </x:c>
      <x:c r="C1268" s="14" t="str">
        <x:v>Pazar</x:v>
      </x:c>
      <x:c r="D1268" s="14" t="str">
        <x:v>Hafta Sonu</x:v>
      </x:c>
      <x:c r="E1268" s="14" t="str">
        <x:v>Tam gün</x:v>
      </x:c>
      <x:c r="F1268" s="14" t="str">
        <x:v>F2 - LGS Kapsam + Ustalık</x:v>
      </x:c>
      <x:c r="G1268" s="14" t="str">
        <x:v>18:45</x:v>
      </x:c>
      <x:c r="H1268" s="14" t="str">
        <x:v>19:05</x:v>
      </x:c>
      <x:c r="I1268" s="14" t="str">
        <x:v>Genel</x:v>
      </x:c>
      <x:c r="J1268" s="14" t="str">
        <x:v>Aralıklı Hata Tekrarı</x:v>
      </x:c>
      <x:c r="K1268" s="14" t="str">
        <x:v>+1 / +7 / +21</x:v>
      </x:c>
      <x:c r="L1268" s="14" t="str">
        <x:v>Bugün vadesi gelen yanlış soruları tekrar çöz. Vadesi yoksa bu süre serbest/okuma olabilir.</x:v>
      </x:c>
      <x:c r="M1268" s="14" t="str">
        <x:v>Yanlış Defteri</x:v>
      </x:c>
      <x:c r="N1268" s="14" t="str"/>
      <x:c r="O1268" s="14" t="n">
        <x:v>0</x:v>
      </x:c>
      <x:c r="P1268" s="14" t="str">
        <x:v>Hayır</x:v>
      </x:c>
      <x:c r="Q1268" s="14" t="str">
        <x:v>Koşullu</x:v>
      </x:c>
      <x:c r="R1268" s="14" t="str">
        <x:v>Planlandı</x:v>
      </x:c>
      <x:c r="S1268" s="15" t="str"/>
      <x:c r="T1268" s="14" t="str">
        <x:v>Yanlışlar +1, +7 ve +21 gün aralıklarıyla tekrar edilir; hâlâ yanlışsa konu mastery durumu düşürülür.</x:v>
      </x:c>
    </x:row>
    <x:row r="1269">
      <x:c r="A1269" s="14" t="n">
        <x:v>1268</x:v>
      </x:c>
      <x:c r="B1269" s="15" t="n">
        <x:v>46397</x:v>
      </x:c>
      <x:c r="C1269" s="14" t="str">
        <x:v>Pazar</x:v>
      </x:c>
      <x:c r="D1269" s="14" t="str">
        <x:v>Hafta Sonu</x:v>
      </x:c>
      <x:c r="E1269" s="14" t="str">
        <x:v>Tam gün</x:v>
      </x:c>
      <x:c r="F1269" s="14" t="str">
        <x:v>F2 - LGS Kapsam + Ustalık</x:v>
      </x:c>
      <x:c r="G1269" s="14" t="str">
        <x:v>20:00</x:v>
      </x:c>
      <x:c r="H1269" s="14" t="str">
        <x:v>20:30</x:v>
      </x:c>
      <x:c r="I1269" s="14" t="str">
        <x:v>Okuma</x:v>
      </x:c>
      <x:c r="J1269" s="14" t="str">
        <x:v>İsteğe Bağlı</x:v>
      </x:c>
      <x:c r="K1269" s="14" t="str">
        <x:v>Serbest Kitap</x:v>
      </x:c>
      <x:c r="L1269" s="14" t="str">
        <x:v>Zorunlu çalışmalar bittiyse isteğe bağlı kitap oku.</x:v>
      </x:c>
      <x:c r="M1269" s="14" t="str">
        <x:v>Serbest Kitap</x:v>
      </x:c>
      <x:c r="N1269" s="14" t="str"/>
      <x:c r="O1269" s="14" t="n">
        <x:v>0</x:v>
      </x:c>
      <x:c r="P1269" s="14" t="str">
        <x:v>İsteğe Bağlı</x:v>
      </x:c>
      <x:c r="Q1269" s="14" t="str">
        <x:v>Hayır</x:v>
      </x:c>
      <x:c r="R1269" s="14" t="str">
        <x:v>Planlandı</x:v>
      </x:c>
      <x:c r="S1269" s="15" t="str"/>
      <x:c r="T1269" s="14" t="str">
        <x:v>Minimum süre yok.</x:v>
      </x:c>
    </x:row>
    <x:row r="1270">
      <x:c r="A1270" s="14" t="n">
        <x:v>1269</x:v>
      </x:c>
      <x:c r="B1270" s="15" t="n">
        <x:v>46397</x:v>
      </x:c>
      <x:c r="C1270" s="14" t="str">
        <x:v>Pazar</x:v>
      </x:c>
      <x:c r="D1270" s="14" t="str">
        <x:v>Hafta Sonu</x:v>
      </x:c>
      <x:c r="E1270" s="14" t="str">
        <x:v>Tam gün</x:v>
      </x:c>
      <x:c r="F1270" s="14" t="str">
        <x:v>F2 - LGS Kapsam + Ustalık</x:v>
      </x:c>
      <x:c r="G1270" s="14" t="str">
        <x:v>21:50</x:v>
      </x:c>
      <x:c r="H1270" s="14" t="str">
        <x:v>22:00</x:v>
      </x:c>
      <x:c r="I1270" s="14" t="str">
        <x:v>Genel</x:v>
      </x:c>
      <x:c r="J1270" s="14" t="str">
        <x:v>Uyku Hazırlığı</x:v>
      </x:c>
      <x:c r="K1270" s="14" t="str"/>
      <x:c r="L1270" s="14" t="str">
        <x:v>22:00'de yatakta ve uyku.</x:v>
      </x:c>
      <x:c r="M1270" s="14" t="str"/>
      <x:c r="N1270" s="14" t="str"/>
      <x:c r="O1270" s="14" t="n">
        <x:v>0</x:v>
      </x:c>
      <x:c r="P1270" s="14" t="str">
        <x:v>Hayır</x:v>
      </x:c>
      <x:c r="Q1270" s="14" t="str">
        <x:v>Hayır</x:v>
      </x:c>
      <x:c r="R1270" s="14" t="str">
        <x:v>Planlandı</x:v>
      </x:c>
      <x:c r="S1270" s="15" t="str"/>
      <x:c r="T1270" s="14" t="str"/>
    </x:row>
    <x:row r="1271">
      <x:c r="A1271" s="14" t="n">
        <x:v>1270</x:v>
      </x:c>
      <x:c r="B1271" s="15" t="n">
        <x:v>46398</x:v>
      </x:c>
      <x:c r="C1271" s="14" t="str">
        <x:v>Pazartesi</x:v>
      </x:c>
      <x:c r="D1271" s="14" t="str">
        <x:v>Okul Günü</x:v>
      </x:c>
      <x:c r="E1271" s="14" t="str">
        <x:v>16:00 sonrası</x:v>
      </x:c>
      <x:c r="F1271" s="14" t="str">
        <x:v>F2 - LGS Kapsam + Ustalık</x:v>
      </x:c>
      <x:c r="G1271" s="14" t="str">
        <x:v>16:00</x:v>
      </x:c>
      <x:c r="H1271" s="14" t="str">
        <x:v>16:25</x:v>
      </x:c>
      <x:c r="I1271" s="14" t="str">
        <x:v>Genel</x:v>
      </x:c>
      <x:c r="J1271" s="14" t="str">
        <x:v>Dinlenme</x:v>
      </x:c>
      <x:c r="K1271" s="14" t="str"/>
      <x:c r="L1271" s="14" t="str">
        <x:v>Eve geliş, atıştırma ve dinlenme.</x:v>
      </x:c>
      <x:c r="M1271" s="14" t="str"/>
      <x:c r="N1271" s="14" t="str"/>
      <x:c r="O1271" s="14" t="n">
        <x:v>0</x:v>
      </x:c>
      <x:c r="P1271" s="14" t="str">
        <x:v>Hayır</x:v>
      </x:c>
      <x:c r="Q1271" s="14" t="str">
        <x:v>Hayır</x:v>
      </x:c>
      <x:c r="R1271" s="14" t="str">
        <x:v>Planlandı</x:v>
      </x:c>
      <x:c r="S1271" s="15" t="str"/>
      <x:c r="T1271" s="14" t="str"/>
    </x:row>
    <x:row r="1272">
      <x:c r="A1272" s="14" t="n">
        <x:v>1271</x:v>
      </x:c>
      <x:c r="B1272" s="15" t="n">
        <x:v>46398</x:v>
      </x:c>
      <x:c r="C1272" s="14" t="str">
        <x:v>Pazartesi</x:v>
      </x:c>
      <x:c r="D1272" s="14" t="str">
        <x:v>Okul Günü</x:v>
      </x:c>
      <x:c r="E1272" s="14" t="str">
        <x:v>16:00 sonrası</x:v>
      </x:c>
      <x:c r="F1272" s="14" t="str">
        <x:v>F2 - LGS Kapsam + Ustalık</x:v>
      </x:c>
      <x:c r="G1272" s="14" t="str">
        <x:v>16:25</x:v>
      </x:c>
      <x:c r="H1272" s="14" t="str">
        <x:v>17:05</x:v>
      </x:c>
      <x:c r="I1272" s="14" t="str">
        <x:v>Matematik</x:v>
      </x:c>
      <x:c r="J1272" s="14" t="str">
        <x:v>Konu / Tekrar</x:v>
      </x:c>
      <x:c r="K1272" s="14" t="str">
        <x:v>Eşitsizlikler</x:v>
      </x:c>
      <x:c r="L1272" s="14" t="str">
        <x:v>Eşitsizlikler — MEB doğrulaması öncesi 5-10 dk aktif hatırlama; gerekiyorsa ilgili playlist videosuna kısa dönüş yap.</x:v>
      </x:c>
      <x:c r="M1272" s="14" t="str">
        <x:v>Matematik Ana Oynatma Listesi</x:v>
      </x:c>
      <x:c r="N1272" s="14" t="str">
        <x:v>https://www.youtube.com/watch?v=EuJ89QzqrAg&amp;list=PLicNtF7vp6fnfDqrRLH6H7fIbzYT4ct4F&amp;index=11</x:v>
      </x:c>
      <x:c r="O1272" s="14" t="n">
        <x:v>0</x:v>
      </x:c>
      <x:c r="P1272" s="14" t="str">
        <x:v>Hayır</x:v>
      </x:c>
      <x:c r="Q1272" s="14" t="str">
        <x:v>Evet</x:v>
      </x:c>
      <x:c r="R1272" s="14" t="str">
        <x:v>Planlandı</x:v>
      </x:c>
      <x:c r="S1272" s="15" t="str"/>
      <x:c r="T1272" s="14" t="str">
        <x:v>Yeni konu ancak plan sırasıyla açılır; LGS dışı ileri TYT içeriği zorunlu değildir.</x:v>
      </x:c>
    </x:row>
    <x:row r="1273">
      <x:c r="A1273" s="14" t="n">
        <x:v>1272</x:v>
      </x:c>
      <x:c r="B1273" s="15" t="n">
        <x:v>46398</x:v>
      </x:c>
      <x:c r="C1273" s="14" t="str">
        <x:v>Pazartesi</x:v>
      </x:c>
      <x:c r="D1273" s="14" t="str">
        <x:v>Okul Günü</x:v>
      </x:c>
      <x:c r="E1273" s="14" t="str">
        <x:v>16:00 sonrası</x:v>
      </x:c>
      <x:c r="F1273" s="14" t="str">
        <x:v>F2 - LGS Kapsam + Ustalık</x:v>
      </x:c>
      <x:c r="G1273" s="14" t="str">
        <x:v>17:10</x:v>
      </x:c>
      <x:c r="H1273" s="14" t="str">
        <x:v>17:55</x:v>
      </x:c>
      <x:c r="I1273" s="14" t="str">
        <x:v>Matematik</x:v>
      </x:c>
      <x:c r="J1273" s="14" t="str">
        <x:v>Kitap / MEB / Mastery</x:v>
      </x:c>
      <x:c r="K1273" s="14" t="str">
        <x:v>Eşitsizlikler</x:v>
      </x:c>
      <x:c r="L1273" s="14" t="str">
        <x:v>Eşitsizlikler için ilgili MEB sorularını TAMAMLA; D/Y/B kaydet. Bu oturum konu mastery gate'idir.</x:v>
      </x:c>
      <x:c r="M1273" s="14" t="str">
        <x:v>MEB Resmî Soru Seti</x:v>
      </x:c>
      <x:c r="N1273" s="14" t="str">
        <x:v>https://odsgm.meb.gov.tr/www/8sinif-calisma-sorulari/icerik/1632</x:v>
      </x:c>
      <x:c r="O1273" s="14" t="n">
        <x:v>0</x:v>
      </x:c>
      <x:c r="P1273" s="14" t="str">
        <x:v>Hayır</x:v>
      </x:c>
      <x:c r="Q1273" s="14" t="str">
        <x:v>Evet</x:v>
      </x:c>
      <x:c r="R1273" s="14" t="str">
        <x:v>Planlandı</x:v>
      </x:c>
      <x:c r="S1273" s="15" t="str"/>
      <x:c r="T1273" s="14" t="str">
        <x:v>MEB sonucu Konu_Ustaligi sayfasına işlenir.</x:v>
      </x:c>
    </x:row>
    <x:row r="1274">
      <x:c r="A1274" s="14" t="n">
        <x:v>1273</x:v>
      </x:c>
      <x:c r="B1274" s="15" t="n">
        <x:v>46398</x:v>
      </x:c>
      <x:c r="C1274" s="14" t="str">
        <x:v>Pazartesi</x:v>
      </x:c>
      <x:c r="D1274" s="14" t="str">
        <x:v>Okul Günü</x:v>
      </x:c>
      <x:c r="E1274" s="14" t="str">
        <x:v>16:00 sonrası</x:v>
      </x:c>
      <x:c r="F1274" s="14" t="str">
        <x:v>F2 - LGS Kapsam + Ustalık</x:v>
      </x:c>
      <x:c r="G1274" s="14" t="str">
        <x:v>17:55</x:v>
      </x:c>
      <x:c r="H1274" s="14" t="str">
        <x:v>18:25</x:v>
      </x:c>
      <x:c r="I1274" s="14" t="str">
        <x:v>Genel</x:v>
      </x:c>
      <x:c r="J1274" s="14" t="str">
        <x:v>Yemek / Serbest Zaman</x:v>
      </x:c>
      <x:c r="K1274" s="14" t="str"/>
      <x:c r="L1274" s="14" t="str">
        <x:v>Yemek, hareket ve dinlenme.</x:v>
      </x:c>
      <x:c r="M1274" s="14" t="str"/>
      <x:c r="N1274" s="14" t="str"/>
      <x:c r="O1274" s="14" t="n">
        <x:v>0</x:v>
      </x:c>
      <x:c r="P1274" s="14" t="str">
        <x:v>Hayır</x:v>
      </x:c>
      <x:c r="Q1274" s="14" t="str">
        <x:v>Hayır</x:v>
      </x:c>
      <x:c r="R1274" s="14" t="str">
        <x:v>Planlandı</x:v>
      </x:c>
      <x:c r="S1274" s="15" t="str"/>
      <x:c r="T1274" s="14" t="str"/>
    </x:row>
    <x:row r="1275">
      <x:c r="A1275" s="14" t="n">
        <x:v>1274</x:v>
      </x:c>
      <x:c r="B1275" s="15" t="n">
        <x:v>46398</x:v>
      </x:c>
      <x:c r="C1275" s="14" t="str">
        <x:v>Pazartesi</x:v>
      </x:c>
      <x:c r="D1275" s="14" t="str">
        <x:v>Okul Günü</x:v>
      </x:c>
      <x:c r="E1275" s="14" t="str">
        <x:v>16:00 sonrası</x:v>
      </x:c>
      <x:c r="F1275" s="14" t="str">
        <x:v>F2 - LGS Kapsam + Ustalık</x:v>
      </x:c>
      <x:c r="G1275" s="14" t="str">
        <x:v>18:25</x:v>
      </x:c>
      <x:c r="H1275" s="14" t="str">
        <x:v>18:55</x:v>
      </x:c>
      <x:c r="I1275" s="14" t="str">
        <x:v>Türkçe</x:v>
      </x:c>
      <x:c r="J1275" s="14" t="str">
        <x:v>Paragraf Rutini</x:v>
      </x:c>
      <x:c r="K1275" s="14" t="str">
        <x:v>Paragraf</x:v>
      </x:c>
      <x:c r="L1275" s="14" t="str">
        <x:v>En az 25 paragraf sorusu çöz; ilk 20 soruyu ileri sayımla ölç, D/Y/B + süre kaydet.</x:v>
      </x:c>
      <x:c r="M1275" s="14" t="str">
        <x:v>Hız 8. Sınıf Türkçe Paragraf (ISBN 9786258394498)</x:v>
      </x:c>
      <x:c r="N1275" s="14" t="str"/>
      <x:c r="O1275" s="14" t="n">
        <x:v>25</x:v>
      </x:c>
      <x:c r="P1275" s="14" t="str">
        <x:v>İlk 20 soru</x:v>
      </x:c>
      <x:c r="Q1275" s="14" t="str">
        <x:v>Evet</x:v>
      </x:c>
      <x:c r="R1275" s="14" t="str">
        <x:v>Planlandı</x:v>
      </x:c>
      <x:c r="S1275" s="15" t="str"/>
      <x:c r="T1275" s="14" t="str">
        <x:v>Geri sayım ve hedef süre yok.</x:v>
      </x:c>
    </x:row>
    <x:row r="1276">
      <x:c r="A1276" s="14" t="n">
        <x:v>1275</x:v>
      </x:c>
      <x:c r="B1276" s="15" t="n">
        <x:v>46398</x:v>
      </x:c>
      <x:c r="C1276" s="14" t="str">
        <x:v>Pazartesi</x:v>
      </x:c>
      <x:c r="D1276" s="14" t="str">
        <x:v>Okul Günü</x:v>
      </x:c>
      <x:c r="E1276" s="14" t="str">
        <x:v>16:00 sonrası</x:v>
      </x:c>
      <x:c r="F1276" s="14" t="str">
        <x:v>F2 - LGS Kapsam + Ustalık</x:v>
      </x:c>
      <x:c r="G1276" s="14" t="str">
        <x:v>19:00</x:v>
      </x:c>
      <x:c r="H1276" s="14" t="str">
        <x:v>19:35</x:v>
      </x:c>
      <x:c r="I1276" s="14" t="str">
        <x:v>Türkçe</x:v>
      </x:c>
      <x:c r="J1276" s="14" t="str">
        <x:v>Konu / Tekrar</x:v>
      </x:c>
      <x:c r="K1276" s="14" t="str">
        <x:v>Kaynak Tamamlama / Zayıf Konu</x:v>
      </x:c>
      <x:c r="L1276" s="14" t="str">
        <x:v>Yeni konu açma. En zayıf/açık konunun ilgili playlist videosunu yalnız gerekiyorsa tekrar izle.</x:v>
      </x:c>
      <x:c r="M1276" s="14" t="str">
        <x:v>Türkçe Ana Oynatma Listesi</x:v>
      </x:c>
      <x:c r="N1276" s="14" t="str">
        <x:v>https://www.youtube.com/watch?v=VYsPntNKVdw&amp;list=PLIBjFaUoJJ91bz7QQEBlxNJNZka5YQRr6</x:v>
      </x:c>
      <x:c r="O1276" s="14" t="n">
        <x:v>0</x:v>
      </x:c>
      <x:c r="P1276" s="14" t="str">
        <x:v>Hayır</x:v>
      </x:c>
      <x:c r="Q1276" s="14" t="str">
        <x:v>Evet</x:v>
      </x:c>
      <x:c r="R1276" s="14" t="str">
        <x:v>Planlandı</x:v>
      </x:c>
      <x:c r="S1276" s="15" t="str"/>
      <x:c r="T1276" s="14" t="str">
        <x:v>TYT etiketli kaynak temelden başlamak için sabittir; LGS dışı gereksiz ayrıntı zorunlu değildir.</x:v>
      </x:c>
    </x:row>
    <x:row r="1277">
      <x:c r="A1277" s="14" t="n">
        <x:v>1276</x:v>
      </x:c>
      <x:c r="B1277" s="15" t="n">
        <x:v>46398</x:v>
      </x:c>
      <x:c r="C1277" s="14" t="str">
        <x:v>Pazartesi</x:v>
      </x:c>
      <x:c r="D1277" s="14" t="str">
        <x:v>Okul Günü</x:v>
      </x:c>
      <x:c r="E1277" s="14" t="str">
        <x:v>16:00 sonrası</x:v>
      </x:c>
      <x:c r="F1277" s="14" t="str">
        <x:v>F2 - LGS Kapsam + Ustalık</x:v>
      </x:c>
      <x:c r="G1277" s="14" t="str">
        <x:v>19:40</x:v>
      </x:c>
      <x:c r="H1277" s="14" t="str">
        <x:v>20:10</x:v>
      </x:c>
      <x:c r="I1277" s="14" t="str">
        <x:v>Türkçe</x:v>
      </x:c>
      <x:c r="J1277" s="14" t="str">
        <x:v>Kitap / MEB / Mastery</x:v>
      </x:c>
      <x:c r="K1277" s="14" t="str">
        <x:v>Kaynak Tamamlama / Zayıf Konu</x:v>
      </x:c>
      <x:c r="L1277" s="14" t="str">
        <x:v>13 Nisan %100 tamamlama hedefine göre en geride kalan Türkçe soru kaynağını/eksik MEB setini ilerlet; açık yanlışları kapat.</x:v>
      </x:c>
      <x:c r="M1277" s="14" t="str">
        <x:v>Ankara 8. Sınıf Dil Bilgisi Güçlendiren + açık MEB/yanlışlar</x:v>
      </x:c>
      <x:c r="N1277" s="14" t="str">
        <x:v>https://odsgm.meb.gov.tr/www/8sinif-calisma-sorulari/icerik/1632</x:v>
      </x:c>
      <x:c r="O1277" s="14" t="n">
        <x:v>15</x:v>
      </x:c>
      <x:c r="P1277" s="14" t="str">
        <x:v>Hayır</x:v>
      </x:c>
      <x:c r="Q1277" s="14" t="str">
        <x:v>Evet</x:v>
      </x:c>
      <x:c r="R1277" s="14" t="str">
        <x:v>Planlandı</x:v>
      </x:c>
      <x:c r="S1277" s="15" t="str"/>
      <x:c r="T1277" s="14" t="str"/>
    </x:row>
    <x:row r="1278">
      <x:c r="A1278" s="14" t="n">
        <x:v>1277</x:v>
      </x:c>
      <x:c r="B1278" s="15" t="n">
        <x:v>46398</x:v>
      </x:c>
      <x:c r="C1278" s="14" t="str">
        <x:v>Pazartesi</x:v>
      </x:c>
      <x:c r="D1278" s="14" t="str">
        <x:v>Okul Günü</x:v>
      </x:c>
      <x:c r="E1278" s="14" t="str">
        <x:v>16:00 sonrası</x:v>
      </x:c>
      <x:c r="F1278" s="14" t="str">
        <x:v>F2 - LGS Kapsam + Ustalık</x:v>
      </x:c>
      <x:c r="G1278" s="14" t="str">
        <x:v>20:15</x:v>
      </x:c>
      <x:c r="H1278" s="14" t="str">
        <x:v>20:50</x:v>
      </x:c>
      <x:c r="I1278" s="14" t="str">
        <x:v>İnkılap</x:v>
      </x:c>
      <x:c r="J1278" s="14" t="str">
        <x:v>Konu / Tekrar</x:v>
      </x:c>
      <x:c r="K1278" s="14" t="str">
        <x:v>Millî Mücadele - Cepheler</x:v>
      </x:c>
      <x:c r="L1278" s="14" t="str">
        <x:v>Millî Mücadele - Cepheler — genel oynatma listesinden ilgili konu/soru çalışmasını yap.</x:v>
      </x:c>
      <x:c r="M1278" s="14" t="str">
        <x:v>İnkılap Genel Oynatma Listesi</x:v>
      </x:c>
      <x:c r="N1278" s="14" t="str">
        <x:v>https://www.youtube.com/watch?v=MltIX0oKpYU&amp;list=PLsAsBPsriHNbXit4Ra3iuBrk1ZHZWxsOR&amp;index=78</x:v>
      </x:c>
      <x:c r="O1278" s="14" t="n">
        <x:v>0</x:v>
      </x:c>
      <x:c r="P1278" s="14" t="str">
        <x:v>Hayır</x:v>
      </x:c>
      <x:c r="Q1278" s="14" t="str">
        <x:v>Evet</x:v>
      </x:c>
      <x:c r="R1278" s="14" t="str">
        <x:v>Planlandı</x:v>
      </x:c>
      <x:c r="S1278" s="15" t="str"/>
      <x:c r="T1278" s="14" t="str">
        <x:v>İnkılapta okul yazılısı videoları zorunlu değildir.</x:v>
      </x:c>
    </x:row>
    <x:row r="1279">
      <x:c r="A1279" s="14" t="n">
        <x:v>1278</x:v>
      </x:c>
      <x:c r="B1279" s="15" t="n">
        <x:v>46398</x:v>
      </x:c>
      <x:c r="C1279" s="14" t="str">
        <x:v>Pazartesi</x:v>
      </x:c>
      <x:c r="D1279" s="14" t="str">
        <x:v>Okul Günü</x:v>
      </x:c>
      <x:c r="E1279" s="14" t="str">
        <x:v>16:00 sonrası</x:v>
      </x:c>
      <x:c r="F1279" s="14" t="str">
        <x:v>F2 - LGS Kapsam + Ustalık</x:v>
      </x:c>
      <x:c r="G1279" s="14" t="str">
        <x:v>20:55</x:v>
      </x:c>
      <x:c r="H1279" s="14" t="str">
        <x:v>21:20</x:v>
      </x:c>
      <x:c r="I1279" s="14" t="str">
        <x:v>İnkılap</x:v>
      </x:c>
      <x:c r="J1279" s="14" t="str">
        <x:v>Kitap / MEB / Mastery</x:v>
      </x:c>
      <x:c r="K1279" s="14" t="str">
        <x:v>Millî Mücadele - Cepheler</x:v>
      </x:c>
      <x:c r="L1279" s="14" t="str">
        <x:v>Millî Mücadele - Cepheler ile ilgili soru kitabından en az 18 soru / bugünkü test payını çöz.</x:v>
      </x:c>
      <x:c r="M1279" s="14" t="str">
        <x:v>Hız 8. Sınıf T.C. İnkılap Tarihi ve Atatürkçülük</x:v>
      </x:c>
      <x:c r="N1279" s="14" t="str">
        <x:v>https://www.youtube.com/watch?v=MltIX0oKpYU&amp;list=PLsAsBPsriHNbXit4Ra3iuBrk1ZHZWxsOR&amp;index=78</x:v>
      </x:c>
      <x:c r="O1279" s="14" t="n">
        <x:v>18</x:v>
      </x:c>
      <x:c r="P1279" s="14" t="str">
        <x:v>Hayır</x:v>
      </x:c>
      <x:c r="Q1279" s="14" t="str">
        <x:v>Evet</x:v>
      </x:c>
      <x:c r="R1279" s="14" t="str">
        <x:v>Planlandı</x:v>
      </x:c>
      <x:c r="S1279" s="15" t="str"/>
      <x:c r="T1279" s="14" t="str"/>
    </x:row>
    <x:row r="1280">
      <x:c r="A1280" s="14" t="n">
        <x:v>1279</x:v>
      </x:c>
      <x:c r="B1280" s="15" t="n">
        <x:v>46398</x:v>
      </x:c>
      <x:c r="C1280" s="14" t="str">
        <x:v>Pazartesi</x:v>
      </x:c>
      <x:c r="D1280" s="14" t="str">
        <x:v>Okul Günü</x:v>
      </x:c>
      <x:c r="E1280" s="14" t="str">
        <x:v>16:00 sonrası</x:v>
      </x:c>
      <x:c r="F1280" s="14" t="str">
        <x:v>F2 - LGS Kapsam + Ustalık</x:v>
      </x:c>
      <x:c r="G1280" s="14" t="str">
        <x:v>21:20</x:v>
      </x:c>
      <x:c r="H1280" s="14" t="str">
        <x:v>21:35</x:v>
      </x:c>
      <x:c r="I1280" s="14" t="str">
        <x:v>Genel</x:v>
      </x:c>
      <x:c r="J1280" s="14" t="str">
        <x:v>Yanlış / Boş Analizi</x:v>
      </x:c>
      <x:c r="K1280" s="14" t="str">
        <x:v>Günlük</x:v>
      </x:c>
      <x:c r="L1280" s="14" t="str">
        <x:v>Bugünkü yanlış/boşları kaydet; çözümünü öğrenmeden kapatma. Hata türünü sınıflandır.</x:v>
      </x:c>
      <x:c r="M1280" s="14" t="str">
        <x:v>Yanlış Defteri</x:v>
      </x:c>
      <x:c r="N1280" s="14" t="str"/>
      <x:c r="O1280" s="14" t="n">
        <x:v>0</x:v>
      </x:c>
      <x:c r="P1280" s="14" t="str">
        <x:v>Hayır</x:v>
      </x:c>
      <x:c r="Q1280" s="14" t="str">
        <x:v>Evet</x:v>
      </x:c>
      <x:c r="R1280" s="14" t="str">
        <x:v>Planlandı</x:v>
      </x:c>
      <x:c r="S1280" s="15" t="str"/>
      <x:c r="T1280" s="14" t="str"/>
    </x:row>
    <x:row r="1281">
      <x:c r="A1281" s="14" t="n">
        <x:v>1280</x:v>
      </x:c>
      <x:c r="B1281" s="15" t="n">
        <x:v>46398</x:v>
      </x:c>
      <x:c r="C1281" s="14" t="str">
        <x:v>Pazartesi</x:v>
      </x:c>
      <x:c r="D1281" s="14" t="str">
        <x:v>Okul Günü</x:v>
      </x:c>
      <x:c r="E1281" s="14" t="str">
        <x:v>16:00 sonrası</x:v>
      </x:c>
      <x:c r="F1281" s="14" t="str">
        <x:v>F2 - LGS Kapsam + Ustalık</x:v>
      </x:c>
      <x:c r="G1281" s="14" t="str">
        <x:v>21:35</x:v>
      </x:c>
      <x:c r="H1281" s="14" t="str">
        <x:v>21:50</x:v>
      </x:c>
      <x:c r="I1281" s="14" t="str">
        <x:v>Genel</x:v>
      </x:c>
      <x:c r="J1281" s="14" t="str">
        <x:v>Aralıklı Hata Tekrarı</x:v>
      </x:c>
      <x:c r="K1281" s="14" t="str">
        <x:v>+1 / +7 / +21</x:v>
      </x:c>
      <x:c r="L1281" s="14" t="str">
        <x:v>Bugün vadesi gelen yanlış soruları tekrar çöz. Vadesi yoksa bu süre serbest/okuma olabilir.</x:v>
      </x:c>
      <x:c r="M1281" s="14" t="str">
        <x:v>Yanlış Defteri</x:v>
      </x:c>
      <x:c r="N1281" s="14" t="str"/>
      <x:c r="O1281" s="14" t="n">
        <x:v>0</x:v>
      </x:c>
      <x:c r="P1281" s="14" t="str">
        <x:v>Hayır</x:v>
      </x:c>
      <x:c r="Q1281" s="14" t="str">
        <x:v>Koşullu</x:v>
      </x:c>
      <x:c r="R1281" s="14" t="str">
        <x:v>Planlandı</x:v>
      </x:c>
      <x:c r="S1281" s="15" t="str"/>
      <x:c r="T1281" s="14" t="str">
        <x:v>Yanlışlar +1, +7 ve +21 gün aralıklarıyla tekrar edilir; hâlâ yanlışsa konu mastery durumu düşürülür.</x:v>
      </x:c>
    </x:row>
    <x:row r="1282">
      <x:c r="A1282" s="14" t="n">
        <x:v>1281</x:v>
      </x:c>
      <x:c r="B1282" s="15" t="n">
        <x:v>46398</x:v>
      </x:c>
      <x:c r="C1282" s="14" t="str">
        <x:v>Pazartesi</x:v>
      </x:c>
      <x:c r="D1282" s="14" t="str">
        <x:v>Okul Günü</x:v>
      </x:c>
      <x:c r="E1282" s="14" t="str">
        <x:v>16:00 sonrası</x:v>
      </x:c>
      <x:c r="F1282" s="14" t="str">
        <x:v>F2 - LGS Kapsam + Ustalık</x:v>
      </x:c>
      <x:c r="G1282" s="14" t="str">
        <x:v>21:50</x:v>
      </x:c>
      <x:c r="H1282" s="14" t="str">
        <x:v>22:00</x:v>
      </x:c>
      <x:c r="I1282" s="14" t="str">
        <x:v>Genel</x:v>
      </x:c>
      <x:c r="J1282" s="14" t="str">
        <x:v>Uyku Hazırlığı</x:v>
      </x:c>
      <x:c r="K1282" s="14" t="str"/>
      <x:c r="L1282" s="14" t="str">
        <x:v>22:00'de yatakta ve uyku.</x:v>
      </x:c>
      <x:c r="M1282" s="14" t="str"/>
      <x:c r="N1282" s="14" t="str"/>
      <x:c r="O1282" s="14" t="n">
        <x:v>0</x:v>
      </x:c>
      <x:c r="P1282" s="14" t="str">
        <x:v>Hayır</x:v>
      </x:c>
      <x:c r="Q1282" s="14" t="str">
        <x:v>Hayır</x:v>
      </x:c>
      <x:c r="R1282" s="14" t="str">
        <x:v>Planlandı</x:v>
      </x:c>
      <x:c r="S1282" s="15" t="str"/>
      <x:c r="T1282" s="14" t="str"/>
    </x:row>
    <x:row r="1283">
      <x:c r="A1283" s="14" t="n">
        <x:v>1282</x:v>
      </x:c>
      <x:c r="B1283" s="15" t="n">
        <x:v>46399</x:v>
      </x:c>
      <x:c r="C1283" s="14" t="str">
        <x:v>Salı</x:v>
      </x:c>
      <x:c r="D1283" s="14" t="str">
        <x:v>Okul Günü</x:v>
      </x:c>
      <x:c r="E1283" s="14" t="str">
        <x:v>16:00 sonrası</x:v>
      </x:c>
      <x:c r="F1283" s="14" t="str">
        <x:v>F2 - LGS Kapsam + Ustalık</x:v>
      </x:c>
      <x:c r="G1283" s="14" t="str">
        <x:v>16:00</x:v>
      </x:c>
      <x:c r="H1283" s="14" t="str">
        <x:v>16:25</x:v>
      </x:c>
      <x:c r="I1283" s="14" t="str">
        <x:v>Genel</x:v>
      </x:c>
      <x:c r="J1283" s="14" t="str">
        <x:v>Dinlenme</x:v>
      </x:c>
      <x:c r="K1283" s="14" t="str"/>
      <x:c r="L1283" s="14" t="str">
        <x:v>Eve geliş, atıştırma ve dinlenme.</x:v>
      </x:c>
      <x:c r="M1283" s="14" t="str"/>
      <x:c r="N1283" s="14" t="str"/>
      <x:c r="O1283" s="14" t="n">
        <x:v>0</x:v>
      </x:c>
      <x:c r="P1283" s="14" t="str">
        <x:v>Hayır</x:v>
      </x:c>
      <x:c r="Q1283" s="14" t="str">
        <x:v>Hayır</x:v>
      </x:c>
      <x:c r="R1283" s="14" t="str">
        <x:v>Planlandı</x:v>
      </x:c>
      <x:c r="S1283" s="15" t="str"/>
      <x:c r="T1283" s="14" t="str"/>
    </x:row>
    <x:row r="1284">
      <x:c r="A1284" s="14" t="n">
        <x:v>1283</x:v>
      </x:c>
      <x:c r="B1284" s="15" t="n">
        <x:v>46399</x:v>
      </x:c>
      <x:c r="C1284" s="14" t="str">
        <x:v>Salı</x:v>
      </x:c>
      <x:c r="D1284" s="14" t="str">
        <x:v>Okul Günü</x:v>
      </x:c>
      <x:c r="E1284" s="14" t="str">
        <x:v>16:00 sonrası</x:v>
      </x:c>
      <x:c r="F1284" s="14" t="str">
        <x:v>F2 - LGS Kapsam + Ustalık</x:v>
      </x:c>
      <x:c r="G1284" s="14" t="str">
        <x:v>16:25</x:v>
      </x:c>
      <x:c r="H1284" s="14" t="str">
        <x:v>17:05</x:v>
      </x:c>
      <x:c r="I1284" s="14" t="str">
        <x:v>Matematik</x:v>
      </x:c>
      <x:c r="J1284" s="14" t="str">
        <x:v>Konu / Tekrar</x:v>
      </x:c>
      <x:c r="K1284" s="14" t="str">
        <x:v>Üçgenler</x:v>
      </x:c>
      <x:c r="L1284" s="14" t="str">
        <x:v>Üçgenler — genel oynatma listesinden ilgili videoyu izle (1/4).</x:v>
      </x:c>
      <x:c r="M1284" s="14" t="str">
        <x:v>Matematik Yedek Oynatma Listesi</x:v>
      </x:c>
      <x:c r="N1284" s="14" t="str">
        <x:v>https://www.youtube.com/watch?v=Z7exqEHEqQA&amp;list=PLHN_SjKO7rCI&amp;index=3</x:v>
      </x:c>
      <x:c r="O1284" s="14" t="n">
        <x:v>0</x:v>
      </x:c>
      <x:c r="P1284" s="14" t="str">
        <x:v>Hayır</x:v>
      </x:c>
      <x:c r="Q1284" s="14" t="str">
        <x:v>Evet</x:v>
      </x:c>
      <x:c r="R1284" s="14" t="str">
        <x:v>Planlandı</x:v>
      </x:c>
      <x:c r="S1284" s="15" t="str"/>
      <x:c r="T1284" s="14" t="str">
        <x:v>Yeni konu ancak plan sırasıyla açılır; LGS dışı ileri TYT içeriği zorunlu değildir.</x:v>
      </x:c>
    </x:row>
    <x:row r="1285">
      <x:c r="A1285" s="14" t="n">
        <x:v>1284</x:v>
      </x:c>
      <x:c r="B1285" s="15" t="n">
        <x:v>46399</x:v>
      </x:c>
      <x:c r="C1285" s="14" t="str">
        <x:v>Salı</x:v>
      </x:c>
      <x:c r="D1285" s="14" t="str">
        <x:v>Okul Günü</x:v>
      </x:c>
      <x:c r="E1285" s="14" t="str">
        <x:v>16:00 sonrası</x:v>
      </x:c>
      <x:c r="F1285" s="14" t="str">
        <x:v>F2 - LGS Kapsam + Ustalık</x:v>
      </x:c>
      <x:c r="G1285" s="14" t="str">
        <x:v>17:10</x:v>
      </x:c>
      <x:c r="H1285" s="14" t="str">
        <x:v>17:55</x:v>
      </x:c>
      <x:c r="I1285" s="14" t="str">
        <x:v>Matematik</x:v>
      </x:c>
      <x:c r="J1285" s="14" t="str">
        <x:v>Kitap / MEB / Mastery</x:v>
      </x:c>
      <x:c r="K1285" s="14" t="str">
        <x:v>Üçgenler</x:v>
      </x:c>
      <x:c r="L1285" s="14" t="str">
        <x:v>Üçgenler ile ilgili soru kitabından en az 25 soru / bugünkü test payını çöz.</x:v>
      </x:c>
      <x:c r="M1285" s="14" t="str">
        <x:v>MUBA 8. Sınıf Başlangıç Matematik (ISBN 9789756526972); tamamlandıysa Mozaik 8. Sınıf Matematik</x:v>
      </x:c>
      <x:c r="N1285" s="14" t="str">
        <x:v>https://odsgm.meb.gov.tr/www/8sinif-calisma-sorulari/icerik/1632</x:v>
      </x:c>
      <x:c r="O1285" s="14" t="n">
        <x:v>25</x:v>
      </x:c>
      <x:c r="P1285" s="14" t="str">
        <x:v>İlk 20 soru</x:v>
      </x:c>
      <x:c r="Q1285" s="14" t="str">
        <x:v>Evet</x:v>
      </x:c>
      <x:c r="R1285" s="14" t="str">
        <x:v>Planlandı</x:v>
      </x:c>
      <x:c r="S1285" s="15" t="str"/>
      <x:c r="T1285" s="14" t="str">
        <x:v>Ayrı/rastgele matematik benchmark yoktur. Süreli ilk 20 soru o gün çalışılan konunun içindedir.</x:v>
      </x:c>
    </x:row>
    <x:row r="1286">
      <x:c r="A1286" s="14" t="n">
        <x:v>1285</x:v>
      </x:c>
      <x:c r="B1286" s="15" t="n">
        <x:v>46399</x:v>
      </x:c>
      <x:c r="C1286" s="14" t="str">
        <x:v>Salı</x:v>
      </x:c>
      <x:c r="D1286" s="14" t="str">
        <x:v>Okul Günü</x:v>
      </x:c>
      <x:c r="E1286" s="14" t="str">
        <x:v>16:00 sonrası</x:v>
      </x:c>
      <x:c r="F1286" s="14" t="str">
        <x:v>F2 - LGS Kapsam + Ustalık</x:v>
      </x:c>
      <x:c r="G1286" s="14" t="str">
        <x:v>17:55</x:v>
      </x:c>
      <x:c r="H1286" s="14" t="str">
        <x:v>18:25</x:v>
      </x:c>
      <x:c r="I1286" s="14" t="str">
        <x:v>Genel</x:v>
      </x:c>
      <x:c r="J1286" s="14" t="str">
        <x:v>Yemek / Serbest Zaman</x:v>
      </x:c>
      <x:c r="K1286" s="14" t="str"/>
      <x:c r="L1286" s="14" t="str">
        <x:v>Yemek, hareket ve dinlenme.</x:v>
      </x:c>
      <x:c r="M1286" s="14" t="str"/>
      <x:c r="N1286" s="14" t="str"/>
      <x:c r="O1286" s="14" t="n">
        <x:v>0</x:v>
      </x:c>
      <x:c r="P1286" s="14" t="str">
        <x:v>Hayır</x:v>
      </x:c>
      <x:c r="Q1286" s="14" t="str">
        <x:v>Hayır</x:v>
      </x:c>
      <x:c r="R1286" s="14" t="str">
        <x:v>Planlandı</x:v>
      </x:c>
      <x:c r="S1286" s="15" t="str"/>
      <x:c r="T1286" s="14" t="str"/>
    </x:row>
    <x:row r="1287">
      <x:c r="A1287" s="14" t="n">
        <x:v>1286</x:v>
      </x:c>
      <x:c r="B1287" s="15" t="n">
        <x:v>46399</x:v>
      </x:c>
      <x:c r="C1287" s="14" t="str">
        <x:v>Salı</x:v>
      </x:c>
      <x:c r="D1287" s="14" t="str">
        <x:v>Okul Günü</x:v>
      </x:c>
      <x:c r="E1287" s="14" t="str">
        <x:v>16:00 sonrası</x:v>
      </x:c>
      <x:c r="F1287" s="14" t="str">
        <x:v>F2 - LGS Kapsam + Ustalık</x:v>
      </x:c>
      <x:c r="G1287" s="14" t="str">
        <x:v>18:25</x:v>
      </x:c>
      <x:c r="H1287" s="14" t="str">
        <x:v>18:55</x:v>
      </x:c>
      <x:c r="I1287" s="14" t="str">
        <x:v>Türkçe</x:v>
      </x:c>
      <x:c r="J1287" s="14" t="str">
        <x:v>Paragraf Rutini</x:v>
      </x:c>
      <x:c r="K1287" s="14" t="str">
        <x:v>Paragraf</x:v>
      </x:c>
      <x:c r="L1287" s="14" t="str">
        <x:v>En az 25 paragraf sorusu çöz; ilk 20 soruyu ileri sayımla ölç, D/Y/B + süre kaydet.</x:v>
      </x:c>
      <x:c r="M1287" s="14" t="str">
        <x:v>Hız 8. Sınıf Türkçe Paragraf (ISBN 9786258394498)</x:v>
      </x:c>
      <x:c r="N1287" s="14" t="str"/>
      <x:c r="O1287" s="14" t="n">
        <x:v>25</x:v>
      </x:c>
      <x:c r="P1287" s="14" t="str">
        <x:v>İlk 20 soru</x:v>
      </x:c>
      <x:c r="Q1287" s="14" t="str">
        <x:v>Evet</x:v>
      </x:c>
      <x:c r="R1287" s="14" t="str">
        <x:v>Planlandı</x:v>
      </x:c>
      <x:c r="S1287" s="15" t="str"/>
      <x:c r="T1287" s="14" t="str">
        <x:v>Geri sayım ve hedef süre yok.</x:v>
      </x:c>
    </x:row>
    <x:row r="1288">
      <x:c r="A1288" s="14" t="n">
        <x:v>1287</x:v>
      </x:c>
      <x:c r="B1288" s="15" t="n">
        <x:v>46399</x:v>
      </x:c>
      <x:c r="C1288" s="14" t="str">
        <x:v>Salı</x:v>
      </x:c>
      <x:c r="D1288" s="14" t="str">
        <x:v>Okul Günü</x:v>
      </x:c>
      <x:c r="E1288" s="14" t="str">
        <x:v>16:00 sonrası</x:v>
      </x:c>
      <x:c r="F1288" s="14" t="str">
        <x:v>F2 - LGS Kapsam + Ustalık</x:v>
      </x:c>
      <x:c r="G1288" s="14" t="str">
        <x:v>19:00</x:v>
      </x:c>
      <x:c r="H1288" s="14" t="str">
        <x:v>19:35</x:v>
      </x:c>
      <x:c r="I1288" s="14" t="str">
        <x:v>Türkçe</x:v>
      </x:c>
      <x:c r="J1288" s="14" t="str">
        <x:v>Konu / Tekrar</x:v>
      </x:c>
      <x:c r="K1288" s="14" t="str">
        <x:v>Kaynak Tamamlama / Zayıf Konu</x:v>
      </x:c>
      <x:c r="L1288" s="14" t="str">
        <x:v>Yeni konu açma. En zayıf/açık konunun ilgili playlist videosunu yalnız gerekiyorsa tekrar izle.</x:v>
      </x:c>
      <x:c r="M1288" s="14" t="str">
        <x:v>Türkçe Ana Oynatma Listesi</x:v>
      </x:c>
      <x:c r="N1288" s="14" t="str">
        <x:v>https://www.youtube.com/watch?v=VYsPntNKVdw&amp;list=PLIBjFaUoJJ91bz7QQEBlxNJNZka5YQRr6</x:v>
      </x:c>
      <x:c r="O1288" s="14" t="n">
        <x:v>0</x:v>
      </x:c>
      <x:c r="P1288" s="14" t="str">
        <x:v>Hayır</x:v>
      </x:c>
      <x:c r="Q1288" s="14" t="str">
        <x:v>Evet</x:v>
      </x:c>
      <x:c r="R1288" s="14" t="str">
        <x:v>Planlandı</x:v>
      </x:c>
      <x:c r="S1288" s="15" t="str"/>
      <x:c r="T1288" s="14" t="str">
        <x:v>TYT etiketli kaynak temelden başlamak için sabittir; LGS dışı gereksiz ayrıntı zorunlu değildir.</x:v>
      </x:c>
    </x:row>
    <x:row r="1289">
      <x:c r="A1289" s="14" t="n">
        <x:v>1288</x:v>
      </x:c>
      <x:c r="B1289" s="15" t="n">
        <x:v>46399</x:v>
      </x:c>
      <x:c r="C1289" s="14" t="str">
        <x:v>Salı</x:v>
      </x:c>
      <x:c r="D1289" s="14" t="str">
        <x:v>Okul Günü</x:v>
      </x:c>
      <x:c r="E1289" s="14" t="str">
        <x:v>16:00 sonrası</x:v>
      </x:c>
      <x:c r="F1289" s="14" t="str">
        <x:v>F2 - LGS Kapsam + Ustalık</x:v>
      </x:c>
      <x:c r="G1289" s="14" t="str">
        <x:v>19:40</x:v>
      </x:c>
      <x:c r="H1289" s="14" t="str">
        <x:v>20:10</x:v>
      </x:c>
      <x:c r="I1289" s="14" t="str">
        <x:v>Türkçe</x:v>
      </x:c>
      <x:c r="J1289" s="14" t="str">
        <x:v>Kitap / MEB / Mastery</x:v>
      </x:c>
      <x:c r="K1289" s="14" t="str">
        <x:v>Kaynak Tamamlama / Zayıf Konu</x:v>
      </x:c>
      <x:c r="L1289" s="14" t="str">
        <x:v>13 Nisan %100 tamamlama hedefine göre en geride kalan Türkçe soru kaynağını/eksik MEB setini ilerlet; açık yanlışları kapat.</x:v>
      </x:c>
      <x:c r="M1289" s="14" t="str">
        <x:v>Ankara 8. Sınıf Dil Bilgisi Güçlendiren + açık MEB/yanlışlar</x:v>
      </x:c>
      <x:c r="N1289" s="14" t="str">
        <x:v>https://odsgm.meb.gov.tr/www/8sinif-calisma-sorulari/icerik/1632</x:v>
      </x:c>
      <x:c r="O1289" s="14" t="n">
        <x:v>15</x:v>
      </x:c>
      <x:c r="P1289" s="14" t="str">
        <x:v>Hayır</x:v>
      </x:c>
      <x:c r="Q1289" s="14" t="str">
        <x:v>Evet</x:v>
      </x:c>
      <x:c r="R1289" s="14" t="str">
        <x:v>Planlandı</x:v>
      </x:c>
      <x:c r="S1289" s="15" t="str"/>
      <x:c r="T1289" s="14" t="str"/>
    </x:row>
    <x:row r="1290">
      <x:c r="A1290" s="14" t="n">
        <x:v>1289</x:v>
      </x:c>
      <x:c r="B1290" s="15" t="n">
        <x:v>46399</x:v>
      </x:c>
      <x:c r="C1290" s="14" t="str">
        <x:v>Salı</x:v>
      </x:c>
      <x:c r="D1290" s="14" t="str">
        <x:v>Okul Günü</x:v>
      </x:c>
      <x:c r="E1290" s="14" t="str">
        <x:v>16:00 sonrası</x:v>
      </x:c>
      <x:c r="F1290" s="14" t="str">
        <x:v>F2 - LGS Kapsam + Ustalık</x:v>
      </x:c>
      <x:c r="G1290" s="14" t="str">
        <x:v>20:15</x:v>
      </x:c>
      <x:c r="H1290" s="14" t="str">
        <x:v>20:50</x:v>
      </x:c>
      <x:c r="I1290" s="14" t="str">
        <x:v>İngilizce</x:v>
      </x:c>
      <x:c r="J1290" s="14" t="str">
        <x:v>Konu / Tekrar</x:v>
      </x:c>
      <x:c r="K1290" s="14" t="str">
        <x:v>Unit 7 - Tourism</x:v>
      </x:c>
      <x:c r="L1290" s="14" t="str">
        <x:v>Unit 7 - Tourism — Reading çalışmasını playlistten yap.</x:v>
      </x:c>
      <x:c r="M1290" s="14" t="str">
        <x:v>İngilizce Genel Oynatma Listesi</x:v>
      </x:c>
      <x:c r="N1290" s="14" t="str">
        <x:v>https://www.youtube.com/watch?v=FaY3dFjZbns&amp;list=PLSgpQDrUSYp94WgE9pzpHiOG5FwxnZBrr</x:v>
      </x:c>
      <x:c r="O1290" s="14" t="n">
        <x:v>0</x:v>
      </x:c>
      <x:c r="P1290" s="14" t="str">
        <x:v>Hayır</x:v>
      </x:c>
      <x:c r="Q1290" s="14" t="str">
        <x:v>Evet</x:v>
      </x:c>
      <x:c r="R1290" s="14" t="str">
        <x:v>Planlandı</x:v>
      </x:c>
      <x:c r="S1290" s="15" t="str"/>
      <x:c r="T1290" s="14" t="str"/>
    </x:row>
    <x:row r="1291">
      <x:c r="A1291" s="14" t="n">
        <x:v>1290</x:v>
      </x:c>
      <x:c r="B1291" s="15" t="n">
        <x:v>46399</x:v>
      </x:c>
      <x:c r="C1291" s="14" t="str">
        <x:v>Salı</x:v>
      </x:c>
      <x:c r="D1291" s="14" t="str">
        <x:v>Okul Günü</x:v>
      </x:c>
      <x:c r="E1291" s="14" t="str">
        <x:v>16:00 sonrası</x:v>
      </x:c>
      <x:c r="F1291" s="14" t="str">
        <x:v>F2 - LGS Kapsam + Ustalık</x:v>
      </x:c>
      <x:c r="G1291" s="14" t="str">
        <x:v>20:55</x:v>
      </x:c>
      <x:c r="H1291" s="14" t="str">
        <x:v>21:20</x:v>
      </x:c>
      <x:c r="I1291" s="14" t="str">
        <x:v>İngilizce</x:v>
      </x:c>
      <x:c r="J1291" s="14" t="str">
        <x:v>Kitap / MEB / Mastery</x:v>
      </x:c>
      <x:c r="K1291" s="14" t="str">
        <x:v>Unit 7 - Tourism</x:v>
      </x:c>
      <x:c r="L1291" s="14" t="str">
        <x:v>Unit 7 - Tourism ile ilgili soru kitabından en az 18 soru / bugünkü test payını çöz.</x:v>
      </x:c>
      <x:c r="M1291" s="14" t="str">
        <x:v>More &amp; More 8 Worksheets Notebook</x:v>
      </x:c>
      <x:c r="N1291" s="14" t="str">
        <x:v>https://www.youtube.com/watch?v=FaY3dFjZbns&amp;list=PLSgpQDrUSYp94WgE9pzpHiOG5FwxnZBrr</x:v>
      </x:c>
      <x:c r="O1291" s="14" t="n">
        <x:v>18</x:v>
      </x:c>
      <x:c r="P1291" s="14" t="str">
        <x:v>Hayır</x:v>
      </x:c>
      <x:c r="Q1291" s="14" t="str">
        <x:v>Evet</x:v>
      </x:c>
      <x:c r="R1291" s="14" t="str">
        <x:v>Planlandı</x:v>
      </x:c>
      <x:c r="S1291" s="15" t="str"/>
      <x:c r="T1291" s="14" t="str"/>
    </x:row>
    <x:row r="1292">
      <x:c r="A1292" s="14" t="n">
        <x:v>1291</x:v>
      </x:c>
      <x:c r="B1292" s="15" t="n">
        <x:v>46399</x:v>
      </x:c>
      <x:c r="C1292" s="14" t="str">
        <x:v>Salı</x:v>
      </x:c>
      <x:c r="D1292" s="14" t="str">
        <x:v>Okul Günü</x:v>
      </x:c>
      <x:c r="E1292" s="14" t="str">
        <x:v>16:00 sonrası</x:v>
      </x:c>
      <x:c r="F1292" s="14" t="str">
        <x:v>F2 - LGS Kapsam + Ustalık</x:v>
      </x:c>
      <x:c r="G1292" s="14" t="str">
        <x:v>21:20</x:v>
      </x:c>
      <x:c r="H1292" s="14" t="str">
        <x:v>21:35</x:v>
      </x:c>
      <x:c r="I1292" s="14" t="str">
        <x:v>Genel</x:v>
      </x:c>
      <x:c r="J1292" s="14" t="str">
        <x:v>Yanlış / Boş Analizi</x:v>
      </x:c>
      <x:c r="K1292" s="14" t="str">
        <x:v>Günlük</x:v>
      </x:c>
      <x:c r="L1292" s="14" t="str">
        <x:v>Bugünkü yanlış/boşları kaydet; çözümünü öğrenmeden kapatma. Hata türünü sınıflandır.</x:v>
      </x:c>
      <x:c r="M1292" s="14" t="str">
        <x:v>Yanlış Defteri</x:v>
      </x:c>
      <x:c r="N1292" s="14" t="str"/>
      <x:c r="O1292" s="14" t="n">
        <x:v>0</x:v>
      </x:c>
      <x:c r="P1292" s="14" t="str">
        <x:v>Hayır</x:v>
      </x:c>
      <x:c r="Q1292" s="14" t="str">
        <x:v>Evet</x:v>
      </x:c>
      <x:c r="R1292" s="14" t="str">
        <x:v>Planlandı</x:v>
      </x:c>
      <x:c r="S1292" s="15" t="str"/>
      <x:c r="T1292" s="14" t="str"/>
    </x:row>
    <x:row r="1293">
      <x:c r="A1293" s="14" t="n">
        <x:v>1292</x:v>
      </x:c>
      <x:c r="B1293" s="15" t="n">
        <x:v>46399</x:v>
      </x:c>
      <x:c r="C1293" s="14" t="str">
        <x:v>Salı</x:v>
      </x:c>
      <x:c r="D1293" s="14" t="str">
        <x:v>Okul Günü</x:v>
      </x:c>
      <x:c r="E1293" s="14" t="str">
        <x:v>16:00 sonrası</x:v>
      </x:c>
      <x:c r="F1293" s="14" t="str">
        <x:v>F2 - LGS Kapsam + Ustalık</x:v>
      </x:c>
      <x:c r="G1293" s="14" t="str">
        <x:v>21:35</x:v>
      </x:c>
      <x:c r="H1293" s="14" t="str">
        <x:v>21:50</x:v>
      </x:c>
      <x:c r="I1293" s="14" t="str">
        <x:v>Genel</x:v>
      </x:c>
      <x:c r="J1293" s="14" t="str">
        <x:v>Aralıklı Hata Tekrarı</x:v>
      </x:c>
      <x:c r="K1293" s="14" t="str">
        <x:v>+1 / +7 / +21</x:v>
      </x:c>
      <x:c r="L1293" s="14" t="str">
        <x:v>Bugün vadesi gelen yanlış soruları tekrar çöz. Vadesi yoksa bu süre serbest/okuma olabilir.</x:v>
      </x:c>
      <x:c r="M1293" s="14" t="str">
        <x:v>Yanlış Defteri</x:v>
      </x:c>
      <x:c r="N1293" s="14" t="str"/>
      <x:c r="O1293" s="14" t="n">
        <x:v>0</x:v>
      </x:c>
      <x:c r="P1293" s="14" t="str">
        <x:v>Hayır</x:v>
      </x:c>
      <x:c r="Q1293" s="14" t="str">
        <x:v>Koşullu</x:v>
      </x:c>
      <x:c r="R1293" s="14" t="str">
        <x:v>Planlandı</x:v>
      </x:c>
      <x:c r="S1293" s="15" t="str"/>
      <x:c r="T1293" s="14" t="str">
        <x:v>Yanlışlar +1, +7 ve +21 gün aralıklarıyla tekrar edilir; hâlâ yanlışsa konu mastery durumu düşürülür.</x:v>
      </x:c>
    </x:row>
    <x:row r="1294">
      <x:c r="A1294" s="14" t="n">
        <x:v>1293</x:v>
      </x:c>
      <x:c r="B1294" s="15" t="n">
        <x:v>46399</x:v>
      </x:c>
      <x:c r="C1294" s="14" t="str">
        <x:v>Salı</x:v>
      </x:c>
      <x:c r="D1294" s="14" t="str">
        <x:v>Okul Günü</x:v>
      </x:c>
      <x:c r="E1294" s="14" t="str">
        <x:v>16:00 sonrası</x:v>
      </x:c>
      <x:c r="F1294" s="14" t="str">
        <x:v>F2 - LGS Kapsam + Ustalık</x:v>
      </x:c>
      <x:c r="G1294" s="14" t="str">
        <x:v>21:50</x:v>
      </x:c>
      <x:c r="H1294" s="14" t="str">
        <x:v>22:00</x:v>
      </x:c>
      <x:c r="I1294" s="14" t="str">
        <x:v>Genel</x:v>
      </x:c>
      <x:c r="J1294" s="14" t="str">
        <x:v>Uyku Hazırlığı</x:v>
      </x:c>
      <x:c r="K1294" s="14" t="str"/>
      <x:c r="L1294" s="14" t="str">
        <x:v>22:00'de yatakta ve uyku.</x:v>
      </x:c>
      <x:c r="M1294" s="14" t="str"/>
      <x:c r="N1294" s="14" t="str"/>
      <x:c r="O1294" s="14" t="n">
        <x:v>0</x:v>
      </x:c>
      <x:c r="P1294" s="14" t="str">
        <x:v>Hayır</x:v>
      </x:c>
      <x:c r="Q1294" s="14" t="str">
        <x:v>Hayır</x:v>
      </x:c>
      <x:c r="R1294" s="14" t="str">
        <x:v>Planlandı</x:v>
      </x:c>
      <x:c r="S1294" s="15" t="str"/>
      <x:c r="T1294" s="14" t="str"/>
    </x:row>
    <x:row r="1295">
      <x:c r="A1295" s="14" t="n">
        <x:v>1294</x:v>
      </x:c>
      <x:c r="B1295" s="15" t="n">
        <x:v>46400</x:v>
      </x:c>
      <x:c r="C1295" s="14" t="str">
        <x:v>Çarşamba</x:v>
      </x:c>
      <x:c r="D1295" s="14" t="str">
        <x:v>Okul Günü</x:v>
      </x:c>
      <x:c r="E1295" s="14" t="str">
        <x:v>16:00 sonrası</x:v>
      </x:c>
      <x:c r="F1295" s="14" t="str">
        <x:v>F2 - LGS Kapsam + Ustalık</x:v>
      </x:c>
      <x:c r="G1295" s="14" t="str">
        <x:v>16:00</x:v>
      </x:c>
      <x:c r="H1295" s="14" t="str">
        <x:v>16:25</x:v>
      </x:c>
      <x:c r="I1295" s="14" t="str">
        <x:v>Genel</x:v>
      </x:c>
      <x:c r="J1295" s="14" t="str">
        <x:v>Dinlenme</x:v>
      </x:c>
      <x:c r="K1295" s="14" t="str"/>
      <x:c r="L1295" s="14" t="str">
        <x:v>Eve geliş, atıştırma ve dinlenme.</x:v>
      </x:c>
      <x:c r="M1295" s="14" t="str"/>
      <x:c r="N1295" s="14" t="str"/>
      <x:c r="O1295" s="14" t="n">
        <x:v>0</x:v>
      </x:c>
      <x:c r="P1295" s="14" t="str">
        <x:v>Hayır</x:v>
      </x:c>
      <x:c r="Q1295" s="14" t="str">
        <x:v>Hayır</x:v>
      </x:c>
      <x:c r="R1295" s="14" t="str">
        <x:v>Planlandı</x:v>
      </x:c>
      <x:c r="S1295" s="15" t="str"/>
      <x:c r="T1295" s="14" t="str"/>
    </x:row>
    <x:row r="1296">
      <x:c r="A1296" s="14" t="n">
        <x:v>1295</x:v>
      </x:c>
      <x:c r="B1296" s="15" t="n">
        <x:v>46400</x:v>
      </x:c>
      <x:c r="C1296" s="14" t="str">
        <x:v>Çarşamba</x:v>
      </x:c>
      <x:c r="D1296" s="14" t="str">
        <x:v>Okul Günü</x:v>
      </x:c>
      <x:c r="E1296" s="14" t="str">
        <x:v>16:00 sonrası</x:v>
      </x:c>
      <x:c r="F1296" s="14" t="str">
        <x:v>F2 - LGS Kapsam + Ustalık</x:v>
      </x:c>
      <x:c r="G1296" s="14" t="str">
        <x:v>16:25</x:v>
      </x:c>
      <x:c r="H1296" s="14" t="str">
        <x:v>17:05</x:v>
      </x:c>
      <x:c r="I1296" s="14" t="str">
        <x:v>Matematik</x:v>
      </x:c>
      <x:c r="J1296" s="14" t="str">
        <x:v>Konu / Tekrar</x:v>
      </x:c>
      <x:c r="K1296" s="14" t="str">
        <x:v>Üçgenler</x:v>
      </x:c>
      <x:c r="L1296" s="14" t="str">
        <x:v>Üçgenler — genel oynatma listesinden ilgili videoyu izle (2/4).</x:v>
      </x:c>
      <x:c r="M1296" s="14" t="str">
        <x:v>Matematik Yedek Oynatma Listesi</x:v>
      </x:c>
      <x:c r="N1296" s="14" t="str">
        <x:v>https://www.youtube.com/watch?v=Z7exqEHEqQA&amp;list=PLHN_SjKO7rCI&amp;index=3</x:v>
      </x:c>
      <x:c r="O1296" s="14" t="n">
        <x:v>0</x:v>
      </x:c>
      <x:c r="P1296" s="14" t="str">
        <x:v>Hayır</x:v>
      </x:c>
      <x:c r="Q1296" s="14" t="str">
        <x:v>Evet</x:v>
      </x:c>
      <x:c r="R1296" s="14" t="str">
        <x:v>Planlandı</x:v>
      </x:c>
      <x:c r="S1296" s="15" t="str"/>
      <x:c r="T1296" s="14" t="str">
        <x:v>Yeni konu ancak plan sırasıyla açılır; LGS dışı ileri TYT içeriği zorunlu değildir.</x:v>
      </x:c>
    </x:row>
    <x:row r="1297">
      <x:c r="A1297" s="14" t="n">
        <x:v>1296</x:v>
      </x:c>
      <x:c r="B1297" s="15" t="n">
        <x:v>46400</x:v>
      </x:c>
      <x:c r="C1297" s="14" t="str">
        <x:v>Çarşamba</x:v>
      </x:c>
      <x:c r="D1297" s="14" t="str">
        <x:v>Okul Günü</x:v>
      </x:c>
      <x:c r="E1297" s="14" t="str">
        <x:v>16:00 sonrası</x:v>
      </x:c>
      <x:c r="F1297" s="14" t="str">
        <x:v>F2 - LGS Kapsam + Ustalık</x:v>
      </x:c>
      <x:c r="G1297" s="14" t="str">
        <x:v>17:10</x:v>
      </x:c>
      <x:c r="H1297" s="14" t="str">
        <x:v>17:55</x:v>
      </x:c>
      <x:c r="I1297" s="14" t="str">
        <x:v>Matematik</x:v>
      </x:c>
      <x:c r="J1297" s="14" t="str">
        <x:v>Kitap / MEB / Mastery</x:v>
      </x:c>
      <x:c r="K1297" s="14" t="str">
        <x:v>Üçgenler</x:v>
      </x:c>
      <x:c r="L1297" s="14" t="str">
        <x:v>Üçgenler ile ilgili soru kitabından en az 25 soru / bugünkü test payını çöz.</x:v>
      </x:c>
      <x:c r="M1297" s="14" t="str">
        <x:v>MUBA 8. Sınıf Başlangıç Matematik (ISBN 9789756526972); tamamlandıysa Mozaik 8. Sınıf Matematik</x:v>
      </x:c>
      <x:c r="N1297" s="14" t="str">
        <x:v>https://odsgm.meb.gov.tr/www/8sinif-calisma-sorulari/icerik/1632</x:v>
      </x:c>
      <x:c r="O1297" s="14" t="n">
        <x:v>25</x:v>
      </x:c>
      <x:c r="P1297" s="14" t="str">
        <x:v>İlk 20 soru</x:v>
      </x:c>
      <x:c r="Q1297" s="14" t="str">
        <x:v>Evet</x:v>
      </x:c>
      <x:c r="R1297" s="14" t="str">
        <x:v>Planlandı</x:v>
      </x:c>
      <x:c r="S1297" s="15" t="str"/>
      <x:c r="T1297" s="14" t="str">
        <x:v>Ayrı/rastgele matematik benchmark yoktur. Süreli ilk 20 soru o gün çalışılan konunun içindedir.</x:v>
      </x:c>
    </x:row>
    <x:row r="1298">
      <x:c r="A1298" s="14" t="n">
        <x:v>1297</x:v>
      </x:c>
      <x:c r="B1298" s="15" t="n">
        <x:v>46400</x:v>
      </x:c>
      <x:c r="C1298" s="14" t="str">
        <x:v>Çarşamba</x:v>
      </x:c>
      <x:c r="D1298" s="14" t="str">
        <x:v>Okul Günü</x:v>
      </x:c>
      <x:c r="E1298" s="14" t="str">
        <x:v>16:00 sonrası</x:v>
      </x:c>
      <x:c r="F1298" s="14" t="str">
        <x:v>F2 - LGS Kapsam + Ustalık</x:v>
      </x:c>
      <x:c r="G1298" s="14" t="str">
        <x:v>17:55</x:v>
      </x:c>
      <x:c r="H1298" s="14" t="str">
        <x:v>18:25</x:v>
      </x:c>
      <x:c r="I1298" s="14" t="str">
        <x:v>Genel</x:v>
      </x:c>
      <x:c r="J1298" s="14" t="str">
        <x:v>Yemek / Serbest Zaman</x:v>
      </x:c>
      <x:c r="K1298" s="14" t="str"/>
      <x:c r="L1298" s="14" t="str">
        <x:v>Yemek, hareket ve dinlenme.</x:v>
      </x:c>
      <x:c r="M1298" s="14" t="str"/>
      <x:c r="N1298" s="14" t="str"/>
      <x:c r="O1298" s="14" t="n">
        <x:v>0</x:v>
      </x:c>
      <x:c r="P1298" s="14" t="str">
        <x:v>Hayır</x:v>
      </x:c>
      <x:c r="Q1298" s="14" t="str">
        <x:v>Hayır</x:v>
      </x:c>
      <x:c r="R1298" s="14" t="str">
        <x:v>Planlandı</x:v>
      </x:c>
      <x:c r="S1298" s="15" t="str"/>
      <x:c r="T1298" s="14" t="str"/>
    </x:row>
    <x:row r="1299">
      <x:c r="A1299" s="14" t="n">
        <x:v>1298</x:v>
      </x:c>
      <x:c r="B1299" s="15" t="n">
        <x:v>46400</x:v>
      </x:c>
      <x:c r="C1299" s="14" t="str">
        <x:v>Çarşamba</x:v>
      </x:c>
      <x:c r="D1299" s="14" t="str">
        <x:v>Okul Günü</x:v>
      </x:c>
      <x:c r="E1299" s="14" t="str">
        <x:v>16:00 sonrası</x:v>
      </x:c>
      <x:c r="F1299" s="14" t="str">
        <x:v>F2 - LGS Kapsam + Ustalık</x:v>
      </x:c>
      <x:c r="G1299" s="14" t="str">
        <x:v>18:25</x:v>
      </x:c>
      <x:c r="H1299" s="14" t="str">
        <x:v>18:55</x:v>
      </x:c>
      <x:c r="I1299" s="14" t="str">
        <x:v>Türkçe</x:v>
      </x:c>
      <x:c r="J1299" s="14" t="str">
        <x:v>Paragraf Rutini</x:v>
      </x:c>
      <x:c r="K1299" s="14" t="str">
        <x:v>Paragraf</x:v>
      </x:c>
      <x:c r="L1299" s="14" t="str">
        <x:v>En az 25 paragraf sorusu çöz; ilk 20 soruyu ileri sayımla ölç, D/Y/B + süre kaydet.</x:v>
      </x:c>
      <x:c r="M1299" s="14" t="str">
        <x:v>Hız 8. Sınıf Türkçe Paragraf (ISBN 9786258394498)</x:v>
      </x:c>
      <x:c r="N1299" s="14" t="str"/>
      <x:c r="O1299" s="14" t="n">
        <x:v>25</x:v>
      </x:c>
      <x:c r="P1299" s="14" t="str">
        <x:v>İlk 20 soru</x:v>
      </x:c>
      <x:c r="Q1299" s="14" t="str">
        <x:v>Evet</x:v>
      </x:c>
      <x:c r="R1299" s="14" t="str">
        <x:v>Planlandı</x:v>
      </x:c>
      <x:c r="S1299" s="15" t="str"/>
      <x:c r="T1299" s="14" t="str">
        <x:v>Geri sayım ve hedef süre yok.</x:v>
      </x:c>
    </x:row>
    <x:row r="1300">
      <x:c r="A1300" s="14" t="n">
        <x:v>1299</x:v>
      </x:c>
      <x:c r="B1300" s="15" t="n">
        <x:v>46400</x:v>
      </x:c>
      <x:c r="C1300" s="14" t="str">
        <x:v>Çarşamba</x:v>
      </x:c>
      <x:c r="D1300" s="14" t="str">
        <x:v>Okul Günü</x:v>
      </x:c>
      <x:c r="E1300" s="14" t="str">
        <x:v>16:00 sonrası</x:v>
      </x:c>
      <x:c r="F1300" s="14" t="str">
        <x:v>F2 - LGS Kapsam + Ustalık</x:v>
      </x:c>
      <x:c r="G1300" s="14" t="str">
        <x:v>19:00</x:v>
      </x:c>
      <x:c r="H1300" s="14" t="str">
        <x:v>19:35</x:v>
      </x:c>
      <x:c r="I1300" s="14" t="str">
        <x:v>Türkçe</x:v>
      </x:c>
      <x:c r="J1300" s="14" t="str">
        <x:v>Konu / Tekrar</x:v>
      </x:c>
      <x:c r="K1300" s="14" t="str">
        <x:v>Kaynak Tamamlama / Zayıf Konu</x:v>
      </x:c>
      <x:c r="L1300" s="14" t="str">
        <x:v>Yeni konu açma. En zayıf/açık konunun ilgili playlist videosunu yalnız gerekiyorsa tekrar izle.</x:v>
      </x:c>
      <x:c r="M1300" s="14" t="str">
        <x:v>Türkçe Ana Oynatma Listesi</x:v>
      </x:c>
      <x:c r="N1300" s="14" t="str">
        <x:v>https://www.youtube.com/watch?v=VYsPntNKVdw&amp;list=PLIBjFaUoJJ91bz7QQEBlxNJNZka5YQRr6</x:v>
      </x:c>
      <x:c r="O1300" s="14" t="n">
        <x:v>0</x:v>
      </x:c>
      <x:c r="P1300" s="14" t="str">
        <x:v>Hayır</x:v>
      </x:c>
      <x:c r="Q1300" s="14" t="str">
        <x:v>Evet</x:v>
      </x:c>
      <x:c r="R1300" s="14" t="str">
        <x:v>Planlandı</x:v>
      </x:c>
      <x:c r="S1300" s="15" t="str"/>
      <x:c r="T1300" s="14" t="str">
        <x:v>TYT etiketli kaynak temelden başlamak için sabittir; LGS dışı gereksiz ayrıntı zorunlu değildir.</x:v>
      </x:c>
    </x:row>
    <x:row r="1301">
      <x:c r="A1301" s="14" t="n">
        <x:v>1300</x:v>
      </x:c>
      <x:c r="B1301" s="15" t="n">
        <x:v>46400</x:v>
      </x:c>
      <x:c r="C1301" s="14" t="str">
        <x:v>Çarşamba</x:v>
      </x:c>
      <x:c r="D1301" s="14" t="str">
        <x:v>Okul Günü</x:v>
      </x:c>
      <x:c r="E1301" s="14" t="str">
        <x:v>16:00 sonrası</x:v>
      </x:c>
      <x:c r="F1301" s="14" t="str">
        <x:v>F2 - LGS Kapsam + Ustalık</x:v>
      </x:c>
      <x:c r="G1301" s="14" t="str">
        <x:v>19:40</x:v>
      </x:c>
      <x:c r="H1301" s="14" t="str">
        <x:v>20:10</x:v>
      </x:c>
      <x:c r="I1301" s="14" t="str">
        <x:v>Türkçe</x:v>
      </x:c>
      <x:c r="J1301" s="14" t="str">
        <x:v>Kitap / MEB / Mastery</x:v>
      </x:c>
      <x:c r="K1301" s="14" t="str">
        <x:v>Kaynak Tamamlama / Zayıf Konu</x:v>
      </x:c>
      <x:c r="L1301" s="14" t="str">
        <x:v>13 Nisan %100 tamamlama hedefine göre en geride kalan Türkçe soru kaynağını/eksik MEB setini ilerlet; açık yanlışları kapat.</x:v>
      </x:c>
      <x:c r="M1301" s="14" t="str">
        <x:v>Ankara 8. Sınıf Dil Bilgisi Güçlendiren + açık MEB/yanlışlar</x:v>
      </x:c>
      <x:c r="N1301" s="14" t="str">
        <x:v>https://odsgm.meb.gov.tr/www/8sinif-calisma-sorulari/icerik/1632</x:v>
      </x:c>
      <x:c r="O1301" s="14" t="n">
        <x:v>15</x:v>
      </x:c>
      <x:c r="P1301" s="14" t="str">
        <x:v>Hayır</x:v>
      </x:c>
      <x:c r="Q1301" s="14" t="str">
        <x:v>Evet</x:v>
      </x:c>
      <x:c r="R1301" s="14" t="str">
        <x:v>Planlandı</x:v>
      </x:c>
      <x:c r="S1301" s="15" t="str"/>
      <x:c r="T1301" s="14" t="str"/>
    </x:row>
    <x:row r="1302">
      <x:c r="A1302" s="14" t="n">
        <x:v>1301</x:v>
      </x:c>
      <x:c r="B1302" s="15" t="n">
        <x:v>46400</x:v>
      </x:c>
      <x:c r="C1302" s="14" t="str">
        <x:v>Çarşamba</x:v>
      </x:c>
      <x:c r="D1302" s="14" t="str">
        <x:v>Okul Günü</x:v>
      </x:c>
      <x:c r="E1302" s="14" t="str">
        <x:v>16:00 sonrası</x:v>
      </x:c>
      <x:c r="F1302" s="14" t="str">
        <x:v>F2 - LGS Kapsam + Ustalık</x:v>
      </x:c>
      <x:c r="G1302" s="14" t="str">
        <x:v>20:15</x:v>
      </x:c>
      <x:c r="H1302" s="14" t="str">
        <x:v>20:50</x:v>
      </x:c>
      <x:c r="I1302" s="14" t="str">
        <x:v>Fen</x:v>
      </x:c>
      <x:c r="J1302" s="14" t="str">
        <x:v>Konu / Tekrar</x:v>
      </x:c>
      <x:c r="K1302" s="14" t="str">
        <x:v>Basit Makineler - Makaralar</x:v>
      </x:c>
      <x:c r="L1302" s="14" t="str">
        <x:v>Basit Makineler - Makaralar — MEB doğrulaması öncesi 5-10 dk aktif hatırlama; gerekiyorsa ilgili playlist videosuna kısa dönüş yap.</x:v>
      </x:c>
      <x:c r="M1302" s="14" t="str">
        <x:v>Fen Soru Çözüm / Tekrar</x:v>
      </x:c>
      <x:c r="N1302" s="14" t="str">
        <x:v>https://www.youtube.com/watch?v=pQXhWnDZ3vM&amp;list=PLrQm7mt99FRXcBnorCttd31HJEvg0En26&amp;index=23</x:v>
      </x:c>
      <x:c r="O1302" s="14" t="n">
        <x:v>0</x:v>
      </x:c>
      <x:c r="P1302" s="14" t="str">
        <x:v>Hayır</x:v>
      </x:c>
      <x:c r="Q1302" s="14" t="str">
        <x:v>Evet</x:v>
      </x:c>
      <x:c r="R1302" s="14" t="str">
        <x:v>Planlandı</x:v>
      </x:c>
      <x:c r="S1302" s="15" t="str"/>
      <x:c r="T1302" s="14" t="str"/>
    </x:row>
    <x:row r="1303">
      <x:c r="A1303" s="14" t="n">
        <x:v>1302</x:v>
      </x:c>
      <x:c r="B1303" s="15" t="n">
        <x:v>46400</x:v>
      </x:c>
      <x:c r="C1303" s="14" t="str">
        <x:v>Çarşamba</x:v>
      </x:c>
      <x:c r="D1303" s="14" t="str">
        <x:v>Okul Günü</x:v>
      </x:c>
      <x:c r="E1303" s="14" t="str">
        <x:v>16:00 sonrası</x:v>
      </x:c>
      <x:c r="F1303" s="14" t="str">
        <x:v>F2 - LGS Kapsam + Ustalık</x:v>
      </x:c>
      <x:c r="G1303" s="14" t="str">
        <x:v>20:55</x:v>
      </x:c>
      <x:c r="H1303" s="14" t="str">
        <x:v>21:20</x:v>
      </x:c>
      <x:c r="I1303" s="14" t="str">
        <x:v>Fen</x:v>
      </x:c>
      <x:c r="J1303" s="14" t="str">
        <x:v>Kitap / MEB / Mastery</x:v>
      </x:c>
      <x:c r="K1303" s="14" t="str">
        <x:v>Basit Makineler - Makaralar</x:v>
      </x:c>
      <x:c r="L1303" s="14" t="str">
        <x:v>Basit Makineler - Makaralar için ilgili MEB sorularını TAMAMLA; D/Y/B kaydet. Bu oturum konu mastery gate'idir.</x:v>
      </x:c>
      <x:c r="M1303" s="14" t="str">
        <x:v>MEB 8. Sınıf Fen Soruları</x:v>
      </x:c>
      <x:c r="N1303" s="14" t="str">
        <x:v>https://odsgm.meb.gov.tr/www/8sinif-calisma-sorulari/icerik/1632</x:v>
      </x:c>
      <x:c r="O1303" s="14" t="n">
        <x:v>0</x:v>
      </x:c>
      <x:c r="P1303" s="14" t="str">
        <x:v>Hayır</x:v>
      </x:c>
      <x:c r="Q1303" s="14" t="str">
        <x:v>Evet</x:v>
      </x:c>
      <x:c r="R1303" s="14" t="str">
        <x:v>Planlandı</x:v>
      </x:c>
      <x:c r="S1303" s="15" t="str"/>
      <x:c r="T1303" s="14" t="str">
        <x:v>MEB sonucu Konu_Ustaligi sayfasına işlenir.</x:v>
      </x:c>
    </x:row>
    <x:row r="1304">
      <x:c r="A1304" s="14" t="n">
        <x:v>1303</x:v>
      </x:c>
      <x:c r="B1304" s="15" t="n">
        <x:v>46400</x:v>
      </x:c>
      <x:c r="C1304" s="14" t="str">
        <x:v>Çarşamba</x:v>
      </x:c>
      <x:c r="D1304" s="14" t="str">
        <x:v>Okul Günü</x:v>
      </x:c>
      <x:c r="E1304" s="14" t="str">
        <x:v>16:00 sonrası</x:v>
      </x:c>
      <x:c r="F1304" s="14" t="str">
        <x:v>F2 - LGS Kapsam + Ustalık</x:v>
      </x:c>
      <x:c r="G1304" s="14" t="str">
        <x:v>21:20</x:v>
      </x:c>
      <x:c r="H1304" s="14" t="str">
        <x:v>21:35</x:v>
      </x:c>
      <x:c r="I1304" s="14" t="str">
        <x:v>Genel</x:v>
      </x:c>
      <x:c r="J1304" s="14" t="str">
        <x:v>Yanlış / Boş Analizi</x:v>
      </x:c>
      <x:c r="K1304" s="14" t="str">
        <x:v>Günlük</x:v>
      </x:c>
      <x:c r="L1304" s="14" t="str">
        <x:v>Bugünkü yanlış/boşları kaydet; çözümünü öğrenmeden kapatma. Hata türünü sınıflandır.</x:v>
      </x:c>
      <x:c r="M1304" s="14" t="str">
        <x:v>Yanlış Defteri</x:v>
      </x:c>
      <x:c r="N1304" s="14" t="str"/>
      <x:c r="O1304" s="14" t="n">
        <x:v>0</x:v>
      </x:c>
      <x:c r="P1304" s="14" t="str">
        <x:v>Hayır</x:v>
      </x:c>
      <x:c r="Q1304" s="14" t="str">
        <x:v>Evet</x:v>
      </x:c>
      <x:c r="R1304" s="14" t="str">
        <x:v>Planlandı</x:v>
      </x:c>
      <x:c r="S1304" s="15" t="str"/>
      <x:c r="T1304" s="14" t="str"/>
    </x:row>
    <x:row r="1305">
      <x:c r="A1305" s="14" t="n">
        <x:v>1304</x:v>
      </x:c>
      <x:c r="B1305" s="15" t="n">
        <x:v>46400</x:v>
      </x:c>
      <x:c r="C1305" s="14" t="str">
        <x:v>Çarşamba</x:v>
      </x:c>
      <x:c r="D1305" s="14" t="str">
        <x:v>Okul Günü</x:v>
      </x:c>
      <x:c r="E1305" s="14" t="str">
        <x:v>16:00 sonrası</x:v>
      </x:c>
      <x:c r="F1305" s="14" t="str">
        <x:v>F2 - LGS Kapsam + Ustalık</x:v>
      </x:c>
      <x:c r="G1305" s="14" t="str">
        <x:v>21:35</x:v>
      </x:c>
      <x:c r="H1305" s="14" t="str">
        <x:v>21:50</x:v>
      </x:c>
      <x:c r="I1305" s="14" t="str">
        <x:v>Genel</x:v>
      </x:c>
      <x:c r="J1305" s="14" t="str">
        <x:v>Aralıklı Hata Tekrarı</x:v>
      </x:c>
      <x:c r="K1305" s="14" t="str">
        <x:v>+1 / +7 / +21</x:v>
      </x:c>
      <x:c r="L1305" s="14" t="str">
        <x:v>Bugün vadesi gelen yanlış soruları tekrar çöz. Vadesi yoksa bu süre serbest/okuma olabilir.</x:v>
      </x:c>
      <x:c r="M1305" s="14" t="str">
        <x:v>Yanlış Defteri</x:v>
      </x:c>
      <x:c r="N1305" s="14" t="str"/>
      <x:c r="O1305" s="14" t="n">
        <x:v>0</x:v>
      </x:c>
      <x:c r="P1305" s="14" t="str">
        <x:v>Hayır</x:v>
      </x:c>
      <x:c r="Q1305" s="14" t="str">
        <x:v>Koşullu</x:v>
      </x:c>
      <x:c r="R1305" s="14" t="str">
        <x:v>Planlandı</x:v>
      </x:c>
      <x:c r="S1305" s="15" t="str"/>
      <x:c r="T1305" s="14" t="str">
        <x:v>Yanlışlar +1, +7 ve +21 gün aralıklarıyla tekrar edilir; hâlâ yanlışsa konu mastery durumu düşürülür.</x:v>
      </x:c>
    </x:row>
    <x:row r="1306">
      <x:c r="A1306" s="14" t="n">
        <x:v>1305</x:v>
      </x:c>
      <x:c r="B1306" s="15" t="n">
        <x:v>46400</x:v>
      </x:c>
      <x:c r="C1306" s="14" t="str">
        <x:v>Çarşamba</x:v>
      </x:c>
      <x:c r="D1306" s="14" t="str">
        <x:v>Okul Günü</x:v>
      </x:c>
      <x:c r="E1306" s="14" t="str">
        <x:v>16:00 sonrası</x:v>
      </x:c>
      <x:c r="F1306" s="14" t="str">
        <x:v>F2 - LGS Kapsam + Ustalık</x:v>
      </x:c>
      <x:c r="G1306" s="14" t="str">
        <x:v>21:50</x:v>
      </x:c>
      <x:c r="H1306" s="14" t="str">
        <x:v>22:00</x:v>
      </x:c>
      <x:c r="I1306" s="14" t="str">
        <x:v>Genel</x:v>
      </x:c>
      <x:c r="J1306" s="14" t="str">
        <x:v>Uyku Hazırlığı</x:v>
      </x:c>
      <x:c r="K1306" s="14" t="str"/>
      <x:c r="L1306" s="14" t="str">
        <x:v>22:00'de yatakta ve uyku.</x:v>
      </x:c>
      <x:c r="M1306" s="14" t="str"/>
      <x:c r="N1306" s="14" t="str"/>
      <x:c r="O1306" s="14" t="n">
        <x:v>0</x:v>
      </x:c>
      <x:c r="P1306" s="14" t="str">
        <x:v>Hayır</x:v>
      </x:c>
      <x:c r="Q1306" s="14" t="str">
        <x:v>Hayır</x:v>
      </x:c>
      <x:c r="R1306" s="14" t="str">
        <x:v>Planlandı</x:v>
      </x:c>
      <x:c r="S1306" s="15" t="str"/>
      <x:c r="T1306" s="14" t="str"/>
    </x:row>
    <x:row r="1307">
      <x:c r="A1307" s="14" t="n">
        <x:v>1306</x:v>
      </x:c>
      <x:c r="B1307" s="15" t="n">
        <x:v>46401</x:v>
      </x:c>
      <x:c r="C1307" s="14" t="str">
        <x:v>Perşembe</x:v>
      </x:c>
      <x:c r="D1307" s="14" t="str">
        <x:v>Okul Günü</x:v>
      </x:c>
      <x:c r="E1307" s="14" t="str">
        <x:v>16:00 sonrası</x:v>
      </x:c>
      <x:c r="F1307" s="14" t="str">
        <x:v>F2 - LGS Kapsam + Ustalık</x:v>
      </x:c>
      <x:c r="G1307" s="14" t="str">
        <x:v>16:00</x:v>
      </x:c>
      <x:c r="H1307" s="14" t="str">
        <x:v>16:25</x:v>
      </x:c>
      <x:c r="I1307" s="14" t="str">
        <x:v>Genel</x:v>
      </x:c>
      <x:c r="J1307" s="14" t="str">
        <x:v>Dinlenme</x:v>
      </x:c>
      <x:c r="K1307" s="14" t="str"/>
      <x:c r="L1307" s="14" t="str">
        <x:v>Eve geliş, atıştırma ve dinlenme.</x:v>
      </x:c>
      <x:c r="M1307" s="14" t="str"/>
      <x:c r="N1307" s="14" t="str"/>
      <x:c r="O1307" s="14" t="n">
        <x:v>0</x:v>
      </x:c>
      <x:c r="P1307" s="14" t="str">
        <x:v>Hayır</x:v>
      </x:c>
      <x:c r="Q1307" s="14" t="str">
        <x:v>Hayır</x:v>
      </x:c>
      <x:c r="R1307" s="14" t="str">
        <x:v>Planlandı</x:v>
      </x:c>
      <x:c r="S1307" s="15" t="str"/>
      <x:c r="T1307" s="14" t="str"/>
    </x:row>
    <x:row r="1308">
      <x:c r="A1308" s="14" t="n">
        <x:v>1307</x:v>
      </x:c>
      <x:c r="B1308" s="15" t="n">
        <x:v>46401</x:v>
      </x:c>
      <x:c r="C1308" s="14" t="str">
        <x:v>Perşembe</x:v>
      </x:c>
      <x:c r="D1308" s="14" t="str">
        <x:v>Okul Günü</x:v>
      </x:c>
      <x:c r="E1308" s="14" t="str">
        <x:v>16:00 sonrası</x:v>
      </x:c>
      <x:c r="F1308" s="14" t="str">
        <x:v>F2 - LGS Kapsam + Ustalık</x:v>
      </x:c>
      <x:c r="G1308" s="14" t="str">
        <x:v>16:25</x:v>
      </x:c>
      <x:c r="H1308" s="14" t="str">
        <x:v>17:05</x:v>
      </x:c>
      <x:c r="I1308" s="14" t="str">
        <x:v>Matematik</x:v>
      </x:c>
      <x:c r="J1308" s="14" t="str">
        <x:v>Konu / Tekrar</x:v>
      </x:c>
      <x:c r="K1308" s="14" t="str">
        <x:v>Üçgenler</x:v>
      </x:c>
      <x:c r="L1308" s="14" t="str">
        <x:v>Üçgenler — genel oynatma listesinden ilgili videoyu izle (3/4).</x:v>
      </x:c>
      <x:c r="M1308" s="14" t="str">
        <x:v>Matematik Yedek Oynatma Listesi</x:v>
      </x:c>
      <x:c r="N1308" s="14" t="str">
        <x:v>https://www.youtube.com/watch?v=Z7exqEHEqQA&amp;list=PLHN_SjKO7rCI&amp;index=3</x:v>
      </x:c>
      <x:c r="O1308" s="14" t="n">
        <x:v>0</x:v>
      </x:c>
      <x:c r="P1308" s="14" t="str">
        <x:v>Hayır</x:v>
      </x:c>
      <x:c r="Q1308" s="14" t="str">
        <x:v>Evet</x:v>
      </x:c>
      <x:c r="R1308" s="14" t="str">
        <x:v>Planlandı</x:v>
      </x:c>
      <x:c r="S1308" s="15" t="str"/>
      <x:c r="T1308" s="14" t="str">
        <x:v>Yeni konu ancak plan sırasıyla açılır; LGS dışı ileri TYT içeriği zorunlu değildir.</x:v>
      </x:c>
    </x:row>
    <x:row r="1309">
      <x:c r="A1309" s="14" t="n">
        <x:v>1308</x:v>
      </x:c>
      <x:c r="B1309" s="15" t="n">
        <x:v>46401</x:v>
      </x:c>
      <x:c r="C1309" s="14" t="str">
        <x:v>Perşembe</x:v>
      </x:c>
      <x:c r="D1309" s="14" t="str">
        <x:v>Okul Günü</x:v>
      </x:c>
      <x:c r="E1309" s="14" t="str">
        <x:v>16:00 sonrası</x:v>
      </x:c>
      <x:c r="F1309" s="14" t="str">
        <x:v>F2 - LGS Kapsam + Ustalık</x:v>
      </x:c>
      <x:c r="G1309" s="14" t="str">
        <x:v>17:10</x:v>
      </x:c>
      <x:c r="H1309" s="14" t="str">
        <x:v>17:55</x:v>
      </x:c>
      <x:c r="I1309" s="14" t="str">
        <x:v>Matematik</x:v>
      </x:c>
      <x:c r="J1309" s="14" t="str">
        <x:v>Kitap / MEB / Mastery</x:v>
      </x:c>
      <x:c r="K1309" s="14" t="str">
        <x:v>Üçgenler</x:v>
      </x:c>
      <x:c r="L1309" s="14" t="str">
        <x:v>Üçgenler ile ilgili soru kitabından en az 25 soru / bugünkü test payını çöz.</x:v>
      </x:c>
      <x:c r="M1309" s="14" t="str">
        <x:v>MUBA 8. Sınıf Başlangıç Matematik (ISBN 9789756526972); tamamlandıysa Mozaik 8. Sınıf Matematik</x:v>
      </x:c>
      <x:c r="N1309" s="14" t="str">
        <x:v>https://odsgm.meb.gov.tr/www/8sinif-calisma-sorulari/icerik/1632</x:v>
      </x:c>
      <x:c r="O1309" s="14" t="n">
        <x:v>25</x:v>
      </x:c>
      <x:c r="P1309" s="14" t="str">
        <x:v>İlk 20 soru</x:v>
      </x:c>
      <x:c r="Q1309" s="14" t="str">
        <x:v>Evet</x:v>
      </x:c>
      <x:c r="R1309" s="14" t="str">
        <x:v>Planlandı</x:v>
      </x:c>
      <x:c r="S1309" s="15" t="str"/>
      <x:c r="T1309" s="14" t="str">
        <x:v>Ayrı/rastgele matematik benchmark yoktur. Süreli ilk 20 soru o gün çalışılan konunun içindedir.</x:v>
      </x:c>
    </x:row>
    <x:row r="1310">
      <x:c r="A1310" s="14" t="n">
        <x:v>1309</x:v>
      </x:c>
      <x:c r="B1310" s="15" t="n">
        <x:v>46401</x:v>
      </x:c>
      <x:c r="C1310" s="14" t="str">
        <x:v>Perşembe</x:v>
      </x:c>
      <x:c r="D1310" s="14" t="str">
        <x:v>Okul Günü</x:v>
      </x:c>
      <x:c r="E1310" s="14" t="str">
        <x:v>16:00 sonrası</x:v>
      </x:c>
      <x:c r="F1310" s="14" t="str">
        <x:v>F2 - LGS Kapsam + Ustalık</x:v>
      </x:c>
      <x:c r="G1310" s="14" t="str">
        <x:v>17:55</x:v>
      </x:c>
      <x:c r="H1310" s="14" t="str">
        <x:v>18:25</x:v>
      </x:c>
      <x:c r="I1310" s="14" t="str">
        <x:v>Genel</x:v>
      </x:c>
      <x:c r="J1310" s="14" t="str">
        <x:v>Yemek / Serbest Zaman</x:v>
      </x:c>
      <x:c r="K1310" s="14" t="str"/>
      <x:c r="L1310" s="14" t="str">
        <x:v>Yemek, hareket ve dinlenme.</x:v>
      </x:c>
      <x:c r="M1310" s="14" t="str"/>
      <x:c r="N1310" s="14" t="str"/>
      <x:c r="O1310" s="14" t="n">
        <x:v>0</x:v>
      </x:c>
      <x:c r="P1310" s="14" t="str">
        <x:v>Hayır</x:v>
      </x:c>
      <x:c r="Q1310" s="14" t="str">
        <x:v>Hayır</x:v>
      </x:c>
      <x:c r="R1310" s="14" t="str">
        <x:v>Planlandı</x:v>
      </x:c>
      <x:c r="S1310" s="15" t="str"/>
      <x:c r="T1310" s="14" t="str"/>
    </x:row>
    <x:row r="1311">
      <x:c r="A1311" s="14" t="n">
        <x:v>1310</x:v>
      </x:c>
      <x:c r="B1311" s="15" t="n">
        <x:v>46401</x:v>
      </x:c>
      <x:c r="C1311" s="14" t="str">
        <x:v>Perşembe</x:v>
      </x:c>
      <x:c r="D1311" s="14" t="str">
        <x:v>Okul Günü</x:v>
      </x:c>
      <x:c r="E1311" s="14" t="str">
        <x:v>16:00 sonrası</x:v>
      </x:c>
      <x:c r="F1311" s="14" t="str">
        <x:v>F2 - LGS Kapsam + Ustalık</x:v>
      </x:c>
      <x:c r="G1311" s="14" t="str">
        <x:v>18:25</x:v>
      </x:c>
      <x:c r="H1311" s="14" t="str">
        <x:v>18:55</x:v>
      </x:c>
      <x:c r="I1311" s="14" t="str">
        <x:v>Türkçe</x:v>
      </x:c>
      <x:c r="J1311" s="14" t="str">
        <x:v>Paragraf Rutini</x:v>
      </x:c>
      <x:c r="K1311" s="14" t="str">
        <x:v>Paragraf</x:v>
      </x:c>
      <x:c r="L1311" s="14" t="str">
        <x:v>En az 25 paragraf sorusu çöz; ilk 20 soruyu ileri sayımla ölç, D/Y/B + süre kaydet.</x:v>
      </x:c>
      <x:c r="M1311" s="14" t="str">
        <x:v>Hız 8. Sınıf Türkçe Paragraf (ISBN 9786258394498)</x:v>
      </x:c>
      <x:c r="N1311" s="14" t="str"/>
      <x:c r="O1311" s="14" t="n">
        <x:v>25</x:v>
      </x:c>
      <x:c r="P1311" s="14" t="str">
        <x:v>İlk 20 soru</x:v>
      </x:c>
      <x:c r="Q1311" s="14" t="str">
        <x:v>Evet</x:v>
      </x:c>
      <x:c r="R1311" s="14" t="str">
        <x:v>Planlandı</x:v>
      </x:c>
      <x:c r="S1311" s="15" t="str"/>
      <x:c r="T1311" s="14" t="str">
        <x:v>Geri sayım ve hedef süre yok.</x:v>
      </x:c>
    </x:row>
    <x:row r="1312">
      <x:c r="A1312" s="14" t="n">
        <x:v>1311</x:v>
      </x:c>
      <x:c r="B1312" s="15" t="n">
        <x:v>46401</x:v>
      </x:c>
      <x:c r="C1312" s="14" t="str">
        <x:v>Perşembe</x:v>
      </x:c>
      <x:c r="D1312" s="14" t="str">
        <x:v>Okul Günü</x:v>
      </x:c>
      <x:c r="E1312" s="14" t="str">
        <x:v>16:00 sonrası</x:v>
      </x:c>
      <x:c r="F1312" s="14" t="str">
        <x:v>F2 - LGS Kapsam + Ustalık</x:v>
      </x:c>
      <x:c r="G1312" s="14" t="str">
        <x:v>19:00</x:v>
      </x:c>
      <x:c r="H1312" s="14" t="str">
        <x:v>19:35</x:v>
      </x:c>
      <x:c r="I1312" s="14" t="str">
        <x:v>Türkçe</x:v>
      </x:c>
      <x:c r="J1312" s="14" t="str">
        <x:v>Konu / Tekrar</x:v>
      </x:c>
      <x:c r="K1312" s="14" t="str">
        <x:v>Kaynak Tamamlama / Zayıf Konu</x:v>
      </x:c>
      <x:c r="L1312" s="14" t="str">
        <x:v>Yeni konu açma. En zayıf/açık konunun ilgili playlist videosunu yalnız gerekiyorsa tekrar izle.</x:v>
      </x:c>
      <x:c r="M1312" s="14" t="str">
        <x:v>Türkçe Ana Oynatma Listesi</x:v>
      </x:c>
      <x:c r="N1312" s="14" t="str">
        <x:v>https://www.youtube.com/watch?v=VYsPntNKVdw&amp;list=PLIBjFaUoJJ91bz7QQEBlxNJNZka5YQRr6</x:v>
      </x:c>
      <x:c r="O1312" s="14" t="n">
        <x:v>0</x:v>
      </x:c>
      <x:c r="P1312" s="14" t="str">
        <x:v>Hayır</x:v>
      </x:c>
      <x:c r="Q1312" s="14" t="str">
        <x:v>Evet</x:v>
      </x:c>
      <x:c r="R1312" s="14" t="str">
        <x:v>Planlandı</x:v>
      </x:c>
      <x:c r="S1312" s="15" t="str"/>
      <x:c r="T1312" s="14" t="str">
        <x:v>TYT etiketli kaynak temelden başlamak için sabittir; LGS dışı gereksiz ayrıntı zorunlu değildir.</x:v>
      </x:c>
    </x:row>
    <x:row r="1313">
      <x:c r="A1313" s="14" t="n">
        <x:v>1312</x:v>
      </x:c>
      <x:c r="B1313" s="15" t="n">
        <x:v>46401</x:v>
      </x:c>
      <x:c r="C1313" s="14" t="str">
        <x:v>Perşembe</x:v>
      </x:c>
      <x:c r="D1313" s="14" t="str">
        <x:v>Okul Günü</x:v>
      </x:c>
      <x:c r="E1313" s="14" t="str">
        <x:v>16:00 sonrası</x:v>
      </x:c>
      <x:c r="F1313" s="14" t="str">
        <x:v>F2 - LGS Kapsam + Ustalık</x:v>
      </x:c>
      <x:c r="G1313" s="14" t="str">
        <x:v>19:40</x:v>
      </x:c>
      <x:c r="H1313" s="14" t="str">
        <x:v>20:10</x:v>
      </x:c>
      <x:c r="I1313" s="14" t="str">
        <x:v>Türkçe</x:v>
      </x:c>
      <x:c r="J1313" s="14" t="str">
        <x:v>Kitap / MEB / Mastery</x:v>
      </x:c>
      <x:c r="K1313" s="14" t="str">
        <x:v>Kaynak Tamamlama / Zayıf Konu</x:v>
      </x:c>
      <x:c r="L1313" s="14" t="str">
        <x:v>13 Nisan %100 tamamlama hedefine göre en geride kalan Türkçe soru kaynağını/eksik MEB setini ilerlet; açık yanlışları kapat.</x:v>
      </x:c>
      <x:c r="M1313" s="14" t="str">
        <x:v>Ankara 8. Sınıf Dil Bilgisi Güçlendiren + açık MEB/yanlışlar</x:v>
      </x:c>
      <x:c r="N1313" s="14" t="str">
        <x:v>https://odsgm.meb.gov.tr/www/8sinif-calisma-sorulari/icerik/1632</x:v>
      </x:c>
      <x:c r="O1313" s="14" t="n">
        <x:v>15</x:v>
      </x:c>
      <x:c r="P1313" s="14" t="str">
        <x:v>Hayır</x:v>
      </x:c>
      <x:c r="Q1313" s="14" t="str">
        <x:v>Evet</x:v>
      </x:c>
      <x:c r="R1313" s="14" t="str">
        <x:v>Planlandı</x:v>
      </x:c>
      <x:c r="S1313" s="15" t="str"/>
      <x:c r="T1313" s="14" t="str"/>
    </x:row>
    <x:row r="1314">
      <x:c r="A1314" s="14" t="n">
        <x:v>1313</x:v>
      </x:c>
      <x:c r="B1314" s="15" t="n">
        <x:v>46401</x:v>
      </x:c>
      <x:c r="C1314" s="14" t="str">
        <x:v>Perşembe</x:v>
      </x:c>
      <x:c r="D1314" s="14" t="str">
        <x:v>Okul Günü</x:v>
      </x:c>
      <x:c r="E1314" s="14" t="str">
        <x:v>16:00 sonrası</x:v>
      </x:c>
      <x:c r="F1314" s="14" t="str">
        <x:v>F2 - LGS Kapsam + Ustalık</x:v>
      </x:c>
      <x:c r="G1314" s="14" t="str">
        <x:v>20:15</x:v>
      </x:c>
      <x:c r="H1314" s="14" t="str">
        <x:v>20:50</x:v>
      </x:c>
      <x:c r="I1314" s="14" t="str">
        <x:v>Din</x:v>
      </x:c>
      <x:c r="J1314" s="14" t="str">
        <x:v>Konu / Tekrar</x:v>
      </x:c>
      <x:c r="K1314" s="14" t="str">
        <x:v>Kureyş Suresi</x:v>
      </x:c>
      <x:c r="L1314" s="14" t="str">
        <x:v>Kureyş Suresi — MEB doğrulaması öncesi 5-10 dk aktif hatırlama; gerekiyorsa ilgili playlist videosuna kısa dönüş yap.</x:v>
      </x:c>
      <x:c r="M1314" s="14" t="str">
        <x:v>Din Genel Oynatma Listesi</x:v>
      </x:c>
      <x:c r="N1314" s="14" t="str">
        <x:v>https://www.youtube.com/watch?v=wvdOE_75VnA&amp;list=PLbRoPq-Zu-SWXGUbVt4t4UWo-4VjsMUo-&amp;index=2</x:v>
      </x:c>
      <x:c r="O1314" s="14" t="n">
        <x:v>0</x:v>
      </x:c>
      <x:c r="P1314" s="14" t="str">
        <x:v>Hayır</x:v>
      </x:c>
      <x:c r="Q1314" s="14" t="str">
        <x:v>Evet</x:v>
      </x:c>
      <x:c r="R1314" s="14" t="str">
        <x:v>Planlandı</x:v>
      </x:c>
      <x:c r="S1314" s="15" t="str"/>
      <x:c r="T1314" s="14" t="str"/>
    </x:row>
    <x:row r="1315">
      <x:c r="A1315" s="14" t="n">
        <x:v>1314</x:v>
      </x:c>
      <x:c r="B1315" s="15" t="n">
        <x:v>46401</x:v>
      </x:c>
      <x:c r="C1315" s="14" t="str">
        <x:v>Perşembe</x:v>
      </x:c>
      <x:c r="D1315" s="14" t="str">
        <x:v>Okul Günü</x:v>
      </x:c>
      <x:c r="E1315" s="14" t="str">
        <x:v>16:00 sonrası</x:v>
      </x:c>
      <x:c r="F1315" s="14" t="str">
        <x:v>F2 - LGS Kapsam + Ustalık</x:v>
      </x:c>
      <x:c r="G1315" s="14" t="str">
        <x:v>20:55</x:v>
      </x:c>
      <x:c r="H1315" s="14" t="str">
        <x:v>21:20</x:v>
      </x:c>
      <x:c r="I1315" s="14" t="str">
        <x:v>Din</x:v>
      </x:c>
      <x:c r="J1315" s="14" t="str">
        <x:v>Kitap / MEB / Mastery</x:v>
      </x:c>
      <x:c r="K1315" s="14" t="str">
        <x:v>Kureyş Suresi</x:v>
      </x:c>
      <x:c r="L1315" s="14" t="str">
        <x:v>Kureyş Suresi için ilgili MEB sorularını TAMAMLA; D/Y/B kaydet. Bu oturum konu mastery gate'idir.</x:v>
      </x:c>
      <x:c r="M1315" s="14" t="str">
        <x:v>MEB 8. Sınıf Din Soruları</x:v>
      </x:c>
      <x:c r="N1315" s="14" t="str">
        <x:v>https://odsgm.meb.gov.tr/www/8sinif-calisma-sorulari/icerik/1632</x:v>
      </x:c>
      <x:c r="O1315" s="14" t="n">
        <x:v>0</x:v>
      </x:c>
      <x:c r="P1315" s="14" t="str">
        <x:v>Hayır</x:v>
      </x:c>
      <x:c r="Q1315" s="14" t="str">
        <x:v>Evet</x:v>
      </x:c>
      <x:c r="R1315" s="14" t="str">
        <x:v>Planlandı</x:v>
      </x:c>
      <x:c r="S1315" s="15" t="str"/>
      <x:c r="T1315" s="14" t="str">
        <x:v>MEB sonucu Konu_Ustaligi sayfasına işlenir.</x:v>
      </x:c>
    </x:row>
    <x:row r="1316">
      <x:c r="A1316" s="14" t="n">
        <x:v>1315</x:v>
      </x:c>
      <x:c r="B1316" s="15" t="n">
        <x:v>46401</x:v>
      </x:c>
      <x:c r="C1316" s="14" t="str">
        <x:v>Perşembe</x:v>
      </x:c>
      <x:c r="D1316" s="14" t="str">
        <x:v>Okul Günü</x:v>
      </x:c>
      <x:c r="E1316" s="14" t="str">
        <x:v>16:00 sonrası</x:v>
      </x:c>
      <x:c r="F1316" s="14" t="str">
        <x:v>F2 - LGS Kapsam + Ustalık</x:v>
      </x:c>
      <x:c r="G1316" s="14" t="str">
        <x:v>21:20</x:v>
      </x:c>
      <x:c r="H1316" s="14" t="str">
        <x:v>21:35</x:v>
      </x:c>
      <x:c r="I1316" s="14" t="str">
        <x:v>Genel</x:v>
      </x:c>
      <x:c r="J1316" s="14" t="str">
        <x:v>Yanlış / Boş Analizi</x:v>
      </x:c>
      <x:c r="K1316" s="14" t="str">
        <x:v>Günlük</x:v>
      </x:c>
      <x:c r="L1316" s="14" t="str">
        <x:v>Bugünkü yanlış/boşları kaydet; çözümünü öğrenmeden kapatma. Hata türünü sınıflandır.</x:v>
      </x:c>
      <x:c r="M1316" s="14" t="str">
        <x:v>Yanlış Defteri</x:v>
      </x:c>
      <x:c r="N1316" s="14" t="str"/>
      <x:c r="O1316" s="14" t="n">
        <x:v>0</x:v>
      </x:c>
      <x:c r="P1316" s="14" t="str">
        <x:v>Hayır</x:v>
      </x:c>
      <x:c r="Q1316" s="14" t="str">
        <x:v>Evet</x:v>
      </x:c>
      <x:c r="R1316" s="14" t="str">
        <x:v>Planlandı</x:v>
      </x:c>
      <x:c r="S1316" s="15" t="str"/>
      <x:c r="T1316" s="14" t="str"/>
    </x:row>
    <x:row r="1317">
      <x:c r="A1317" s="14" t="n">
        <x:v>1316</x:v>
      </x:c>
      <x:c r="B1317" s="15" t="n">
        <x:v>46401</x:v>
      </x:c>
      <x:c r="C1317" s="14" t="str">
        <x:v>Perşembe</x:v>
      </x:c>
      <x:c r="D1317" s="14" t="str">
        <x:v>Okul Günü</x:v>
      </x:c>
      <x:c r="E1317" s="14" t="str">
        <x:v>16:00 sonrası</x:v>
      </x:c>
      <x:c r="F1317" s="14" t="str">
        <x:v>F2 - LGS Kapsam + Ustalık</x:v>
      </x:c>
      <x:c r="G1317" s="14" t="str">
        <x:v>21:35</x:v>
      </x:c>
      <x:c r="H1317" s="14" t="str">
        <x:v>21:50</x:v>
      </x:c>
      <x:c r="I1317" s="14" t="str">
        <x:v>Genel</x:v>
      </x:c>
      <x:c r="J1317" s="14" t="str">
        <x:v>Aralıklı Hata Tekrarı</x:v>
      </x:c>
      <x:c r="K1317" s="14" t="str">
        <x:v>+1 / +7 / +21</x:v>
      </x:c>
      <x:c r="L1317" s="14" t="str">
        <x:v>Bugün vadesi gelen yanlış soruları tekrar çöz. Vadesi yoksa bu süre serbest/okuma olabilir.</x:v>
      </x:c>
      <x:c r="M1317" s="14" t="str">
        <x:v>Yanlış Defteri</x:v>
      </x:c>
      <x:c r="N1317" s="14" t="str"/>
      <x:c r="O1317" s="14" t="n">
        <x:v>0</x:v>
      </x:c>
      <x:c r="P1317" s="14" t="str">
        <x:v>Hayır</x:v>
      </x:c>
      <x:c r="Q1317" s="14" t="str">
        <x:v>Koşullu</x:v>
      </x:c>
      <x:c r="R1317" s="14" t="str">
        <x:v>Planlandı</x:v>
      </x:c>
      <x:c r="S1317" s="15" t="str"/>
      <x:c r="T1317" s="14" t="str">
        <x:v>Yanlışlar +1, +7 ve +21 gün aralıklarıyla tekrar edilir; hâlâ yanlışsa konu mastery durumu düşürülür.</x:v>
      </x:c>
    </x:row>
    <x:row r="1318">
      <x:c r="A1318" s="14" t="n">
        <x:v>1317</x:v>
      </x:c>
      <x:c r="B1318" s="15" t="n">
        <x:v>46401</x:v>
      </x:c>
      <x:c r="C1318" s="14" t="str">
        <x:v>Perşembe</x:v>
      </x:c>
      <x:c r="D1318" s="14" t="str">
        <x:v>Okul Günü</x:v>
      </x:c>
      <x:c r="E1318" s="14" t="str">
        <x:v>16:00 sonrası</x:v>
      </x:c>
      <x:c r="F1318" s="14" t="str">
        <x:v>F2 - LGS Kapsam + Ustalık</x:v>
      </x:c>
      <x:c r="G1318" s="14" t="str">
        <x:v>21:50</x:v>
      </x:c>
      <x:c r="H1318" s="14" t="str">
        <x:v>22:00</x:v>
      </x:c>
      <x:c r="I1318" s="14" t="str">
        <x:v>Genel</x:v>
      </x:c>
      <x:c r="J1318" s="14" t="str">
        <x:v>Uyku Hazırlığı</x:v>
      </x:c>
      <x:c r="K1318" s="14" t="str"/>
      <x:c r="L1318" s="14" t="str">
        <x:v>22:00'de yatakta ve uyku.</x:v>
      </x:c>
      <x:c r="M1318" s="14" t="str"/>
      <x:c r="N1318" s="14" t="str"/>
      <x:c r="O1318" s="14" t="n">
        <x:v>0</x:v>
      </x:c>
      <x:c r="P1318" s="14" t="str">
        <x:v>Hayır</x:v>
      </x:c>
      <x:c r="Q1318" s="14" t="str">
        <x:v>Hayır</x:v>
      </x:c>
      <x:c r="R1318" s="14" t="str">
        <x:v>Planlandı</x:v>
      </x:c>
      <x:c r="S1318" s="15" t="str"/>
      <x:c r="T1318" s="14" t="str"/>
    </x:row>
    <x:row r="1319">
      <x:c r="A1319" s="14" t="n">
        <x:v>1318</x:v>
      </x:c>
      <x:c r="B1319" s="15" t="n">
        <x:v>46402</x:v>
      </x:c>
      <x:c r="C1319" s="14" t="str">
        <x:v>Cuma</x:v>
      </x:c>
      <x:c r="D1319" s="14" t="str">
        <x:v>Okul Günü</x:v>
      </x:c>
      <x:c r="E1319" s="14" t="str">
        <x:v>16:00 sonrası</x:v>
      </x:c>
      <x:c r="F1319" s="14" t="str">
        <x:v>F2 - LGS Kapsam + Ustalık</x:v>
      </x:c>
      <x:c r="G1319" s="14" t="str">
        <x:v>16:00</x:v>
      </x:c>
      <x:c r="H1319" s="14" t="str">
        <x:v>16:25</x:v>
      </x:c>
      <x:c r="I1319" s="14" t="str">
        <x:v>Genel</x:v>
      </x:c>
      <x:c r="J1319" s="14" t="str">
        <x:v>Dinlenme</x:v>
      </x:c>
      <x:c r="K1319" s="14" t="str"/>
      <x:c r="L1319" s="14" t="str">
        <x:v>Eve geliş, atıştırma ve dinlenme.</x:v>
      </x:c>
      <x:c r="M1319" s="14" t="str"/>
      <x:c r="N1319" s="14" t="str"/>
      <x:c r="O1319" s="14" t="n">
        <x:v>0</x:v>
      </x:c>
      <x:c r="P1319" s="14" t="str">
        <x:v>Hayır</x:v>
      </x:c>
      <x:c r="Q1319" s="14" t="str">
        <x:v>Hayır</x:v>
      </x:c>
      <x:c r="R1319" s="14" t="str">
        <x:v>Planlandı</x:v>
      </x:c>
      <x:c r="S1319" s="15" t="str"/>
      <x:c r="T1319" s="14" t="str"/>
    </x:row>
    <x:row r="1320">
      <x:c r="A1320" s="14" t="n">
        <x:v>1319</x:v>
      </x:c>
      <x:c r="B1320" s="15" t="n">
        <x:v>46402</x:v>
      </x:c>
      <x:c r="C1320" s="14" t="str">
        <x:v>Cuma</x:v>
      </x:c>
      <x:c r="D1320" s="14" t="str">
        <x:v>Okul Günü</x:v>
      </x:c>
      <x:c r="E1320" s="14" t="str">
        <x:v>16:00 sonrası</x:v>
      </x:c>
      <x:c r="F1320" s="14" t="str">
        <x:v>F2 - LGS Kapsam + Ustalık</x:v>
      </x:c>
      <x:c r="G1320" s="14" t="str">
        <x:v>16:25</x:v>
      </x:c>
      <x:c r="H1320" s="14" t="str">
        <x:v>17:05</x:v>
      </x:c>
      <x:c r="I1320" s="14" t="str">
        <x:v>Matematik</x:v>
      </x:c>
      <x:c r="J1320" s="14" t="str">
        <x:v>Konu / Tekrar</x:v>
      </x:c>
      <x:c r="K1320" s="14" t="str">
        <x:v>Üçgenler</x:v>
      </x:c>
      <x:c r="L1320" s="14" t="str">
        <x:v>Üçgenler — genel oynatma listesinden ilgili videoyu izle (4/4).</x:v>
      </x:c>
      <x:c r="M1320" s="14" t="str">
        <x:v>Matematik Yedek Oynatma Listesi</x:v>
      </x:c>
      <x:c r="N1320" s="14" t="str">
        <x:v>https://www.youtube.com/watch?v=Z7exqEHEqQA&amp;list=PLHN_SjKO7rCI&amp;index=3</x:v>
      </x:c>
      <x:c r="O1320" s="14" t="n">
        <x:v>0</x:v>
      </x:c>
      <x:c r="P1320" s="14" t="str">
        <x:v>Hayır</x:v>
      </x:c>
      <x:c r="Q1320" s="14" t="str">
        <x:v>Evet</x:v>
      </x:c>
      <x:c r="R1320" s="14" t="str">
        <x:v>Planlandı</x:v>
      </x:c>
      <x:c r="S1320" s="15" t="str"/>
      <x:c r="T1320" s="14" t="str">
        <x:v>Yeni konu ancak plan sırasıyla açılır; LGS dışı ileri TYT içeriği zorunlu değildir.</x:v>
      </x:c>
    </x:row>
    <x:row r="1321">
      <x:c r="A1321" s="14" t="n">
        <x:v>1320</x:v>
      </x:c>
      <x:c r="B1321" s="15" t="n">
        <x:v>46402</x:v>
      </x:c>
      <x:c r="C1321" s="14" t="str">
        <x:v>Cuma</x:v>
      </x:c>
      <x:c r="D1321" s="14" t="str">
        <x:v>Okul Günü</x:v>
      </x:c>
      <x:c r="E1321" s="14" t="str">
        <x:v>16:00 sonrası</x:v>
      </x:c>
      <x:c r="F1321" s="14" t="str">
        <x:v>F2 - LGS Kapsam + Ustalık</x:v>
      </x:c>
      <x:c r="G1321" s="14" t="str">
        <x:v>17:10</x:v>
      </x:c>
      <x:c r="H1321" s="14" t="str">
        <x:v>17:55</x:v>
      </x:c>
      <x:c r="I1321" s="14" t="str">
        <x:v>Matematik</x:v>
      </x:c>
      <x:c r="J1321" s="14" t="str">
        <x:v>Kitap / MEB / Mastery</x:v>
      </x:c>
      <x:c r="K1321" s="14" t="str">
        <x:v>Üçgenler</x:v>
      </x:c>
      <x:c r="L1321" s="14" t="str">
        <x:v>Üçgenler ile ilgili soru kitabından en az 25 soru / bugünkü test payını çöz. İlgili kitap konu bölümünü bu oturumda bitirmeyi hedefle; sonraki oturum MEB doğrulaması.</x:v>
      </x:c>
      <x:c r="M1321" s="14" t="str">
        <x:v>MUBA 8. Sınıf Başlangıç Matematik (ISBN 9789756526972); tamamlandıysa Mozaik 8. Sınıf Matematik</x:v>
      </x:c>
      <x:c r="N1321" s="14" t="str">
        <x:v>https://odsgm.meb.gov.tr/www/8sinif-calisma-sorulari/icerik/1632</x:v>
      </x:c>
      <x:c r="O1321" s="14" t="n">
        <x:v>25</x:v>
      </x:c>
      <x:c r="P1321" s="14" t="str">
        <x:v>İlk 20 soru</x:v>
      </x:c>
      <x:c r="Q1321" s="14" t="str">
        <x:v>Evet</x:v>
      </x:c>
      <x:c r="R1321" s="14" t="str">
        <x:v>Planlandı</x:v>
      </x:c>
      <x:c r="S1321" s="15" t="str"/>
      <x:c r="T1321" s="14" t="str">
        <x:v>Ayrı/rastgele matematik benchmark yoktur. Süreli ilk 20 soru o gün çalışılan konunun içindedir.</x:v>
      </x:c>
    </x:row>
    <x:row r="1322">
      <x:c r="A1322" s="14" t="n">
        <x:v>1321</x:v>
      </x:c>
      <x:c r="B1322" s="15" t="n">
        <x:v>46402</x:v>
      </x:c>
      <x:c r="C1322" s="14" t="str">
        <x:v>Cuma</x:v>
      </x:c>
      <x:c r="D1322" s="14" t="str">
        <x:v>Okul Günü</x:v>
      </x:c>
      <x:c r="E1322" s="14" t="str">
        <x:v>16:00 sonrası</x:v>
      </x:c>
      <x:c r="F1322" s="14" t="str">
        <x:v>F2 - LGS Kapsam + Ustalık</x:v>
      </x:c>
      <x:c r="G1322" s="14" t="str">
        <x:v>17:55</x:v>
      </x:c>
      <x:c r="H1322" s="14" t="str">
        <x:v>18:25</x:v>
      </x:c>
      <x:c r="I1322" s="14" t="str">
        <x:v>Genel</x:v>
      </x:c>
      <x:c r="J1322" s="14" t="str">
        <x:v>Yemek / Serbest Zaman</x:v>
      </x:c>
      <x:c r="K1322" s="14" t="str"/>
      <x:c r="L1322" s="14" t="str">
        <x:v>Yemek, hareket ve dinlenme.</x:v>
      </x:c>
      <x:c r="M1322" s="14" t="str"/>
      <x:c r="N1322" s="14" t="str"/>
      <x:c r="O1322" s="14" t="n">
        <x:v>0</x:v>
      </x:c>
      <x:c r="P1322" s="14" t="str">
        <x:v>Hayır</x:v>
      </x:c>
      <x:c r="Q1322" s="14" t="str">
        <x:v>Hayır</x:v>
      </x:c>
      <x:c r="R1322" s="14" t="str">
        <x:v>Planlandı</x:v>
      </x:c>
      <x:c r="S1322" s="15" t="str"/>
      <x:c r="T1322" s="14" t="str"/>
    </x:row>
    <x:row r="1323">
      <x:c r="A1323" s="14" t="n">
        <x:v>1322</x:v>
      </x:c>
      <x:c r="B1323" s="15" t="n">
        <x:v>46402</x:v>
      </x:c>
      <x:c r="C1323" s="14" t="str">
        <x:v>Cuma</x:v>
      </x:c>
      <x:c r="D1323" s="14" t="str">
        <x:v>Okul Günü</x:v>
      </x:c>
      <x:c r="E1323" s="14" t="str">
        <x:v>16:00 sonrası</x:v>
      </x:c>
      <x:c r="F1323" s="14" t="str">
        <x:v>F2 - LGS Kapsam + Ustalık</x:v>
      </x:c>
      <x:c r="G1323" s="14" t="str">
        <x:v>18:25</x:v>
      </x:c>
      <x:c r="H1323" s="14" t="str">
        <x:v>18:55</x:v>
      </x:c>
      <x:c r="I1323" s="14" t="str">
        <x:v>Türkçe</x:v>
      </x:c>
      <x:c r="J1323" s="14" t="str">
        <x:v>Paragraf Rutini</x:v>
      </x:c>
      <x:c r="K1323" s="14" t="str">
        <x:v>Paragraf</x:v>
      </x:c>
      <x:c r="L1323" s="14" t="str">
        <x:v>En az 25 paragraf sorusu çöz; ilk 20 soruyu ileri sayımla ölç, D/Y/B + süre kaydet.</x:v>
      </x:c>
      <x:c r="M1323" s="14" t="str">
        <x:v>Hız 8. Sınıf Türkçe Paragraf (ISBN 9786258394498)</x:v>
      </x:c>
      <x:c r="N1323" s="14" t="str"/>
      <x:c r="O1323" s="14" t="n">
        <x:v>25</x:v>
      </x:c>
      <x:c r="P1323" s="14" t="str">
        <x:v>İlk 20 soru</x:v>
      </x:c>
      <x:c r="Q1323" s="14" t="str">
        <x:v>Evet</x:v>
      </x:c>
      <x:c r="R1323" s="14" t="str">
        <x:v>Planlandı</x:v>
      </x:c>
      <x:c r="S1323" s="15" t="str"/>
      <x:c r="T1323" s="14" t="str">
        <x:v>Geri sayım ve hedef süre yok.</x:v>
      </x:c>
    </x:row>
    <x:row r="1324">
      <x:c r="A1324" s="14" t="n">
        <x:v>1323</x:v>
      </x:c>
      <x:c r="B1324" s="15" t="n">
        <x:v>46402</x:v>
      </x:c>
      <x:c r="C1324" s="14" t="str">
        <x:v>Cuma</x:v>
      </x:c>
      <x:c r="D1324" s="14" t="str">
        <x:v>Okul Günü</x:v>
      </x:c>
      <x:c r="E1324" s="14" t="str">
        <x:v>16:00 sonrası</x:v>
      </x:c>
      <x:c r="F1324" s="14" t="str">
        <x:v>F2 - LGS Kapsam + Ustalık</x:v>
      </x:c>
      <x:c r="G1324" s="14" t="str">
        <x:v>19:00</x:v>
      </x:c>
      <x:c r="H1324" s="14" t="str">
        <x:v>19:35</x:v>
      </x:c>
      <x:c r="I1324" s="14" t="str">
        <x:v>Türkçe</x:v>
      </x:c>
      <x:c r="J1324" s="14" t="str">
        <x:v>Konu / Tekrar</x:v>
      </x:c>
      <x:c r="K1324" s="14" t="str">
        <x:v>Kaynak Tamamlama / Zayıf Konu</x:v>
      </x:c>
      <x:c r="L1324" s="14" t="str">
        <x:v>Yeni konu açma. En zayıf/açık konunun ilgili playlist videosunu yalnız gerekiyorsa tekrar izle.</x:v>
      </x:c>
      <x:c r="M1324" s="14" t="str">
        <x:v>Türkçe Ana Oynatma Listesi</x:v>
      </x:c>
      <x:c r="N1324" s="14" t="str">
        <x:v>https://www.youtube.com/watch?v=VYsPntNKVdw&amp;list=PLIBjFaUoJJ91bz7QQEBlxNJNZka5YQRr6</x:v>
      </x:c>
      <x:c r="O1324" s="14" t="n">
        <x:v>0</x:v>
      </x:c>
      <x:c r="P1324" s="14" t="str">
        <x:v>Hayır</x:v>
      </x:c>
      <x:c r="Q1324" s="14" t="str">
        <x:v>Evet</x:v>
      </x:c>
      <x:c r="R1324" s="14" t="str">
        <x:v>Planlandı</x:v>
      </x:c>
      <x:c r="S1324" s="15" t="str"/>
      <x:c r="T1324" s="14" t="str">
        <x:v>TYT etiketli kaynak temelden başlamak için sabittir; LGS dışı gereksiz ayrıntı zorunlu değildir.</x:v>
      </x:c>
    </x:row>
    <x:row r="1325">
      <x:c r="A1325" s="14" t="n">
        <x:v>1324</x:v>
      </x:c>
      <x:c r="B1325" s="15" t="n">
        <x:v>46402</x:v>
      </x:c>
      <x:c r="C1325" s="14" t="str">
        <x:v>Cuma</x:v>
      </x:c>
      <x:c r="D1325" s="14" t="str">
        <x:v>Okul Günü</x:v>
      </x:c>
      <x:c r="E1325" s="14" t="str">
        <x:v>16:00 sonrası</x:v>
      </x:c>
      <x:c r="F1325" s="14" t="str">
        <x:v>F2 - LGS Kapsam + Ustalık</x:v>
      </x:c>
      <x:c r="G1325" s="14" t="str">
        <x:v>19:40</x:v>
      </x:c>
      <x:c r="H1325" s="14" t="str">
        <x:v>20:10</x:v>
      </x:c>
      <x:c r="I1325" s="14" t="str">
        <x:v>Türkçe</x:v>
      </x:c>
      <x:c r="J1325" s="14" t="str">
        <x:v>Kitap / MEB / Mastery</x:v>
      </x:c>
      <x:c r="K1325" s="14" t="str">
        <x:v>Kaynak Tamamlama / Zayıf Konu</x:v>
      </x:c>
      <x:c r="L1325" s="14" t="str">
        <x:v>13 Nisan %100 tamamlama hedefine göre en geride kalan Türkçe soru kaynağını/eksik MEB setini ilerlet; açık yanlışları kapat.</x:v>
      </x:c>
      <x:c r="M1325" s="14" t="str">
        <x:v>Ankara 8. Sınıf Dil Bilgisi Güçlendiren + açık MEB/yanlışlar</x:v>
      </x:c>
      <x:c r="N1325" s="14" t="str">
        <x:v>https://odsgm.meb.gov.tr/www/8sinif-calisma-sorulari/icerik/1632</x:v>
      </x:c>
      <x:c r="O1325" s="14" t="n">
        <x:v>15</x:v>
      </x:c>
      <x:c r="P1325" s="14" t="str">
        <x:v>Hayır</x:v>
      </x:c>
      <x:c r="Q1325" s="14" t="str">
        <x:v>Evet</x:v>
      </x:c>
      <x:c r="R1325" s="14" t="str">
        <x:v>Planlandı</x:v>
      </x:c>
      <x:c r="S1325" s="15" t="str"/>
      <x:c r="T1325" s="14" t="str"/>
    </x:row>
    <x:row r="1326">
      <x:c r="A1326" s="14" t="n">
        <x:v>1325</x:v>
      </x:c>
      <x:c r="B1326" s="15" t="n">
        <x:v>46402</x:v>
      </x:c>
      <x:c r="C1326" s="14" t="str">
        <x:v>Cuma</x:v>
      </x:c>
      <x:c r="D1326" s="14" t="str">
        <x:v>Okul Günü</x:v>
      </x:c>
      <x:c r="E1326" s="14" t="str">
        <x:v>16:00 sonrası</x:v>
      </x:c>
      <x:c r="F1326" s="14" t="str">
        <x:v>F2 - LGS Kapsam + Ustalık</x:v>
      </x:c>
      <x:c r="G1326" s="14" t="str">
        <x:v>20:15</x:v>
      </x:c>
      <x:c r="H1326" s="14" t="str">
        <x:v>20:50</x:v>
      </x:c>
      <x:c r="I1326" s="14" t="str">
        <x:v>İnkılap</x:v>
      </x:c>
      <x:c r="J1326" s="14" t="str">
        <x:v>Konu / Tekrar</x:v>
      </x:c>
      <x:c r="K1326" s="14" t="str">
        <x:v>Millî Mücadele - Cepheler</x:v>
      </x:c>
      <x:c r="L1326" s="14" t="str">
        <x:v>Millî Mücadele - Cepheler — MEB doğrulaması öncesi 5-10 dk aktif hatırlama; gerekiyorsa ilgili playlist videosuna kısa dönüş yap.</x:v>
      </x:c>
      <x:c r="M1326" s="14" t="str">
        <x:v>İnkılap Genel Oynatma Listesi</x:v>
      </x:c>
      <x:c r="N1326" s="14" t="str">
        <x:v>https://www.youtube.com/watch?v=MltIX0oKpYU&amp;list=PLsAsBPsriHNbXit4Ra3iuBrk1ZHZWxsOR&amp;index=78</x:v>
      </x:c>
      <x:c r="O1326" s="14" t="n">
        <x:v>0</x:v>
      </x:c>
      <x:c r="P1326" s="14" t="str">
        <x:v>Hayır</x:v>
      </x:c>
      <x:c r="Q1326" s="14" t="str">
        <x:v>Evet</x:v>
      </x:c>
      <x:c r="R1326" s="14" t="str">
        <x:v>Planlandı</x:v>
      </x:c>
      <x:c r="S1326" s="15" t="str"/>
      <x:c r="T1326" s="14" t="str">
        <x:v>İnkılapta okul yazılısı videoları zorunlu değildir.</x:v>
      </x:c>
    </x:row>
    <x:row r="1327">
      <x:c r="A1327" s="14" t="n">
        <x:v>1326</x:v>
      </x:c>
      <x:c r="B1327" s="15" t="n">
        <x:v>46402</x:v>
      </x:c>
      <x:c r="C1327" s="14" t="str">
        <x:v>Cuma</x:v>
      </x:c>
      <x:c r="D1327" s="14" t="str">
        <x:v>Okul Günü</x:v>
      </x:c>
      <x:c r="E1327" s="14" t="str">
        <x:v>16:00 sonrası</x:v>
      </x:c>
      <x:c r="F1327" s="14" t="str">
        <x:v>F2 - LGS Kapsam + Ustalık</x:v>
      </x:c>
      <x:c r="G1327" s="14" t="str">
        <x:v>20:55</x:v>
      </x:c>
      <x:c r="H1327" s="14" t="str">
        <x:v>21:20</x:v>
      </x:c>
      <x:c r="I1327" s="14" t="str">
        <x:v>İnkılap</x:v>
      </x:c>
      <x:c r="J1327" s="14" t="str">
        <x:v>Kitap / MEB / Mastery</x:v>
      </x:c>
      <x:c r="K1327" s="14" t="str">
        <x:v>Millî Mücadele - Cepheler</x:v>
      </x:c>
      <x:c r="L1327" s="14" t="str">
        <x:v>Millî Mücadele - Cepheler için ilgili MEB sorularını TAMAMLA; D/Y/B kaydet. Bu oturum konu mastery gate'idir.</x:v>
      </x:c>
      <x:c r="M1327" s="14" t="str">
        <x:v>MEB 8. Sınıf İnkılap Soruları</x:v>
      </x:c>
      <x:c r="N1327" s="14" t="str">
        <x:v>https://odsgm.meb.gov.tr/www/8sinif-calisma-sorulari/icerik/1632</x:v>
      </x:c>
      <x:c r="O1327" s="14" t="n">
        <x:v>0</x:v>
      </x:c>
      <x:c r="P1327" s="14" t="str">
        <x:v>Hayır</x:v>
      </x:c>
      <x:c r="Q1327" s="14" t="str">
        <x:v>Evet</x:v>
      </x:c>
      <x:c r="R1327" s="14" t="str">
        <x:v>Planlandı</x:v>
      </x:c>
      <x:c r="S1327" s="15" t="str"/>
      <x:c r="T1327" s="14" t="str">
        <x:v>MEB sonucu Konu_Ustaligi sayfasına işlenir.</x:v>
      </x:c>
    </x:row>
    <x:row r="1328">
      <x:c r="A1328" s="14" t="n">
        <x:v>1327</x:v>
      </x:c>
      <x:c r="B1328" s="15" t="n">
        <x:v>46402</x:v>
      </x:c>
      <x:c r="C1328" s="14" t="str">
        <x:v>Cuma</x:v>
      </x:c>
      <x:c r="D1328" s="14" t="str">
        <x:v>Okul Günü</x:v>
      </x:c>
      <x:c r="E1328" s="14" t="str">
        <x:v>16:00 sonrası</x:v>
      </x:c>
      <x:c r="F1328" s="14" t="str">
        <x:v>F2 - LGS Kapsam + Ustalık</x:v>
      </x:c>
      <x:c r="G1328" s="14" t="str">
        <x:v>21:20</x:v>
      </x:c>
      <x:c r="H1328" s="14" t="str">
        <x:v>21:35</x:v>
      </x:c>
      <x:c r="I1328" s="14" t="str">
        <x:v>Genel</x:v>
      </x:c>
      <x:c r="J1328" s="14" t="str">
        <x:v>Yanlış / Boş Analizi</x:v>
      </x:c>
      <x:c r="K1328" s="14" t="str">
        <x:v>Günlük</x:v>
      </x:c>
      <x:c r="L1328" s="14" t="str">
        <x:v>Bugünkü yanlış/boşları kaydet; çözümünü öğrenmeden kapatma. Hata türünü sınıflandır.</x:v>
      </x:c>
      <x:c r="M1328" s="14" t="str">
        <x:v>Yanlış Defteri</x:v>
      </x:c>
      <x:c r="N1328" s="14" t="str"/>
      <x:c r="O1328" s="14" t="n">
        <x:v>0</x:v>
      </x:c>
      <x:c r="P1328" s="14" t="str">
        <x:v>Hayır</x:v>
      </x:c>
      <x:c r="Q1328" s="14" t="str">
        <x:v>Evet</x:v>
      </x:c>
      <x:c r="R1328" s="14" t="str">
        <x:v>Planlandı</x:v>
      </x:c>
      <x:c r="S1328" s="15" t="str"/>
      <x:c r="T1328" s="14" t="str"/>
    </x:row>
    <x:row r="1329">
      <x:c r="A1329" s="14" t="n">
        <x:v>1328</x:v>
      </x:c>
      <x:c r="B1329" s="15" t="n">
        <x:v>46402</x:v>
      </x:c>
      <x:c r="C1329" s="14" t="str">
        <x:v>Cuma</x:v>
      </x:c>
      <x:c r="D1329" s="14" t="str">
        <x:v>Okul Günü</x:v>
      </x:c>
      <x:c r="E1329" s="14" t="str">
        <x:v>16:00 sonrası</x:v>
      </x:c>
      <x:c r="F1329" s="14" t="str">
        <x:v>F2 - LGS Kapsam + Ustalık</x:v>
      </x:c>
      <x:c r="G1329" s="14" t="str">
        <x:v>21:35</x:v>
      </x:c>
      <x:c r="H1329" s="14" t="str">
        <x:v>21:50</x:v>
      </x:c>
      <x:c r="I1329" s="14" t="str">
        <x:v>Genel</x:v>
      </x:c>
      <x:c r="J1329" s="14" t="str">
        <x:v>Aralıklı Hata Tekrarı</x:v>
      </x:c>
      <x:c r="K1329" s="14" t="str">
        <x:v>+1 / +7 / +21</x:v>
      </x:c>
      <x:c r="L1329" s="14" t="str">
        <x:v>Bugün vadesi gelen yanlış soruları tekrar çöz. Vadesi yoksa bu süre serbest/okuma olabilir.</x:v>
      </x:c>
      <x:c r="M1329" s="14" t="str">
        <x:v>Yanlış Defteri</x:v>
      </x:c>
      <x:c r="N1329" s="14" t="str"/>
      <x:c r="O1329" s="14" t="n">
        <x:v>0</x:v>
      </x:c>
      <x:c r="P1329" s="14" t="str">
        <x:v>Hayır</x:v>
      </x:c>
      <x:c r="Q1329" s="14" t="str">
        <x:v>Koşullu</x:v>
      </x:c>
      <x:c r="R1329" s="14" t="str">
        <x:v>Planlandı</x:v>
      </x:c>
      <x:c r="S1329" s="15" t="str"/>
      <x:c r="T1329" s="14" t="str">
        <x:v>Yanlışlar +1, +7 ve +21 gün aralıklarıyla tekrar edilir; hâlâ yanlışsa konu mastery durumu düşürülür.</x:v>
      </x:c>
    </x:row>
    <x:row r="1330">
      <x:c r="A1330" s="14" t="n">
        <x:v>1329</x:v>
      </x:c>
      <x:c r="B1330" s="15" t="n">
        <x:v>46402</x:v>
      </x:c>
      <x:c r="C1330" s="14" t="str">
        <x:v>Cuma</x:v>
      </x:c>
      <x:c r="D1330" s="14" t="str">
        <x:v>Okul Günü</x:v>
      </x:c>
      <x:c r="E1330" s="14" t="str">
        <x:v>16:00 sonrası</x:v>
      </x:c>
      <x:c r="F1330" s="14" t="str">
        <x:v>F2 - LGS Kapsam + Ustalık</x:v>
      </x:c>
      <x:c r="G1330" s="14" t="str">
        <x:v>21:50</x:v>
      </x:c>
      <x:c r="H1330" s="14" t="str">
        <x:v>22:00</x:v>
      </x:c>
      <x:c r="I1330" s="14" t="str">
        <x:v>Genel</x:v>
      </x:c>
      <x:c r="J1330" s="14" t="str">
        <x:v>Uyku Hazırlığı</x:v>
      </x:c>
      <x:c r="K1330" s="14" t="str"/>
      <x:c r="L1330" s="14" t="str">
        <x:v>22:00'de yatakta ve uyku.</x:v>
      </x:c>
      <x:c r="M1330" s="14" t="str"/>
      <x:c r="N1330" s="14" t="str"/>
      <x:c r="O1330" s="14" t="n">
        <x:v>0</x:v>
      </x:c>
      <x:c r="P1330" s="14" t="str">
        <x:v>Hayır</x:v>
      </x:c>
      <x:c r="Q1330" s="14" t="str">
        <x:v>Hayır</x:v>
      </x:c>
      <x:c r="R1330" s="14" t="str">
        <x:v>Planlandı</x:v>
      </x:c>
      <x:c r="S1330" s="15" t="str"/>
      <x:c r="T1330" s="14" t="str"/>
    </x:row>
    <x:row r="1331">
      <x:c r="A1331" s="14" t="n">
        <x:v>1330</x:v>
      </x:c>
      <x:c r="B1331" s="15" t="n">
        <x:v>46403</x:v>
      </x:c>
      <x:c r="C1331" s="14" t="str">
        <x:v>Cumartesi</x:v>
      </x:c>
      <x:c r="D1331" s="14" t="str">
        <x:v>Hafta Sonu</x:v>
      </x:c>
      <x:c r="E1331" s="14" t="str">
        <x:v>Tam gün</x:v>
      </x:c>
      <x:c r="F1331" s="14" t="str">
        <x:v>F2 - LGS Kapsam + Ustalık</x:v>
      </x:c>
      <x:c r="G1331" s="14" t="str">
        <x:v>09:30</x:v>
      </x:c>
      <x:c r="H1331" s="14" t="str">
        <x:v>10:15</x:v>
      </x:c>
      <x:c r="I1331" s="14" t="str">
        <x:v>Matematik</x:v>
      </x:c>
      <x:c r="J1331" s="14" t="str">
        <x:v>Konu / Tekrar</x:v>
      </x:c>
      <x:c r="K1331" s="14" t="str">
        <x:v>Üçgenler</x:v>
      </x:c>
      <x:c r="L1331" s="14" t="str">
        <x:v>Üçgenler — MEB doğrulaması öncesi 5-10 dk aktif hatırlama; gerekiyorsa ilgili playlist videosuna kısa dönüş yap.</x:v>
      </x:c>
      <x:c r="M1331" s="14" t="str">
        <x:v>Matematik Yedek Oynatma Listesi</x:v>
      </x:c>
      <x:c r="N1331" s="14" t="str">
        <x:v>https://www.youtube.com/watch?v=Z7exqEHEqQA&amp;list=PLHN_SjKO7rCI&amp;index=3</x:v>
      </x:c>
      <x:c r="O1331" s="14" t="n">
        <x:v>0</x:v>
      </x:c>
      <x:c r="P1331" s="14" t="str">
        <x:v>Hayır</x:v>
      </x:c>
      <x:c r="Q1331" s="14" t="str">
        <x:v>Evet</x:v>
      </x:c>
      <x:c r="R1331" s="14" t="str">
        <x:v>Planlandı</x:v>
      </x:c>
      <x:c r="S1331" s="15" t="str"/>
      <x:c r="T1331" s="14" t="str">
        <x:v>Yeni konu ancak plan sırasıyla açılır; LGS dışı ileri TYT içeriği zorunlu değildir.</x:v>
      </x:c>
    </x:row>
    <x:row r="1332">
      <x:c r="A1332" s="14" t="n">
        <x:v>1331</x:v>
      </x:c>
      <x:c r="B1332" s="15" t="n">
        <x:v>46403</x:v>
      </x:c>
      <x:c r="C1332" s="14" t="str">
        <x:v>Cumartesi</x:v>
      </x:c>
      <x:c r="D1332" s="14" t="str">
        <x:v>Hafta Sonu</x:v>
      </x:c>
      <x:c r="E1332" s="14" t="str">
        <x:v>Tam gün</x:v>
      </x:c>
      <x:c r="F1332" s="14" t="str">
        <x:v>F2 - LGS Kapsam + Ustalık</x:v>
      </x:c>
      <x:c r="G1332" s="14" t="str">
        <x:v>10:25</x:v>
      </x:c>
      <x:c r="H1332" s="14" t="str">
        <x:v>11:15</x:v>
      </x:c>
      <x:c r="I1332" s="14" t="str">
        <x:v>Matematik</x:v>
      </x:c>
      <x:c r="J1332" s="14" t="str">
        <x:v>Kitap / MEB / Mastery</x:v>
      </x:c>
      <x:c r="K1332" s="14" t="str">
        <x:v>Üçgenler</x:v>
      </x:c>
      <x:c r="L1332" s="14" t="str">
        <x:v>Üçgenler için ilgili MEB sorularını TAMAMLA; D/Y/B kaydet. Bu oturum konu mastery gate'idir.</x:v>
      </x:c>
      <x:c r="M1332" s="14" t="str">
        <x:v>MEB Resmî Soru Seti</x:v>
      </x:c>
      <x:c r="N1332" s="14" t="str">
        <x:v>https://odsgm.meb.gov.tr/www/8sinif-calisma-sorulari/icerik/1632</x:v>
      </x:c>
      <x:c r="O1332" s="14" t="n">
        <x:v>0</x:v>
      </x:c>
      <x:c r="P1332" s="14" t="str">
        <x:v>Hayır</x:v>
      </x:c>
      <x:c r="Q1332" s="14" t="str">
        <x:v>Evet</x:v>
      </x:c>
      <x:c r="R1332" s="14" t="str">
        <x:v>Planlandı</x:v>
      </x:c>
      <x:c r="S1332" s="15" t="str"/>
      <x:c r="T1332" s="14" t="str">
        <x:v>MEB sonucu Konu_Ustaligi sayfasına işlenir.</x:v>
      </x:c>
    </x:row>
    <x:row r="1333">
      <x:c r="A1333" s="14" t="n">
        <x:v>1332</x:v>
      </x:c>
      <x:c r="B1333" s="15" t="n">
        <x:v>46403</x:v>
      </x:c>
      <x:c r="C1333" s="14" t="str">
        <x:v>Cumartesi</x:v>
      </x:c>
      <x:c r="D1333" s="14" t="str">
        <x:v>Hafta Sonu</x:v>
      </x:c>
      <x:c r="E1333" s="14" t="str">
        <x:v>Tam gün</x:v>
      </x:c>
      <x:c r="F1333" s="14" t="str">
        <x:v>F2 - LGS Kapsam + Ustalık</x:v>
      </x:c>
      <x:c r="G1333" s="14" t="str">
        <x:v>12:00</x:v>
      </x:c>
      <x:c r="H1333" s="14" t="str">
        <x:v>14:00</x:v>
      </x:c>
      <x:c r="I1333" s="14" t="str">
        <x:v>Genel</x:v>
      </x:c>
      <x:c r="J1333" s="14" t="str">
        <x:v>Yemek / Serbest Zaman</x:v>
      </x:c>
      <x:c r="K1333" s="14" t="str"/>
      <x:c r="L1333" s="14" t="str">
        <x:v>Yemek, hareket ve dinlenme.</x:v>
      </x:c>
      <x:c r="M1333" s="14" t="str"/>
      <x:c r="N1333" s="14" t="str"/>
      <x:c r="O1333" s="14" t="n">
        <x:v>0</x:v>
      </x:c>
      <x:c r="P1333" s="14" t="str">
        <x:v>Hayır</x:v>
      </x:c>
      <x:c r="Q1333" s="14" t="str">
        <x:v>Hayır</x:v>
      </x:c>
      <x:c r="R1333" s="14" t="str">
        <x:v>Planlandı</x:v>
      </x:c>
      <x:c r="S1333" s="15" t="str"/>
      <x:c r="T1333" s="14" t="str"/>
    </x:row>
    <x:row r="1334">
      <x:c r="A1334" s="14" t="n">
        <x:v>1333</x:v>
      </x:c>
      <x:c r="B1334" s="15" t="n">
        <x:v>46403</x:v>
      </x:c>
      <x:c r="C1334" s="14" t="str">
        <x:v>Cumartesi</x:v>
      </x:c>
      <x:c r="D1334" s="14" t="str">
        <x:v>Hafta Sonu</x:v>
      </x:c>
      <x:c r="E1334" s="14" t="str">
        <x:v>Tam gün</x:v>
      </x:c>
      <x:c r="F1334" s="14" t="str">
        <x:v>F2 - LGS Kapsam + Ustalık</x:v>
      </x:c>
      <x:c r="G1334" s="14" t="str">
        <x:v>11:25</x:v>
      </x:c>
      <x:c r="H1334" s="14" t="str">
        <x:v>11:55</x:v>
      </x:c>
      <x:c r="I1334" s="14" t="str">
        <x:v>Türkçe</x:v>
      </x:c>
      <x:c r="J1334" s="14" t="str">
        <x:v>Paragraf Rutini</x:v>
      </x:c>
      <x:c r="K1334" s="14" t="str">
        <x:v>Paragraf</x:v>
      </x:c>
      <x:c r="L1334" s="14" t="str">
        <x:v>En az 25 paragraf sorusu çöz; ilk 20 soruyu ileri sayımla ölç, D/Y/B + süre kaydet.</x:v>
      </x:c>
      <x:c r="M1334" s="14" t="str">
        <x:v>Hız 8. Sınıf Türkçe Paragraf (ISBN 9786258394498)</x:v>
      </x:c>
      <x:c r="N1334" s="14" t="str"/>
      <x:c r="O1334" s="14" t="n">
        <x:v>25</x:v>
      </x:c>
      <x:c r="P1334" s="14" t="str">
        <x:v>İlk 20 soru</x:v>
      </x:c>
      <x:c r="Q1334" s="14" t="str">
        <x:v>Evet</x:v>
      </x:c>
      <x:c r="R1334" s="14" t="str">
        <x:v>Planlandı</x:v>
      </x:c>
      <x:c r="S1334" s="15" t="str"/>
      <x:c r="T1334" s="14" t="str">
        <x:v>Geri sayım ve hedef süre yok.</x:v>
      </x:c>
    </x:row>
    <x:row r="1335">
      <x:c r="A1335" s="14" t="n">
        <x:v>1334</x:v>
      </x:c>
      <x:c r="B1335" s="15" t="n">
        <x:v>46403</x:v>
      </x:c>
      <x:c r="C1335" s="14" t="str">
        <x:v>Cumartesi</x:v>
      </x:c>
      <x:c r="D1335" s="14" t="str">
        <x:v>Hafta Sonu</x:v>
      </x:c>
      <x:c r="E1335" s="14" t="str">
        <x:v>Tam gün</x:v>
      </x:c>
      <x:c r="F1335" s="14" t="str">
        <x:v>F2 - LGS Kapsam + Ustalık</x:v>
      </x:c>
      <x:c r="G1335" s="14" t="str">
        <x:v>14:00</x:v>
      </x:c>
      <x:c r="H1335" s="14" t="str">
        <x:v>14:40</x:v>
      </x:c>
      <x:c r="I1335" s="14" t="str">
        <x:v>Türkçe</x:v>
      </x:c>
      <x:c r="J1335" s="14" t="str">
        <x:v>Konu / Tekrar</x:v>
      </x:c>
      <x:c r="K1335" s="14" t="str">
        <x:v>Kaynak Tamamlama / Zayıf Konu</x:v>
      </x:c>
      <x:c r="L1335" s="14" t="str">
        <x:v>Yeni konu açma. En zayıf/açık konunun ilgili playlist videosunu yalnız gerekiyorsa tekrar izle.</x:v>
      </x:c>
      <x:c r="M1335" s="14" t="str">
        <x:v>Türkçe Ana Oynatma Listesi</x:v>
      </x:c>
      <x:c r="N1335" s="14" t="str">
        <x:v>https://www.youtube.com/watch?v=VYsPntNKVdw&amp;list=PLIBjFaUoJJ91bz7QQEBlxNJNZka5YQRr6</x:v>
      </x:c>
      <x:c r="O1335" s="14" t="n">
        <x:v>0</x:v>
      </x:c>
      <x:c r="P1335" s="14" t="str">
        <x:v>Hayır</x:v>
      </x:c>
      <x:c r="Q1335" s="14" t="str">
        <x:v>Evet</x:v>
      </x:c>
      <x:c r="R1335" s="14" t="str">
        <x:v>Planlandı</x:v>
      </x:c>
      <x:c r="S1335" s="15" t="str"/>
      <x:c r="T1335" s="14" t="str">
        <x:v>TYT etiketli kaynak temelden başlamak için sabittir; LGS dışı gereksiz ayrıntı zorunlu değildir.</x:v>
      </x:c>
    </x:row>
    <x:row r="1336">
      <x:c r="A1336" s="14" t="n">
        <x:v>1335</x:v>
      </x:c>
      <x:c r="B1336" s="15" t="n">
        <x:v>46403</x:v>
      </x:c>
      <x:c r="C1336" s="14" t="str">
        <x:v>Cumartesi</x:v>
      </x:c>
      <x:c r="D1336" s="14" t="str">
        <x:v>Hafta Sonu</x:v>
      </x:c>
      <x:c r="E1336" s="14" t="str">
        <x:v>Tam gün</x:v>
      </x:c>
      <x:c r="F1336" s="14" t="str">
        <x:v>F2 - LGS Kapsam + Ustalık</x:v>
      </x:c>
      <x:c r="G1336" s="14" t="str">
        <x:v>14:50</x:v>
      </x:c>
      <x:c r="H1336" s="14" t="str">
        <x:v>15:30</x:v>
      </x:c>
      <x:c r="I1336" s="14" t="str">
        <x:v>Türkçe</x:v>
      </x:c>
      <x:c r="J1336" s="14" t="str">
        <x:v>Kitap / MEB / Mastery</x:v>
      </x:c>
      <x:c r="K1336" s="14" t="str">
        <x:v>Kaynak Tamamlama / Zayıf Konu</x:v>
      </x:c>
      <x:c r="L1336" s="14" t="str">
        <x:v>13 Nisan %100 tamamlama hedefine göre en geride kalan Türkçe soru kaynağını/eksik MEB setini ilerlet; açık yanlışları kapat.</x:v>
      </x:c>
      <x:c r="M1336" s="14" t="str">
        <x:v>Ankara 8. Sınıf Dil Bilgisi Güçlendiren + açık MEB/yanlışlar</x:v>
      </x:c>
      <x:c r="N1336" s="14" t="str">
        <x:v>https://odsgm.meb.gov.tr/www/8sinif-calisma-sorulari/icerik/1632</x:v>
      </x:c>
      <x:c r="O1336" s="14" t="n">
        <x:v>15</x:v>
      </x:c>
      <x:c r="P1336" s="14" t="str">
        <x:v>Hayır</x:v>
      </x:c>
      <x:c r="Q1336" s="14" t="str">
        <x:v>Evet</x:v>
      </x:c>
      <x:c r="R1336" s="14" t="str">
        <x:v>Planlandı</x:v>
      </x:c>
      <x:c r="S1336" s="15" t="str"/>
      <x:c r="T1336" s="14" t="str"/>
    </x:row>
    <x:row r="1337">
      <x:c r="A1337" s="14" t="n">
        <x:v>1336</x:v>
      </x:c>
      <x:c r="B1337" s="15" t="n">
        <x:v>46403</x:v>
      </x:c>
      <x:c r="C1337" s="14" t="str">
        <x:v>Cumartesi</x:v>
      </x:c>
      <x:c r="D1337" s="14" t="str">
        <x:v>Hafta Sonu</x:v>
      </x:c>
      <x:c r="E1337" s="14" t="str">
        <x:v>Tam gün</x:v>
      </x:c>
      <x:c r="F1337" s="14" t="str">
        <x:v>F2 - LGS Kapsam + Ustalık</x:v>
      </x:c>
      <x:c r="G1337" s="14" t="str">
        <x:v>15:45</x:v>
      </x:c>
      <x:c r="H1337" s="14" t="str">
        <x:v>16:25</x:v>
      </x:c>
      <x:c r="I1337" s="14" t="str">
        <x:v>İngilizce</x:v>
      </x:c>
      <x:c r="J1337" s="14" t="str">
        <x:v>Konu / Tekrar</x:v>
      </x:c>
      <x:c r="K1337" s="14" t="str">
        <x:v>Unit 7 - Tourism</x:v>
      </x:c>
      <x:c r="L1337" s="14" t="str">
        <x:v>Unit 7 - Tourism — Worksheet çalışmasını playlistten yap.</x:v>
      </x:c>
      <x:c r="M1337" s="14" t="str">
        <x:v>İngilizce Genel Oynatma Listesi</x:v>
      </x:c>
      <x:c r="N1337" s="14" t="str">
        <x:v>https://www.youtube.com/watch?v=FaY3dFjZbns&amp;list=PLSgpQDrUSYp94WgE9pzpHiOG5FwxnZBrr</x:v>
      </x:c>
      <x:c r="O1337" s="14" t="n">
        <x:v>0</x:v>
      </x:c>
      <x:c r="P1337" s="14" t="str">
        <x:v>Hayır</x:v>
      </x:c>
      <x:c r="Q1337" s="14" t="str">
        <x:v>Evet</x:v>
      </x:c>
      <x:c r="R1337" s="14" t="str">
        <x:v>Planlandı</x:v>
      </x:c>
      <x:c r="S1337" s="15" t="str"/>
      <x:c r="T1337" s="14" t="str"/>
    </x:row>
    <x:row r="1338">
      <x:c r="A1338" s="14" t="n">
        <x:v>1337</x:v>
      </x:c>
      <x:c r="B1338" s="15" t="n">
        <x:v>46403</x:v>
      </x:c>
      <x:c r="C1338" s="14" t="str">
        <x:v>Cumartesi</x:v>
      </x:c>
      <x:c r="D1338" s="14" t="str">
        <x:v>Hafta Sonu</x:v>
      </x:c>
      <x:c r="E1338" s="14" t="str">
        <x:v>Tam gün</x:v>
      </x:c>
      <x:c r="F1338" s="14" t="str">
        <x:v>F2 - LGS Kapsam + Ustalık</x:v>
      </x:c>
      <x:c r="G1338" s="14" t="str">
        <x:v>16:35</x:v>
      </x:c>
      <x:c r="H1338" s="14" t="str">
        <x:v>17:15</x:v>
      </x:c>
      <x:c r="I1338" s="14" t="str">
        <x:v>İngilizce</x:v>
      </x:c>
      <x:c r="J1338" s="14" t="str">
        <x:v>Kitap / MEB / Mastery</x:v>
      </x:c>
      <x:c r="K1338" s="14" t="str">
        <x:v>Unit 7 - Tourism</x:v>
      </x:c>
      <x:c r="L1338" s="14" t="str">
        <x:v>Unit 7 - Tourism ile ilgili soru kitabından en az 18 soru / bugünkü test payını çöz.</x:v>
      </x:c>
      <x:c r="M1338" s="14" t="str">
        <x:v>More &amp; More 8 Worksheets Notebook</x:v>
      </x:c>
      <x:c r="N1338" s="14" t="str">
        <x:v>https://www.youtube.com/watch?v=FaY3dFjZbns&amp;list=PLSgpQDrUSYp94WgE9pzpHiOG5FwxnZBrr</x:v>
      </x:c>
      <x:c r="O1338" s="14" t="n">
        <x:v>18</x:v>
      </x:c>
      <x:c r="P1338" s="14" t="str">
        <x:v>Hayır</x:v>
      </x:c>
      <x:c r="Q1338" s="14" t="str">
        <x:v>Evet</x:v>
      </x:c>
      <x:c r="R1338" s="14" t="str">
        <x:v>Planlandı</x:v>
      </x:c>
      <x:c r="S1338" s="15" t="str"/>
      <x:c r="T1338" s="14" t="str"/>
    </x:row>
    <x:row r="1339">
      <x:c r="A1339" s="14" t="n">
        <x:v>1338</x:v>
      </x:c>
      <x:c r="B1339" s="15" t="n">
        <x:v>46403</x:v>
      </x:c>
      <x:c r="C1339" s="14" t="str">
        <x:v>Cumartesi</x:v>
      </x:c>
      <x:c r="D1339" s="14" t="str">
        <x:v>Hafta Sonu</x:v>
      </x:c>
      <x:c r="E1339" s="14" t="str">
        <x:v>Tam gün</x:v>
      </x:c>
      <x:c r="F1339" s="14" t="str">
        <x:v>F2 - LGS Kapsam + Ustalık</x:v>
      </x:c>
      <x:c r="G1339" s="14" t="str">
        <x:v>17:25</x:v>
      </x:c>
      <x:c r="H1339" s="14" t="str">
        <x:v>17:55</x:v>
      </x:c>
      <x:c r="I1339" s="14" t="str">
        <x:v>Fen</x:v>
      </x:c>
      <x:c r="J1339" s="14" t="str">
        <x:v>Ek Fen Pekiştirme</x:v>
      </x:c>
      <x:c r="K1339" s="14" t="str">
        <x:v>Basit Makineler - Kaldıraçlar</x:v>
      </x:c>
      <x:c r="L1339" s="14" t="str">
        <x:v>Basit Makineler - Kaldıraçlar — Fen konu anlatım playlistinden ilgili videoyu izle.</x:v>
      </x:c>
      <x:c r="M1339" s="14" t="str">
        <x:v>Fen Konu/Soru Oynatma Listesi</x:v>
      </x:c>
      <x:c r="N1339" s="14" t="str">
        <x:v>https://www.youtube.com/watch?v=AHdk01aR4Ko&amp;list=PLrQm7mt99FRV_Oe9xFavWzFpCIl7_XiWj</x:v>
      </x:c>
      <x:c r="O1339" s="14" t="n">
        <x:v>0</x:v>
      </x:c>
      <x:c r="P1339" s="14" t="str">
        <x:v>Hayır</x:v>
      </x:c>
      <x:c r="Q1339" s="14" t="str">
        <x:v>Evet</x:v>
      </x:c>
      <x:c r="R1339" s="14" t="str">
        <x:v>Planlandı</x:v>
      </x:c>
      <x:c r="S1339" s="15" t="str"/>
      <x:c r="T1339" s="14" t="str">
        <x:v>Fen haftalık temas sıklığını artırmak için ek Cumartesi oturumu.</x:v>
      </x:c>
    </x:row>
    <x:row r="1340">
      <x:c r="A1340" s="14" t="n">
        <x:v>1339</x:v>
      </x:c>
      <x:c r="B1340" s="15" t="n">
        <x:v>46403</x:v>
      </x:c>
      <x:c r="C1340" s="14" t="str">
        <x:v>Cumartesi</x:v>
      </x:c>
      <x:c r="D1340" s="14" t="str">
        <x:v>Hafta Sonu</x:v>
      </x:c>
      <x:c r="E1340" s="14" t="str">
        <x:v>Tam gün</x:v>
      </x:c>
      <x:c r="F1340" s="14" t="str">
        <x:v>F2 - LGS Kapsam + Ustalık</x:v>
      </x:c>
      <x:c r="G1340" s="14" t="str">
        <x:v>17:55</x:v>
      </x:c>
      <x:c r="H1340" s="14" t="str">
        <x:v>18:25</x:v>
      </x:c>
      <x:c r="I1340" s="14" t="str">
        <x:v>Fen</x:v>
      </x:c>
      <x:c r="J1340" s="14" t="str">
        <x:v>Ek Fen Kitap / MEB</x:v>
      </x:c>
      <x:c r="K1340" s="14" t="str">
        <x:v>Basit Makineler - Kaldıraçlar</x:v>
      </x:c>
      <x:c r="L1340" s="14" t="str">
        <x:v>Basit Makineler - Kaldıraçlar ile ilgili soru kitabından en az 18 soru / bugünkü test payını çöz.</x:v>
      </x:c>
      <x:c r="M1340" s="14" t="str">
        <x:v>Hız 8. Sınıf Fen (ISBN 9786257514859); tamamlandıysa Mozaik 8. Sınıf Fen</x:v>
      </x:c>
      <x:c r="N1340" s="14" t="str">
        <x:v>https://www.youtube.com/watch?v=AHdk01aR4Ko&amp;list=PLrQm7mt99FRV_Oe9xFavWzFpCIl7_XiWj</x:v>
      </x:c>
      <x:c r="O1340" s="14" t="n">
        <x:v>18</x:v>
      </x:c>
      <x:c r="P1340" s="14" t="str">
        <x:v>Hayır</x:v>
      </x:c>
      <x:c r="Q1340" s="14" t="str">
        <x:v>Evet</x:v>
      </x:c>
      <x:c r="R1340" s="14" t="str">
        <x:v>Planlandı</x:v>
      </x:c>
      <x:c r="S1340" s="15" t="str"/>
      <x:c r="T1340" s="14" t="str">
        <x:v>Fen için Hız → gerekiyorsa Mozaik; MEB doğrulaması konu bitiminde.</x:v>
      </x:c>
    </x:row>
    <x:row r="1341">
      <x:c r="A1341" s="14" t="n">
        <x:v>1340</x:v>
      </x:c>
      <x:c r="B1341" s="15" t="n">
        <x:v>46403</x:v>
      </x:c>
      <x:c r="C1341" s="14" t="str">
        <x:v>Cumartesi</x:v>
      </x:c>
      <x:c r="D1341" s="14" t="str">
        <x:v>Hafta Sonu</x:v>
      </x:c>
      <x:c r="E1341" s="14" t="str">
        <x:v>Tam gün</x:v>
      </x:c>
      <x:c r="F1341" s="14" t="str">
        <x:v>F2 - LGS Kapsam + Ustalık</x:v>
      </x:c>
      <x:c r="G1341" s="14" t="str">
        <x:v>18:25</x:v>
      </x:c>
      <x:c r="H1341" s="14" t="str">
        <x:v>18:45</x:v>
      </x:c>
      <x:c r="I1341" s="14" t="str">
        <x:v>Genel</x:v>
      </x:c>
      <x:c r="J1341" s="14" t="str">
        <x:v>Yanlış / Boş Analizi</x:v>
      </x:c>
      <x:c r="K1341" s="14" t="str">
        <x:v>Günlük</x:v>
      </x:c>
      <x:c r="L1341" s="14" t="str">
        <x:v>Bugünkü yanlış/boşları kaydet; çözümünü öğrenmeden kapatma. Hata türünü sınıflandır.</x:v>
      </x:c>
      <x:c r="M1341" s="14" t="str">
        <x:v>Yanlış Defteri</x:v>
      </x:c>
      <x:c r="N1341" s="14" t="str"/>
      <x:c r="O1341" s="14" t="n">
        <x:v>0</x:v>
      </x:c>
      <x:c r="P1341" s="14" t="str">
        <x:v>Hayır</x:v>
      </x:c>
      <x:c r="Q1341" s="14" t="str">
        <x:v>Evet</x:v>
      </x:c>
      <x:c r="R1341" s="14" t="str">
        <x:v>Planlandı</x:v>
      </x:c>
      <x:c r="S1341" s="15" t="str"/>
      <x:c r="T1341" s="14" t="str"/>
    </x:row>
    <x:row r="1342">
      <x:c r="A1342" s="14" t="n">
        <x:v>1341</x:v>
      </x:c>
      <x:c r="B1342" s="15" t="n">
        <x:v>46403</x:v>
      </x:c>
      <x:c r="C1342" s="14" t="str">
        <x:v>Cumartesi</x:v>
      </x:c>
      <x:c r="D1342" s="14" t="str">
        <x:v>Hafta Sonu</x:v>
      </x:c>
      <x:c r="E1342" s="14" t="str">
        <x:v>Tam gün</x:v>
      </x:c>
      <x:c r="F1342" s="14" t="str">
        <x:v>F2 - LGS Kapsam + Ustalık</x:v>
      </x:c>
      <x:c r="G1342" s="14" t="str">
        <x:v>18:45</x:v>
      </x:c>
      <x:c r="H1342" s="14" t="str">
        <x:v>19:05</x:v>
      </x:c>
      <x:c r="I1342" s="14" t="str">
        <x:v>Genel</x:v>
      </x:c>
      <x:c r="J1342" s="14" t="str">
        <x:v>Aralıklı Hata Tekrarı</x:v>
      </x:c>
      <x:c r="K1342" s="14" t="str">
        <x:v>+1 / +7 / +21</x:v>
      </x:c>
      <x:c r="L1342" s="14" t="str">
        <x:v>Bugün vadesi gelen yanlış soruları tekrar çöz. Vadesi yoksa bu süre serbest/okuma olabilir.</x:v>
      </x:c>
      <x:c r="M1342" s="14" t="str">
        <x:v>Yanlış Defteri</x:v>
      </x:c>
      <x:c r="N1342" s="14" t="str"/>
      <x:c r="O1342" s="14" t="n">
        <x:v>0</x:v>
      </x:c>
      <x:c r="P1342" s="14" t="str">
        <x:v>Hayır</x:v>
      </x:c>
      <x:c r="Q1342" s="14" t="str">
        <x:v>Koşullu</x:v>
      </x:c>
      <x:c r="R1342" s="14" t="str">
        <x:v>Planlandı</x:v>
      </x:c>
      <x:c r="S1342" s="15" t="str"/>
      <x:c r="T1342" s="14" t="str">
        <x:v>Yanlışlar +1, +7 ve +21 gün aralıklarıyla tekrar edilir; hâlâ yanlışsa konu mastery durumu düşürülür.</x:v>
      </x:c>
    </x:row>
    <x:row r="1343">
      <x:c r="A1343" s="14" t="n">
        <x:v>1342</x:v>
      </x:c>
      <x:c r="B1343" s="15" t="n">
        <x:v>46403</x:v>
      </x:c>
      <x:c r="C1343" s="14" t="str">
        <x:v>Cumartesi</x:v>
      </x:c>
      <x:c r="D1343" s="14" t="str">
        <x:v>Hafta Sonu</x:v>
      </x:c>
      <x:c r="E1343" s="14" t="str">
        <x:v>Tam gün</x:v>
      </x:c>
      <x:c r="F1343" s="14" t="str">
        <x:v>F2 - LGS Kapsam + Ustalık</x:v>
      </x:c>
      <x:c r="G1343" s="14" t="str">
        <x:v>20:00</x:v>
      </x:c>
      <x:c r="H1343" s="14" t="str">
        <x:v>20:30</x:v>
      </x:c>
      <x:c r="I1343" s="14" t="str">
        <x:v>Okuma</x:v>
      </x:c>
      <x:c r="J1343" s="14" t="str">
        <x:v>İsteğe Bağlı</x:v>
      </x:c>
      <x:c r="K1343" s="14" t="str">
        <x:v>Serbest Kitap</x:v>
      </x:c>
      <x:c r="L1343" s="14" t="str">
        <x:v>Zorunlu çalışmalar bittiyse isteğe bağlı kitap oku.</x:v>
      </x:c>
      <x:c r="M1343" s="14" t="str">
        <x:v>Serbest Kitap</x:v>
      </x:c>
      <x:c r="N1343" s="14" t="str"/>
      <x:c r="O1343" s="14" t="n">
        <x:v>0</x:v>
      </x:c>
      <x:c r="P1343" s="14" t="str">
        <x:v>İsteğe Bağlı</x:v>
      </x:c>
      <x:c r="Q1343" s="14" t="str">
        <x:v>Hayır</x:v>
      </x:c>
      <x:c r="R1343" s="14" t="str">
        <x:v>Planlandı</x:v>
      </x:c>
      <x:c r="S1343" s="15" t="str"/>
      <x:c r="T1343" s="14" t="str">
        <x:v>Minimum süre yok.</x:v>
      </x:c>
    </x:row>
    <x:row r="1344">
      <x:c r="A1344" s="14" t="n">
        <x:v>1343</x:v>
      </x:c>
      <x:c r="B1344" s="15" t="n">
        <x:v>46403</x:v>
      </x:c>
      <x:c r="C1344" s="14" t="str">
        <x:v>Cumartesi</x:v>
      </x:c>
      <x:c r="D1344" s="14" t="str">
        <x:v>Hafta Sonu</x:v>
      </x:c>
      <x:c r="E1344" s="14" t="str">
        <x:v>Tam gün</x:v>
      </x:c>
      <x:c r="F1344" s="14" t="str">
        <x:v>F2 - LGS Kapsam + Ustalık</x:v>
      </x:c>
      <x:c r="G1344" s="14" t="str">
        <x:v>21:50</x:v>
      </x:c>
      <x:c r="H1344" s="14" t="str">
        <x:v>22:00</x:v>
      </x:c>
      <x:c r="I1344" s="14" t="str">
        <x:v>Genel</x:v>
      </x:c>
      <x:c r="J1344" s="14" t="str">
        <x:v>Uyku Hazırlığı</x:v>
      </x:c>
      <x:c r="K1344" s="14" t="str"/>
      <x:c r="L1344" s="14" t="str">
        <x:v>22:00'de yatakta ve uyku.</x:v>
      </x:c>
      <x:c r="M1344" s="14" t="str"/>
      <x:c r="N1344" s="14" t="str"/>
      <x:c r="O1344" s="14" t="n">
        <x:v>0</x:v>
      </x:c>
      <x:c r="P1344" s="14" t="str">
        <x:v>Hayır</x:v>
      </x:c>
      <x:c r="Q1344" s="14" t="str">
        <x:v>Hayır</x:v>
      </x:c>
      <x:c r="R1344" s="14" t="str">
        <x:v>Planlandı</x:v>
      </x:c>
      <x:c r="S1344" s="15" t="str"/>
      <x:c r="T1344" s="14" t="str"/>
    </x:row>
    <x:row r="1345">
      <x:c r="A1345" s="14" t="n">
        <x:v>1344</x:v>
      </x:c>
      <x:c r="B1345" s="15" t="n">
        <x:v>46404</x:v>
      </x:c>
      <x:c r="C1345" s="14" t="str">
        <x:v>Pazar</x:v>
      </x:c>
      <x:c r="D1345" s="14" t="str">
        <x:v>Hafta Sonu</x:v>
      </x:c>
      <x:c r="E1345" s="14" t="str">
        <x:v>Tam gün</x:v>
      </x:c>
      <x:c r="F1345" s="14" t="str">
        <x:v>F2 - LGS Kapsam + Ustalık</x:v>
      </x:c>
      <x:c r="G1345" s="14" t="str">
        <x:v>09:30</x:v>
      </x:c>
      <x:c r="H1345" s="14" t="str">
        <x:v>10:15</x:v>
      </x:c>
      <x:c r="I1345" s="14" t="str">
        <x:v>Matematik</x:v>
      </x:c>
      <x:c r="J1345" s="14" t="str">
        <x:v>Konu / Tekrar</x:v>
      </x:c>
      <x:c r="K1345" s="14" t="str">
        <x:v>Eşlik ve Benzerlik</x:v>
      </x:c>
      <x:c r="L1345" s="14" t="str">
        <x:v>Eşlik ve Benzerlik — genel oynatma listesinden ilgili videoyu izle (1/3).</x:v>
      </x:c>
      <x:c r="M1345" s="14" t="str">
        <x:v>Matematik Yedek Oynatma Listesi</x:v>
      </x:c>
      <x:c r="N1345" s="14" t="str">
        <x:v>https://www.youtube.com/watch?v=Z7exqEHEqQA&amp;list=PLHN_SjKO7rCI&amp;index=3</x:v>
      </x:c>
      <x:c r="O1345" s="14" t="n">
        <x:v>0</x:v>
      </x:c>
      <x:c r="P1345" s="14" t="str">
        <x:v>Hayır</x:v>
      </x:c>
      <x:c r="Q1345" s="14" t="str">
        <x:v>Evet</x:v>
      </x:c>
      <x:c r="R1345" s="14" t="str">
        <x:v>Planlandı</x:v>
      </x:c>
      <x:c r="S1345" s="15" t="str"/>
      <x:c r="T1345" s="14" t="str">
        <x:v>Yeni konu ancak plan sırasıyla açılır; LGS dışı ileri TYT içeriği zorunlu değildir.</x:v>
      </x:c>
    </x:row>
    <x:row r="1346">
      <x:c r="A1346" s="14" t="n">
        <x:v>1345</x:v>
      </x:c>
      <x:c r="B1346" s="15" t="n">
        <x:v>46404</x:v>
      </x:c>
      <x:c r="C1346" s="14" t="str">
        <x:v>Pazar</x:v>
      </x:c>
      <x:c r="D1346" s="14" t="str">
        <x:v>Hafta Sonu</x:v>
      </x:c>
      <x:c r="E1346" s="14" t="str">
        <x:v>Tam gün</x:v>
      </x:c>
      <x:c r="F1346" s="14" t="str">
        <x:v>F2 - LGS Kapsam + Ustalık</x:v>
      </x:c>
      <x:c r="G1346" s="14" t="str">
        <x:v>10:25</x:v>
      </x:c>
      <x:c r="H1346" s="14" t="str">
        <x:v>11:15</x:v>
      </x:c>
      <x:c r="I1346" s="14" t="str">
        <x:v>Matematik</x:v>
      </x:c>
      <x:c r="J1346" s="14" t="str">
        <x:v>Kitap / MEB / Mastery</x:v>
      </x:c>
      <x:c r="K1346" s="14" t="str">
        <x:v>Eşlik ve Benzerlik</x:v>
      </x:c>
      <x:c r="L1346" s="14" t="str">
        <x:v>Eşlik ve Benzerlik ile ilgili soru kitabından en az 25 soru / bugünkü test payını çöz.</x:v>
      </x:c>
      <x:c r="M1346" s="14" t="str">
        <x:v>MUBA 8. Sınıf Başlangıç Matematik (ISBN 9789756526972); tamamlandıysa Mozaik 8. Sınıf Matematik</x:v>
      </x:c>
      <x:c r="N1346" s="14" t="str">
        <x:v>https://odsgm.meb.gov.tr/www/8sinif-calisma-sorulari/icerik/1632</x:v>
      </x:c>
      <x:c r="O1346" s="14" t="n">
        <x:v>25</x:v>
      </x:c>
      <x:c r="P1346" s="14" t="str">
        <x:v>İlk 20 soru</x:v>
      </x:c>
      <x:c r="Q1346" s="14" t="str">
        <x:v>Evet</x:v>
      </x:c>
      <x:c r="R1346" s="14" t="str">
        <x:v>Planlandı</x:v>
      </x:c>
      <x:c r="S1346" s="15" t="str"/>
      <x:c r="T1346" s="14" t="str">
        <x:v>Ayrı/rastgele matematik benchmark yoktur. Süreli ilk 20 soru o gün çalışılan konunun içindedir.</x:v>
      </x:c>
    </x:row>
    <x:row r="1347">
      <x:c r="A1347" s="14" t="n">
        <x:v>1346</x:v>
      </x:c>
      <x:c r="B1347" s="15" t="n">
        <x:v>46404</x:v>
      </x:c>
      <x:c r="C1347" s="14" t="str">
        <x:v>Pazar</x:v>
      </x:c>
      <x:c r="D1347" s="14" t="str">
        <x:v>Hafta Sonu</x:v>
      </x:c>
      <x:c r="E1347" s="14" t="str">
        <x:v>Tam gün</x:v>
      </x:c>
      <x:c r="F1347" s="14" t="str">
        <x:v>F2 - LGS Kapsam + Ustalık</x:v>
      </x:c>
      <x:c r="G1347" s="14" t="str">
        <x:v>12:00</x:v>
      </x:c>
      <x:c r="H1347" s="14" t="str">
        <x:v>14:00</x:v>
      </x:c>
      <x:c r="I1347" s="14" t="str">
        <x:v>Genel</x:v>
      </x:c>
      <x:c r="J1347" s="14" t="str">
        <x:v>Yemek / Serbest Zaman</x:v>
      </x:c>
      <x:c r="K1347" s="14" t="str"/>
      <x:c r="L1347" s="14" t="str">
        <x:v>Yemek, hareket ve dinlenme.</x:v>
      </x:c>
      <x:c r="M1347" s="14" t="str"/>
      <x:c r="N1347" s="14" t="str"/>
      <x:c r="O1347" s="14" t="n">
        <x:v>0</x:v>
      </x:c>
      <x:c r="P1347" s="14" t="str">
        <x:v>Hayır</x:v>
      </x:c>
      <x:c r="Q1347" s="14" t="str">
        <x:v>Hayır</x:v>
      </x:c>
      <x:c r="R1347" s="14" t="str">
        <x:v>Planlandı</x:v>
      </x:c>
      <x:c r="S1347" s="15" t="str"/>
      <x:c r="T1347" s="14" t="str"/>
    </x:row>
    <x:row r="1348">
      <x:c r="A1348" s="14" t="n">
        <x:v>1347</x:v>
      </x:c>
      <x:c r="B1348" s="15" t="n">
        <x:v>46404</x:v>
      </x:c>
      <x:c r="C1348" s="14" t="str">
        <x:v>Pazar</x:v>
      </x:c>
      <x:c r="D1348" s="14" t="str">
        <x:v>Hafta Sonu</x:v>
      </x:c>
      <x:c r="E1348" s="14" t="str">
        <x:v>Tam gün</x:v>
      </x:c>
      <x:c r="F1348" s="14" t="str">
        <x:v>F2 - LGS Kapsam + Ustalık</x:v>
      </x:c>
      <x:c r="G1348" s="14" t="str">
        <x:v>11:25</x:v>
      </x:c>
      <x:c r="H1348" s="14" t="str">
        <x:v>11:55</x:v>
      </x:c>
      <x:c r="I1348" s="14" t="str">
        <x:v>Türkçe</x:v>
      </x:c>
      <x:c r="J1348" s="14" t="str">
        <x:v>Paragraf Rutini</x:v>
      </x:c>
      <x:c r="K1348" s="14" t="str">
        <x:v>Paragraf</x:v>
      </x:c>
      <x:c r="L1348" s="14" t="str">
        <x:v>En az 25 paragraf sorusu çöz; ilk 20 soruyu ileri sayımla ölç, D/Y/B + süre kaydet.</x:v>
      </x:c>
      <x:c r="M1348" s="14" t="str">
        <x:v>Hız 8. Sınıf Türkçe Paragraf (ISBN 9786258394498)</x:v>
      </x:c>
      <x:c r="N1348" s="14" t="str"/>
      <x:c r="O1348" s="14" t="n">
        <x:v>25</x:v>
      </x:c>
      <x:c r="P1348" s="14" t="str">
        <x:v>İlk 20 soru</x:v>
      </x:c>
      <x:c r="Q1348" s="14" t="str">
        <x:v>Evet</x:v>
      </x:c>
      <x:c r="R1348" s="14" t="str">
        <x:v>Planlandı</x:v>
      </x:c>
      <x:c r="S1348" s="15" t="str"/>
      <x:c r="T1348" s="14" t="str">
        <x:v>Geri sayım ve hedef süre yok.</x:v>
      </x:c>
    </x:row>
    <x:row r="1349">
      <x:c r="A1349" s="14" t="n">
        <x:v>1348</x:v>
      </x:c>
      <x:c r="B1349" s="15" t="n">
        <x:v>46404</x:v>
      </x:c>
      <x:c r="C1349" s="14" t="str">
        <x:v>Pazar</x:v>
      </x:c>
      <x:c r="D1349" s="14" t="str">
        <x:v>Hafta Sonu</x:v>
      </x:c>
      <x:c r="E1349" s="14" t="str">
        <x:v>Tam gün</x:v>
      </x:c>
      <x:c r="F1349" s="14" t="str">
        <x:v>F2 - LGS Kapsam + Ustalık</x:v>
      </x:c>
      <x:c r="G1349" s="14" t="str">
        <x:v>14:00</x:v>
      </x:c>
      <x:c r="H1349" s="14" t="str">
        <x:v>14:40</x:v>
      </x:c>
      <x:c r="I1349" s="14" t="str">
        <x:v>Türkçe</x:v>
      </x:c>
      <x:c r="J1349" s="14" t="str">
        <x:v>Konu / Tekrar</x:v>
      </x:c>
      <x:c r="K1349" s="14" t="str">
        <x:v>Kaynak Tamamlama / Zayıf Konu</x:v>
      </x:c>
      <x:c r="L1349" s="14" t="str">
        <x:v>Yeni konu açma. En zayıf/açık konunun ilgili playlist videosunu yalnız gerekiyorsa tekrar izle.</x:v>
      </x:c>
      <x:c r="M1349" s="14" t="str">
        <x:v>Türkçe Ana Oynatma Listesi</x:v>
      </x:c>
      <x:c r="N1349" s="14" t="str">
        <x:v>https://www.youtube.com/watch?v=VYsPntNKVdw&amp;list=PLIBjFaUoJJ91bz7QQEBlxNJNZka5YQRr6</x:v>
      </x:c>
      <x:c r="O1349" s="14" t="n">
        <x:v>0</x:v>
      </x:c>
      <x:c r="P1349" s="14" t="str">
        <x:v>Hayır</x:v>
      </x:c>
      <x:c r="Q1349" s="14" t="str">
        <x:v>Evet</x:v>
      </x:c>
      <x:c r="R1349" s="14" t="str">
        <x:v>Planlandı</x:v>
      </x:c>
      <x:c r="S1349" s="15" t="str"/>
      <x:c r="T1349" s="14" t="str">
        <x:v>TYT etiketli kaynak temelden başlamak için sabittir; LGS dışı gereksiz ayrıntı zorunlu değildir.</x:v>
      </x:c>
    </x:row>
    <x:row r="1350">
      <x:c r="A1350" s="14" t="n">
        <x:v>1349</x:v>
      </x:c>
      <x:c r="B1350" s="15" t="n">
        <x:v>46404</x:v>
      </x:c>
      <x:c r="C1350" s="14" t="str">
        <x:v>Pazar</x:v>
      </x:c>
      <x:c r="D1350" s="14" t="str">
        <x:v>Hafta Sonu</x:v>
      </x:c>
      <x:c r="E1350" s="14" t="str">
        <x:v>Tam gün</x:v>
      </x:c>
      <x:c r="F1350" s="14" t="str">
        <x:v>F2 - LGS Kapsam + Ustalık</x:v>
      </x:c>
      <x:c r="G1350" s="14" t="str">
        <x:v>14:50</x:v>
      </x:c>
      <x:c r="H1350" s="14" t="str">
        <x:v>15:30</x:v>
      </x:c>
      <x:c r="I1350" s="14" t="str">
        <x:v>Türkçe</x:v>
      </x:c>
      <x:c r="J1350" s="14" t="str">
        <x:v>Kitap / MEB / Mastery</x:v>
      </x:c>
      <x:c r="K1350" s="14" t="str">
        <x:v>Kaynak Tamamlama / Zayıf Konu</x:v>
      </x:c>
      <x:c r="L1350" s="14" t="str">
        <x:v>13 Nisan %100 tamamlama hedefine göre en geride kalan Türkçe soru kaynağını/eksik MEB setini ilerlet; açık yanlışları kapat.</x:v>
      </x:c>
      <x:c r="M1350" s="14" t="str">
        <x:v>Ankara 8. Sınıf Dil Bilgisi Güçlendiren + açık MEB/yanlışlar</x:v>
      </x:c>
      <x:c r="N1350" s="14" t="str">
        <x:v>https://odsgm.meb.gov.tr/www/8sinif-calisma-sorulari/icerik/1632</x:v>
      </x:c>
      <x:c r="O1350" s="14" t="n">
        <x:v>15</x:v>
      </x:c>
      <x:c r="P1350" s="14" t="str">
        <x:v>Hayır</x:v>
      </x:c>
      <x:c r="Q1350" s="14" t="str">
        <x:v>Evet</x:v>
      </x:c>
      <x:c r="R1350" s="14" t="str">
        <x:v>Planlandı</x:v>
      </x:c>
      <x:c r="S1350" s="15" t="str"/>
      <x:c r="T1350" s="14" t="str"/>
    </x:row>
    <x:row r="1351">
      <x:c r="A1351" s="14" t="n">
        <x:v>1350</x:v>
      </x:c>
      <x:c r="B1351" s="15" t="n">
        <x:v>46404</x:v>
      </x:c>
      <x:c r="C1351" s="14" t="str">
        <x:v>Pazar</x:v>
      </x:c>
      <x:c r="D1351" s="14" t="str">
        <x:v>Hafta Sonu</x:v>
      </x:c>
      <x:c r="E1351" s="14" t="str">
        <x:v>Tam gün</x:v>
      </x:c>
      <x:c r="F1351" s="14" t="str">
        <x:v>F2 - LGS Kapsam + Ustalık</x:v>
      </x:c>
      <x:c r="G1351" s="14" t="str">
        <x:v>15:45</x:v>
      </x:c>
      <x:c r="H1351" s="14" t="str">
        <x:v>16:25</x:v>
      </x:c>
      <x:c r="I1351" s="14" t="str">
        <x:v>Fen</x:v>
      </x:c>
      <x:c r="J1351" s="14" t="str">
        <x:v>Konu / Tekrar</x:v>
      </x:c>
      <x:c r="K1351" s="14" t="str">
        <x:v>Basit Makineler - Kaldıraçlar</x:v>
      </x:c>
      <x:c r="L1351" s="14" t="str">
        <x:v>Basit Makineler - Kaldıraçlar — Fen soru çözüm playlistinden ilgili videoyu izle.</x:v>
      </x:c>
      <x:c r="M1351" s="14" t="str">
        <x:v>Fen Soru Çözüm / Tekrar</x:v>
      </x:c>
      <x:c r="N1351" s="14" t="str">
        <x:v>https://www.youtube.com/watch?v=pQXhWnDZ3vM&amp;list=PLrQm7mt99FRXcBnorCttd31HJEvg0En26&amp;index=23</x:v>
      </x:c>
      <x:c r="O1351" s="14" t="n">
        <x:v>0</x:v>
      </x:c>
      <x:c r="P1351" s="14" t="str">
        <x:v>Hayır</x:v>
      </x:c>
      <x:c r="Q1351" s="14" t="str">
        <x:v>Evet</x:v>
      </x:c>
      <x:c r="R1351" s="14" t="str">
        <x:v>Planlandı</x:v>
      </x:c>
      <x:c r="S1351" s="15" t="str"/>
      <x:c r="T1351" s="14" t="str"/>
    </x:row>
    <x:row r="1352">
      <x:c r="A1352" s="14" t="n">
        <x:v>1351</x:v>
      </x:c>
      <x:c r="B1352" s="15" t="n">
        <x:v>46404</x:v>
      </x:c>
      <x:c r="C1352" s="14" t="str">
        <x:v>Pazar</x:v>
      </x:c>
      <x:c r="D1352" s="14" t="str">
        <x:v>Hafta Sonu</x:v>
      </x:c>
      <x:c r="E1352" s="14" t="str">
        <x:v>Tam gün</x:v>
      </x:c>
      <x:c r="F1352" s="14" t="str">
        <x:v>F2 - LGS Kapsam + Ustalık</x:v>
      </x:c>
      <x:c r="G1352" s="14" t="str">
        <x:v>16:35</x:v>
      </x:c>
      <x:c r="H1352" s="14" t="str">
        <x:v>17:15</x:v>
      </x:c>
      <x:c r="I1352" s="14" t="str">
        <x:v>Fen</x:v>
      </x:c>
      <x:c r="J1352" s="14" t="str">
        <x:v>Kitap / MEB / Mastery</x:v>
      </x:c>
      <x:c r="K1352" s="14" t="str">
        <x:v>Basit Makineler - Kaldıraçlar</x:v>
      </x:c>
      <x:c r="L1352" s="14" t="str">
        <x:v>Basit Makineler - Kaldıraçlar ile ilgili soru kitabından en az 18 soru / bugünkü test payını çöz.</x:v>
      </x:c>
      <x:c r="M1352" s="14" t="str">
        <x:v>Hız 8. Sınıf Fen (ISBN 9786257514859); tamamlandıysa Mozaik 8. Sınıf Fen</x:v>
      </x:c>
      <x:c r="N1352" s="14" t="str">
        <x:v>https://www.youtube.com/watch?v=pQXhWnDZ3vM&amp;list=PLrQm7mt99FRXcBnorCttd31HJEvg0En26&amp;index=23</x:v>
      </x:c>
      <x:c r="O1352" s="14" t="n">
        <x:v>18</x:v>
      </x:c>
      <x:c r="P1352" s="14" t="str">
        <x:v>Hayır</x:v>
      </x:c>
      <x:c r="Q1352" s="14" t="str">
        <x:v>Evet</x:v>
      </x:c>
      <x:c r="R1352" s="14" t="str">
        <x:v>Planlandı</x:v>
      </x:c>
      <x:c r="S1352" s="15" t="str"/>
      <x:c r="T1352" s="14" t="str"/>
    </x:row>
    <x:row r="1353">
      <x:c r="A1353" s="14" t="n">
        <x:v>1352</x:v>
      </x:c>
      <x:c r="B1353" s="15" t="n">
        <x:v>46404</x:v>
      </x:c>
      <x:c r="C1353" s="14" t="str">
        <x:v>Pazar</x:v>
      </x:c>
      <x:c r="D1353" s="14" t="str">
        <x:v>Hafta Sonu</x:v>
      </x:c>
      <x:c r="E1353" s="14" t="str">
        <x:v>Tam gün</x:v>
      </x:c>
      <x:c r="F1353" s="14" t="str">
        <x:v>F2 - LGS Kapsam + Ustalık</x:v>
      </x:c>
      <x:c r="G1353" s="14" t="str">
        <x:v>17:25</x:v>
      </x:c>
      <x:c r="H1353" s="14" t="str">
        <x:v>18:25</x:v>
      </x:c>
      <x:c r="I1353" s="14" t="str">
        <x:v>Genel</x:v>
      </x:c>
      <x:c r="J1353" s="14" t="str">
        <x:v>Kaynak Tamamlama</x:v>
      </x:c>
      <x:c r="K1353" s="14" t="str">
        <x:v>En Geride Kalan Kaynak</x:v>
      </x:c>
      <x:c r="L1353" s="14" t="str">
        <x:v>Kaynak_Ilerleme sayfasında hedef yüzdesinin en gerisinde kalan ZORUNLU soru kaynağına 60 dk ayır. Öğrenilmemiş konudan ileri gitme.</x:v>
      </x:c>
      <x:c r="M1353" s="14" t="str">
        <x:v>Kaynak İlerleme</x:v>
      </x:c>
      <x:c r="N1353" s="14" t="str"/>
      <x:c r="O1353" s="14" t="n">
        <x:v>0</x:v>
      </x:c>
      <x:c r="P1353" s="14" t="str">
        <x:v>Hayır</x:v>
      </x:c>
      <x:c r="Q1353" s="14" t="str">
        <x:v>Evet</x:v>
      </x:c>
      <x:c r="R1353" s="14" t="str">
        <x:v>Planlandı</x:v>
      </x:c>
      <x:c r="S1353" s="15" t="str"/>
      <x:c r="T1353" s="14" t="str">
        <x:v>Amaç 13.04.2027'de zorunlu soru kitapları + ilgili MEB setlerini %100 tamamlamak.</x:v>
      </x:c>
    </x:row>
    <x:row r="1354">
      <x:c r="A1354" s="14" t="n">
        <x:v>1353</x:v>
      </x:c>
      <x:c r="B1354" s="15" t="n">
        <x:v>46404</x:v>
      </x:c>
      <x:c r="C1354" s="14" t="str">
        <x:v>Pazar</x:v>
      </x:c>
      <x:c r="D1354" s="14" t="str">
        <x:v>Hafta Sonu</x:v>
      </x:c>
      <x:c r="E1354" s="14" t="str">
        <x:v>Tam gün</x:v>
      </x:c>
      <x:c r="F1354" s="14" t="str">
        <x:v>F2 - LGS Kapsam + Ustalık</x:v>
      </x:c>
      <x:c r="G1354" s="14" t="str">
        <x:v>18:25</x:v>
      </x:c>
      <x:c r="H1354" s="14" t="str">
        <x:v>18:45</x:v>
      </x:c>
      <x:c r="I1354" s="14" t="str">
        <x:v>Genel</x:v>
      </x:c>
      <x:c r="J1354" s="14" t="str">
        <x:v>Yanlış / Boş Analizi</x:v>
      </x:c>
      <x:c r="K1354" s="14" t="str">
        <x:v>Günlük</x:v>
      </x:c>
      <x:c r="L1354" s="14" t="str">
        <x:v>Bugünkü yanlış/boşları kaydet; çözümünü öğrenmeden kapatma. Hata türünü sınıflandır.</x:v>
      </x:c>
      <x:c r="M1354" s="14" t="str">
        <x:v>Yanlış Defteri</x:v>
      </x:c>
      <x:c r="N1354" s="14" t="str"/>
      <x:c r="O1354" s="14" t="n">
        <x:v>0</x:v>
      </x:c>
      <x:c r="P1354" s="14" t="str">
        <x:v>Hayır</x:v>
      </x:c>
      <x:c r="Q1354" s="14" t="str">
        <x:v>Evet</x:v>
      </x:c>
      <x:c r="R1354" s="14" t="str">
        <x:v>Planlandı</x:v>
      </x:c>
      <x:c r="S1354" s="15" t="str"/>
      <x:c r="T1354" s="14" t="str"/>
    </x:row>
    <x:row r="1355">
      <x:c r="A1355" s="14" t="n">
        <x:v>1354</x:v>
      </x:c>
      <x:c r="B1355" s="15" t="n">
        <x:v>46404</x:v>
      </x:c>
      <x:c r="C1355" s="14" t="str">
        <x:v>Pazar</x:v>
      </x:c>
      <x:c r="D1355" s="14" t="str">
        <x:v>Hafta Sonu</x:v>
      </x:c>
      <x:c r="E1355" s="14" t="str">
        <x:v>Tam gün</x:v>
      </x:c>
      <x:c r="F1355" s="14" t="str">
        <x:v>F2 - LGS Kapsam + Ustalık</x:v>
      </x:c>
      <x:c r="G1355" s="14" t="str">
        <x:v>18:45</x:v>
      </x:c>
      <x:c r="H1355" s="14" t="str">
        <x:v>19:05</x:v>
      </x:c>
      <x:c r="I1355" s="14" t="str">
        <x:v>Genel</x:v>
      </x:c>
      <x:c r="J1355" s="14" t="str">
        <x:v>Aralıklı Hata Tekrarı</x:v>
      </x:c>
      <x:c r="K1355" s="14" t="str">
        <x:v>+1 / +7 / +21</x:v>
      </x:c>
      <x:c r="L1355" s="14" t="str">
        <x:v>Bugün vadesi gelen yanlış soruları tekrar çöz. Vadesi yoksa bu süre serbest/okuma olabilir.</x:v>
      </x:c>
      <x:c r="M1355" s="14" t="str">
        <x:v>Yanlış Defteri</x:v>
      </x:c>
      <x:c r="N1355" s="14" t="str"/>
      <x:c r="O1355" s="14" t="n">
        <x:v>0</x:v>
      </x:c>
      <x:c r="P1355" s="14" t="str">
        <x:v>Hayır</x:v>
      </x:c>
      <x:c r="Q1355" s="14" t="str">
        <x:v>Koşullu</x:v>
      </x:c>
      <x:c r="R1355" s="14" t="str">
        <x:v>Planlandı</x:v>
      </x:c>
      <x:c r="S1355" s="15" t="str"/>
      <x:c r="T1355" s="14" t="str">
        <x:v>Yanlışlar +1, +7 ve +21 gün aralıklarıyla tekrar edilir; hâlâ yanlışsa konu mastery durumu düşürülür.</x:v>
      </x:c>
    </x:row>
    <x:row r="1356">
      <x:c r="A1356" s="14" t="n">
        <x:v>1355</x:v>
      </x:c>
      <x:c r="B1356" s="15" t="n">
        <x:v>46404</x:v>
      </x:c>
      <x:c r="C1356" s="14" t="str">
        <x:v>Pazar</x:v>
      </x:c>
      <x:c r="D1356" s="14" t="str">
        <x:v>Hafta Sonu</x:v>
      </x:c>
      <x:c r="E1356" s="14" t="str">
        <x:v>Tam gün</x:v>
      </x:c>
      <x:c r="F1356" s="14" t="str">
        <x:v>F2 - LGS Kapsam + Ustalık</x:v>
      </x:c>
      <x:c r="G1356" s="14" t="str">
        <x:v>20:00</x:v>
      </x:c>
      <x:c r="H1356" s="14" t="str">
        <x:v>20:30</x:v>
      </x:c>
      <x:c r="I1356" s="14" t="str">
        <x:v>Okuma</x:v>
      </x:c>
      <x:c r="J1356" s="14" t="str">
        <x:v>İsteğe Bağlı</x:v>
      </x:c>
      <x:c r="K1356" s="14" t="str">
        <x:v>Serbest Kitap</x:v>
      </x:c>
      <x:c r="L1356" s="14" t="str">
        <x:v>Zorunlu çalışmalar bittiyse isteğe bağlı kitap oku.</x:v>
      </x:c>
      <x:c r="M1356" s="14" t="str">
        <x:v>Serbest Kitap</x:v>
      </x:c>
      <x:c r="N1356" s="14" t="str"/>
      <x:c r="O1356" s="14" t="n">
        <x:v>0</x:v>
      </x:c>
      <x:c r="P1356" s="14" t="str">
        <x:v>İsteğe Bağlı</x:v>
      </x:c>
      <x:c r="Q1356" s="14" t="str">
        <x:v>Hayır</x:v>
      </x:c>
      <x:c r="R1356" s="14" t="str">
        <x:v>Planlandı</x:v>
      </x:c>
      <x:c r="S1356" s="15" t="str"/>
      <x:c r="T1356" s="14" t="str">
        <x:v>Minimum süre yok.</x:v>
      </x:c>
    </x:row>
    <x:row r="1357">
      <x:c r="A1357" s="14" t="n">
        <x:v>1356</x:v>
      </x:c>
      <x:c r="B1357" s="15" t="n">
        <x:v>46404</x:v>
      </x:c>
      <x:c r="C1357" s="14" t="str">
        <x:v>Pazar</x:v>
      </x:c>
      <x:c r="D1357" s="14" t="str">
        <x:v>Hafta Sonu</x:v>
      </x:c>
      <x:c r="E1357" s="14" t="str">
        <x:v>Tam gün</x:v>
      </x:c>
      <x:c r="F1357" s="14" t="str">
        <x:v>F2 - LGS Kapsam + Ustalık</x:v>
      </x:c>
      <x:c r="G1357" s="14" t="str">
        <x:v>21:50</x:v>
      </x:c>
      <x:c r="H1357" s="14" t="str">
        <x:v>22:00</x:v>
      </x:c>
      <x:c r="I1357" s="14" t="str">
        <x:v>Genel</x:v>
      </x:c>
      <x:c r="J1357" s="14" t="str">
        <x:v>Uyku Hazırlığı</x:v>
      </x:c>
      <x:c r="K1357" s="14" t="str"/>
      <x:c r="L1357" s="14" t="str">
        <x:v>22:00'de yatakta ve uyku.</x:v>
      </x:c>
      <x:c r="M1357" s="14" t="str"/>
      <x:c r="N1357" s="14" t="str"/>
      <x:c r="O1357" s="14" t="n">
        <x:v>0</x:v>
      </x:c>
      <x:c r="P1357" s="14" t="str">
        <x:v>Hayır</x:v>
      </x:c>
      <x:c r="Q1357" s="14" t="str">
        <x:v>Hayır</x:v>
      </x:c>
      <x:c r="R1357" s="14" t="str">
        <x:v>Planlandı</x:v>
      </x:c>
      <x:c r="S1357" s="15" t="str"/>
      <x:c r="T1357" s="14" t="str"/>
    </x:row>
    <x:row r="1358">
      <x:c r="A1358" s="14" t="n">
        <x:v>1357</x:v>
      </x:c>
      <x:c r="B1358" s="15" t="n">
        <x:v>46405</x:v>
      </x:c>
      <x:c r="C1358" s="14" t="str">
        <x:v>Pazartesi</x:v>
      </x:c>
      <x:c r="D1358" s="14" t="str">
        <x:v>Okul Günü</x:v>
      </x:c>
      <x:c r="E1358" s="14" t="str">
        <x:v>16:00 sonrası</x:v>
      </x:c>
      <x:c r="F1358" s="14" t="str">
        <x:v>F2 - LGS Kapsam + Ustalık</x:v>
      </x:c>
      <x:c r="G1358" s="14" t="str">
        <x:v>16:00</x:v>
      </x:c>
      <x:c r="H1358" s="14" t="str">
        <x:v>16:25</x:v>
      </x:c>
      <x:c r="I1358" s="14" t="str">
        <x:v>Genel</x:v>
      </x:c>
      <x:c r="J1358" s="14" t="str">
        <x:v>Dinlenme</x:v>
      </x:c>
      <x:c r="K1358" s="14" t="str"/>
      <x:c r="L1358" s="14" t="str">
        <x:v>Eve geliş, atıştırma ve dinlenme.</x:v>
      </x:c>
      <x:c r="M1358" s="14" t="str"/>
      <x:c r="N1358" s="14" t="str"/>
      <x:c r="O1358" s="14" t="n">
        <x:v>0</x:v>
      </x:c>
      <x:c r="P1358" s="14" t="str">
        <x:v>Hayır</x:v>
      </x:c>
      <x:c r="Q1358" s="14" t="str">
        <x:v>Hayır</x:v>
      </x:c>
      <x:c r="R1358" s="14" t="str">
        <x:v>Planlandı</x:v>
      </x:c>
      <x:c r="S1358" s="15" t="str"/>
      <x:c r="T1358" s="14" t="str"/>
    </x:row>
    <x:row r="1359">
      <x:c r="A1359" s="14" t="n">
        <x:v>1358</x:v>
      </x:c>
      <x:c r="B1359" s="15" t="n">
        <x:v>46405</x:v>
      </x:c>
      <x:c r="C1359" s="14" t="str">
        <x:v>Pazartesi</x:v>
      </x:c>
      <x:c r="D1359" s="14" t="str">
        <x:v>Okul Günü</x:v>
      </x:c>
      <x:c r="E1359" s="14" t="str">
        <x:v>16:00 sonrası</x:v>
      </x:c>
      <x:c r="F1359" s="14" t="str">
        <x:v>F2 - LGS Kapsam + Ustalık</x:v>
      </x:c>
      <x:c r="G1359" s="14" t="str">
        <x:v>16:25</x:v>
      </x:c>
      <x:c r="H1359" s="14" t="str">
        <x:v>17:05</x:v>
      </x:c>
      <x:c r="I1359" s="14" t="str">
        <x:v>Matematik</x:v>
      </x:c>
      <x:c r="J1359" s="14" t="str">
        <x:v>Konu / Tekrar</x:v>
      </x:c>
      <x:c r="K1359" s="14" t="str">
        <x:v>Eşlik ve Benzerlik</x:v>
      </x:c>
      <x:c r="L1359" s="14" t="str">
        <x:v>Eşlik ve Benzerlik — genel oynatma listesinden ilgili videoyu izle (2/3).</x:v>
      </x:c>
      <x:c r="M1359" s="14" t="str">
        <x:v>Matematik Yedek Oynatma Listesi</x:v>
      </x:c>
      <x:c r="N1359" s="14" t="str">
        <x:v>https://www.youtube.com/watch?v=Z7exqEHEqQA&amp;list=PLHN_SjKO7rCI&amp;index=3</x:v>
      </x:c>
      <x:c r="O1359" s="14" t="n">
        <x:v>0</x:v>
      </x:c>
      <x:c r="P1359" s="14" t="str">
        <x:v>Hayır</x:v>
      </x:c>
      <x:c r="Q1359" s="14" t="str">
        <x:v>Evet</x:v>
      </x:c>
      <x:c r="R1359" s="14" t="str">
        <x:v>Planlandı</x:v>
      </x:c>
      <x:c r="S1359" s="15" t="str"/>
      <x:c r="T1359" s="14" t="str">
        <x:v>Yeni konu ancak plan sırasıyla açılır; LGS dışı ileri TYT içeriği zorunlu değildir.</x:v>
      </x:c>
    </x:row>
    <x:row r="1360">
      <x:c r="A1360" s="14" t="n">
        <x:v>1359</x:v>
      </x:c>
      <x:c r="B1360" s="15" t="n">
        <x:v>46405</x:v>
      </x:c>
      <x:c r="C1360" s="14" t="str">
        <x:v>Pazartesi</x:v>
      </x:c>
      <x:c r="D1360" s="14" t="str">
        <x:v>Okul Günü</x:v>
      </x:c>
      <x:c r="E1360" s="14" t="str">
        <x:v>16:00 sonrası</x:v>
      </x:c>
      <x:c r="F1360" s="14" t="str">
        <x:v>F2 - LGS Kapsam + Ustalık</x:v>
      </x:c>
      <x:c r="G1360" s="14" t="str">
        <x:v>17:10</x:v>
      </x:c>
      <x:c r="H1360" s="14" t="str">
        <x:v>17:55</x:v>
      </x:c>
      <x:c r="I1360" s="14" t="str">
        <x:v>Matematik</x:v>
      </x:c>
      <x:c r="J1360" s="14" t="str">
        <x:v>Kitap / MEB / Mastery</x:v>
      </x:c>
      <x:c r="K1360" s="14" t="str">
        <x:v>Eşlik ve Benzerlik</x:v>
      </x:c>
      <x:c r="L1360" s="14" t="str">
        <x:v>Eşlik ve Benzerlik ile ilgili soru kitabından en az 25 soru / bugünkü test payını çöz.</x:v>
      </x:c>
      <x:c r="M1360" s="14" t="str">
        <x:v>MUBA 8. Sınıf Başlangıç Matematik (ISBN 9789756526972); tamamlandıysa Mozaik 8. Sınıf Matematik</x:v>
      </x:c>
      <x:c r="N1360" s="14" t="str">
        <x:v>https://odsgm.meb.gov.tr/www/8sinif-calisma-sorulari/icerik/1632</x:v>
      </x:c>
      <x:c r="O1360" s="14" t="n">
        <x:v>25</x:v>
      </x:c>
      <x:c r="P1360" s="14" t="str">
        <x:v>İlk 20 soru</x:v>
      </x:c>
      <x:c r="Q1360" s="14" t="str">
        <x:v>Evet</x:v>
      </x:c>
      <x:c r="R1360" s="14" t="str">
        <x:v>Planlandı</x:v>
      </x:c>
      <x:c r="S1360" s="15" t="str"/>
      <x:c r="T1360" s="14" t="str">
        <x:v>Ayrı/rastgele matematik benchmark yoktur. Süreli ilk 20 soru o gün çalışılan konunun içindedir.</x:v>
      </x:c>
    </x:row>
    <x:row r="1361">
      <x:c r="A1361" s="14" t="n">
        <x:v>1360</x:v>
      </x:c>
      <x:c r="B1361" s="15" t="n">
        <x:v>46405</x:v>
      </x:c>
      <x:c r="C1361" s="14" t="str">
        <x:v>Pazartesi</x:v>
      </x:c>
      <x:c r="D1361" s="14" t="str">
        <x:v>Okul Günü</x:v>
      </x:c>
      <x:c r="E1361" s="14" t="str">
        <x:v>16:00 sonrası</x:v>
      </x:c>
      <x:c r="F1361" s="14" t="str">
        <x:v>F2 - LGS Kapsam + Ustalık</x:v>
      </x:c>
      <x:c r="G1361" s="14" t="str">
        <x:v>17:55</x:v>
      </x:c>
      <x:c r="H1361" s="14" t="str">
        <x:v>18:25</x:v>
      </x:c>
      <x:c r="I1361" s="14" t="str">
        <x:v>Genel</x:v>
      </x:c>
      <x:c r="J1361" s="14" t="str">
        <x:v>Yemek / Serbest Zaman</x:v>
      </x:c>
      <x:c r="K1361" s="14" t="str"/>
      <x:c r="L1361" s="14" t="str">
        <x:v>Yemek, hareket ve dinlenme.</x:v>
      </x:c>
      <x:c r="M1361" s="14" t="str"/>
      <x:c r="N1361" s="14" t="str"/>
      <x:c r="O1361" s="14" t="n">
        <x:v>0</x:v>
      </x:c>
      <x:c r="P1361" s="14" t="str">
        <x:v>Hayır</x:v>
      </x:c>
      <x:c r="Q1361" s="14" t="str">
        <x:v>Hayır</x:v>
      </x:c>
      <x:c r="R1361" s="14" t="str">
        <x:v>Planlandı</x:v>
      </x:c>
      <x:c r="S1361" s="15" t="str"/>
      <x:c r="T1361" s="14" t="str"/>
    </x:row>
    <x:row r="1362">
      <x:c r="A1362" s="14" t="n">
        <x:v>1361</x:v>
      </x:c>
      <x:c r="B1362" s="15" t="n">
        <x:v>46405</x:v>
      </x:c>
      <x:c r="C1362" s="14" t="str">
        <x:v>Pazartesi</x:v>
      </x:c>
      <x:c r="D1362" s="14" t="str">
        <x:v>Okul Günü</x:v>
      </x:c>
      <x:c r="E1362" s="14" t="str">
        <x:v>16:00 sonrası</x:v>
      </x:c>
      <x:c r="F1362" s="14" t="str">
        <x:v>F2 - LGS Kapsam + Ustalık</x:v>
      </x:c>
      <x:c r="G1362" s="14" t="str">
        <x:v>18:25</x:v>
      </x:c>
      <x:c r="H1362" s="14" t="str">
        <x:v>18:55</x:v>
      </x:c>
      <x:c r="I1362" s="14" t="str">
        <x:v>Türkçe</x:v>
      </x:c>
      <x:c r="J1362" s="14" t="str">
        <x:v>Paragraf Rutini</x:v>
      </x:c>
      <x:c r="K1362" s="14" t="str">
        <x:v>Paragraf</x:v>
      </x:c>
      <x:c r="L1362" s="14" t="str">
        <x:v>En az 25 paragraf sorusu çöz; ilk 20 soruyu ileri sayımla ölç, D/Y/B + süre kaydet.</x:v>
      </x:c>
      <x:c r="M1362" s="14" t="str">
        <x:v>Hız 8. Sınıf Türkçe Paragraf (ISBN 9786258394498)</x:v>
      </x:c>
      <x:c r="N1362" s="14" t="str"/>
      <x:c r="O1362" s="14" t="n">
        <x:v>25</x:v>
      </x:c>
      <x:c r="P1362" s="14" t="str">
        <x:v>İlk 20 soru</x:v>
      </x:c>
      <x:c r="Q1362" s="14" t="str">
        <x:v>Evet</x:v>
      </x:c>
      <x:c r="R1362" s="14" t="str">
        <x:v>Planlandı</x:v>
      </x:c>
      <x:c r="S1362" s="15" t="str"/>
      <x:c r="T1362" s="14" t="str">
        <x:v>Geri sayım ve hedef süre yok.</x:v>
      </x:c>
    </x:row>
    <x:row r="1363">
      <x:c r="A1363" s="14" t="n">
        <x:v>1362</x:v>
      </x:c>
      <x:c r="B1363" s="15" t="n">
        <x:v>46405</x:v>
      </x:c>
      <x:c r="C1363" s="14" t="str">
        <x:v>Pazartesi</x:v>
      </x:c>
      <x:c r="D1363" s="14" t="str">
        <x:v>Okul Günü</x:v>
      </x:c>
      <x:c r="E1363" s="14" t="str">
        <x:v>16:00 sonrası</x:v>
      </x:c>
      <x:c r="F1363" s="14" t="str">
        <x:v>F2 - LGS Kapsam + Ustalık</x:v>
      </x:c>
      <x:c r="G1363" s="14" t="str">
        <x:v>19:00</x:v>
      </x:c>
      <x:c r="H1363" s="14" t="str">
        <x:v>19:35</x:v>
      </x:c>
      <x:c r="I1363" s="14" t="str">
        <x:v>Türkçe</x:v>
      </x:c>
      <x:c r="J1363" s="14" t="str">
        <x:v>Konu / Tekrar</x:v>
      </x:c>
      <x:c r="K1363" s="14" t="str">
        <x:v>Kaynak Tamamlama / Zayıf Konu</x:v>
      </x:c>
      <x:c r="L1363" s="14" t="str">
        <x:v>Yeni konu açma. En zayıf/açık konunun ilgili playlist videosunu yalnız gerekiyorsa tekrar izle.</x:v>
      </x:c>
      <x:c r="M1363" s="14" t="str">
        <x:v>Türkçe Ana Oynatma Listesi</x:v>
      </x:c>
      <x:c r="N1363" s="14" t="str">
        <x:v>https://www.youtube.com/watch?v=VYsPntNKVdw&amp;list=PLIBjFaUoJJ91bz7QQEBlxNJNZka5YQRr6</x:v>
      </x:c>
      <x:c r="O1363" s="14" t="n">
        <x:v>0</x:v>
      </x:c>
      <x:c r="P1363" s="14" t="str">
        <x:v>Hayır</x:v>
      </x:c>
      <x:c r="Q1363" s="14" t="str">
        <x:v>Evet</x:v>
      </x:c>
      <x:c r="R1363" s="14" t="str">
        <x:v>Planlandı</x:v>
      </x:c>
      <x:c r="S1363" s="15" t="str"/>
      <x:c r="T1363" s="14" t="str">
        <x:v>TYT etiketli kaynak temelden başlamak için sabittir; LGS dışı gereksiz ayrıntı zorunlu değildir.</x:v>
      </x:c>
    </x:row>
    <x:row r="1364">
      <x:c r="A1364" s="14" t="n">
        <x:v>1363</x:v>
      </x:c>
      <x:c r="B1364" s="15" t="n">
        <x:v>46405</x:v>
      </x:c>
      <x:c r="C1364" s="14" t="str">
        <x:v>Pazartesi</x:v>
      </x:c>
      <x:c r="D1364" s="14" t="str">
        <x:v>Okul Günü</x:v>
      </x:c>
      <x:c r="E1364" s="14" t="str">
        <x:v>16:00 sonrası</x:v>
      </x:c>
      <x:c r="F1364" s="14" t="str">
        <x:v>F2 - LGS Kapsam + Ustalık</x:v>
      </x:c>
      <x:c r="G1364" s="14" t="str">
        <x:v>19:40</x:v>
      </x:c>
      <x:c r="H1364" s="14" t="str">
        <x:v>20:10</x:v>
      </x:c>
      <x:c r="I1364" s="14" t="str">
        <x:v>Türkçe</x:v>
      </x:c>
      <x:c r="J1364" s="14" t="str">
        <x:v>Kitap / MEB / Mastery</x:v>
      </x:c>
      <x:c r="K1364" s="14" t="str">
        <x:v>Kaynak Tamamlama / Zayıf Konu</x:v>
      </x:c>
      <x:c r="L1364" s="14" t="str">
        <x:v>13 Nisan %100 tamamlama hedefine göre en geride kalan Türkçe soru kaynağını/eksik MEB setini ilerlet; açık yanlışları kapat.</x:v>
      </x:c>
      <x:c r="M1364" s="14" t="str">
        <x:v>Ankara 8. Sınıf Dil Bilgisi Güçlendiren + açık MEB/yanlışlar</x:v>
      </x:c>
      <x:c r="N1364" s="14" t="str">
        <x:v>https://odsgm.meb.gov.tr/www/8sinif-calisma-sorulari/icerik/1632</x:v>
      </x:c>
      <x:c r="O1364" s="14" t="n">
        <x:v>15</x:v>
      </x:c>
      <x:c r="P1364" s="14" t="str">
        <x:v>Hayır</x:v>
      </x:c>
      <x:c r="Q1364" s="14" t="str">
        <x:v>Evet</x:v>
      </x:c>
      <x:c r="R1364" s="14" t="str">
        <x:v>Planlandı</x:v>
      </x:c>
      <x:c r="S1364" s="15" t="str"/>
      <x:c r="T1364" s="14" t="str"/>
    </x:row>
    <x:row r="1365">
      <x:c r="A1365" s="14" t="n">
        <x:v>1364</x:v>
      </x:c>
      <x:c r="B1365" s="15" t="n">
        <x:v>46405</x:v>
      </x:c>
      <x:c r="C1365" s="14" t="str">
        <x:v>Pazartesi</x:v>
      </x:c>
      <x:c r="D1365" s="14" t="str">
        <x:v>Okul Günü</x:v>
      </x:c>
      <x:c r="E1365" s="14" t="str">
        <x:v>16:00 sonrası</x:v>
      </x:c>
      <x:c r="F1365" s="14" t="str">
        <x:v>F2 - LGS Kapsam + Ustalık</x:v>
      </x:c>
      <x:c r="G1365" s="14" t="str">
        <x:v>20:15</x:v>
      </x:c>
      <x:c r="H1365" s="14" t="str">
        <x:v>20:50</x:v>
      </x:c>
      <x:c r="I1365" s="14" t="str">
        <x:v>Din</x:v>
      </x:c>
      <x:c r="J1365" s="14" t="str">
        <x:v>Konu / Tekrar</x:v>
      </x:c>
      <x:c r="K1365" s="14" t="str">
        <x:v>Kur’an-ı Kerim ve Özellikleri</x:v>
      </x:c>
      <x:c r="L1365" s="14" t="str">
        <x:v>Kur’an-ı Kerim ve Özellikleri — genel oynatma listesinden ilgili konu/soru çalışmasını yap.</x:v>
      </x:c>
      <x:c r="M1365" s="14" t="str">
        <x:v>Din Genel Oynatma Listesi</x:v>
      </x:c>
      <x:c r="N1365" s="14" t="str">
        <x:v>https://www.youtube.com/watch?v=wvdOE_75VnA&amp;list=PLbRoPq-Zu-SWXGUbVt4t4UWo-4VjsMUo-&amp;index=2</x:v>
      </x:c>
      <x:c r="O1365" s="14" t="n">
        <x:v>0</x:v>
      </x:c>
      <x:c r="P1365" s="14" t="str">
        <x:v>Hayır</x:v>
      </x:c>
      <x:c r="Q1365" s="14" t="str">
        <x:v>Evet</x:v>
      </x:c>
      <x:c r="R1365" s="14" t="str">
        <x:v>Planlandı</x:v>
      </x:c>
      <x:c r="S1365" s="15" t="str"/>
      <x:c r="T1365" s="14" t="str"/>
    </x:row>
    <x:row r="1366">
      <x:c r="A1366" s="14" t="n">
        <x:v>1365</x:v>
      </x:c>
      <x:c r="B1366" s="15" t="n">
        <x:v>46405</x:v>
      </x:c>
      <x:c r="C1366" s="14" t="str">
        <x:v>Pazartesi</x:v>
      </x:c>
      <x:c r="D1366" s="14" t="str">
        <x:v>Okul Günü</x:v>
      </x:c>
      <x:c r="E1366" s="14" t="str">
        <x:v>16:00 sonrası</x:v>
      </x:c>
      <x:c r="F1366" s="14" t="str">
        <x:v>F2 - LGS Kapsam + Ustalık</x:v>
      </x:c>
      <x:c r="G1366" s="14" t="str">
        <x:v>20:55</x:v>
      </x:c>
      <x:c r="H1366" s="14" t="str">
        <x:v>21:20</x:v>
      </x:c>
      <x:c r="I1366" s="14" t="str">
        <x:v>Din</x:v>
      </x:c>
      <x:c r="J1366" s="14" t="str">
        <x:v>Kitap / MEB / Mastery</x:v>
      </x:c>
      <x:c r="K1366" s="14" t="str">
        <x:v>Kur’an-ı Kerim ve Özellikleri</x:v>
      </x:c>
      <x:c r="L1366" s="14" t="str">
        <x:v>Kur’an-ı Kerim ve Özellikleri ile ilgili soru kitabından en az 18 soru / bugünkü test payını çöz.</x:v>
      </x:c>
      <x:c r="M1366" s="14" t="str">
        <x:v>Hız 8. Sınıf Din Kültürü ve Ahlak Bilgisi</x:v>
      </x:c>
      <x:c r="N1366" s="14" t="str">
        <x:v>https://www.youtube.com/watch?v=wvdOE_75VnA&amp;list=PLbRoPq-Zu-SWXGUbVt4t4UWo-4VjsMUo-&amp;index=2</x:v>
      </x:c>
      <x:c r="O1366" s="14" t="n">
        <x:v>18</x:v>
      </x:c>
      <x:c r="P1366" s="14" t="str">
        <x:v>Hayır</x:v>
      </x:c>
      <x:c r="Q1366" s="14" t="str">
        <x:v>Evet</x:v>
      </x:c>
      <x:c r="R1366" s="14" t="str">
        <x:v>Planlandı</x:v>
      </x:c>
      <x:c r="S1366" s="15" t="str"/>
      <x:c r="T1366" s="14" t="str"/>
    </x:row>
    <x:row r="1367">
      <x:c r="A1367" s="14" t="n">
        <x:v>1366</x:v>
      </x:c>
      <x:c r="B1367" s="15" t="n">
        <x:v>46405</x:v>
      </x:c>
      <x:c r="C1367" s="14" t="str">
        <x:v>Pazartesi</x:v>
      </x:c>
      <x:c r="D1367" s="14" t="str">
        <x:v>Okul Günü</x:v>
      </x:c>
      <x:c r="E1367" s="14" t="str">
        <x:v>16:00 sonrası</x:v>
      </x:c>
      <x:c r="F1367" s="14" t="str">
        <x:v>F2 - LGS Kapsam + Ustalık</x:v>
      </x:c>
      <x:c r="G1367" s="14" t="str">
        <x:v>21:20</x:v>
      </x:c>
      <x:c r="H1367" s="14" t="str">
        <x:v>21:35</x:v>
      </x:c>
      <x:c r="I1367" s="14" t="str">
        <x:v>Genel</x:v>
      </x:c>
      <x:c r="J1367" s="14" t="str">
        <x:v>Yanlış / Boş Analizi</x:v>
      </x:c>
      <x:c r="K1367" s="14" t="str">
        <x:v>Günlük</x:v>
      </x:c>
      <x:c r="L1367" s="14" t="str">
        <x:v>Bugünkü yanlış/boşları kaydet; çözümünü öğrenmeden kapatma. Hata türünü sınıflandır.</x:v>
      </x:c>
      <x:c r="M1367" s="14" t="str">
        <x:v>Yanlış Defteri</x:v>
      </x:c>
      <x:c r="N1367" s="14" t="str"/>
      <x:c r="O1367" s="14" t="n">
        <x:v>0</x:v>
      </x:c>
      <x:c r="P1367" s="14" t="str">
        <x:v>Hayır</x:v>
      </x:c>
      <x:c r="Q1367" s="14" t="str">
        <x:v>Evet</x:v>
      </x:c>
      <x:c r="R1367" s="14" t="str">
        <x:v>Planlandı</x:v>
      </x:c>
      <x:c r="S1367" s="15" t="str"/>
      <x:c r="T1367" s="14" t="str"/>
    </x:row>
    <x:row r="1368">
      <x:c r="A1368" s="14" t="n">
        <x:v>1367</x:v>
      </x:c>
      <x:c r="B1368" s="15" t="n">
        <x:v>46405</x:v>
      </x:c>
      <x:c r="C1368" s="14" t="str">
        <x:v>Pazartesi</x:v>
      </x:c>
      <x:c r="D1368" s="14" t="str">
        <x:v>Okul Günü</x:v>
      </x:c>
      <x:c r="E1368" s="14" t="str">
        <x:v>16:00 sonrası</x:v>
      </x:c>
      <x:c r="F1368" s="14" t="str">
        <x:v>F2 - LGS Kapsam + Ustalık</x:v>
      </x:c>
      <x:c r="G1368" s="14" t="str">
        <x:v>21:35</x:v>
      </x:c>
      <x:c r="H1368" s="14" t="str">
        <x:v>21:50</x:v>
      </x:c>
      <x:c r="I1368" s="14" t="str">
        <x:v>Genel</x:v>
      </x:c>
      <x:c r="J1368" s="14" t="str">
        <x:v>Aralıklı Hata Tekrarı</x:v>
      </x:c>
      <x:c r="K1368" s="14" t="str">
        <x:v>+1 / +7 / +21</x:v>
      </x:c>
      <x:c r="L1368" s="14" t="str">
        <x:v>Bugün vadesi gelen yanlış soruları tekrar çöz. Vadesi yoksa bu süre serbest/okuma olabilir.</x:v>
      </x:c>
      <x:c r="M1368" s="14" t="str">
        <x:v>Yanlış Defteri</x:v>
      </x:c>
      <x:c r="N1368" s="14" t="str"/>
      <x:c r="O1368" s="14" t="n">
        <x:v>0</x:v>
      </x:c>
      <x:c r="P1368" s="14" t="str">
        <x:v>Hayır</x:v>
      </x:c>
      <x:c r="Q1368" s="14" t="str">
        <x:v>Koşullu</x:v>
      </x:c>
      <x:c r="R1368" s="14" t="str">
        <x:v>Planlandı</x:v>
      </x:c>
      <x:c r="S1368" s="15" t="str"/>
      <x:c r="T1368" s="14" t="str">
        <x:v>Yanlışlar +1, +7 ve +21 gün aralıklarıyla tekrar edilir; hâlâ yanlışsa konu mastery durumu düşürülür.</x:v>
      </x:c>
    </x:row>
    <x:row r="1369">
      <x:c r="A1369" s="14" t="n">
        <x:v>1368</x:v>
      </x:c>
      <x:c r="B1369" s="15" t="n">
        <x:v>46405</x:v>
      </x:c>
      <x:c r="C1369" s="14" t="str">
        <x:v>Pazartesi</x:v>
      </x:c>
      <x:c r="D1369" s="14" t="str">
        <x:v>Okul Günü</x:v>
      </x:c>
      <x:c r="E1369" s="14" t="str">
        <x:v>16:00 sonrası</x:v>
      </x:c>
      <x:c r="F1369" s="14" t="str">
        <x:v>F2 - LGS Kapsam + Ustalık</x:v>
      </x:c>
      <x:c r="G1369" s="14" t="str">
        <x:v>21:50</x:v>
      </x:c>
      <x:c r="H1369" s="14" t="str">
        <x:v>22:00</x:v>
      </x:c>
      <x:c r="I1369" s="14" t="str">
        <x:v>Genel</x:v>
      </x:c>
      <x:c r="J1369" s="14" t="str">
        <x:v>Uyku Hazırlığı</x:v>
      </x:c>
      <x:c r="K1369" s="14" t="str"/>
      <x:c r="L1369" s="14" t="str">
        <x:v>22:00'de yatakta ve uyku.</x:v>
      </x:c>
      <x:c r="M1369" s="14" t="str"/>
      <x:c r="N1369" s="14" t="str"/>
      <x:c r="O1369" s="14" t="n">
        <x:v>0</x:v>
      </x:c>
      <x:c r="P1369" s="14" t="str">
        <x:v>Hayır</x:v>
      </x:c>
      <x:c r="Q1369" s="14" t="str">
        <x:v>Hayır</x:v>
      </x:c>
      <x:c r="R1369" s="14" t="str">
        <x:v>Planlandı</x:v>
      </x:c>
      <x:c r="S1369" s="15" t="str"/>
      <x:c r="T1369" s="14" t="str"/>
    </x:row>
    <x:row r="1370">
      <x:c r="A1370" s="14" t="n">
        <x:v>1369</x:v>
      </x:c>
      <x:c r="B1370" s="15" t="n">
        <x:v>46406</x:v>
      </x:c>
      <x:c r="C1370" s="14" t="str">
        <x:v>Salı</x:v>
      </x:c>
      <x:c r="D1370" s="14" t="str">
        <x:v>Okul Günü</x:v>
      </x:c>
      <x:c r="E1370" s="14" t="str">
        <x:v>16:00 sonrası</x:v>
      </x:c>
      <x:c r="F1370" s="14" t="str">
        <x:v>F2 - LGS Kapsam + Ustalık</x:v>
      </x:c>
      <x:c r="G1370" s="14" t="str">
        <x:v>16:00</x:v>
      </x:c>
      <x:c r="H1370" s="14" t="str">
        <x:v>16:25</x:v>
      </x:c>
      <x:c r="I1370" s="14" t="str">
        <x:v>Genel</x:v>
      </x:c>
      <x:c r="J1370" s="14" t="str">
        <x:v>Dinlenme</x:v>
      </x:c>
      <x:c r="K1370" s="14" t="str"/>
      <x:c r="L1370" s="14" t="str">
        <x:v>Eve geliş, atıştırma ve dinlenme.</x:v>
      </x:c>
      <x:c r="M1370" s="14" t="str"/>
      <x:c r="N1370" s="14" t="str"/>
      <x:c r="O1370" s="14" t="n">
        <x:v>0</x:v>
      </x:c>
      <x:c r="P1370" s="14" t="str">
        <x:v>Hayır</x:v>
      </x:c>
      <x:c r="Q1370" s="14" t="str">
        <x:v>Hayır</x:v>
      </x:c>
      <x:c r="R1370" s="14" t="str">
        <x:v>Planlandı</x:v>
      </x:c>
      <x:c r="S1370" s="15" t="str"/>
      <x:c r="T1370" s="14" t="str"/>
    </x:row>
    <x:row r="1371">
      <x:c r="A1371" s="14" t="n">
        <x:v>1370</x:v>
      </x:c>
      <x:c r="B1371" s="15" t="n">
        <x:v>46406</x:v>
      </x:c>
      <x:c r="C1371" s="14" t="str">
        <x:v>Salı</x:v>
      </x:c>
      <x:c r="D1371" s="14" t="str">
        <x:v>Okul Günü</x:v>
      </x:c>
      <x:c r="E1371" s="14" t="str">
        <x:v>16:00 sonrası</x:v>
      </x:c>
      <x:c r="F1371" s="14" t="str">
        <x:v>F2 - LGS Kapsam + Ustalık</x:v>
      </x:c>
      <x:c r="G1371" s="14" t="str">
        <x:v>16:25</x:v>
      </x:c>
      <x:c r="H1371" s="14" t="str">
        <x:v>17:05</x:v>
      </x:c>
      <x:c r="I1371" s="14" t="str">
        <x:v>Matematik</x:v>
      </x:c>
      <x:c r="J1371" s="14" t="str">
        <x:v>Konu / Tekrar</x:v>
      </x:c>
      <x:c r="K1371" s="14" t="str">
        <x:v>Eşlik ve Benzerlik</x:v>
      </x:c>
      <x:c r="L1371" s="14" t="str">
        <x:v>Eşlik ve Benzerlik — genel oynatma listesinden ilgili videoyu izle (3/3).</x:v>
      </x:c>
      <x:c r="M1371" s="14" t="str">
        <x:v>Matematik Yedek Oynatma Listesi</x:v>
      </x:c>
      <x:c r="N1371" s="14" t="str">
        <x:v>https://www.youtube.com/watch?v=Z7exqEHEqQA&amp;list=PLHN_SjKO7rCI&amp;index=3</x:v>
      </x:c>
      <x:c r="O1371" s="14" t="n">
        <x:v>0</x:v>
      </x:c>
      <x:c r="P1371" s="14" t="str">
        <x:v>Hayır</x:v>
      </x:c>
      <x:c r="Q1371" s="14" t="str">
        <x:v>Evet</x:v>
      </x:c>
      <x:c r="R1371" s="14" t="str">
        <x:v>Planlandı</x:v>
      </x:c>
      <x:c r="S1371" s="15" t="str"/>
      <x:c r="T1371" s="14" t="str">
        <x:v>Yeni konu ancak plan sırasıyla açılır; LGS dışı ileri TYT içeriği zorunlu değildir.</x:v>
      </x:c>
    </x:row>
    <x:row r="1372">
      <x:c r="A1372" s="14" t="n">
        <x:v>1371</x:v>
      </x:c>
      <x:c r="B1372" s="15" t="n">
        <x:v>46406</x:v>
      </x:c>
      <x:c r="C1372" s="14" t="str">
        <x:v>Salı</x:v>
      </x:c>
      <x:c r="D1372" s="14" t="str">
        <x:v>Okul Günü</x:v>
      </x:c>
      <x:c r="E1372" s="14" t="str">
        <x:v>16:00 sonrası</x:v>
      </x:c>
      <x:c r="F1372" s="14" t="str">
        <x:v>F2 - LGS Kapsam + Ustalık</x:v>
      </x:c>
      <x:c r="G1372" s="14" t="str">
        <x:v>17:10</x:v>
      </x:c>
      <x:c r="H1372" s="14" t="str">
        <x:v>17:55</x:v>
      </x:c>
      <x:c r="I1372" s="14" t="str">
        <x:v>Matematik</x:v>
      </x:c>
      <x:c r="J1372" s="14" t="str">
        <x:v>Kitap / MEB / Mastery</x:v>
      </x:c>
      <x:c r="K1372" s="14" t="str">
        <x:v>Eşlik ve Benzerlik</x:v>
      </x:c>
      <x:c r="L1372" s="14" t="str">
        <x:v>Eşlik ve Benzerlik ile ilgili soru kitabından en az 25 soru / bugünkü test payını çöz. İlgili kitap konu bölümünü bu oturumda bitirmeyi hedefle; sonraki oturum MEB doğrulaması.</x:v>
      </x:c>
      <x:c r="M1372" s="14" t="str">
        <x:v>MUBA 8. Sınıf Başlangıç Matematik (ISBN 9789756526972); tamamlandıysa Mozaik 8. Sınıf Matematik</x:v>
      </x:c>
      <x:c r="N1372" s="14" t="str">
        <x:v>https://odsgm.meb.gov.tr/www/8sinif-calisma-sorulari/icerik/1632</x:v>
      </x:c>
      <x:c r="O1372" s="14" t="n">
        <x:v>25</x:v>
      </x:c>
      <x:c r="P1372" s="14" t="str">
        <x:v>İlk 20 soru</x:v>
      </x:c>
      <x:c r="Q1372" s="14" t="str">
        <x:v>Evet</x:v>
      </x:c>
      <x:c r="R1372" s="14" t="str">
        <x:v>Planlandı</x:v>
      </x:c>
      <x:c r="S1372" s="15" t="str"/>
      <x:c r="T1372" s="14" t="str">
        <x:v>Ayrı/rastgele matematik benchmark yoktur. Süreli ilk 20 soru o gün çalışılan konunun içindedir.</x:v>
      </x:c>
    </x:row>
    <x:row r="1373">
      <x:c r="A1373" s="14" t="n">
        <x:v>1372</x:v>
      </x:c>
      <x:c r="B1373" s="15" t="n">
        <x:v>46406</x:v>
      </x:c>
      <x:c r="C1373" s="14" t="str">
        <x:v>Salı</x:v>
      </x:c>
      <x:c r="D1373" s="14" t="str">
        <x:v>Okul Günü</x:v>
      </x:c>
      <x:c r="E1373" s="14" t="str">
        <x:v>16:00 sonrası</x:v>
      </x:c>
      <x:c r="F1373" s="14" t="str">
        <x:v>F2 - LGS Kapsam + Ustalık</x:v>
      </x:c>
      <x:c r="G1373" s="14" t="str">
        <x:v>17:55</x:v>
      </x:c>
      <x:c r="H1373" s="14" t="str">
        <x:v>18:25</x:v>
      </x:c>
      <x:c r="I1373" s="14" t="str">
        <x:v>Genel</x:v>
      </x:c>
      <x:c r="J1373" s="14" t="str">
        <x:v>Yemek / Serbest Zaman</x:v>
      </x:c>
      <x:c r="K1373" s="14" t="str"/>
      <x:c r="L1373" s="14" t="str">
        <x:v>Yemek, hareket ve dinlenme.</x:v>
      </x:c>
      <x:c r="M1373" s="14" t="str"/>
      <x:c r="N1373" s="14" t="str"/>
      <x:c r="O1373" s="14" t="n">
        <x:v>0</x:v>
      </x:c>
      <x:c r="P1373" s="14" t="str">
        <x:v>Hayır</x:v>
      </x:c>
      <x:c r="Q1373" s="14" t="str">
        <x:v>Hayır</x:v>
      </x:c>
      <x:c r="R1373" s="14" t="str">
        <x:v>Planlandı</x:v>
      </x:c>
      <x:c r="S1373" s="15" t="str"/>
      <x:c r="T1373" s="14" t="str"/>
    </x:row>
    <x:row r="1374">
      <x:c r="A1374" s="14" t="n">
        <x:v>1373</x:v>
      </x:c>
      <x:c r="B1374" s="15" t="n">
        <x:v>46406</x:v>
      </x:c>
      <x:c r="C1374" s="14" t="str">
        <x:v>Salı</x:v>
      </x:c>
      <x:c r="D1374" s="14" t="str">
        <x:v>Okul Günü</x:v>
      </x:c>
      <x:c r="E1374" s="14" t="str">
        <x:v>16:00 sonrası</x:v>
      </x:c>
      <x:c r="F1374" s="14" t="str">
        <x:v>F2 - LGS Kapsam + Ustalık</x:v>
      </x:c>
      <x:c r="G1374" s="14" t="str">
        <x:v>18:25</x:v>
      </x:c>
      <x:c r="H1374" s="14" t="str">
        <x:v>18:55</x:v>
      </x:c>
      <x:c r="I1374" s="14" t="str">
        <x:v>Türkçe</x:v>
      </x:c>
      <x:c r="J1374" s="14" t="str">
        <x:v>Paragraf Rutini</x:v>
      </x:c>
      <x:c r="K1374" s="14" t="str">
        <x:v>Paragraf</x:v>
      </x:c>
      <x:c r="L1374" s="14" t="str">
        <x:v>En az 25 paragraf sorusu çöz; ilk 20 soruyu ileri sayımla ölç, D/Y/B + süre kaydet.</x:v>
      </x:c>
      <x:c r="M1374" s="14" t="str">
        <x:v>Hız 8. Sınıf Türkçe Paragraf (ISBN 9786258394498)</x:v>
      </x:c>
      <x:c r="N1374" s="14" t="str"/>
      <x:c r="O1374" s="14" t="n">
        <x:v>25</x:v>
      </x:c>
      <x:c r="P1374" s="14" t="str">
        <x:v>İlk 20 soru</x:v>
      </x:c>
      <x:c r="Q1374" s="14" t="str">
        <x:v>Evet</x:v>
      </x:c>
      <x:c r="R1374" s="14" t="str">
        <x:v>Planlandı</x:v>
      </x:c>
      <x:c r="S1374" s="15" t="str"/>
      <x:c r="T1374" s="14" t="str">
        <x:v>Geri sayım ve hedef süre yok.</x:v>
      </x:c>
    </x:row>
    <x:row r="1375">
      <x:c r="A1375" s="14" t="n">
        <x:v>1374</x:v>
      </x:c>
      <x:c r="B1375" s="15" t="n">
        <x:v>46406</x:v>
      </x:c>
      <x:c r="C1375" s="14" t="str">
        <x:v>Salı</x:v>
      </x:c>
      <x:c r="D1375" s="14" t="str">
        <x:v>Okul Günü</x:v>
      </x:c>
      <x:c r="E1375" s="14" t="str">
        <x:v>16:00 sonrası</x:v>
      </x:c>
      <x:c r="F1375" s="14" t="str">
        <x:v>F2 - LGS Kapsam + Ustalık</x:v>
      </x:c>
      <x:c r="G1375" s="14" t="str">
        <x:v>19:00</x:v>
      </x:c>
      <x:c r="H1375" s="14" t="str">
        <x:v>19:35</x:v>
      </x:c>
      <x:c r="I1375" s="14" t="str">
        <x:v>Türkçe</x:v>
      </x:c>
      <x:c r="J1375" s="14" t="str">
        <x:v>Konu / Tekrar</x:v>
      </x:c>
      <x:c r="K1375" s="14" t="str">
        <x:v>Kaynak Tamamlama / Zayıf Konu</x:v>
      </x:c>
      <x:c r="L1375" s="14" t="str">
        <x:v>Yeni konu açma. En zayıf/açık konunun ilgili playlist videosunu yalnız gerekiyorsa tekrar izle.</x:v>
      </x:c>
      <x:c r="M1375" s="14" t="str">
        <x:v>Türkçe Ana Oynatma Listesi</x:v>
      </x:c>
      <x:c r="N1375" s="14" t="str">
        <x:v>https://www.youtube.com/watch?v=VYsPntNKVdw&amp;list=PLIBjFaUoJJ91bz7QQEBlxNJNZka5YQRr6</x:v>
      </x:c>
      <x:c r="O1375" s="14" t="n">
        <x:v>0</x:v>
      </x:c>
      <x:c r="P1375" s="14" t="str">
        <x:v>Hayır</x:v>
      </x:c>
      <x:c r="Q1375" s="14" t="str">
        <x:v>Evet</x:v>
      </x:c>
      <x:c r="R1375" s="14" t="str">
        <x:v>Planlandı</x:v>
      </x:c>
      <x:c r="S1375" s="15" t="str"/>
      <x:c r="T1375" s="14" t="str">
        <x:v>TYT etiketli kaynak temelden başlamak için sabittir; LGS dışı gereksiz ayrıntı zorunlu değildir.</x:v>
      </x:c>
    </x:row>
    <x:row r="1376">
      <x:c r="A1376" s="14" t="n">
        <x:v>1375</x:v>
      </x:c>
      <x:c r="B1376" s="15" t="n">
        <x:v>46406</x:v>
      </x:c>
      <x:c r="C1376" s="14" t="str">
        <x:v>Salı</x:v>
      </x:c>
      <x:c r="D1376" s="14" t="str">
        <x:v>Okul Günü</x:v>
      </x:c>
      <x:c r="E1376" s="14" t="str">
        <x:v>16:00 sonrası</x:v>
      </x:c>
      <x:c r="F1376" s="14" t="str">
        <x:v>F2 - LGS Kapsam + Ustalık</x:v>
      </x:c>
      <x:c r="G1376" s="14" t="str">
        <x:v>19:40</x:v>
      </x:c>
      <x:c r="H1376" s="14" t="str">
        <x:v>20:10</x:v>
      </x:c>
      <x:c r="I1376" s="14" t="str">
        <x:v>Türkçe</x:v>
      </x:c>
      <x:c r="J1376" s="14" t="str">
        <x:v>Kitap / MEB / Mastery</x:v>
      </x:c>
      <x:c r="K1376" s="14" t="str">
        <x:v>Kaynak Tamamlama / Zayıf Konu</x:v>
      </x:c>
      <x:c r="L1376" s="14" t="str">
        <x:v>13 Nisan %100 tamamlama hedefine göre en geride kalan Türkçe soru kaynağını/eksik MEB setini ilerlet; açık yanlışları kapat.</x:v>
      </x:c>
      <x:c r="M1376" s="14" t="str">
        <x:v>Ankara 8. Sınıf Dil Bilgisi Güçlendiren + açık MEB/yanlışlar</x:v>
      </x:c>
      <x:c r="N1376" s="14" t="str">
        <x:v>https://odsgm.meb.gov.tr/www/8sinif-calisma-sorulari/icerik/1632</x:v>
      </x:c>
      <x:c r="O1376" s="14" t="n">
        <x:v>15</x:v>
      </x:c>
      <x:c r="P1376" s="14" t="str">
        <x:v>Hayır</x:v>
      </x:c>
      <x:c r="Q1376" s="14" t="str">
        <x:v>Evet</x:v>
      </x:c>
      <x:c r="R1376" s="14" t="str">
        <x:v>Planlandı</x:v>
      </x:c>
      <x:c r="S1376" s="15" t="str"/>
      <x:c r="T1376" s="14" t="str"/>
    </x:row>
    <x:row r="1377">
      <x:c r="A1377" s="14" t="n">
        <x:v>1376</x:v>
      </x:c>
      <x:c r="B1377" s="15" t="n">
        <x:v>46406</x:v>
      </x:c>
      <x:c r="C1377" s="14" t="str">
        <x:v>Salı</x:v>
      </x:c>
      <x:c r="D1377" s="14" t="str">
        <x:v>Okul Günü</x:v>
      </x:c>
      <x:c r="E1377" s="14" t="str">
        <x:v>16:00 sonrası</x:v>
      </x:c>
      <x:c r="F1377" s="14" t="str">
        <x:v>F2 - LGS Kapsam + Ustalık</x:v>
      </x:c>
      <x:c r="G1377" s="14" t="str">
        <x:v>20:15</x:v>
      </x:c>
      <x:c r="H1377" s="14" t="str">
        <x:v>20:50</x:v>
      </x:c>
      <x:c r="I1377" s="14" t="str">
        <x:v>İnkılap</x:v>
      </x:c>
      <x:c r="J1377" s="14" t="str">
        <x:v>Konu / Tekrar</x:v>
      </x:c>
      <x:c r="K1377" s="14" t="str">
        <x:v>Atatürkçülük ve Çağdaşlaşan Türkiye</x:v>
      </x:c>
      <x:c r="L1377" s="14" t="str">
        <x:v>Atatürkçülük ve Çağdaşlaşan Türkiye — genel oynatma listesinden ilgili konu/soru çalışmasını yap.</x:v>
      </x:c>
      <x:c r="M1377" s="14" t="str">
        <x:v>İnkılap Genel Oynatma Listesi</x:v>
      </x:c>
      <x:c r="N1377" s="14" t="str">
        <x:v>https://www.youtube.com/watch?v=MltIX0oKpYU&amp;list=PLsAsBPsriHNbXit4Ra3iuBrk1ZHZWxsOR&amp;index=78</x:v>
      </x:c>
      <x:c r="O1377" s="14" t="n">
        <x:v>0</x:v>
      </x:c>
      <x:c r="P1377" s="14" t="str">
        <x:v>Hayır</x:v>
      </x:c>
      <x:c r="Q1377" s="14" t="str">
        <x:v>Evet</x:v>
      </x:c>
      <x:c r="R1377" s="14" t="str">
        <x:v>Planlandı</x:v>
      </x:c>
      <x:c r="S1377" s="15" t="str"/>
      <x:c r="T1377" s="14" t="str">
        <x:v>İnkılapta okul yazılısı videoları zorunlu değildir.</x:v>
      </x:c>
    </x:row>
    <x:row r="1378">
      <x:c r="A1378" s="14" t="n">
        <x:v>1377</x:v>
      </x:c>
      <x:c r="B1378" s="15" t="n">
        <x:v>46406</x:v>
      </x:c>
      <x:c r="C1378" s="14" t="str">
        <x:v>Salı</x:v>
      </x:c>
      <x:c r="D1378" s="14" t="str">
        <x:v>Okul Günü</x:v>
      </x:c>
      <x:c r="E1378" s="14" t="str">
        <x:v>16:00 sonrası</x:v>
      </x:c>
      <x:c r="F1378" s="14" t="str">
        <x:v>F2 - LGS Kapsam + Ustalık</x:v>
      </x:c>
      <x:c r="G1378" s="14" t="str">
        <x:v>20:55</x:v>
      </x:c>
      <x:c r="H1378" s="14" t="str">
        <x:v>21:20</x:v>
      </x:c>
      <x:c r="I1378" s="14" t="str">
        <x:v>İnkılap</x:v>
      </x:c>
      <x:c r="J1378" s="14" t="str">
        <x:v>Kitap / MEB / Mastery</x:v>
      </x:c>
      <x:c r="K1378" s="14" t="str">
        <x:v>Atatürkçülük ve Çağdaşlaşan Türkiye</x:v>
      </x:c>
      <x:c r="L1378" s="14" t="str">
        <x:v>Atatürkçülük ve Çağdaşlaşan Türkiye ile ilgili soru kitabından en az 18 soru / bugünkü test payını çöz.</x:v>
      </x:c>
      <x:c r="M1378" s="14" t="str">
        <x:v>Hız 8. Sınıf T.C. İnkılap Tarihi ve Atatürkçülük</x:v>
      </x:c>
      <x:c r="N1378" s="14" t="str">
        <x:v>https://www.youtube.com/watch?v=MltIX0oKpYU&amp;list=PLsAsBPsriHNbXit4Ra3iuBrk1ZHZWxsOR&amp;index=78</x:v>
      </x:c>
      <x:c r="O1378" s="14" t="n">
        <x:v>18</x:v>
      </x:c>
      <x:c r="P1378" s="14" t="str">
        <x:v>Hayır</x:v>
      </x:c>
      <x:c r="Q1378" s="14" t="str">
        <x:v>Evet</x:v>
      </x:c>
      <x:c r="R1378" s="14" t="str">
        <x:v>Planlandı</x:v>
      </x:c>
      <x:c r="S1378" s="15" t="str"/>
      <x:c r="T1378" s="14" t="str"/>
    </x:row>
    <x:row r="1379">
      <x:c r="A1379" s="14" t="n">
        <x:v>1378</x:v>
      </x:c>
      <x:c r="B1379" s="15" t="n">
        <x:v>46406</x:v>
      </x:c>
      <x:c r="C1379" s="14" t="str">
        <x:v>Salı</x:v>
      </x:c>
      <x:c r="D1379" s="14" t="str">
        <x:v>Okul Günü</x:v>
      </x:c>
      <x:c r="E1379" s="14" t="str">
        <x:v>16:00 sonrası</x:v>
      </x:c>
      <x:c r="F1379" s="14" t="str">
        <x:v>F2 - LGS Kapsam + Ustalık</x:v>
      </x:c>
      <x:c r="G1379" s="14" t="str">
        <x:v>21:20</x:v>
      </x:c>
      <x:c r="H1379" s="14" t="str">
        <x:v>21:35</x:v>
      </x:c>
      <x:c r="I1379" s="14" t="str">
        <x:v>Genel</x:v>
      </x:c>
      <x:c r="J1379" s="14" t="str">
        <x:v>Yanlış / Boş Analizi</x:v>
      </x:c>
      <x:c r="K1379" s="14" t="str">
        <x:v>Günlük</x:v>
      </x:c>
      <x:c r="L1379" s="14" t="str">
        <x:v>Bugünkü yanlış/boşları kaydet; çözümünü öğrenmeden kapatma. Hata türünü sınıflandır.</x:v>
      </x:c>
      <x:c r="M1379" s="14" t="str">
        <x:v>Yanlış Defteri</x:v>
      </x:c>
      <x:c r="N1379" s="14" t="str"/>
      <x:c r="O1379" s="14" t="n">
        <x:v>0</x:v>
      </x:c>
      <x:c r="P1379" s="14" t="str">
        <x:v>Hayır</x:v>
      </x:c>
      <x:c r="Q1379" s="14" t="str">
        <x:v>Evet</x:v>
      </x:c>
      <x:c r="R1379" s="14" t="str">
        <x:v>Planlandı</x:v>
      </x:c>
      <x:c r="S1379" s="15" t="str"/>
      <x:c r="T1379" s="14" t="str"/>
    </x:row>
    <x:row r="1380">
      <x:c r="A1380" s="14" t="n">
        <x:v>1379</x:v>
      </x:c>
      <x:c r="B1380" s="15" t="n">
        <x:v>46406</x:v>
      </x:c>
      <x:c r="C1380" s="14" t="str">
        <x:v>Salı</x:v>
      </x:c>
      <x:c r="D1380" s="14" t="str">
        <x:v>Okul Günü</x:v>
      </x:c>
      <x:c r="E1380" s="14" t="str">
        <x:v>16:00 sonrası</x:v>
      </x:c>
      <x:c r="F1380" s="14" t="str">
        <x:v>F2 - LGS Kapsam + Ustalık</x:v>
      </x:c>
      <x:c r="G1380" s="14" t="str">
        <x:v>21:35</x:v>
      </x:c>
      <x:c r="H1380" s="14" t="str">
        <x:v>21:50</x:v>
      </x:c>
      <x:c r="I1380" s="14" t="str">
        <x:v>Genel</x:v>
      </x:c>
      <x:c r="J1380" s="14" t="str">
        <x:v>Aralıklı Hata Tekrarı</x:v>
      </x:c>
      <x:c r="K1380" s="14" t="str">
        <x:v>+1 / +7 / +21</x:v>
      </x:c>
      <x:c r="L1380" s="14" t="str">
        <x:v>Bugün vadesi gelen yanlış soruları tekrar çöz. Vadesi yoksa bu süre serbest/okuma olabilir.</x:v>
      </x:c>
      <x:c r="M1380" s="14" t="str">
        <x:v>Yanlış Defteri</x:v>
      </x:c>
      <x:c r="N1380" s="14" t="str"/>
      <x:c r="O1380" s="14" t="n">
        <x:v>0</x:v>
      </x:c>
      <x:c r="P1380" s="14" t="str">
        <x:v>Hayır</x:v>
      </x:c>
      <x:c r="Q1380" s="14" t="str">
        <x:v>Koşullu</x:v>
      </x:c>
      <x:c r="R1380" s="14" t="str">
        <x:v>Planlandı</x:v>
      </x:c>
      <x:c r="S1380" s="15" t="str"/>
      <x:c r="T1380" s="14" t="str">
        <x:v>Yanlışlar +1, +7 ve +21 gün aralıklarıyla tekrar edilir; hâlâ yanlışsa konu mastery durumu düşürülür.</x:v>
      </x:c>
    </x:row>
    <x:row r="1381">
      <x:c r="A1381" s="14" t="n">
        <x:v>1380</x:v>
      </x:c>
      <x:c r="B1381" s="15" t="n">
        <x:v>46406</x:v>
      </x:c>
      <x:c r="C1381" s="14" t="str">
        <x:v>Salı</x:v>
      </x:c>
      <x:c r="D1381" s="14" t="str">
        <x:v>Okul Günü</x:v>
      </x:c>
      <x:c r="E1381" s="14" t="str">
        <x:v>16:00 sonrası</x:v>
      </x:c>
      <x:c r="F1381" s="14" t="str">
        <x:v>F2 - LGS Kapsam + Ustalık</x:v>
      </x:c>
      <x:c r="G1381" s="14" t="str">
        <x:v>21:50</x:v>
      </x:c>
      <x:c r="H1381" s="14" t="str">
        <x:v>22:00</x:v>
      </x:c>
      <x:c r="I1381" s="14" t="str">
        <x:v>Genel</x:v>
      </x:c>
      <x:c r="J1381" s="14" t="str">
        <x:v>Uyku Hazırlığı</x:v>
      </x:c>
      <x:c r="K1381" s="14" t="str"/>
      <x:c r="L1381" s="14" t="str">
        <x:v>22:00'de yatakta ve uyku.</x:v>
      </x:c>
      <x:c r="M1381" s="14" t="str"/>
      <x:c r="N1381" s="14" t="str"/>
      <x:c r="O1381" s="14" t="n">
        <x:v>0</x:v>
      </x:c>
      <x:c r="P1381" s="14" t="str">
        <x:v>Hayır</x:v>
      </x:c>
      <x:c r="Q1381" s="14" t="str">
        <x:v>Hayır</x:v>
      </x:c>
      <x:c r="R1381" s="14" t="str">
        <x:v>Planlandı</x:v>
      </x:c>
      <x:c r="S1381" s="15" t="str"/>
      <x:c r="T1381" s="14" t="str"/>
    </x:row>
    <x:row r="1382">
      <x:c r="A1382" s="14" t="n">
        <x:v>1381</x:v>
      </x:c>
      <x:c r="B1382" s="15" t="n">
        <x:v>46407</x:v>
      </x:c>
      <x:c r="C1382" s="14" t="str">
        <x:v>Çarşamba</x:v>
      </x:c>
      <x:c r="D1382" s="14" t="str">
        <x:v>Okul Günü</x:v>
      </x:c>
      <x:c r="E1382" s="14" t="str">
        <x:v>16:00 sonrası</x:v>
      </x:c>
      <x:c r="F1382" s="14" t="str">
        <x:v>F2 - LGS Kapsam + Ustalık</x:v>
      </x:c>
      <x:c r="G1382" s="14" t="str">
        <x:v>16:00</x:v>
      </x:c>
      <x:c r="H1382" s="14" t="str">
        <x:v>16:25</x:v>
      </x:c>
      <x:c r="I1382" s="14" t="str">
        <x:v>Genel</x:v>
      </x:c>
      <x:c r="J1382" s="14" t="str">
        <x:v>Dinlenme</x:v>
      </x:c>
      <x:c r="K1382" s="14" t="str"/>
      <x:c r="L1382" s="14" t="str">
        <x:v>Eve geliş, atıştırma ve dinlenme.</x:v>
      </x:c>
      <x:c r="M1382" s="14" t="str"/>
      <x:c r="N1382" s="14" t="str"/>
      <x:c r="O1382" s="14" t="n">
        <x:v>0</x:v>
      </x:c>
      <x:c r="P1382" s="14" t="str">
        <x:v>Hayır</x:v>
      </x:c>
      <x:c r="Q1382" s="14" t="str">
        <x:v>Hayır</x:v>
      </x:c>
      <x:c r="R1382" s="14" t="str">
        <x:v>Planlandı</x:v>
      </x:c>
      <x:c r="S1382" s="15" t="str"/>
      <x:c r="T1382" s="14" t="str"/>
    </x:row>
    <x:row r="1383">
      <x:c r="A1383" s="14" t="n">
        <x:v>1382</x:v>
      </x:c>
      <x:c r="B1383" s="15" t="n">
        <x:v>46407</x:v>
      </x:c>
      <x:c r="C1383" s="14" t="str">
        <x:v>Çarşamba</x:v>
      </x:c>
      <x:c r="D1383" s="14" t="str">
        <x:v>Okul Günü</x:v>
      </x:c>
      <x:c r="E1383" s="14" t="str">
        <x:v>16:00 sonrası</x:v>
      </x:c>
      <x:c r="F1383" s="14" t="str">
        <x:v>F2 - LGS Kapsam + Ustalık</x:v>
      </x:c>
      <x:c r="G1383" s="14" t="str">
        <x:v>16:25</x:v>
      </x:c>
      <x:c r="H1383" s="14" t="str">
        <x:v>17:05</x:v>
      </x:c>
      <x:c r="I1383" s="14" t="str">
        <x:v>Matematik</x:v>
      </x:c>
      <x:c r="J1383" s="14" t="str">
        <x:v>Konu / Tekrar</x:v>
      </x:c>
      <x:c r="K1383" s="14" t="str">
        <x:v>Eşlik ve Benzerlik</x:v>
      </x:c>
      <x:c r="L1383" s="14" t="str">
        <x:v>Eşlik ve Benzerlik — MEB doğrulaması öncesi 5-10 dk aktif hatırlama; gerekiyorsa ilgili playlist videosuna kısa dönüş yap.</x:v>
      </x:c>
      <x:c r="M1383" s="14" t="str">
        <x:v>Matematik Yedek Oynatma Listesi</x:v>
      </x:c>
      <x:c r="N1383" s="14" t="str">
        <x:v>https://www.youtube.com/watch?v=Z7exqEHEqQA&amp;list=PLHN_SjKO7rCI&amp;index=3</x:v>
      </x:c>
      <x:c r="O1383" s="14" t="n">
        <x:v>0</x:v>
      </x:c>
      <x:c r="P1383" s="14" t="str">
        <x:v>Hayır</x:v>
      </x:c>
      <x:c r="Q1383" s="14" t="str">
        <x:v>Evet</x:v>
      </x:c>
      <x:c r="R1383" s="14" t="str">
        <x:v>Planlandı</x:v>
      </x:c>
      <x:c r="S1383" s="15" t="str"/>
      <x:c r="T1383" s="14" t="str">
        <x:v>Yeni konu ancak plan sırasıyla açılır; LGS dışı ileri TYT içeriği zorunlu değildir.</x:v>
      </x:c>
    </x:row>
    <x:row r="1384">
      <x:c r="A1384" s="14" t="n">
        <x:v>1383</x:v>
      </x:c>
      <x:c r="B1384" s="15" t="n">
        <x:v>46407</x:v>
      </x:c>
      <x:c r="C1384" s="14" t="str">
        <x:v>Çarşamba</x:v>
      </x:c>
      <x:c r="D1384" s="14" t="str">
        <x:v>Okul Günü</x:v>
      </x:c>
      <x:c r="E1384" s="14" t="str">
        <x:v>16:00 sonrası</x:v>
      </x:c>
      <x:c r="F1384" s="14" t="str">
        <x:v>F2 - LGS Kapsam + Ustalık</x:v>
      </x:c>
      <x:c r="G1384" s="14" t="str">
        <x:v>17:10</x:v>
      </x:c>
      <x:c r="H1384" s="14" t="str">
        <x:v>17:55</x:v>
      </x:c>
      <x:c r="I1384" s="14" t="str">
        <x:v>Matematik</x:v>
      </x:c>
      <x:c r="J1384" s="14" t="str">
        <x:v>Kitap / MEB / Mastery</x:v>
      </x:c>
      <x:c r="K1384" s="14" t="str">
        <x:v>Eşlik ve Benzerlik</x:v>
      </x:c>
      <x:c r="L1384" s="14" t="str">
        <x:v>Eşlik ve Benzerlik için ilgili MEB sorularını TAMAMLA; D/Y/B kaydet. Bu oturum konu mastery gate'idir.</x:v>
      </x:c>
      <x:c r="M1384" s="14" t="str">
        <x:v>MEB Resmî Soru Seti</x:v>
      </x:c>
      <x:c r="N1384" s="14" t="str">
        <x:v>https://odsgm.meb.gov.tr/www/8sinif-calisma-sorulari/icerik/1632</x:v>
      </x:c>
      <x:c r="O1384" s="14" t="n">
        <x:v>0</x:v>
      </x:c>
      <x:c r="P1384" s="14" t="str">
        <x:v>Hayır</x:v>
      </x:c>
      <x:c r="Q1384" s="14" t="str">
        <x:v>Evet</x:v>
      </x:c>
      <x:c r="R1384" s="14" t="str">
        <x:v>Planlandı</x:v>
      </x:c>
      <x:c r="S1384" s="15" t="str"/>
      <x:c r="T1384" s="14" t="str">
        <x:v>MEB sonucu Konu_Ustaligi sayfasına işlenir.</x:v>
      </x:c>
    </x:row>
    <x:row r="1385">
      <x:c r="A1385" s="14" t="n">
        <x:v>1384</x:v>
      </x:c>
      <x:c r="B1385" s="15" t="n">
        <x:v>46407</x:v>
      </x:c>
      <x:c r="C1385" s="14" t="str">
        <x:v>Çarşamba</x:v>
      </x:c>
      <x:c r="D1385" s="14" t="str">
        <x:v>Okul Günü</x:v>
      </x:c>
      <x:c r="E1385" s="14" t="str">
        <x:v>16:00 sonrası</x:v>
      </x:c>
      <x:c r="F1385" s="14" t="str">
        <x:v>F2 - LGS Kapsam + Ustalık</x:v>
      </x:c>
      <x:c r="G1385" s="14" t="str">
        <x:v>17:55</x:v>
      </x:c>
      <x:c r="H1385" s="14" t="str">
        <x:v>18:25</x:v>
      </x:c>
      <x:c r="I1385" s="14" t="str">
        <x:v>Genel</x:v>
      </x:c>
      <x:c r="J1385" s="14" t="str">
        <x:v>Yemek / Serbest Zaman</x:v>
      </x:c>
      <x:c r="K1385" s="14" t="str"/>
      <x:c r="L1385" s="14" t="str">
        <x:v>Yemek, hareket ve dinlenme.</x:v>
      </x:c>
      <x:c r="M1385" s="14" t="str"/>
      <x:c r="N1385" s="14" t="str"/>
      <x:c r="O1385" s="14" t="n">
        <x:v>0</x:v>
      </x:c>
      <x:c r="P1385" s="14" t="str">
        <x:v>Hayır</x:v>
      </x:c>
      <x:c r="Q1385" s="14" t="str">
        <x:v>Hayır</x:v>
      </x:c>
      <x:c r="R1385" s="14" t="str">
        <x:v>Planlandı</x:v>
      </x:c>
      <x:c r="S1385" s="15" t="str"/>
      <x:c r="T1385" s="14" t="str"/>
    </x:row>
    <x:row r="1386">
      <x:c r="A1386" s="14" t="n">
        <x:v>1385</x:v>
      </x:c>
      <x:c r="B1386" s="15" t="n">
        <x:v>46407</x:v>
      </x:c>
      <x:c r="C1386" s="14" t="str">
        <x:v>Çarşamba</x:v>
      </x:c>
      <x:c r="D1386" s="14" t="str">
        <x:v>Okul Günü</x:v>
      </x:c>
      <x:c r="E1386" s="14" t="str">
        <x:v>16:00 sonrası</x:v>
      </x:c>
      <x:c r="F1386" s="14" t="str">
        <x:v>F2 - LGS Kapsam + Ustalık</x:v>
      </x:c>
      <x:c r="G1386" s="14" t="str">
        <x:v>18:25</x:v>
      </x:c>
      <x:c r="H1386" s="14" t="str">
        <x:v>18:55</x:v>
      </x:c>
      <x:c r="I1386" s="14" t="str">
        <x:v>Türkçe</x:v>
      </x:c>
      <x:c r="J1386" s="14" t="str">
        <x:v>Paragraf Rutini</x:v>
      </x:c>
      <x:c r="K1386" s="14" t="str">
        <x:v>Paragraf</x:v>
      </x:c>
      <x:c r="L1386" s="14" t="str">
        <x:v>En az 25 paragraf sorusu çöz; ilk 20 soruyu ileri sayımla ölç, D/Y/B + süre kaydet.</x:v>
      </x:c>
      <x:c r="M1386" s="14" t="str">
        <x:v>Hız 8. Sınıf Türkçe Paragraf (ISBN 9786258394498)</x:v>
      </x:c>
      <x:c r="N1386" s="14" t="str"/>
      <x:c r="O1386" s="14" t="n">
        <x:v>25</x:v>
      </x:c>
      <x:c r="P1386" s="14" t="str">
        <x:v>İlk 20 soru</x:v>
      </x:c>
      <x:c r="Q1386" s="14" t="str">
        <x:v>Evet</x:v>
      </x:c>
      <x:c r="R1386" s="14" t="str">
        <x:v>Planlandı</x:v>
      </x:c>
      <x:c r="S1386" s="15" t="str"/>
      <x:c r="T1386" s="14" t="str">
        <x:v>Geri sayım ve hedef süre yok.</x:v>
      </x:c>
    </x:row>
    <x:row r="1387">
      <x:c r="A1387" s="14" t="n">
        <x:v>1386</x:v>
      </x:c>
      <x:c r="B1387" s="15" t="n">
        <x:v>46407</x:v>
      </x:c>
      <x:c r="C1387" s="14" t="str">
        <x:v>Çarşamba</x:v>
      </x:c>
      <x:c r="D1387" s="14" t="str">
        <x:v>Okul Günü</x:v>
      </x:c>
      <x:c r="E1387" s="14" t="str">
        <x:v>16:00 sonrası</x:v>
      </x:c>
      <x:c r="F1387" s="14" t="str">
        <x:v>F2 - LGS Kapsam + Ustalık</x:v>
      </x:c>
      <x:c r="G1387" s="14" t="str">
        <x:v>19:00</x:v>
      </x:c>
      <x:c r="H1387" s="14" t="str">
        <x:v>19:35</x:v>
      </x:c>
      <x:c r="I1387" s="14" t="str">
        <x:v>Türkçe</x:v>
      </x:c>
      <x:c r="J1387" s="14" t="str">
        <x:v>Konu / Tekrar</x:v>
      </x:c>
      <x:c r="K1387" s="14" t="str">
        <x:v>Kaynak Tamamlama / Zayıf Konu</x:v>
      </x:c>
      <x:c r="L1387" s="14" t="str">
        <x:v>Yeni konu açma. En zayıf/açık konunun ilgili playlist videosunu yalnız gerekiyorsa tekrar izle.</x:v>
      </x:c>
      <x:c r="M1387" s="14" t="str">
        <x:v>Türkçe Ana Oynatma Listesi</x:v>
      </x:c>
      <x:c r="N1387" s="14" t="str">
        <x:v>https://www.youtube.com/watch?v=VYsPntNKVdw&amp;list=PLIBjFaUoJJ91bz7QQEBlxNJNZka5YQRr6</x:v>
      </x:c>
      <x:c r="O1387" s="14" t="n">
        <x:v>0</x:v>
      </x:c>
      <x:c r="P1387" s="14" t="str">
        <x:v>Hayır</x:v>
      </x:c>
      <x:c r="Q1387" s="14" t="str">
        <x:v>Evet</x:v>
      </x:c>
      <x:c r="R1387" s="14" t="str">
        <x:v>Planlandı</x:v>
      </x:c>
      <x:c r="S1387" s="15" t="str"/>
      <x:c r="T1387" s="14" t="str">
        <x:v>TYT etiketli kaynak temelden başlamak için sabittir; LGS dışı gereksiz ayrıntı zorunlu değildir.</x:v>
      </x:c>
    </x:row>
    <x:row r="1388">
      <x:c r="A1388" s="14" t="n">
        <x:v>1387</x:v>
      </x:c>
      <x:c r="B1388" s="15" t="n">
        <x:v>46407</x:v>
      </x:c>
      <x:c r="C1388" s="14" t="str">
        <x:v>Çarşamba</x:v>
      </x:c>
      <x:c r="D1388" s="14" t="str">
        <x:v>Okul Günü</x:v>
      </x:c>
      <x:c r="E1388" s="14" t="str">
        <x:v>16:00 sonrası</x:v>
      </x:c>
      <x:c r="F1388" s="14" t="str">
        <x:v>F2 - LGS Kapsam + Ustalık</x:v>
      </x:c>
      <x:c r="G1388" s="14" t="str">
        <x:v>19:40</x:v>
      </x:c>
      <x:c r="H1388" s="14" t="str">
        <x:v>20:10</x:v>
      </x:c>
      <x:c r="I1388" s="14" t="str">
        <x:v>Türkçe</x:v>
      </x:c>
      <x:c r="J1388" s="14" t="str">
        <x:v>Kitap / MEB / Mastery</x:v>
      </x:c>
      <x:c r="K1388" s="14" t="str">
        <x:v>Kaynak Tamamlama / Zayıf Konu</x:v>
      </x:c>
      <x:c r="L1388" s="14" t="str">
        <x:v>13 Nisan %100 tamamlama hedefine göre en geride kalan Türkçe soru kaynağını/eksik MEB setini ilerlet; açık yanlışları kapat.</x:v>
      </x:c>
      <x:c r="M1388" s="14" t="str">
        <x:v>Ankara 8. Sınıf Dil Bilgisi Güçlendiren + açık MEB/yanlışlar</x:v>
      </x:c>
      <x:c r="N1388" s="14" t="str">
        <x:v>https://odsgm.meb.gov.tr/www/8sinif-calisma-sorulari/icerik/1632</x:v>
      </x:c>
      <x:c r="O1388" s="14" t="n">
        <x:v>15</x:v>
      </x:c>
      <x:c r="P1388" s="14" t="str">
        <x:v>Hayır</x:v>
      </x:c>
      <x:c r="Q1388" s="14" t="str">
        <x:v>Evet</x:v>
      </x:c>
      <x:c r="R1388" s="14" t="str">
        <x:v>Planlandı</x:v>
      </x:c>
      <x:c r="S1388" s="15" t="str"/>
      <x:c r="T1388" s="14" t="str"/>
    </x:row>
    <x:row r="1389">
      <x:c r="A1389" s="14" t="n">
        <x:v>1388</x:v>
      </x:c>
      <x:c r="B1389" s="15" t="n">
        <x:v>46407</x:v>
      </x:c>
      <x:c r="C1389" s="14" t="str">
        <x:v>Çarşamba</x:v>
      </x:c>
      <x:c r="D1389" s="14" t="str">
        <x:v>Okul Günü</x:v>
      </x:c>
      <x:c r="E1389" s="14" t="str">
        <x:v>16:00 sonrası</x:v>
      </x:c>
      <x:c r="F1389" s="14" t="str">
        <x:v>F2 - LGS Kapsam + Ustalık</x:v>
      </x:c>
      <x:c r="G1389" s="14" t="str">
        <x:v>20:15</x:v>
      </x:c>
      <x:c r="H1389" s="14" t="str">
        <x:v>20:50</x:v>
      </x:c>
      <x:c r="I1389" s="14" t="str">
        <x:v>İngilizce</x:v>
      </x:c>
      <x:c r="J1389" s="14" t="str">
        <x:v>Konu / Tekrar</x:v>
      </x:c>
      <x:c r="K1389" s="14" t="str">
        <x:v>Unit 7 - Tourism</x:v>
      </x:c>
      <x:c r="L1389" s="14" t="str">
        <x:v>Unit 7 - Tourism — MEB doğrulaması öncesi 5-10 dk aktif hatırlama; gerekiyorsa ilgili playlist videosuna kısa dönüş yap.</x:v>
      </x:c>
      <x:c r="M1389" s="14" t="str">
        <x:v>İngilizce Genel Oynatma Listesi</x:v>
      </x:c>
      <x:c r="N1389" s="14" t="str">
        <x:v>https://www.youtube.com/watch?v=FaY3dFjZbns&amp;list=PLSgpQDrUSYp94WgE9pzpHiOG5FwxnZBrr</x:v>
      </x:c>
      <x:c r="O1389" s="14" t="n">
        <x:v>0</x:v>
      </x:c>
      <x:c r="P1389" s="14" t="str">
        <x:v>Hayır</x:v>
      </x:c>
      <x:c r="Q1389" s="14" t="str">
        <x:v>Evet</x:v>
      </x:c>
      <x:c r="R1389" s="14" t="str">
        <x:v>Planlandı</x:v>
      </x:c>
      <x:c r="S1389" s="15" t="str"/>
      <x:c r="T1389" s="14" t="str"/>
    </x:row>
    <x:row r="1390">
      <x:c r="A1390" s="14" t="n">
        <x:v>1389</x:v>
      </x:c>
      <x:c r="B1390" s="15" t="n">
        <x:v>46407</x:v>
      </x:c>
      <x:c r="C1390" s="14" t="str">
        <x:v>Çarşamba</x:v>
      </x:c>
      <x:c r="D1390" s="14" t="str">
        <x:v>Okul Günü</x:v>
      </x:c>
      <x:c r="E1390" s="14" t="str">
        <x:v>16:00 sonrası</x:v>
      </x:c>
      <x:c r="F1390" s="14" t="str">
        <x:v>F2 - LGS Kapsam + Ustalık</x:v>
      </x:c>
      <x:c r="G1390" s="14" t="str">
        <x:v>20:55</x:v>
      </x:c>
      <x:c r="H1390" s="14" t="str">
        <x:v>21:20</x:v>
      </x:c>
      <x:c r="I1390" s="14" t="str">
        <x:v>İngilizce</x:v>
      </x:c>
      <x:c r="J1390" s="14" t="str">
        <x:v>Kitap / MEB / Mastery</x:v>
      </x:c>
      <x:c r="K1390" s="14" t="str">
        <x:v>Unit 7 - Tourism</x:v>
      </x:c>
      <x:c r="L1390" s="14" t="str">
        <x:v>Unit 7 - Tourism için ilgili MEB sorularını TAMAMLA; D/Y/B kaydet. Bu oturum konu mastery gate'idir.</x:v>
      </x:c>
      <x:c r="M1390" s="14" t="str">
        <x:v>MEB 8. Sınıf İngilizce Soruları</x:v>
      </x:c>
      <x:c r="N1390" s="14" t="str">
        <x:v>https://odsgm.meb.gov.tr/www/8sinif-calisma-sorulari/icerik/1632</x:v>
      </x:c>
      <x:c r="O1390" s="14" t="n">
        <x:v>0</x:v>
      </x:c>
      <x:c r="P1390" s="14" t="str">
        <x:v>Hayır</x:v>
      </x:c>
      <x:c r="Q1390" s="14" t="str">
        <x:v>Evet</x:v>
      </x:c>
      <x:c r="R1390" s="14" t="str">
        <x:v>Planlandı</x:v>
      </x:c>
      <x:c r="S1390" s="15" t="str"/>
      <x:c r="T1390" s="14" t="str">
        <x:v>MEB sonucu Konu_Ustaligi sayfasına işlenir.</x:v>
      </x:c>
    </x:row>
    <x:row r="1391">
      <x:c r="A1391" s="14" t="n">
        <x:v>1390</x:v>
      </x:c>
      <x:c r="B1391" s="15" t="n">
        <x:v>46407</x:v>
      </x:c>
      <x:c r="C1391" s="14" t="str">
        <x:v>Çarşamba</x:v>
      </x:c>
      <x:c r="D1391" s="14" t="str">
        <x:v>Okul Günü</x:v>
      </x:c>
      <x:c r="E1391" s="14" t="str">
        <x:v>16:00 sonrası</x:v>
      </x:c>
      <x:c r="F1391" s="14" t="str">
        <x:v>F2 - LGS Kapsam + Ustalık</x:v>
      </x:c>
      <x:c r="G1391" s="14" t="str">
        <x:v>21:20</x:v>
      </x:c>
      <x:c r="H1391" s="14" t="str">
        <x:v>21:35</x:v>
      </x:c>
      <x:c r="I1391" s="14" t="str">
        <x:v>Genel</x:v>
      </x:c>
      <x:c r="J1391" s="14" t="str">
        <x:v>Yanlış / Boş Analizi</x:v>
      </x:c>
      <x:c r="K1391" s="14" t="str">
        <x:v>Günlük</x:v>
      </x:c>
      <x:c r="L1391" s="14" t="str">
        <x:v>Bugünkü yanlış/boşları kaydet; çözümünü öğrenmeden kapatma. Hata türünü sınıflandır.</x:v>
      </x:c>
      <x:c r="M1391" s="14" t="str">
        <x:v>Yanlış Defteri</x:v>
      </x:c>
      <x:c r="N1391" s="14" t="str"/>
      <x:c r="O1391" s="14" t="n">
        <x:v>0</x:v>
      </x:c>
      <x:c r="P1391" s="14" t="str">
        <x:v>Hayır</x:v>
      </x:c>
      <x:c r="Q1391" s="14" t="str">
        <x:v>Evet</x:v>
      </x:c>
      <x:c r="R1391" s="14" t="str">
        <x:v>Planlandı</x:v>
      </x:c>
      <x:c r="S1391" s="15" t="str"/>
      <x:c r="T1391" s="14" t="str"/>
    </x:row>
    <x:row r="1392">
      <x:c r="A1392" s="14" t="n">
        <x:v>1391</x:v>
      </x:c>
      <x:c r="B1392" s="15" t="n">
        <x:v>46407</x:v>
      </x:c>
      <x:c r="C1392" s="14" t="str">
        <x:v>Çarşamba</x:v>
      </x:c>
      <x:c r="D1392" s="14" t="str">
        <x:v>Okul Günü</x:v>
      </x:c>
      <x:c r="E1392" s="14" t="str">
        <x:v>16:00 sonrası</x:v>
      </x:c>
      <x:c r="F1392" s="14" t="str">
        <x:v>F2 - LGS Kapsam + Ustalık</x:v>
      </x:c>
      <x:c r="G1392" s="14" t="str">
        <x:v>21:35</x:v>
      </x:c>
      <x:c r="H1392" s="14" t="str">
        <x:v>21:50</x:v>
      </x:c>
      <x:c r="I1392" s="14" t="str">
        <x:v>Genel</x:v>
      </x:c>
      <x:c r="J1392" s="14" t="str">
        <x:v>Aralıklı Hata Tekrarı</x:v>
      </x:c>
      <x:c r="K1392" s="14" t="str">
        <x:v>+1 / +7 / +21</x:v>
      </x:c>
      <x:c r="L1392" s="14" t="str">
        <x:v>Bugün vadesi gelen yanlış soruları tekrar çöz. Vadesi yoksa bu süre serbest/okuma olabilir.</x:v>
      </x:c>
      <x:c r="M1392" s="14" t="str">
        <x:v>Yanlış Defteri</x:v>
      </x:c>
      <x:c r="N1392" s="14" t="str"/>
      <x:c r="O1392" s="14" t="n">
        <x:v>0</x:v>
      </x:c>
      <x:c r="P1392" s="14" t="str">
        <x:v>Hayır</x:v>
      </x:c>
      <x:c r="Q1392" s="14" t="str">
        <x:v>Koşullu</x:v>
      </x:c>
      <x:c r="R1392" s="14" t="str">
        <x:v>Planlandı</x:v>
      </x:c>
      <x:c r="S1392" s="15" t="str"/>
      <x:c r="T1392" s="14" t="str">
        <x:v>Yanlışlar +1, +7 ve +21 gün aralıklarıyla tekrar edilir; hâlâ yanlışsa konu mastery durumu düşürülür.</x:v>
      </x:c>
    </x:row>
    <x:row r="1393">
      <x:c r="A1393" s="14" t="n">
        <x:v>1392</x:v>
      </x:c>
      <x:c r="B1393" s="15" t="n">
        <x:v>46407</x:v>
      </x:c>
      <x:c r="C1393" s="14" t="str">
        <x:v>Çarşamba</x:v>
      </x:c>
      <x:c r="D1393" s="14" t="str">
        <x:v>Okul Günü</x:v>
      </x:c>
      <x:c r="E1393" s="14" t="str">
        <x:v>16:00 sonrası</x:v>
      </x:c>
      <x:c r="F1393" s="14" t="str">
        <x:v>F2 - LGS Kapsam + Ustalık</x:v>
      </x:c>
      <x:c r="G1393" s="14" t="str">
        <x:v>21:50</x:v>
      </x:c>
      <x:c r="H1393" s="14" t="str">
        <x:v>22:00</x:v>
      </x:c>
      <x:c r="I1393" s="14" t="str">
        <x:v>Genel</x:v>
      </x:c>
      <x:c r="J1393" s="14" t="str">
        <x:v>Uyku Hazırlığı</x:v>
      </x:c>
      <x:c r="K1393" s="14" t="str"/>
      <x:c r="L1393" s="14" t="str">
        <x:v>22:00'de yatakta ve uyku.</x:v>
      </x:c>
      <x:c r="M1393" s="14" t="str"/>
      <x:c r="N1393" s="14" t="str"/>
      <x:c r="O1393" s="14" t="n">
        <x:v>0</x:v>
      </x:c>
      <x:c r="P1393" s="14" t="str">
        <x:v>Hayır</x:v>
      </x:c>
      <x:c r="Q1393" s="14" t="str">
        <x:v>Hayır</x:v>
      </x:c>
      <x:c r="R1393" s="14" t="str">
        <x:v>Planlandı</x:v>
      </x:c>
      <x:c r="S1393" s="15" t="str"/>
      <x:c r="T1393" s="14" t="str"/>
    </x:row>
    <x:row r="1394">
      <x:c r="A1394" s="14" t="n">
        <x:v>1393</x:v>
      </x:c>
      <x:c r="B1394" s="15" t="n">
        <x:v>46408</x:v>
      </x:c>
      <x:c r="C1394" s="14" t="str">
        <x:v>Perşembe</x:v>
      </x:c>
      <x:c r="D1394" s="14" t="str">
        <x:v>Okul Günü</x:v>
      </x:c>
      <x:c r="E1394" s="14" t="str">
        <x:v>16:00 sonrası</x:v>
      </x:c>
      <x:c r="F1394" s="14" t="str">
        <x:v>F2 - LGS Kapsam + Ustalık</x:v>
      </x:c>
      <x:c r="G1394" s="14" t="str">
        <x:v>16:00</x:v>
      </x:c>
      <x:c r="H1394" s="14" t="str">
        <x:v>16:25</x:v>
      </x:c>
      <x:c r="I1394" s="14" t="str">
        <x:v>Genel</x:v>
      </x:c>
      <x:c r="J1394" s="14" t="str">
        <x:v>Dinlenme</x:v>
      </x:c>
      <x:c r="K1394" s="14" t="str"/>
      <x:c r="L1394" s="14" t="str">
        <x:v>Eve geliş, atıştırma ve dinlenme.</x:v>
      </x:c>
      <x:c r="M1394" s="14" t="str"/>
      <x:c r="N1394" s="14" t="str"/>
      <x:c r="O1394" s="14" t="n">
        <x:v>0</x:v>
      </x:c>
      <x:c r="P1394" s="14" t="str">
        <x:v>Hayır</x:v>
      </x:c>
      <x:c r="Q1394" s="14" t="str">
        <x:v>Hayır</x:v>
      </x:c>
      <x:c r="R1394" s="14" t="str">
        <x:v>Planlandı</x:v>
      </x:c>
      <x:c r="S1394" s="15" t="str"/>
      <x:c r="T1394" s="14" t="str"/>
    </x:row>
    <x:row r="1395">
      <x:c r="A1395" s="14" t="n">
        <x:v>1394</x:v>
      </x:c>
      <x:c r="B1395" s="15" t="n">
        <x:v>46408</x:v>
      </x:c>
      <x:c r="C1395" s="14" t="str">
        <x:v>Perşembe</x:v>
      </x:c>
      <x:c r="D1395" s="14" t="str">
        <x:v>Okul Günü</x:v>
      </x:c>
      <x:c r="E1395" s="14" t="str">
        <x:v>16:00 sonrası</x:v>
      </x:c>
      <x:c r="F1395" s="14" t="str">
        <x:v>F2 - LGS Kapsam + Ustalık</x:v>
      </x:c>
      <x:c r="G1395" s="14" t="str">
        <x:v>16:25</x:v>
      </x:c>
      <x:c r="H1395" s="14" t="str">
        <x:v>17:05</x:v>
      </x:c>
      <x:c r="I1395" s="14" t="str">
        <x:v>Matematik</x:v>
      </x:c>
      <x:c r="J1395" s="14" t="str">
        <x:v>Konu / Tekrar</x:v>
      </x:c>
      <x:c r="K1395" s="14" t="str">
        <x:v>Dönüşüm Geometrisi</x:v>
      </x:c>
      <x:c r="L1395" s="14" t="str">
        <x:v>Dönüşüm Geometrisi — genel oynatma listesinden ilgili videoyu izle (1/3).</x:v>
      </x:c>
      <x:c r="M1395" s="14" t="str">
        <x:v>Matematik Yedek Oynatma Listesi</x:v>
      </x:c>
      <x:c r="N1395" s="14" t="str">
        <x:v>https://www.youtube.com/watch?v=Z7exqEHEqQA&amp;list=PLHN_SjKO7rCI&amp;index=3</x:v>
      </x:c>
      <x:c r="O1395" s="14" t="n">
        <x:v>0</x:v>
      </x:c>
      <x:c r="P1395" s="14" t="str">
        <x:v>Hayır</x:v>
      </x:c>
      <x:c r="Q1395" s="14" t="str">
        <x:v>Evet</x:v>
      </x:c>
      <x:c r="R1395" s="14" t="str">
        <x:v>Planlandı</x:v>
      </x:c>
      <x:c r="S1395" s="15" t="str"/>
      <x:c r="T1395" s="14" t="str">
        <x:v>Yeni konu ancak plan sırasıyla açılır; LGS dışı ileri TYT içeriği zorunlu değildir.</x:v>
      </x:c>
    </x:row>
    <x:row r="1396">
      <x:c r="A1396" s="14" t="n">
        <x:v>1395</x:v>
      </x:c>
      <x:c r="B1396" s="15" t="n">
        <x:v>46408</x:v>
      </x:c>
      <x:c r="C1396" s="14" t="str">
        <x:v>Perşembe</x:v>
      </x:c>
      <x:c r="D1396" s="14" t="str">
        <x:v>Okul Günü</x:v>
      </x:c>
      <x:c r="E1396" s="14" t="str">
        <x:v>16:00 sonrası</x:v>
      </x:c>
      <x:c r="F1396" s="14" t="str">
        <x:v>F2 - LGS Kapsam + Ustalık</x:v>
      </x:c>
      <x:c r="G1396" s="14" t="str">
        <x:v>17:10</x:v>
      </x:c>
      <x:c r="H1396" s="14" t="str">
        <x:v>17:55</x:v>
      </x:c>
      <x:c r="I1396" s="14" t="str">
        <x:v>Matematik</x:v>
      </x:c>
      <x:c r="J1396" s="14" t="str">
        <x:v>Kitap / MEB / Mastery</x:v>
      </x:c>
      <x:c r="K1396" s="14" t="str">
        <x:v>Dönüşüm Geometrisi</x:v>
      </x:c>
      <x:c r="L1396" s="14" t="str">
        <x:v>Dönüşüm Geometrisi ile ilgili soru kitabından en az 25 soru / bugünkü test payını çöz.</x:v>
      </x:c>
      <x:c r="M1396" s="14" t="str">
        <x:v>MUBA 8. Sınıf Başlangıç Matematik (ISBN 9789756526972); tamamlandıysa Mozaik 8. Sınıf Matematik</x:v>
      </x:c>
      <x:c r="N1396" s="14" t="str">
        <x:v>https://odsgm.meb.gov.tr/www/8sinif-calisma-sorulari/icerik/1632</x:v>
      </x:c>
      <x:c r="O1396" s="14" t="n">
        <x:v>25</x:v>
      </x:c>
      <x:c r="P1396" s="14" t="str">
        <x:v>İlk 20 soru</x:v>
      </x:c>
      <x:c r="Q1396" s="14" t="str">
        <x:v>Evet</x:v>
      </x:c>
      <x:c r="R1396" s="14" t="str">
        <x:v>Planlandı</x:v>
      </x:c>
      <x:c r="S1396" s="15" t="str"/>
      <x:c r="T1396" s="14" t="str">
        <x:v>Ayrı/rastgele matematik benchmark yoktur. Süreli ilk 20 soru o gün çalışılan konunun içindedir.</x:v>
      </x:c>
    </x:row>
    <x:row r="1397">
      <x:c r="A1397" s="14" t="n">
        <x:v>1396</x:v>
      </x:c>
      <x:c r="B1397" s="15" t="n">
        <x:v>46408</x:v>
      </x:c>
      <x:c r="C1397" s="14" t="str">
        <x:v>Perşembe</x:v>
      </x:c>
      <x:c r="D1397" s="14" t="str">
        <x:v>Okul Günü</x:v>
      </x:c>
      <x:c r="E1397" s="14" t="str">
        <x:v>16:00 sonrası</x:v>
      </x:c>
      <x:c r="F1397" s="14" t="str">
        <x:v>F2 - LGS Kapsam + Ustalık</x:v>
      </x:c>
      <x:c r="G1397" s="14" t="str">
        <x:v>17:55</x:v>
      </x:c>
      <x:c r="H1397" s="14" t="str">
        <x:v>18:25</x:v>
      </x:c>
      <x:c r="I1397" s="14" t="str">
        <x:v>Genel</x:v>
      </x:c>
      <x:c r="J1397" s="14" t="str">
        <x:v>Yemek / Serbest Zaman</x:v>
      </x:c>
      <x:c r="K1397" s="14" t="str"/>
      <x:c r="L1397" s="14" t="str">
        <x:v>Yemek, hareket ve dinlenme.</x:v>
      </x:c>
      <x:c r="M1397" s="14" t="str"/>
      <x:c r="N1397" s="14" t="str"/>
      <x:c r="O1397" s="14" t="n">
        <x:v>0</x:v>
      </x:c>
      <x:c r="P1397" s="14" t="str">
        <x:v>Hayır</x:v>
      </x:c>
      <x:c r="Q1397" s="14" t="str">
        <x:v>Hayır</x:v>
      </x:c>
      <x:c r="R1397" s="14" t="str">
        <x:v>Planlandı</x:v>
      </x:c>
      <x:c r="S1397" s="15" t="str"/>
      <x:c r="T1397" s="14" t="str"/>
    </x:row>
    <x:row r="1398">
      <x:c r="A1398" s="14" t="n">
        <x:v>1397</x:v>
      </x:c>
      <x:c r="B1398" s="15" t="n">
        <x:v>46408</x:v>
      </x:c>
      <x:c r="C1398" s="14" t="str">
        <x:v>Perşembe</x:v>
      </x:c>
      <x:c r="D1398" s="14" t="str">
        <x:v>Okul Günü</x:v>
      </x:c>
      <x:c r="E1398" s="14" t="str">
        <x:v>16:00 sonrası</x:v>
      </x:c>
      <x:c r="F1398" s="14" t="str">
        <x:v>F2 - LGS Kapsam + Ustalık</x:v>
      </x:c>
      <x:c r="G1398" s="14" t="str">
        <x:v>18:25</x:v>
      </x:c>
      <x:c r="H1398" s="14" t="str">
        <x:v>18:55</x:v>
      </x:c>
      <x:c r="I1398" s="14" t="str">
        <x:v>Türkçe</x:v>
      </x:c>
      <x:c r="J1398" s="14" t="str">
        <x:v>Paragraf Rutini</x:v>
      </x:c>
      <x:c r="K1398" s="14" t="str">
        <x:v>Paragraf</x:v>
      </x:c>
      <x:c r="L1398" s="14" t="str">
        <x:v>En az 25 paragraf sorusu çöz; ilk 20 soruyu ileri sayımla ölç, D/Y/B + süre kaydet.</x:v>
      </x:c>
      <x:c r="M1398" s="14" t="str">
        <x:v>Hız 8. Sınıf Türkçe Paragraf (ISBN 9786258394498)</x:v>
      </x:c>
      <x:c r="N1398" s="14" t="str"/>
      <x:c r="O1398" s="14" t="n">
        <x:v>25</x:v>
      </x:c>
      <x:c r="P1398" s="14" t="str">
        <x:v>İlk 20 soru</x:v>
      </x:c>
      <x:c r="Q1398" s="14" t="str">
        <x:v>Evet</x:v>
      </x:c>
      <x:c r="R1398" s="14" t="str">
        <x:v>Planlandı</x:v>
      </x:c>
      <x:c r="S1398" s="15" t="str"/>
      <x:c r="T1398" s="14" t="str">
        <x:v>Geri sayım ve hedef süre yok.</x:v>
      </x:c>
    </x:row>
    <x:row r="1399">
      <x:c r="A1399" s="14" t="n">
        <x:v>1398</x:v>
      </x:c>
      <x:c r="B1399" s="15" t="n">
        <x:v>46408</x:v>
      </x:c>
      <x:c r="C1399" s="14" t="str">
        <x:v>Perşembe</x:v>
      </x:c>
      <x:c r="D1399" s="14" t="str">
        <x:v>Okul Günü</x:v>
      </x:c>
      <x:c r="E1399" s="14" t="str">
        <x:v>16:00 sonrası</x:v>
      </x:c>
      <x:c r="F1399" s="14" t="str">
        <x:v>F2 - LGS Kapsam + Ustalık</x:v>
      </x:c>
      <x:c r="G1399" s="14" t="str">
        <x:v>19:00</x:v>
      </x:c>
      <x:c r="H1399" s="14" t="str">
        <x:v>19:35</x:v>
      </x:c>
      <x:c r="I1399" s="14" t="str">
        <x:v>Türkçe</x:v>
      </x:c>
      <x:c r="J1399" s="14" t="str">
        <x:v>Konu / Tekrar</x:v>
      </x:c>
      <x:c r="K1399" s="14" t="str">
        <x:v>Kaynak Tamamlama / Zayıf Konu</x:v>
      </x:c>
      <x:c r="L1399" s="14" t="str">
        <x:v>Yeni konu açma. En zayıf/açık konunun ilgili playlist videosunu yalnız gerekiyorsa tekrar izle.</x:v>
      </x:c>
      <x:c r="M1399" s="14" t="str">
        <x:v>Türkçe Ana Oynatma Listesi</x:v>
      </x:c>
      <x:c r="N1399" s="14" t="str">
        <x:v>https://www.youtube.com/watch?v=VYsPntNKVdw&amp;list=PLIBjFaUoJJ91bz7QQEBlxNJNZka5YQRr6</x:v>
      </x:c>
      <x:c r="O1399" s="14" t="n">
        <x:v>0</x:v>
      </x:c>
      <x:c r="P1399" s="14" t="str">
        <x:v>Hayır</x:v>
      </x:c>
      <x:c r="Q1399" s="14" t="str">
        <x:v>Evet</x:v>
      </x:c>
      <x:c r="R1399" s="14" t="str">
        <x:v>Planlandı</x:v>
      </x:c>
      <x:c r="S1399" s="15" t="str"/>
      <x:c r="T1399" s="14" t="str">
        <x:v>TYT etiketli kaynak temelden başlamak için sabittir; LGS dışı gereksiz ayrıntı zorunlu değildir.</x:v>
      </x:c>
    </x:row>
    <x:row r="1400">
      <x:c r="A1400" s="14" t="n">
        <x:v>1399</x:v>
      </x:c>
      <x:c r="B1400" s="15" t="n">
        <x:v>46408</x:v>
      </x:c>
      <x:c r="C1400" s="14" t="str">
        <x:v>Perşembe</x:v>
      </x:c>
      <x:c r="D1400" s="14" t="str">
        <x:v>Okul Günü</x:v>
      </x:c>
      <x:c r="E1400" s="14" t="str">
        <x:v>16:00 sonrası</x:v>
      </x:c>
      <x:c r="F1400" s="14" t="str">
        <x:v>F2 - LGS Kapsam + Ustalık</x:v>
      </x:c>
      <x:c r="G1400" s="14" t="str">
        <x:v>19:40</x:v>
      </x:c>
      <x:c r="H1400" s="14" t="str">
        <x:v>20:10</x:v>
      </x:c>
      <x:c r="I1400" s="14" t="str">
        <x:v>Türkçe</x:v>
      </x:c>
      <x:c r="J1400" s="14" t="str">
        <x:v>Kitap / MEB / Mastery</x:v>
      </x:c>
      <x:c r="K1400" s="14" t="str">
        <x:v>Kaynak Tamamlama / Zayıf Konu</x:v>
      </x:c>
      <x:c r="L1400" s="14" t="str">
        <x:v>13 Nisan %100 tamamlama hedefine göre en geride kalan Türkçe soru kaynağını/eksik MEB setini ilerlet; açık yanlışları kapat.</x:v>
      </x:c>
      <x:c r="M1400" s="14" t="str">
        <x:v>Ankara 8. Sınıf Dil Bilgisi Güçlendiren + açık MEB/yanlışlar</x:v>
      </x:c>
      <x:c r="N1400" s="14" t="str">
        <x:v>https://odsgm.meb.gov.tr/www/8sinif-calisma-sorulari/icerik/1632</x:v>
      </x:c>
      <x:c r="O1400" s="14" t="n">
        <x:v>15</x:v>
      </x:c>
      <x:c r="P1400" s="14" t="str">
        <x:v>Hayır</x:v>
      </x:c>
      <x:c r="Q1400" s="14" t="str">
        <x:v>Evet</x:v>
      </x:c>
      <x:c r="R1400" s="14" t="str">
        <x:v>Planlandı</x:v>
      </x:c>
      <x:c r="S1400" s="15" t="str"/>
      <x:c r="T1400" s="14" t="str"/>
    </x:row>
    <x:row r="1401">
      <x:c r="A1401" s="14" t="n">
        <x:v>1400</x:v>
      </x:c>
      <x:c r="B1401" s="15" t="n">
        <x:v>46408</x:v>
      </x:c>
      <x:c r="C1401" s="14" t="str">
        <x:v>Perşembe</x:v>
      </x:c>
      <x:c r="D1401" s="14" t="str">
        <x:v>Okul Günü</x:v>
      </x:c>
      <x:c r="E1401" s="14" t="str">
        <x:v>16:00 sonrası</x:v>
      </x:c>
      <x:c r="F1401" s="14" t="str">
        <x:v>F2 - LGS Kapsam + Ustalık</x:v>
      </x:c>
      <x:c r="G1401" s="14" t="str">
        <x:v>20:15</x:v>
      </x:c>
      <x:c r="H1401" s="14" t="str">
        <x:v>20:50</x:v>
      </x:c>
      <x:c r="I1401" s="14" t="str">
        <x:v>Fen</x:v>
      </x:c>
      <x:c r="J1401" s="14" t="str">
        <x:v>Konu / Tekrar</x:v>
      </x:c>
      <x:c r="K1401" s="14" t="str">
        <x:v>Basit Makineler - Kaldıraçlar</x:v>
      </x:c>
      <x:c r="L1401" s="14" t="str">
        <x:v>Basit Makineler - Kaldıraçlar — MEB doğrulaması öncesi 5-10 dk aktif hatırlama; gerekiyorsa ilgili playlist videosuna kısa dönüş yap.</x:v>
      </x:c>
      <x:c r="M1401" s="14" t="str">
        <x:v>Fen Soru Çözüm / Tekrar</x:v>
      </x:c>
      <x:c r="N1401" s="14" t="str">
        <x:v>https://www.youtube.com/watch?v=pQXhWnDZ3vM&amp;list=PLrQm7mt99FRXcBnorCttd31HJEvg0En26&amp;index=23</x:v>
      </x:c>
      <x:c r="O1401" s="14" t="n">
        <x:v>0</x:v>
      </x:c>
      <x:c r="P1401" s="14" t="str">
        <x:v>Hayır</x:v>
      </x:c>
      <x:c r="Q1401" s="14" t="str">
        <x:v>Evet</x:v>
      </x:c>
      <x:c r="R1401" s="14" t="str">
        <x:v>Planlandı</x:v>
      </x:c>
      <x:c r="S1401" s="15" t="str"/>
      <x:c r="T1401" s="14" t="str"/>
    </x:row>
    <x:row r="1402">
      <x:c r="A1402" s="14" t="n">
        <x:v>1401</x:v>
      </x:c>
      <x:c r="B1402" s="15" t="n">
        <x:v>46408</x:v>
      </x:c>
      <x:c r="C1402" s="14" t="str">
        <x:v>Perşembe</x:v>
      </x:c>
      <x:c r="D1402" s="14" t="str">
        <x:v>Okul Günü</x:v>
      </x:c>
      <x:c r="E1402" s="14" t="str">
        <x:v>16:00 sonrası</x:v>
      </x:c>
      <x:c r="F1402" s="14" t="str">
        <x:v>F2 - LGS Kapsam + Ustalık</x:v>
      </x:c>
      <x:c r="G1402" s="14" t="str">
        <x:v>20:55</x:v>
      </x:c>
      <x:c r="H1402" s="14" t="str">
        <x:v>21:20</x:v>
      </x:c>
      <x:c r="I1402" s="14" t="str">
        <x:v>Fen</x:v>
      </x:c>
      <x:c r="J1402" s="14" t="str">
        <x:v>Kitap / MEB / Mastery</x:v>
      </x:c>
      <x:c r="K1402" s="14" t="str">
        <x:v>Basit Makineler - Kaldıraçlar</x:v>
      </x:c>
      <x:c r="L1402" s="14" t="str">
        <x:v>Basit Makineler - Kaldıraçlar için ilgili MEB sorularını TAMAMLA; D/Y/B kaydet. Bu oturum konu mastery gate'idir.</x:v>
      </x:c>
      <x:c r="M1402" s="14" t="str">
        <x:v>MEB 8. Sınıf Fen Soruları</x:v>
      </x:c>
      <x:c r="N1402" s="14" t="str">
        <x:v>https://odsgm.meb.gov.tr/www/8sinif-calisma-sorulari/icerik/1632</x:v>
      </x:c>
      <x:c r="O1402" s="14" t="n">
        <x:v>0</x:v>
      </x:c>
      <x:c r="P1402" s="14" t="str">
        <x:v>Hayır</x:v>
      </x:c>
      <x:c r="Q1402" s="14" t="str">
        <x:v>Evet</x:v>
      </x:c>
      <x:c r="R1402" s="14" t="str">
        <x:v>Planlandı</x:v>
      </x:c>
      <x:c r="S1402" s="15" t="str"/>
      <x:c r="T1402" s="14" t="str">
        <x:v>MEB sonucu Konu_Ustaligi sayfasına işlenir.</x:v>
      </x:c>
    </x:row>
    <x:row r="1403">
      <x:c r="A1403" s="14" t="n">
        <x:v>1402</x:v>
      </x:c>
      <x:c r="B1403" s="15" t="n">
        <x:v>46408</x:v>
      </x:c>
      <x:c r="C1403" s="14" t="str">
        <x:v>Perşembe</x:v>
      </x:c>
      <x:c r="D1403" s="14" t="str">
        <x:v>Okul Günü</x:v>
      </x:c>
      <x:c r="E1403" s="14" t="str">
        <x:v>16:00 sonrası</x:v>
      </x:c>
      <x:c r="F1403" s="14" t="str">
        <x:v>F2 - LGS Kapsam + Ustalık</x:v>
      </x:c>
      <x:c r="G1403" s="14" t="str">
        <x:v>21:20</x:v>
      </x:c>
      <x:c r="H1403" s="14" t="str">
        <x:v>21:35</x:v>
      </x:c>
      <x:c r="I1403" s="14" t="str">
        <x:v>Genel</x:v>
      </x:c>
      <x:c r="J1403" s="14" t="str">
        <x:v>Yanlış / Boş Analizi</x:v>
      </x:c>
      <x:c r="K1403" s="14" t="str">
        <x:v>Günlük</x:v>
      </x:c>
      <x:c r="L1403" s="14" t="str">
        <x:v>Bugünkü yanlış/boşları kaydet; çözümünü öğrenmeden kapatma. Hata türünü sınıflandır.</x:v>
      </x:c>
      <x:c r="M1403" s="14" t="str">
        <x:v>Yanlış Defteri</x:v>
      </x:c>
      <x:c r="N1403" s="14" t="str"/>
      <x:c r="O1403" s="14" t="n">
        <x:v>0</x:v>
      </x:c>
      <x:c r="P1403" s="14" t="str">
        <x:v>Hayır</x:v>
      </x:c>
      <x:c r="Q1403" s="14" t="str">
        <x:v>Evet</x:v>
      </x:c>
      <x:c r="R1403" s="14" t="str">
        <x:v>Planlandı</x:v>
      </x:c>
      <x:c r="S1403" s="15" t="str"/>
      <x:c r="T1403" s="14" t="str"/>
    </x:row>
    <x:row r="1404">
      <x:c r="A1404" s="14" t="n">
        <x:v>1403</x:v>
      </x:c>
      <x:c r="B1404" s="15" t="n">
        <x:v>46408</x:v>
      </x:c>
      <x:c r="C1404" s="14" t="str">
        <x:v>Perşembe</x:v>
      </x:c>
      <x:c r="D1404" s="14" t="str">
        <x:v>Okul Günü</x:v>
      </x:c>
      <x:c r="E1404" s="14" t="str">
        <x:v>16:00 sonrası</x:v>
      </x:c>
      <x:c r="F1404" s="14" t="str">
        <x:v>F2 - LGS Kapsam + Ustalık</x:v>
      </x:c>
      <x:c r="G1404" s="14" t="str">
        <x:v>21:35</x:v>
      </x:c>
      <x:c r="H1404" s="14" t="str">
        <x:v>21:50</x:v>
      </x:c>
      <x:c r="I1404" s="14" t="str">
        <x:v>Genel</x:v>
      </x:c>
      <x:c r="J1404" s="14" t="str">
        <x:v>Aralıklı Hata Tekrarı</x:v>
      </x:c>
      <x:c r="K1404" s="14" t="str">
        <x:v>+1 / +7 / +21</x:v>
      </x:c>
      <x:c r="L1404" s="14" t="str">
        <x:v>Bugün vadesi gelen yanlış soruları tekrar çöz. Vadesi yoksa bu süre serbest/okuma olabilir.</x:v>
      </x:c>
      <x:c r="M1404" s="14" t="str">
        <x:v>Yanlış Defteri</x:v>
      </x:c>
      <x:c r="N1404" s="14" t="str"/>
      <x:c r="O1404" s="14" t="n">
        <x:v>0</x:v>
      </x:c>
      <x:c r="P1404" s="14" t="str">
        <x:v>Hayır</x:v>
      </x:c>
      <x:c r="Q1404" s="14" t="str">
        <x:v>Koşullu</x:v>
      </x:c>
      <x:c r="R1404" s="14" t="str">
        <x:v>Planlandı</x:v>
      </x:c>
      <x:c r="S1404" s="15" t="str"/>
      <x:c r="T1404" s="14" t="str">
        <x:v>Yanlışlar +1, +7 ve +21 gün aralıklarıyla tekrar edilir; hâlâ yanlışsa konu mastery durumu düşürülür.</x:v>
      </x:c>
    </x:row>
    <x:row r="1405">
      <x:c r="A1405" s="14" t="n">
        <x:v>1404</x:v>
      </x:c>
      <x:c r="B1405" s="15" t="n">
        <x:v>46408</x:v>
      </x:c>
      <x:c r="C1405" s="14" t="str">
        <x:v>Perşembe</x:v>
      </x:c>
      <x:c r="D1405" s="14" t="str">
        <x:v>Okul Günü</x:v>
      </x:c>
      <x:c r="E1405" s="14" t="str">
        <x:v>16:00 sonrası</x:v>
      </x:c>
      <x:c r="F1405" s="14" t="str">
        <x:v>F2 - LGS Kapsam + Ustalık</x:v>
      </x:c>
      <x:c r="G1405" s="14" t="str">
        <x:v>21:50</x:v>
      </x:c>
      <x:c r="H1405" s="14" t="str">
        <x:v>22:00</x:v>
      </x:c>
      <x:c r="I1405" s="14" t="str">
        <x:v>Genel</x:v>
      </x:c>
      <x:c r="J1405" s="14" t="str">
        <x:v>Uyku Hazırlığı</x:v>
      </x:c>
      <x:c r="K1405" s="14" t="str"/>
      <x:c r="L1405" s="14" t="str">
        <x:v>22:00'de yatakta ve uyku.</x:v>
      </x:c>
      <x:c r="M1405" s="14" t="str"/>
      <x:c r="N1405" s="14" t="str"/>
      <x:c r="O1405" s="14" t="n">
        <x:v>0</x:v>
      </x:c>
      <x:c r="P1405" s="14" t="str">
        <x:v>Hayır</x:v>
      </x:c>
      <x:c r="Q1405" s="14" t="str">
        <x:v>Hayır</x:v>
      </x:c>
      <x:c r="R1405" s="14" t="str">
        <x:v>Planlandı</x:v>
      </x:c>
      <x:c r="S1405" s="15" t="str"/>
      <x:c r="T1405" s="14" t="str"/>
    </x:row>
    <x:row r="1406">
      <x:c r="A1406" s="14" t="n">
        <x:v>1405</x:v>
      </x:c>
      <x:c r="B1406" s="15" t="n">
        <x:v>46409</x:v>
      </x:c>
      <x:c r="C1406" s="14" t="str">
        <x:v>Cuma</x:v>
      </x:c>
      <x:c r="D1406" s="14" t="str">
        <x:v>Okul Günü</x:v>
      </x:c>
      <x:c r="E1406" s="14" t="str">
        <x:v>16:00 sonrası</x:v>
      </x:c>
      <x:c r="F1406" s="14" t="str">
        <x:v>F2 - LGS Kapsam + Ustalık</x:v>
      </x:c>
      <x:c r="G1406" s="14" t="str">
        <x:v>16:00</x:v>
      </x:c>
      <x:c r="H1406" s="14" t="str">
        <x:v>16:25</x:v>
      </x:c>
      <x:c r="I1406" s="14" t="str">
        <x:v>Genel</x:v>
      </x:c>
      <x:c r="J1406" s="14" t="str">
        <x:v>Dinlenme</x:v>
      </x:c>
      <x:c r="K1406" s="14" t="str"/>
      <x:c r="L1406" s="14" t="str">
        <x:v>Eve geliş, atıştırma ve dinlenme.</x:v>
      </x:c>
      <x:c r="M1406" s="14" t="str"/>
      <x:c r="N1406" s="14" t="str"/>
      <x:c r="O1406" s="14" t="n">
        <x:v>0</x:v>
      </x:c>
      <x:c r="P1406" s="14" t="str">
        <x:v>Hayır</x:v>
      </x:c>
      <x:c r="Q1406" s="14" t="str">
        <x:v>Hayır</x:v>
      </x:c>
      <x:c r="R1406" s="14" t="str">
        <x:v>Planlandı</x:v>
      </x:c>
      <x:c r="S1406" s="15" t="str"/>
      <x:c r="T1406" s="14" t="str"/>
    </x:row>
    <x:row r="1407">
      <x:c r="A1407" s="14" t="n">
        <x:v>1406</x:v>
      </x:c>
      <x:c r="B1407" s="15" t="n">
        <x:v>46409</x:v>
      </x:c>
      <x:c r="C1407" s="14" t="str">
        <x:v>Cuma</x:v>
      </x:c>
      <x:c r="D1407" s="14" t="str">
        <x:v>Okul Günü</x:v>
      </x:c>
      <x:c r="E1407" s="14" t="str">
        <x:v>16:00 sonrası</x:v>
      </x:c>
      <x:c r="F1407" s="14" t="str">
        <x:v>F2 - LGS Kapsam + Ustalık</x:v>
      </x:c>
      <x:c r="G1407" s="14" t="str">
        <x:v>16:25</x:v>
      </x:c>
      <x:c r="H1407" s="14" t="str">
        <x:v>17:05</x:v>
      </x:c>
      <x:c r="I1407" s="14" t="str">
        <x:v>Matematik</x:v>
      </x:c>
      <x:c r="J1407" s="14" t="str">
        <x:v>Konu / Tekrar</x:v>
      </x:c>
      <x:c r="K1407" s="14" t="str">
        <x:v>Dönüşüm Geometrisi</x:v>
      </x:c>
      <x:c r="L1407" s="14" t="str">
        <x:v>Dönüşüm Geometrisi — genel oynatma listesinden ilgili videoyu izle (2/3).</x:v>
      </x:c>
      <x:c r="M1407" s="14" t="str">
        <x:v>Matematik Yedek Oynatma Listesi</x:v>
      </x:c>
      <x:c r="N1407" s="14" t="str">
        <x:v>https://www.youtube.com/watch?v=Z7exqEHEqQA&amp;list=PLHN_SjKO7rCI&amp;index=3</x:v>
      </x:c>
      <x:c r="O1407" s="14" t="n">
        <x:v>0</x:v>
      </x:c>
      <x:c r="P1407" s="14" t="str">
        <x:v>Hayır</x:v>
      </x:c>
      <x:c r="Q1407" s="14" t="str">
        <x:v>Evet</x:v>
      </x:c>
      <x:c r="R1407" s="14" t="str">
        <x:v>Planlandı</x:v>
      </x:c>
      <x:c r="S1407" s="15" t="str"/>
      <x:c r="T1407" s="14" t="str">
        <x:v>Yeni konu ancak plan sırasıyla açılır; LGS dışı ileri TYT içeriği zorunlu değildir.</x:v>
      </x:c>
    </x:row>
    <x:row r="1408">
      <x:c r="A1408" s="14" t="n">
        <x:v>1407</x:v>
      </x:c>
      <x:c r="B1408" s="15" t="n">
        <x:v>46409</x:v>
      </x:c>
      <x:c r="C1408" s="14" t="str">
        <x:v>Cuma</x:v>
      </x:c>
      <x:c r="D1408" s="14" t="str">
        <x:v>Okul Günü</x:v>
      </x:c>
      <x:c r="E1408" s="14" t="str">
        <x:v>16:00 sonrası</x:v>
      </x:c>
      <x:c r="F1408" s="14" t="str">
        <x:v>F2 - LGS Kapsam + Ustalık</x:v>
      </x:c>
      <x:c r="G1408" s="14" t="str">
        <x:v>17:10</x:v>
      </x:c>
      <x:c r="H1408" s="14" t="str">
        <x:v>17:55</x:v>
      </x:c>
      <x:c r="I1408" s="14" t="str">
        <x:v>Matematik</x:v>
      </x:c>
      <x:c r="J1408" s="14" t="str">
        <x:v>Kitap / MEB / Mastery</x:v>
      </x:c>
      <x:c r="K1408" s="14" t="str">
        <x:v>Dönüşüm Geometrisi</x:v>
      </x:c>
      <x:c r="L1408" s="14" t="str">
        <x:v>Dönüşüm Geometrisi ile ilgili soru kitabından en az 25 soru / bugünkü test payını çöz.</x:v>
      </x:c>
      <x:c r="M1408" s="14" t="str">
        <x:v>MUBA 8. Sınıf Başlangıç Matematik (ISBN 9789756526972); tamamlandıysa Mozaik 8. Sınıf Matematik</x:v>
      </x:c>
      <x:c r="N1408" s="14" t="str">
        <x:v>https://odsgm.meb.gov.tr/www/8sinif-calisma-sorulari/icerik/1632</x:v>
      </x:c>
      <x:c r="O1408" s="14" t="n">
        <x:v>25</x:v>
      </x:c>
      <x:c r="P1408" s="14" t="str">
        <x:v>İlk 20 soru</x:v>
      </x:c>
      <x:c r="Q1408" s="14" t="str">
        <x:v>Evet</x:v>
      </x:c>
      <x:c r="R1408" s="14" t="str">
        <x:v>Planlandı</x:v>
      </x:c>
      <x:c r="S1408" s="15" t="str"/>
      <x:c r="T1408" s="14" t="str">
        <x:v>Ayrı/rastgele matematik benchmark yoktur. Süreli ilk 20 soru o gün çalışılan konunun içindedir.</x:v>
      </x:c>
    </x:row>
    <x:row r="1409">
      <x:c r="A1409" s="14" t="n">
        <x:v>1408</x:v>
      </x:c>
      <x:c r="B1409" s="15" t="n">
        <x:v>46409</x:v>
      </x:c>
      <x:c r="C1409" s="14" t="str">
        <x:v>Cuma</x:v>
      </x:c>
      <x:c r="D1409" s="14" t="str">
        <x:v>Okul Günü</x:v>
      </x:c>
      <x:c r="E1409" s="14" t="str">
        <x:v>16:00 sonrası</x:v>
      </x:c>
      <x:c r="F1409" s="14" t="str">
        <x:v>F2 - LGS Kapsam + Ustalık</x:v>
      </x:c>
      <x:c r="G1409" s="14" t="str">
        <x:v>17:55</x:v>
      </x:c>
      <x:c r="H1409" s="14" t="str">
        <x:v>18:25</x:v>
      </x:c>
      <x:c r="I1409" s="14" t="str">
        <x:v>Genel</x:v>
      </x:c>
      <x:c r="J1409" s="14" t="str">
        <x:v>Yemek / Serbest Zaman</x:v>
      </x:c>
      <x:c r="K1409" s="14" t="str"/>
      <x:c r="L1409" s="14" t="str">
        <x:v>Yemek, hareket ve dinlenme.</x:v>
      </x:c>
      <x:c r="M1409" s="14" t="str"/>
      <x:c r="N1409" s="14" t="str"/>
      <x:c r="O1409" s="14" t="n">
        <x:v>0</x:v>
      </x:c>
      <x:c r="P1409" s="14" t="str">
        <x:v>Hayır</x:v>
      </x:c>
      <x:c r="Q1409" s="14" t="str">
        <x:v>Hayır</x:v>
      </x:c>
      <x:c r="R1409" s="14" t="str">
        <x:v>Planlandı</x:v>
      </x:c>
      <x:c r="S1409" s="15" t="str"/>
      <x:c r="T1409" s="14" t="str"/>
    </x:row>
    <x:row r="1410">
      <x:c r="A1410" s="14" t="n">
        <x:v>1409</x:v>
      </x:c>
      <x:c r="B1410" s="15" t="n">
        <x:v>46409</x:v>
      </x:c>
      <x:c r="C1410" s="14" t="str">
        <x:v>Cuma</x:v>
      </x:c>
      <x:c r="D1410" s="14" t="str">
        <x:v>Okul Günü</x:v>
      </x:c>
      <x:c r="E1410" s="14" t="str">
        <x:v>16:00 sonrası</x:v>
      </x:c>
      <x:c r="F1410" s="14" t="str">
        <x:v>F2 - LGS Kapsam + Ustalık</x:v>
      </x:c>
      <x:c r="G1410" s="14" t="str">
        <x:v>18:25</x:v>
      </x:c>
      <x:c r="H1410" s="14" t="str">
        <x:v>18:55</x:v>
      </x:c>
      <x:c r="I1410" s="14" t="str">
        <x:v>Türkçe</x:v>
      </x:c>
      <x:c r="J1410" s="14" t="str">
        <x:v>Paragraf Rutini</x:v>
      </x:c>
      <x:c r="K1410" s="14" t="str">
        <x:v>Paragraf</x:v>
      </x:c>
      <x:c r="L1410" s="14" t="str">
        <x:v>En az 25 paragraf sorusu çöz; ilk 20 soruyu ileri sayımla ölç, D/Y/B + süre kaydet.</x:v>
      </x:c>
      <x:c r="M1410" s="14" t="str">
        <x:v>Hız 8. Sınıf Türkçe Paragraf (ISBN 9786258394498)</x:v>
      </x:c>
      <x:c r="N1410" s="14" t="str"/>
      <x:c r="O1410" s="14" t="n">
        <x:v>25</x:v>
      </x:c>
      <x:c r="P1410" s="14" t="str">
        <x:v>İlk 20 soru</x:v>
      </x:c>
      <x:c r="Q1410" s="14" t="str">
        <x:v>Evet</x:v>
      </x:c>
      <x:c r="R1410" s="14" t="str">
        <x:v>Planlandı</x:v>
      </x:c>
      <x:c r="S1410" s="15" t="str"/>
      <x:c r="T1410" s="14" t="str">
        <x:v>Geri sayım ve hedef süre yok.</x:v>
      </x:c>
    </x:row>
    <x:row r="1411">
      <x:c r="A1411" s="14" t="n">
        <x:v>1410</x:v>
      </x:c>
      <x:c r="B1411" s="15" t="n">
        <x:v>46409</x:v>
      </x:c>
      <x:c r="C1411" s="14" t="str">
        <x:v>Cuma</x:v>
      </x:c>
      <x:c r="D1411" s="14" t="str">
        <x:v>Okul Günü</x:v>
      </x:c>
      <x:c r="E1411" s="14" t="str">
        <x:v>16:00 sonrası</x:v>
      </x:c>
      <x:c r="F1411" s="14" t="str">
        <x:v>F2 - LGS Kapsam + Ustalık</x:v>
      </x:c>
      <x:c r="G1411" s="14" t="str">
        <x:v>19:00</x:v>
      </x:c>
      <x:c r="H1411" s="14" t="str">
        <x:v>19:35</x:v>
      </x:c>
      <x:c r="I1411" s="14" t="str">
        <x:v>Türkçe</x:v>
      </x:c>
      <x:c r="J1411" s="14" t="str">
        <x:v>Konu / Tekrar</x:v>
      </x:c>
      <x:c r="K1411" s="14" t="str">
        <x:v>Kaynak Tamamlama / Zayıf Konu</x:v>
      </x:c>
      <x:c r="L1411" s="14" t="str">
        <x:v>Yeni konu açma. En zayıf/açık konunun ilgili playlist videosunu yalnız gerekiyorsa tekrar izle.</x:v>
      </x:c>
      <x:c r="M1411" s="14" t="str">
        <x:v>Türkçe Ana Oynatma Listesi</x:v>
      </x:c>
      <x:c r="N1411" s="14" t="str">
        <x:v>https://www.youtube.com/watch?v=VYsPntNKVdw&amp;list=PLIBjFaUoJJ91bz7QQEBlxNJNZka5YQRr6</x:v>
      </x:c>
      <x:c r="O1411" s="14" t="n">
        <x:v>0</x:v>
      </x:c>
      <x:c r="P1411" s="14" t="str">
        <x:v>Hayır</x:v>
      </x:c>
      <x:c r="Q1411" s="14" t="str">
        <x:v>Evet</x:v>
      </x:c>
      <x:c r="R1411" s="14" t="str">
        <x:v>Planlandı</x:v>
      </x:c>
      <x:c r="S1411" s="15" t="str"/>
      <x:c r="T1411" s="14" t="str">
        <x:v>TYT etiketli kaynak temelden başlamak için sabittir; LGS dışı gereksiz ayrıntı zorunlu değildir.</x:v>
      </x:c>
    </x:row>
    <x:row r="1412">
      <x:c r="A1412" s="14" t="n">
        <x:v>1411</x:v>
      </x:c>
      <x:c r="B1412" s="15" t="n">
        <x:v>46409</x:v>
      </x:c>
      <x:c r="C1412" s="14" t="str">
        <x:v>Cuma</x:v>
      </x:c>
      <x:c r="D1412" s="14" t="str">
        <x:v>Okul Günü</x:v>
      </x:c>
      <x:c r="E1412" s="14" t="str">
        <x:v>16:00 sonrası</x:v>
      </x:c>
      <x:c r="F1412" s="14" t="str">
        <x:v>F2 - LGS Kapsam + Ustalık</x:v>
      </x:c>
      <x:c r="G1412" s="14" t="str">
        <x:v>19:40</x:v>
      </x:c>
      <x:c r="H1412" s="14" t="str">
        <x:v>20:10</x:v>
      </x:c>
      <x:c r="I1412" s="14" t="str">
        <x:v>Türkçe</x:v>
      </x:c>
      <x:c r="J1412" s="14" t="str">
        <x:v>Kitap / MEB / Mastery</x:v>
      </x:c>
      <x:c r="K1412" s="14" t="str">
        <x:v>Kaynak Tamamlama / Zayıf Konu</x:v>
      </x:c>
      <x:c r="L1412" s="14" t="str">
        <x:v>13 Nisan %100 tamamlama hedefine göre en geride kalan Türkçe soru kaynağını/eksik MEB setini ilerlet; açık yanlışları kapat.</x:v>
      </x:c>
      <x:c r="M1412" s="14" t="str">
        <x:v>Ankara 8. Sınıf Dil Bilgisi Güçlendiren + açık MEB/yanlışlar</x:v>
      </x:c>
      <x:c r="N1412" s="14" t="str">
        <x:v>https://odsgm.meb.gov.tr/www/8sinif-calisma-sorulari/icerik/1632</x:v>
      </x:c>
      <x:c r="O1412" s="14" t="n">
        <x:v>15</x:v>
      </x:c>
      <x:c r="P1412" s="14" t="str">
        <x:v>Hayır</x:v>
      </x:c>
      <x:c r="Q1412" s="14" t="str">
        <x:v>Evet</x:v>
      </x:c>
      <x:c r="R1412" s="14" t="str">
        <x:v>Planlandı</x:v>
      </x:c>
      <x:c r="S1412" s="15" t="str"/>
      <x:c r="T1412" s="14" t="str"/>
    </x:row>
    <x:row r="1413">
      <x:c r="A1413" s="14" t="n">
        <x:v>1412</x:v>
      </x:c>
      <x:c r="B1413" s="15" t="n">
        <x:v>46409</x:v>
      </x:c>
      <x:c r="C1413" s="14" t="str">
        <x:v>Cuma</x:v>
      </x:c>
      <x:c r="D1413" s="14" t="str">
        <x:v>Okul Günü</x:v>
      </x:c>
      <x:c r="E1413" s="14" t="str">
        <x:v>16:00 sonrası</x:v>
      </x:c>
      <x:c r="F1413" s="14" t="str">
        <x:v>F2 - LGS Kapsam + Ustalık</x:v>
      </x:c>
      <x:c r="G1413" s="14" t="str">
        <x:v>20:15</x:v>
      </x:c>
      <x:c r="H1413" s="14" t="str">
        <x:v>20:50</x:v>
      </x:c>
      <x:c r="I1413" s="14" t="str">
        <x:v>Din</x:v>
      </x:c>
      <x:c r="J1413" s="14" t="str">
        <x:v>Konu / Tekrar</x:v>
      </x:c>
      <x:c r="K1413" s="14" t="str">
        <x:v>Kur’an-ı Kerim ve Özellikleri</x:v>
      </x:c>
      <x:c r="L1413" s="14" t="str">
        <x:v>Kur’an-ı Kerim ve Özellikleri — genel oynatma listesinden ilgili konu/soru çalışmasını yap.</x:v>
      </x:c>
      <x:c r="M1413" s="14" t="str">
        <x:v>Din Genel Oynatma Listesi</x:v>
      </x:c>
      <x:c r="N1413" s="14" t="str">
        <x:v>https://www.youtube.com/watch?v=wvdOE_75VnA&amp;list=PLbRoPq-Zu-SWXGUbVt4t4UWo-4VjsMUo-&amp;index=2</x:v>
      </x:c>
      <x:c r="O1413" s="14" t="n">
        <x:v>0</x:v>
      </x:c>
      <x:c r="P1413" s="14" t="str">
        <x:v>Hayır</x:v>
      </x:c>
      <x:c r="Q1413" s="14" t="str">
        <x:v>Evet</x:v>
      </x:c>
      <x:c r="R1413" s="14" t="str">
        <x:v>Planlandı</x:v>
      </x:c>
      <x:c r="S1413" s="15" t="str"/>
      <x:c r="T1413" s="14" t="str"/>
    </x:row>
    <x:row r="1414">
      <x:c r="A1414" s="14" t="n">
        <x:v>1413</x:v>
      </x:c>
      <x:c r="B1414" s="15" t="n">
        <x:v>46409</x:v>
      </x:c>
      <x:c r="C1414" s="14" t="str">
        <x:v>Cuma</x:v>
      </x:c>
      <x:c r="D1414" s="14" t="str">
        <x:v>Okul Günü</x:v>
      </x:c>
      <x:c r="E1414" s="14" t="str">
        <x:v>16:00 sonrası</x:v>
      </x:c>
      <x:c r="F1414" s="14" t="str">
        <x:v>F2 - LGS Kapsam + Ustalık</x:v>
      </x:c>
      <x:c r="G1414" s="14" t="str">
        <x:v>20:55</x:v>
      </x:c>
      <x:c r="H1414" s="14" t="str">
        <x:v>21:20</x:v>
      </x:c>
      <x:c r="I1414" s="14" t="str">
        <x:v>Din</x:v>
      </x:c>
      <x:c r="J1414" s="14" t="str">
        <x:v>Kitap / MEB / Mastery</x:v>
      </x:c>
      <x:c r="K1414" s="14" t="str">
        <x:v>Kur’an-ı Kerim ve Özellikleri</x:v>
      </x:c>
      <x:c r="L1414" s="14" t="str">
        <x:v>Kur’an-ı Kerim ve Özellikleri ile ilgili soru kitabından en az 18 soru / bugünkü test payını çöz.</x:v>
      </x:c>
      <x:c r="M1414" s="14" t="str">
        <x:v>Hız 8. Sınıf Din Kültürü ve Ahlak Bilgisi</x:v>
      </x:c>
      <x:c r="N1414" s="14" t="str">
        <x:v>https://www.youtube.com/watch?v=wvdOE_75VnA&amp;list=PLbRoPq-Zu-SWXGUbVt4t4UWo-4VjsMUo-&amp;index=2</x:v>
      </x:c>
      <x:c r="O1414" s="14" t="n">
        <x:v>18</x:v>
      </x:c>
      <x:c r="P1414" s="14" t="str">
        <x:v>Hayır</x:v>
      </x:c>
      <x:c r="Q1414" s="14" t="str">
        <x:v>Evet</x:v>
      </x:c>
      <x:c r="R1414" s="14" t="str">
        <x:v>Planlandı</x:v>
      </x:c>
      <x:c r="S1414" s="15" t="str"/>
      <x:c r="T1414" s="14" t="str"/>
    </x:row>
    <x:row r="1415">
      <x:c r="A1415" s="14" t="n">
        <x:v>1414</x:v>
      </x:c>
      <x:c r="B1415" s="15" t="n">
        <x:v>46409</x:v>
      </x:c>
      <x:c r="C1415" s="14" t="str">
        <x:v>Cuma</x:v>
      </x:c>
      <x:c r="D1415" s="14" t="str">
        <x:v>Okul Günü</x:v>
      </x:c>
      <x:c r="E1415" s="14" t="str">
        <x:v>16:00 sonrası</x:v>
      </x:c>
      <x:c r="F1415" s="14" t="str">
        <x:v>F2 - LGS Kapsam + Ustalık</x:v>
      </x:c>
      <x:c r="G1415" s="14" t="str">
        <x:v>21:20</x:v>
      </x:c>
      <x:c r="H1415" s="14" t="str">
        <x:v>21:35</x:v>
      </x:c>
      <x:c r="I1415" s="14" t="str">
        <x:v>Genel</x:v>
      </x:c>
      <x:c r="J1415" s="14" t="str">
        <x:v>Yanlış / Boş Analizi</x:v>
      </x:c>
      <x:c r="K1415" s="14" t="str">
        <x:v>Günlük</x:v>
      </x:c>
      <x:c r="L1415" s="14" t="str">
        <x:v>Bugünkü yanlış/boşları kaydet; çözümünü öğrenmeden kapatma. Hata türünü sınıflandır.</x:v>
      </x:c>
      <x:c r="M1415" s="14" t="str">
        <x:v>Yanlış Defteri</x:v>
      </x:c>
      <x:c r="N1415" s="14" t="str"/>
      <x:c r="O1415" s="14" t="n">
        <x:v>0</x:v>
      </x:c>
      <x:c r="P1415" s="14" t="str">
        <x:v>Hayır</x:v>
      </x:c>
      <x:c r="Q1415" s="14" t="str">
        <x:v>Evet</x:v>
      </x:c>
      <x:c r="R1415" s="14" t="str">
        <x:v>Planlandı</x:v>
      </x:c>
      <x:c r="S1415" s="15" t="str"/>
      <x:c r="T1415" s="14" t="str"/>
    </x:row>
    <x:row r="1416">
      <x:c r="A1416" s="14" t="n">
        <x:v>1415</x:v>
      </x:c>
      <x:c r="B1416" s="15" t="n">
        <x:v>46409</x:v>
      </x:c>
      <x:c r="C1416" s="14" t="str">
        <x:v>Cuma</x:v>
      </x:c>
      <x:c r="D1416" s="14" t="str">
        <x:v>Okul Günü</x:v>
      </x:c>
      <x:c r="E1416" s="14" t="str">
        <x:v>16:00 sonrası</x:v>
      </x:c>
      <x:c r="F1416" s="14" t="str">
        <x:v>F2 - LGS Kapsam + Ustalık</x:v>
      </x:c>
      <x:c r="G1416" s="14" t="str">
        <x:v>21:35</x:v>
      </x:c>
      <x:c r="H1416" s="14" t="str">
        <x:v>21:50</x:v>
      </x:c>
      <x:c r="I1416" s="14" t="str">
        <x:v>Genel</x:v>
      </x:c>
      <x:c r="J1416" s="14" t="str">
        <x:v>Aralıklı Hata Tekrarı</x:v>
      </x:c>
      <x:c r="K1416" s="14" t="str">
        <x:v>+1 / +7 / +21</x:v>
      </x:c>
      <x:c r="L1416" s="14" t="str">
        <x:v>Bugün vadesi gelen yanlış soruları tekrar çöz. Vadesi yoksa bu süre serbest/okuma olabilir.</x:v>
      </x:c>
      <x:c r="M1416" s="14" t="str">
        <x:v>Yanlış Defteri</x:v>
      </x:c>
      <x:c r="N1416" s="14" t="str"/>
      <x:c r="O1416" s="14" t="n">
        <x:v>0</x:v>
      </x:c>
      <x:c r="P1416" s="14" t="str">
        <x:v>Hayır</x:v>
      </x:c>
      <x:c r="Q1416" s="14" t="str">
        <x:v>Koşullu</x:v>
      </x:c>
      <x:c r="R1416" s="14" t="str">
        <x:v>Planlandı</x:v>
      </x:c>
      <x:c r="S1416" s="15" t="str"/>
      <x:c r="T1416" s="14" t="str">
        <x:v>Yanlışlar +1, +7 ve +21 gün aralıklarıyla tekrar edilir; hâlâ yanlışsa konu mastery durumu düşürülür.</x:v>
      </x:c>
    </x:row>
    <x:row r="1417">
      <x:c r="A1417" s="14" t="n">
        <x:v>1416</x:v>
      </x:c>
      <x:c r="B1417" s="15" t="n">
        <x:v>46409</x:v>
      </x:c>
      <x:c r="C1417" s="14" t="str">
        <x:v>Cuma</x:v>
      </x:c>
      <x:c r="D1417" s="14" t="str">
        <x:v>Okul Günü</x:v>
      </x:c>
      <x:c r="E1417" s="14" t="str">
        <x:v>16:00 sonrası</x:v>
      </x:c>
      <x:c r="F1417" s="14" t="str">
        <x:v>F2 - LGS Kapsam + Ustalık</x:v>
      </x:c>
      <x:c r="G1417" s="14" t="str">
        <x:v>21:50</x:v>
      </x:c>
      <x:c r="H1417" s="14" t="str">
        <x:v>22:00</x:v>
      </x:c>
      <x:c r="I1417" s="14" t="str">
        <x:v>Genel</x:v>
      </x:c>
      <x:c r="J1417" s="14" t="str">
        <x:v>Uyku Hazırlığı</x:v>
      </x:c>
      <x:c r="K1417" s="14" t="str"/>
      <x:c r="L1417" s="14" t="str">
        <x:v>22:00'de yatakta ve uyku.</x:v>
      </x:c>
      <x:c r="M1417" s="14" t="str"/>
      <x:c r="N1417" s="14" t="str"/>
      <x:c r="O1417" s="14" t="n">
        <x:v>0</x:v>
      </x:c>
      <x:c r="P1417" s="14" t="str">
        <x:v>Hayır</x:v>
      </x:c>
      <x:c r="Q1417" s="14" t="str">
        <x:v>Hayır</x:v>
      </x:c>
      <x:c r="R1417" s="14" t="str">
        <x:v>Planlandı</x:v>
      </x:c>
      <x:c r="S1417" s="15" t="str"/>
      <x:c r="T1417" s="14" t="str"/>
    </x:row>
    <x:row r="1418">
      <x:c r="A1418" s="14" t="n">
        <x:v>1417</x:v>
      </x:c>
      <x:c r="B1418" s="15" t="n">
        <x:v>46410</x:v>
      </x:c>
      <x:c r="C1418" s="14" t="str">
        <x:v>Cumartesi</x:v>
      </x:c>
      <x:c r="D1418" s="14" t="str">
        <x:v>Hafta Sonu</x:v>
      </x:c>
      <x:c r="E1418" s="14" t="str">
        <x:v>Tam gün</x:v>
      </x:c>
      <x:c r="F1418" s="14" t="str">
        <x:v>F2 - LGS Kapsam + Ustalık</x:v>
      </x:c>
      <x:c r="G1418" s="14" t="str">
        <x:v>09:30</x:v>
      </x:c>
      <x:c r="H1418" s="14" t="str">
        <x:v>10:15</x:v>
      </x:c>
      <x:c r="I1418" s="14" t="str">
        <x:v>Matematik</x:v>
      </x:c>
      <x:c r="J1418" s="14" t="str">
        <x:v>Konu / Tekrar</x:v>
      </x:c>
      <x:c r="K1418" s="14" t="str">
        <x:v>Dönüşüm Geometrisi</x:v>
      </x:c>
      <x:c r="L1418" s="14" t="str">
        <x:v>Dönüşüm Geometrisi — genel oynatma listesinden ilgili videoyu izle (3/3).</x:v>
      </x:c>
      <x:c r="M1418" s="14" t="str">
        <x:v>Matematik Yedek Oynatma Listesi</x:v>
      </x:c>
      <x:c r="N1418" s="14" t="str">
        <x:v>https://www.youtube.com/watch?v=Z7exqEHEqQA&amp;list=PLHN_SjKO7rCI&amp;index=3</x:v>
      </x:c>
      <x:c r="O1418" s="14" t="n">
        <x:v>0</x:v>
      </x:c>
      <x:c r="P1418" s="14" t="str">
        <x:v>Hayır</x:v>
      </x:c>
      <x:c r="Q1418" s="14" t="str">
        <x:v>Evet</x:v>
      </x:c>
      <x:c r="R1418" s="14" t="str">
        <x:v>Planlandı</x:v>
      </x:c>
      <x:c r="S1418" s="15" t="str"/>
      <x:c r="T1418" s="14" t="str">
        <x:v>Yeni konu ancak plan sırasıyla açılır; LGS dışı ileri TYT içeriği zorunlu değildir.</x:v>
      </x:c>
    </x:row>
    <x:row r="1419">
      <x:c r="A1419" s="14" t="n">
        <x:v>1418</x:v>
      </x:c>
      <x:c r="B1419" s="15" t="n">
        <x:v>46410</x:v>
      </x:c>
      <x:c r="C1419" s="14" t="str">
        <x:v>Cumartesi</x:v>
      </x:c>
      <x:c r="D1419" s="14" t="str">
        <x:v>Hafta Sonu</x:v>
      </x:c>
      <x:c r="E1419" s="14" t="str">
        <x:v>Tam gün</x:v>
      </x:c>
      <x:c r="F1419" s="14" t="str">
        <x:v>F2 - LGS Kapsam + Ustalık</x:v>
      </x:c>
      <x:c r="G1419" s="14" t="str">
        <x:v>10:25</x:v>
      </x:c>
      <x:c r="H1419" s="14" t="str">
        <x:v>11:15</x:v>
      </x:c>
      <x:c r="I1419" s="14" t="str">
        <x:v>Matematik</x:v>
      </x:c>
      <x:c r="J1419" s="14" t="str">
        <x:v>Kitap / MEB / Mastery</x:v>
      </x:c>
      <x:c r="K1419" s="14" t="str">
        <x:v>Dönüşüm Geometrisi</x:v>
      </x:c>
      <x:c r="L1419" s="14" t="str">
        <x:v>Dönüşüm Geometrisi ile ilgili soru kitabından en az 25 soru / bugünkü test payını çöz. İlgili kitap konu bölümünü bu oturumda bitirmeyi hedefle; sonraki oturum MEB doğrulaması.</x:v>
      </x:c>
      <x:c r="M1419" s="14" t="str">
        <x:v>MUBA 8. Sınıf Başlangıç Matematik (ISBN 9789756526972); tamamlandıysa Mozaik 8. Sınıf Matematik</x:v>
      </x:c>
      <x:c r="N1419" s="14" t="str">
        <x:v>https://odsgm.meb.gov.tr/www/8sinif-calisma-sorulari/icerik/1632</x:v>
      </x:c>
      <x:c r="O1419" s="14" t="n">
        <x:v>25</x:v>
      </x:c>
      <x:c r="P1419" s="14" t="str">
        <x:v>İlk 20 soru</x:v>
      </x:c>
      <x:c r="Q1419" s="14" t="str">
        <x:v>Evet</x:v>
      </x:c>
      <x:c r="R1419" s="14" t="str">
        <x:v>Planlandı</x:v>
      </x:c>
      <x:c r="S1419" s="15" t="str"/>
      <x:c r="T1419" s="14" t="str">
        <x:v>Ayrı/rastgele matematik benchmark yoktur. Süreli ilk 20 soru o gün çalışılan konunun içindedir.</x:v>
      </x:c>
    </x:row>
    <x:row r="1420">
      <x:c r="A1420" s="14" t="n">
        <x:v>1419</x:v>
      </x:c>
      <x:c r="B1420" s="15" t="n">
        <x:v>46410</x:v>
      </x:c>
      <x:c r="C1420" s="14" t="str">
        <x:v>Cumartesi</x:v>
      </x:c>
      <x:c r="D1420" s="14" t="str">
        <x:v>Hafta Sonu</x:v>
      </x:c>
      <x:c r="E1420" s="14" t="str">
        <x:v>Tam gün</x:v>
      </x:c>
      <x:c r="F1420" s="14" t="str">
        <x:v>F2 - LGS Kapsam + Ustalık</x:v>
      </x:c>
      <x:c r="G1420" s="14" t="str">
        <x:v>12:00</x:v>
      </x:c>
      <x:c r="H1420" s="14" t="str">
        <x:v>14:00</x:v>
      </x:c>
      <x:c r="I1420" s="14" t="str">
        <x:v>Genel</x:v>
      </x:c>
      <x:c r="J1420" s="14" t="str">
        <x:v>Yemek / Serbest Zaman</x:v>
      </x:c>
      <x:c r="K1420" s="14" t="str"/>
      <x:c r="L1420" s="14" t="str">
        <x:v>Yemek, hareket ve dinlenme.</x:v>
      </x:c>
      <x:c r="M1420" s="14" t="str"/>
      <x:c r="N1420" s="14" t="str"/>
      <x:c r="O1420" s="14" t="n">
        <x:v>0</x:v>
      </x:c>
      <x:c r="P1420" s="14" t="str">
        <x:v>Hayır</x:v>
      </x:c>
      <x:c r="Q1420" s="14" t="str">
        <x:v>Hayır</x:v>
      </x:c>
      <x:c r="R1420" s="14" t="str">
        <x:v>Planlandı</x:v>
      </x:c>
      <x:c r="S1420" s="15" t="str"/>
      <x:c r="T1420" s="14" t="str"/>
    </x:row>
    <x:row r="1421">
      <x:c r="A1421" s="14" t="n">
        <x:v>1420</x:v>
      </x:c>
      <x:c r="B1421" s="15" t="n">
        <x:v>46410</x:v>
      </x:c>
      <x:c r="C1421" s="14" t="str">
        <x:v>Cumartesi</x:v>
      </x:c>
      <x:c r="D1421" s="14" t="str">
        <x:v>Hafta Sonu</x:v>
      </x:c>
      <x:c r="E1421" s="14" t="str">
        <x:v>Tam gün</x:v>
      </x:c>
      <x:c r="F1421" s="14" t="str">
        <x:v>F2 - LGS Kapsam + Ustalık</x:v>
      </x:c>
      <x:c r="G1421" s="14" t="str">
        <x:v>11:25</x:v>
      </x:c>
      <x:c r="H1421" s="14" t="str">
        <x:v>11:55</x:v>
      </x:c>
      <x:c r="I1421" s="14" t="str">
        <x:v>Türkçe</x:v>
      </x:c>
      <x:c r="J1421" s="14" t="str">
        <x:v>Paragraf Rutini</x:v>
      </x:c>
      <x:c r="K1421" s="14" t="str">
        <x:v>Paragraf</x:v>
      </x:c>
      <x:c r="L1421" s="14" t="str">
        <x:v>En az 25 paragraf sorusu çöz; ilk 20 soruyu ileri sayımla ölç, D/Y/B + süre kaydet.</x:v>
      </x:c>
      <x:c r="M1421" s="14" t="str">
        <x:v>Hız 8. Sınıf Türkçe Paragraf (ISBN 9786258394498)</x:v>
      </x:c>
      <x:c r="N1421" s="14" t="str"/>
      <x:c r="O1421" s="14" t="n">
        <x:v>25</x:v>
      </x:c>
      <x:c r="P1421" s="14" t="str">
        <x:v>İlk 20 soru</x:v>
      </x:c>
      <x:c r="Q1421" s="14" t="str">
        <x:v>Evet</x:v>
      </x:c>
      <x:c r="R1421" s="14" t="str">
        <x:v>Planlandı</x:v>
      </x:c>
      <x:c r="S1421" s="15" t="str"/>
      <x:c r="T1421" s="14" t="str">
        <x:v>Geri sayım ve hedef süre yok.</x:v>
      </x:c>
    </x:row>
    <x:row r="1422">
      <x:c r="A1422" s="14" t="n">
        <x:v>1421</x:v>
      </x:c>
      <x:c r="B1422" s="15" t="n">
        <x:v>46410</x:v>
      </x:c>
      <x:c r="C1422" s="14" t="str">
        <x:v>Cumartesi</x:v>
      </x:c>
      <x:c r="D1422" s="14" t="str">
        <x:v>Hafta Sonu</x:v>
      </x:c>
      <x:c r="E1422" s="14" t="str">
        <x:v>Tam gün</x:v>
      </x:c>
      <x:c r="F1422" s="14" t="str">
        <x:v>F2 - LGS Kapsam + Ustalık</x:v>
      </x:c>
      <x:c r="G1422" s="14" t="str">
        <x:v>14:00</x:v>
      </x:c>
      <x:c r="H1422" s="14" t="str">
        <x:v>14:40</x:v>
      </x:c>
      <x:c r="I1422" s="14" t="str">
        <x:v>Türkçe</x:v>
      </x:c>
      <x:c r="J1422" s="14" t="str">
        <x:v>Konu / Tekrar</x:v>
      </x:c>
      <x:c r="K1422" s="14" t="str">
        <x:v>Kaynak Tamamlama / Zayıf Konu</x:v>
      </x:c>
      <x:c r="L1422" s="14" t="str">
        <x:v>Yeni konu açma. En zayıf/açık konunun ilgili playlist videosunu yalnız gerekiyorsa tekrar izle.</x:v>
      </x:c>
      <x:c r="M1422" s="14" t="str">
        <x:v>Türkçe Ana Oynatma Listesi</x:v>
      </x:c>
      <x:c r="N1422" s="14" t="str">
        <x:v>https://www.youtube.com/watch?v=VYsPntNKVdw&amp;list=PLIBjFaUoJJ91bz7QQEBlxNJNZka5YQRr6</x:v>
      </x:c>
      <x:c r="O1422" s="14" t="n">
        <x:v>0</x:v>
      </x:c>
      <x:c r="P1422" s="14" t="str">
        <x:v>Hayır</x:v>
      </x:c>
      <x:c r="Q1422" s="14" t="str">
        <x:v>Evet</x:v>
      </x:c>
      <x:c r="R1422" s="14" t="str">
        <x:v>Planlandı</x:v>
      </x:c>
      <x:c r="S1422" s="15" t="str"/>
      <x:c r="T1422" s="14" t="str">
        <x:v>TYT etiketli kaynak temelden başlamak için sabittir; LGS dışı gereksiz ayrıntı zorunlu değildir.</x:v>
      </x:c>
    </x:row>
    <x:row r="1423">
      <x:c r="A1423" s="14" t="n">
        <x:v>1422</x:v>
      </x:c>
      <x:c r="B1423" s="15" t="n">
        <x:v>46410</x:v>
      </x:c>
      <x:c r="C1423" s="14" t="str">
        <x:v>Cumartesi</x:v>
      </x:c>
      <x:c r="D1423" s="14" t="str">
        <x:v>Hafta Sonu</x:v>
      </x:c>
      <x:c r="E1423" s="14" t="str">
        <x:v>Tam gün</x:v>
      </x:c>
      <x:c r="F1423" s="14" t="str">
        <x:v>F2 - LGS Kapsam + Ustalık</x:v>
      </x:c>
      <x:c r="G1423" s="14" t="str">
        <x:v>14:50</x:v>
      </x:c>
      <x:c r="H1423" s="14" t="str">
        <x:v>15:30</x:v>
      </x:c>
      <x:c r="I1423" s="14" t="str">
        <x:v>Türkçe</x:v>
      </x:c>
      <x:c r="J1423" s="14" t="str">
        <x:v>Kitap / MEB / Mastery</x:v>
      </x:c>
      <x:c r="K1423" s="14" t="str">
        <x:v>Kaynak Tamamlama / Zayıf Konu</x:v>
      </x:c>
      <x:c r="L1423" s="14" t="str">
        <x:v>13 Nisan %100 tamamlama hedefine göre en geride kalan Türkçe soru kaynağını/eksik MEB setini ilerlet; açık yanlışları kapat.</x:v>
      </x:c>
      <x:c r="M1423" s="14" t="str">
        <x:v>Ankara 8. Sınıf Dil Bilgisi Güçlendiren + açık MEB/yanlışlar</x:v>
      </x:c>
      <x:c r="N1423" s="14" t="str">
        <x:v>https://odsgm.meb.gov.tr/www/8sinif-calisma-sorulari/icerik/1632</x:v>
      </x:c>
      <x:c r="O1423" s="14" t="n">
        <x:v>15</x:v>
      </x:c>
      <x:c r="P1423" s="14" t="str">
        <x:v>Hayır</x:v>
      </x:c>
      <x:c r="Q1423" s="14" t="str">
        <x:v>Evet</x:v>
      </x:c>
      <x:c r="R1423" s="14" t="str">
        <x:v>Planlandı</x:v>
      </x:c>
      <x:c r="S1423" s="15" t="str"/>
      <x:c r="T1423" s="14" t="str"/>
    </x:row>
    <x:row r="1424">
      <x:c r="A1424" s="14" t="n">
        <x:v>1423</x:v>
      </x:c>
      <x:c r="B1424" s="15" t="n">
        <x:v>46410</x:v>
      </x:c>
      <x:c r="C1424" s="14" t="str">
        <x:v>Cumartesi</x:v>
      </x:c>
      <x:c r="D1424" s="14" t="str">
        <x:v>Hafta Sonu</x:v>
      </x:c>
      <x:c r="E1424" s="14" t="str">
        <x:v>Tam gün</x:v>
      </x:c>
      <x:c r="F1424" s="14" t="str">
        <x:v>F2 - LGS Kapsam + Ustalık</x:v>
      </x:c>
      <x:c r="G1424" s="14" t="str">
        <x:v>15:45</x:v>
      </x:c>
      <x:c r="H1424" s="14" t="str">
        <x:v>16:25</x:v>
      </x:c>
      <x:c r="I1424" s="14" t="str">
        <x:v>İnkılap</x:v>
      </x:c>
      <x:c r="J1424" s="14" t="str">
        <x:v>Konu / Tekrar</x:v>
      </x:c>
      <x:c r="K1424" s="14" t="str">
        <x:v>Atatürkçülük ve Çağdaşlaşan Türkiye</x:v>
      </x:c>
      <x:c r="L1424" s="14" t="str">
        <x:v>Atatürkçülük ve Çağdaşlaşan Türkiye — genel oynatma listesinden ilgili konu/soru çalışmasını yap.</x:v>
      </x:c>
      <x:c r="M1424" s="14" t="str">
        <x:v>İnkılap Genel Oynatma Listesi</x:v>
      </x:c>
      <x:c r="N1424" s="14" t="str">
        <x:v>https://www.youtube.com/watch?v=MltIX0oKpYU&amp;list=PLsAsBPsriHNbXit4Ra3iuBrk1ZHZWxsOR&amp;index=78</x:v>
      </x:c>
      <x:c r="O1424" s="14" t="n">
        <x:v>0</x:v>
      </x:c>
      <x:c r="P1424" s="14" t="str">
        <x:v>Hayır</x:v>
      </x:c>
      <x:c r="Q1424" s="14" t="str">
        <x:v>Evet</x:v>
      </x:c>
      <x:c r="R1424" s="14" t="str">
        <x:v>Planlandı</x:v>
      </x:c>
      <x:c r="S1424" s="15" t="str"/>
      <x:c r="T1424" s="14" t="str">
        <x:v>İnkılapta okul yazılısı videoları zorunlu değildir.</x:v>
      </x:c>
    </x:row>
    <x:row r="1425">
      <x:c r="A1425" s="14" t="n">
        <x:v>1424</x:v>
      </x:c>
      <x:c r="B1425" s="15" t="n">
        <x:v>46410</x:v>
      </x:c>
      <x:c r="C1425" s="14" t="str">
        <x:v>Cumartesi</x:v>
      </x:c>
      <x:c r="D1425" s="14" t="str">
        <x:v>Hafta Sonu</x:v>
      </x:c>
      <x:c r="E1425" s="14" t="str">
        <x:v>Tam gün</x:v>
      </x:c>
      <x:c r="F1425" s="14" t="str">
        <x:v>F2 - LGS Kapsam + Ustalık</x:v>
      </x:c>
      <x:c r="G1425" s="14" t="str">
        <x:v>16:35</x:v>
      </x:c>
      <x:c r="H1425" s="14" t="str">
        <x:v>17:15</x:v>
      </x:c>
      <x:c r="I1425" s="14" t="str">
        <x:v>İnkılap</x:v>
      </x:c>
      <x:c r="J1425" s="14" t="str">
        <x:v>Kitap / MEB / Mastery</x:v>
      </x:c>
      <x:c r="K1425" s="14" t="str">
        <x:v>Atatürkçülük ve Çağdaşlaşan Türkiye</x:v>
      </x:c>
      <x:c r="L1425" s="14" t="str">
        <x:v>Atatürkçülük ve Çağdaşlaşan Türkiye ile ilgili soru kitabından en az 18 soru / bugünkü test payını çöz.</x:v>
      </x:c>
      <x:c r="M1425" s="14" t="str">
        <x:v>Hız 8. Sınıf T.C. İnkılap Tarihi ve Atatürkçülük</x:v>
      </x:c>
      <x:c r="N1425" s="14" t="str">
        <x:v>https://www.youtube.com/watch?v=MltIX0oKpYU&amp;list=PLsAsBPsriHNbXit4Ra3iuBrk1ZHZWxsOR&amp;index=78</x:v>
      </x:c>
      <x:c r="O1425" s="14" t="n">
        <x:v>18</x:v>
      </x:c>
      <x:c r="P1425" s="14" t="str">
        <x:v>Hayır</x:v>
      </x:c>
      <x:c r="Q1425" s="14" t="str">
        <x:v>Evet</x:v>
      </x:c>
      <x:c r="R1425" s="14" t="str">
        <x:v>Planlandı</x:v>
      </x:c>
      <x:c r="S1425" s="15" t="str"/>
      <x:c r="T1425" s="14" t="str"/>
    </x:row>
    <x:row r="1426">
      <x:c r="A1426" s="14" t="n">
        <x:v>1425</x:v>
      </x:c>
      <x:c r="B1426" s="15" t="n">
        <x:v>46410</x:v>
      </x:c>
      <x:c r="C1426" s="14" t="str">
        <x:v>Cumartesi</x:v>
      </x:c>
      <x:c r="D1426" s="14" t="str">
        <x:v>Hafta Sonu</x:v>
      </x:c>
      <x:c r="E1426" s="14" t="str">
        <x:v>Tam gün</x:v>
      </x:c>
      <x:c r="F1426" s="14" t="str">
        <x:v>F2 - LGS Kapsam + Ustalık</x:v>
      </x:c>
      <x:c r="G1426" s="14" t="str">
        <x:v>17:25</x:v>
      </x:c>
      <x:c r="H1426" s="14" t="str">
        <x:v>17:55</x:v>
      </x:c>
      <x:c r="I1426" s="14" t="str">
        <x:v>Fen</x:v>
      </x:c>
      <x:c r="J1426" s="14" t="str">
        <x:v>Ek Fen Pekiştirme</x:v>
      </x:c>
      <x:c r="K1426" s="14" t="str">
        <x:v>Basit Makineler - Eğik Düzlem / Çıkrık</x:v>
      </x:c>
      <x:c r="L1426" s="14" t="str">
        <x:v>Basit Makineler - Eğik Düzlem / Çıkrık — Fen konu anlatım playlistinden ilgili videoyu izle.</x:v>
      </x:c>
      <x:c r="M1426" s="14" t="str">
        <x:v>Fen Konu/Soru Oynatma Listesi</x:v>
      </x:c>
      <x:c r="N1426" s="14" t="str">
        <x:v>https://www.youtube.com/watch?v=AHdk01aR4Ko&amp;list=PLrQm7mt99FRV_Oe9xFavWzFpCIl7_XiWj</x:v>
      </x:c>
      <x:c r="O1426" s="14" t="n">
        <x:v>0</x:v>
      </x:c>
      <x:c r="P1426" s="14" t="str">
        <x:v>Hayır</x:v>
      </x:c>
      <x:c r="Q1426" s="14" t="str">
        <x:v>Evet</x:v>
      </x:c>
      <x:c r="R1426" s="14" t="str">
        <x:v>Planlandı</x:v>
      </x:c>
      <x:c r="S1426" s="15" t="str"/>
      <x:c r="T1426" s="14" t="str">
        <x:v>Fen haftalık temas sıklığını artırmak için ek Cumartesi oturumu.</x:v>
      </x:c>
    </x:row>
    <x:row r="1427">
      <x:c r="A1427" s="14" t="n">
        <x:v>1426</x:v>
      </x:c>
      <x:c r="B1427" s="15" t="n">
        <x:v>46410</x:v>
      </x:c>
      <x:c r="C1427" s="14" t="str">
        <x:v>Cumartesi</x:v>
      </x:c>
      <x:c r="D1427" s="14" t="str">
        <x:v>Hafta Sonu</x:v>
      </x:c>
      <x:c r="E1427" s="14" t="str">
        <x:v>Tam gün</x:v>
      </x:c>
      <x:c r="F1427" s="14" t="str">
        <x:v>F2 - LGS Kapsam + Ustalık</x:v>
      </x:c>
      <x:c r="G1427" s="14" t="str">
        <x:v>17:55</x:v>
      </x:c>
      <x:c r="H1427" s="14" t="str">
        <x:v>18:25</x:v>
      </x:c>
      <x:c r="I1427" s="14" t="str">
        <x:v>Fen</x:v>
      </x:c>
      <x:c r="J1427" s="14" t="str">
        <x:v>Ek Fen Kitap / MEB</x:v>
      </x:c>
      <x:c r="K1427" s="14" t="str">
        <x:v>Basit Makineler - Eğik Düzlem / Çıkrık</x:v>
      </x:c>
      <x:c r="L1427" s="14" t="str">
        <x:v>Basit Makineler - Eğik Düzlem / Çıkrık ile ilgili soru kitabından en az 18 soru / bugünkü test payını çöz.</x:v>
      </x:c>
      <x:c r="M1427" s="14" t="str">
        <x:v>Hız 8. Sınıf Fen (ISBN 9786257514859); tamamlandıysa Mozaik 8. Sınıf Fen</x:v>
      </x:c>
      <x:c r="N1427" s="14" t="str">
        <x:v>https://www.youtube.com/watch?v=AHdk01aR4Ko&amp;list=PLrQm7mt99FRV_Oe9xFavWzFpCIl7_XiWj</x:v>
      </x:c>
      <x:c r="O1427" s="14" t="n">
        <x:v>18</x:v>
      </x:c>
      <x:c r="P1427" s="14" t="str">
        <x:v>Hayır</x:v>
      </x:c>
      <x:c r="Q1427" s="14" t="str">
        <x:v>Evet</x:v>
      </x:c>
      <x:c r="R1427" s="14" t="str">
        <x:v>Planlandı</x:v>
      </x:c>
      <x:c r="S1427" s="15" t="str"/>
      <x:c r="T1427" s="14" t="str">
        <x:v>Fen için Hız → gerekiyorsa Mozaik; MEB doğrulaması konu bitiminde.</x:v>
      </x:c>
    </x:row>
    <x:row r="1428">
      <x:c r="A1428" s="14" t="n">
        <x:v>1427</x:v>
      </x:c>
      <x:c r="B1428" s="15" t="n">
        <x:v>46410</x:v>
      </x:c>
      <x:c r="C1428" s="14" t="str">
        <x:v>Cumartesi</x:v>
      </x:c>
      <x:c r="D1428" s="14" t="str">
        <x:v>Hafta Sonu</x:v>
      </x:c>
      <x:c r="E1428" s="14" t="str">
        <x:v>Tam gün</x:v>
      </x:c>
      <x:c r="F1428" s="14" t="str">
        <x:v>F2 - LGS Kapsam + Ustalık</x:v>
      </x:c>
      <x:c r="G1428" s="14" t="str">
        <x:v>18:25</x:v>
      </x:c>
      <x:c r="H1428" s="14" t="str">
        <x:v>18:45</x:v>
      </x:c>
      <x:c r="I1428" s="14" t="str">
        <x:v>Genel</x:v>
      </x:c>
      <x:c r="J1428" s="14" t="str">
        <x:v>Yanlış / Boş Analizi</x:v>
      </x:c>
      <x:c r="K1428" s="14" t="str">
        <x:v>Günlük</x:v>
      </x:c>
      <x:c r="L1428" s="14" t="str">
        <x:v>Bugünkü yanlış/boşları kaydet; çözümünü öğrenmeden kapatma. Hata türünü sınıflandır.</x:v>
      </x:c>
      <x:c r="M1428" s="14" t="str">
        <x:v>Yanlış Defteri</x:v>
      </x:c>
      <x:c r="N1428" s="14" t="str"/>
      <x:c r="O1428" s="14" t="n">
        <x:v>0</x:v>
      </x:c>
      <x:c r="P1428" s="14" t="str">
        <x:v>Hayır</x:v>
      </x:c>
      <x:c r="Q1428" s="14" t="str">
        <x:v>Evet</x:v>
      </x:c>
      <x:c r="R1428" s="14" t="str">
        <x:v>Planlandı</x:v>
      </x:c>
      <x:c r="S1428" s="15" t="str"/>
      <x:c r="T1428" s="14" t="str"/>
    </x:row>
    <x:row r="1429">
      <x:c r="A1429" s="14" t="n">
        <x:v>1428</x:v>
      </x:c>
      <x:c r="B1429" s="15" t="n">
        <x:v>46410</x:v>
      </x:c>
      <x:c r="C1429" s="14" t="str">
        <x:v>Cumartesi</x:v>
      </x:c>
      <x:c r="D1429" s="14" t="str">
        <x:v>Hafta Sonu</x:v>
      </x:c>
      <x:c r="E1429" s="14" t="str">
        <x:v>Tam gün</x:v>
      </x:c>
      <x:c r="F1429" s="14" t="str">
        <x:v>F2 - LGS Kapsam + Ustalık</x:v>
      </x:c>
      <x:c r="G1429" s="14" t="str">
        <x:v>18:45</x:v>
      </x:c>
      <x:c r="H1429" s="14" t="str">
        <x:v>19:05</x:v>
      </x:c>
      <x:c r="I1429" s="14" t="str">
        <x:v>Genel</x:v>
      </x:c>
      <x:c r="J1429" s="14" t="str">
        <x:v>Aralıklı Hata Tekrarı</x:v>
      </x:c>
      <x:c r="K1429" s="14" t="str">
        <x:v>+1 / +7 / +21</x:v>
      </x:c>
      <x:c r="L1429" s="14" t="str">
        <x:v>Bugün vadesi gelen yanlış soruları tekrar çöz. Vadesi yoksa bu süre serbest/okuma olabilir.</x:v>
      </x:c>
      <x:c r="M1429" s="14" t="str">
        <x:v>Yanlış Defteri</x:v>
      </x:c>
      <x:c r="N1429" s="14" t="str"/>
      <x:c r="O1429" s="14" t="n">
        <x:v>0</x:v>
      </x:c>
      <x:c r="P1429" s="14" t="str">
        <x:v>Hayır</x:v>
      </x:c>
      <x:c r="Q1429" s="14" t="str">
        <x:v>Koşullu</x:v>
      </x:c>
      <x:c r="R1429" s="14" t="str">
        <x:v>Planlandı</x:v>
      </x:c>
      <x:c r="S1429" s="15" t="str"/>
      <x:c r="T1429" s="14" t="str">
        <x:v>Yanlışlar +1, +7 ve +21 gün aralıklarıyla tekrar edilir; hâlâ yanlışsa konu mastery durumu düşürülür.</x:v>
      </x:c>
    </x:row>
    <x:row r="1430">
      <x:c r="A1430" s="14" t="n">
        <x:v>1429</x:v>
      </x:c>
      <x:c r="B1430" s="15" t="n">
        <x:v>46410</x:v>
      </x:c>
      <x:c r="C1430" s="14" t="str">
        <x:v>Cumartesi</x:v>
      </x:c>
      <x:c r="D1430" s="14" t="str">
        <x:v>Hafta Sonu</x:v>
      </x:c>
      <x:c r="E1430" s="14" t="str">
        <x:v>Tam gün</x:v>
      </x:c>
      <x:c r="F1430" s="14" t="str">
        <x:v>F2 - LGS Kapsam + Ustalık</x:v>
      </x:c>
      <x:c r="G1430" s="14" t="str">
        <x:v>20:00</x:v>
      </x:c>
      <x:c r="H1430" s="14" t="str">
        <x:v>20:30</x:v>
      </x:c>
      <x:c r="I1430" s="14" t="str">
        <x:v>Okuma</x:v>
      </x:c>
      <x:c r="J1430" s="14" t="str">
        <x:v>İsteğe Bağlı</x:v>
      </x:c>
      <x:c r="K1430" s="14" t="str">
        <x:v>Serbest Kitap</x:v>
      </x:c>
      <x:c r="L1430" s="14" t="str">
        <x:v>Zorunlu çalışmalar bittiyse isteğe bağlı kitap oku.</x:v>
      </x:c>
      <x:c r="M1430" s="14" t="str">
        <x:v>Serbest Kitap</x:v>
      </x:c>
      <x:c r="N1430" s="14" t="str"/>
      <x:c r="O1430" s="14" t="n">
        <x:v>0</x:v>
      </x:c>
      <x:c r="P1430" s="14" t="str">
        <x:v>İsteğe Bağlı</x:v>
      </x:c>
      <x:c r="Q1430" s="14" t="str">
        <x:v>Hayır</x:v>
      </x:c>
      <x:c r="R1430" s="14" t="str">
        <x:v>Planlandı</x:v>
      </x:c>
      <x:c r="S1430" s="15" t="str"/>
      <x:c r="T1430" s="14" t="str">
        <x:v>Minimum süre yok.</x:v>
      </x:c>
    </x:row>
    <x:row r="1431">
      <x:c r="A1431" s="14" t="n">
        <x:v>1430</x:v>
      </x:c>
      <x:c r="B1431" s="15" t="n">
        <x:v>46410</x:v>
      </x:c>
      <x:c r="C1431" s="14" t="str">
        <x:v>Cumartesi</x:v>
      </x:c>
      <x:c r="D1431" s="14" t="str">
        <x:v>Hafta Sonu</x:v>
      </x:c>
      <x:c r="E1431" s="14" t="str">
        <x:v>Tam gün</x:v>
      </x:c>
      <x:c r="F1431" s="14" t="str">
        <x:v>F2 - LGS Kapsam + Ustalık</x:v>
      </x:c>
      <x:c r="G1431" s="14" t="str">
        <x:v>21:50</x:v>
      </x:c>
      <x:c r="H1431" s="14" t="str">
        <x:v>22:00</x:v>
      </x:c>
      <x:c r="I1431" s="14" t="str">
        <x:v>Genel</x:v>
      </x:c>
      <x:c r="J1431" s="14" t="str">
        <x:v>Uyku Hazırlığı</x:v>
      </x:c>
      <x:c r="K1431" s="14" t="str"/>
      <x:c r="L1431" s="14" t="str">
        <x:v>22:00'de yatakta ve uyku.</x:v>
      </x:c>
      <x:c r="M1431" s="14" t="str"/>
      <x:c r="N1431" s="14" t="str"/>
      <x:c r="O1431" s="14" t="n">
        <x:v>0</x:v>
      </x:c>
      <x:c r="P1431" s="14" t="str">
        <x:v>Hayır</x:v>
      </x:c>
      <x:c r="Q1431" s="14" t="str">
        <x:v>Hayır</x:v>
      </x:c>
      <x:c r="R1431" s="14" t="str">
        <x:v>Planlandı</x:v>
      </x:c>
      <x:c r="S1431" s="15" t="str"/>
      <x:c r="T1431" s="14" t="str"/>
    </x:row>
    <x:row r="1432">
      <x:c r="A1432" s="14" t="n">
        <x:v>1431</x:v>
      </x:c>
      <x:c r="B1432" s="15" t="n">
        <x:v>46411</x:v>
      </x:c>
      <x:c r="C1432" s="14" t="str">
        <x:v>Pazar</x:v>
      </x:c>
      <x:c r="D1432" s="14" t="str">
        <x:v>Hafta Sonu</x:v>
      </x:c>
      <x:c r="E1432" s="14" t="str">
        <x:v>Tam gün</x:v>
      </x:c>
      <x:c r="F1432" s="14" t="str">
        <x:v>F2 - LGS Kapsam + Ustalık</x:v>
      </x:c>
      <x:c r="G1432" s="14" t="str">
        <x:v>09:30</x:v>
      </x:c>
      <x:c r="H1432" s="14" t="str">
        <x:v>10:15</x:v>
      </x:c>
      <x:c r="I1432" s="14" t="str">
        <x:v>Matematik</x:v>
      </x:c>
      <x:c r="J1432" s="14" t="str">
        <x:v>Konu / Tekrar</x:v>
      </x:c>
      <x:c r="K1432" s="14" t="str">
        <x:v>Dönüşüm Geometrisi</x:v>
      </x:c>
      <x:c r="L1432" s="14" t="str">
        <x:v>Dönüşüm Geometrisi — MEB doğrulaması öncesi 5-10 dk aktif hatırlama; gerekiyorsa ilgili playlist videosuna kısa dönüş yap.</x:v>
      </x:c>
      <x:c r="M1432" s="14" t="str">
        <x:v>Matematik Yedek Oynatma Listesi</x:v>
      </x:c>
      <x:c r="N1432" s="14" t="str">
        <x:v>https://www.youtube.com/watch?v=Z7exqEHEqQA&amp;list=PLHN_SjKO7rCI&amp;index=3</x:v>
      </x:c>
      <x:c r="O1432" s="14" t="n">
        <x:v>0</x:v>
      </x:c>
      <x:c r="P1432" s="14" t="str">
        <x:v>Hayır</x:v>
      </x:c>
      <x:c r="Q1432" s="14" t="str">
        <x:v>Evet</x:v>
      </x:c>
      <x:c r="R1432" s="14" t="str">
        <x:v>Planlandı</x:v>
      </x:c>
      <x:c r="S1432" s="15" t="str"/>
      <x:c r="T1432" s="14" t="str">
        <x:v>Yeni konu ancak plan sırasıyla açılır; LGS dışı ileri TYT içeriği zorunlu değildir.</x:v>
      </x:c>
    </x:row>
    <x:row r="1433">
      <x:c r="A1433" s="14" t="n">
        <x:v>1432</x:v>
      </x:c>
      <x:c r="B1433" s="15" t="n">
        <x:v>46411</x:v>
      </x:c>
      <x:c r="C1433" s="14" t="str">
        <x:v>Pazar</x:v>
      </x:c>
      <x:c r="D1433" s="14" t="str">
        <x:v>Hafta Sonu</x:v>
      </x:c>
      <x:c r="E1433" s="14" t="str">
        <x:v>Tam gün</x:v>
      </x:c>
      <x:c r="F1433" s="14" t="str">
        <x:v>F2 - LGS Kapsam + Ustalık</x:v>
      </x:c>
      <x:c r="G1433" s="14" t="str">
        <x:v>10:25</x:v>
      </x:c>
      <x:c r="H1433" s="14" t="str">
        <x:v>11:15</x:v>
      </x:c>
      <x:c r="I1433" s="14" t="str">
        <x:v>Matematik</x:v>
      </x:c>
      <x:c r="J1433" s="14" t="str">
        <x:v>Kitap / MEB / Mastery</x:v>
      </x:c>
      <x:c r="K1433" s="14" t="str">
        <x:v>Dönüşüm Geometrisi</x:v>
      </x:c>
      <x:c r="L1433" s="14" t="str">
        <x:v>Dönüşüm Geometrisi için ilgili MEB sorularını TAMAMLA; D/Y/B kaydet. Bu oturum konu mastery gate'idir.</x:v>
      </x:c>
      <x:c r="M1433" s="14" t="str">
        <x:v>MEB Resmî Soru Seti</x:v>
      </x:c>
      <x:c r="N1433" s="14" t="str">
        <x:v>https://odsgm.meb.gov.tr/www/8sinif-calisma-sorulari/icerik/1632</x:v>
      </x:c>
      <x:c r="O1433" s="14" t="n">
        <x:v>0</x:v>
      </x:c>
      <x:c r="P1433" s="14" t="str">
        <x:v>Hayır</x:v>
      </x:c>
      <x:c r="Q1433" s="14" t="str">
        <x:v>Evet</x:v>
      </x:c>
      <x:c r="R1433" s="14" t="str">
        <x:v>Planlandı</x:v>
      </x:c>
      <x:c r="S1433" s="15" t="str"/>
      <x:c r="T1433" s="14" t="str">
        <x:v>MEB sonucu Konu_Ustaligi sayfasına işlenir.</x:v>
      </x:c>
    </x:row>
    <x:row r="1434">
      <x:c r="A1434" s="14" t="n">
        <x:v>1433</x:v>
      </x:c>
      <x:c r="B1434" s="15" t="n">
        <x:v>46411</x:v>
      </x:c>
      <x:c r="C1434" s="14" t="str">
        <x:v>Pazar</x:v>
      </x:c>
      <x:c r="D1434" s="14" t="str">
        <x:v>Hafta Sonu</x:v>
      </x:c>
      <x:c r="E1434" s="14" t="str">
        <x:v>Tam gün</x:v>
      </x:c>
      <x:c r="F1434" s="14" t="str">
        <x:v>F2 - LGS Kapsam + Ustalık</x:v>
      </x:c>
      <x:c r="G1434" s="14" t="str">
        <x:v>12:00</x:v>
      </x:c>
      <x:c r="H1434" s="14" t="str">
        <x:v>14:00</x:v>
      </x:c>
      <x:c r="I1434" s="14" t="str">
        <x:v>Genel</x:v>
      </x:c>
      <x:c r="J1434" s="14" t="str">
        <x:v>Yemek / Serbest Zaman</x:v>
      </x:c>
      <x:c r="K1434" s="14" t="str"/>
      <x:c r="L1434" s="14" t="str">
        <x:v>Yemek, hareket ve dinlenme.</x:v>
      </x:c>
      <x:c r="M1434" s="14" t="str"/>
      <x:c r="N1434" s="14" t="str"/>
      <x:c r="O1434" s="14" t="n">
        <x:v>0</x:v>
      </x:c>
      <x:c r="P1434" s="14" t="str">
        <x:v>Hayır</x:v>
      </x:c>
      <x:c r="Q1434" s="14" t="str">
        <x:v>Hayır</x:v>
      </x:c>
      <x:c r="R1434" s="14" t="str">
        <x:v>Planlandı</x:v>
      </x:c>
      <x:c r="S1434" s="15" t="str"/>
      <x:c r="T1434" s="14" t="str"/>
    </x:row>
    <x:row r="1435">
      <x:c r="A1435" s="14" t="n">
        <x:v>1434</x:v>
      </x:c>
      <x:c r="B1435" s="15" t="n">
        <x:v>46411</x:v>
      </x:c>
      <x:c r="C1435" s="14" t="str">
        <x:v>Pazar</x:v>
      </x:c>
      <x:c r="D1435" s="14" t="str">
        <x:v>Hafta Sonu</x:v>
      </x:c>
      <x:c r="E1435" s="14" t="str">
        <x:v>Tam gün</x:v>
      </x:c>
      <x:c r="F1435" s="14" t="str">
        <x:v>F2 - LGS Kapsam + Ustalık</x:v>
      </x:c>
      <x:c r="G1435" s="14" t="str">
        <x:v>11:25</x:v>
      </x:c>
      <x:c r="H1435" s="14" t="str">
        <x:v>11:55</x:v>
      </x:c>
      <x:c r="I1435" s="14" t="str">
        <x:v>Türkçe</x:v>
      </x:c>
      <x:c r="J1435" s="14" t="str">
        <x:v>Paragraf Rutini</x:v>
      </x:c>
      <x:c r="K1435" s="14" t="str">
        <x:v>Paragraf</x:v>
      </x:c>
      <x:c r="L1435" s="14" t="str">
        <x:v>En az 25 paragraf sorusu çöz; ilk 20 soruyu ileri sayımla ölç, D/Y/B + süre kaydet.</x:v>
      </x:c>
      <x:c r="M1435" s="14" t="str">
        <x:v>Hız 8. Sınıf Türkçe Paragraf (ISBN 9786258394498)</x:v>
      </x:c>
      <x:c r="N1435" s="14" t="str"/>
      <x:c r="O1435" s="14" t="n">
        <x:v>25</x:v>
      </x:c>
      <x:c r="P1435" s="14" t="str">
        <x:v>İlk 20 soru</x:v>
      </x:c>
      <x:c r="Q1435" s="14" t="str">
        <x:v>Evet</x:v>
      </x:c>
      <x:c r="R1435" s="14" t="str">
        <x:v>Planlandı</x:v>
      </x:c>
      <x:c r="S1435" s="15" t="str"/>
      <x:c r="T1435" s="14" t="str">
        <x:v>Geri sayım ve hedef süre yok.</x:v>
      </x:c>
    </x:row>
    <x:row r="1436">
      <x:c r="A1436" s="14" t="n">
        <x:v>1435</x:v>
      </x:c>
      <x:c r="B1436" s="15" t="n">
        <x:v>46411</x:v>
      </x:c>
      <x:c r="C1436" s="14" t="str">
        <x:v>Pazar</x:v>
      </x:c>
      <x:c r="D1436" s="14" t="str">
        <x:v>Hafta Sonu</x:v>
      </x:c>
      <x:c r="E1436" s="14" t="str">
        <x:v>Tam gün</x:v>
      </x:c>
      <x:c r="F1436" s="14" t="str">
        <x:v>F2 - LGS Kapsam + Ustalık</x:v>
      </x:c>
      <x:c r="G1436" s="14" t="str">
        <x:v>14:00</x:v>
      </x:c>
      <x:c r="H1436" s="14" t="str">
        <x:v>14:40</x:v>
      </x:c>
      <x:c r="I1436" s="14" t="str">
        <x:v>Türkçe</x:v>
      </x:c>
      <x:c r="J1436" s="14" t="str">
        <x:v>Konu / Tekrar</x:v>
      </x:c>
      <x:c r="K1436" s="14" t="str">
        <x:v>Kaynak Tamamlama / Zayıf Konu</x:v>
      </x:c>
      <x:c r="L1436" s="14" t="str">
        <x:v>Yeni konu açma. En zayıf/açık konunun ilgili playlist videosunu yalnız gerekiyorsa tekrar izle.</x:v>
      </x:c>
      <x:c r="M1436" s="14" t="str">
        <x:v>Türkçe Ana Oynatma Listesi</x:v>
      </x:c>
      <x:c r="N1436" s="14" t="str">
        <x:v>https://www.youtube.com/watch?v=VYsPntNKVdw&amp;list=PLIBjFaUoJJ91bz7QQEBlxNJNZka5YQRr6</x:v>
      </x:c>
      <x:c r="O1436" s="14" t="n">
        <x:v>0</x:v>
      </x:c>
      <x:c r="P1436" s="14" t="str">
        <x:v>Hayır</x:v>
      </x:c>
      <x:c r="Q1436" s="14" t="str">
        <x:v>Evet</x:v>
      </x:c>
      <x:c r="R1436" s="14" t="str">
        <x:v>Planlandı</x:v>
      </x:c>
      <x:c r="S1436" s="15" t="str"/>
      <x:c r="T1436" s="14" t="str">
        <x:v>TYT etiketli kaynak temelden başlamak için sabittir; LGS dışı gereksiz ayrıntı zorunlu değildir.</x:v>
      </x:c>
    </x:row>
    <x:row r="1437">
      <x:c r="A1437" s="14" t="n">
        <x:v>1436</x:v>
      </x:c>
      <x:c r="B1437" s="15" t="n">
        <x:v>46411</x:v>
      </x:c>
      <x:c r="C1437" s="14" t="str">
        <x:v>Pazar</x:v>
      </x:c>
      <x:c r="D1437" s="14" t="str">
        <x:v>Hafta Sonu</x:v>
      </x:c>
      <x:c r="E1437" s="14" t="str">
        <x:v>Tam gün</x:v>
      </x:c>
      <x:c r="F1437" s="14" t="str">
        <x:v>F2 - LGS Kapsam + Ustalık</x:v>
      </x:c>
      <x:c r="G1437" s="14" t="str">
        <x:v>14:50</x:v>
      </x:c>
      <x:c r="H1437" s="14" t="str">
        <x:v>15:30</x:v>
      </x:c>
      <x:c r="I1437" s="14" t="str">
        <x:v>Türkçe</x:v>
      </x:c>
      <x:c r="J1437" s="14" t="str">
        <x:v>Kitap / MEB / Mastery</x:v>
      </x:c>
      <x:c r="K1437" s="14" t="str">
        <x:v>Kaynak Tamamlama / Zayıf Konu</x:v>
      </x:c>
      <x:c r="L1437" s="14" t="str">
        <x:v>13 Nisan %100 tamamlama hedefine göre en geride kalan Türkçe soru kaynağını/eksik MEB setini ilerlet; açık yanlışları kapat.</x:v>
      </x:c>
      <x:c r="M1437" s="14" t="str">
        <x:v>Ankara 8. Sınıf Dil Bilgisi Güçlendiren + açık MEB/yanlışlar</x:v>
      </x:c>
      <x:c r="N1437" s="14" t="str">
        <x:v>https://odsgm.meb.gov.tr/www/8sinif-calisma-sorulari/icerik/1632</x:v>
      </x:c>
      <x:c r="O1437" s="14" t="n">
        <x:v>15</x:v>
      </x:c>
      <x:c r="P1437" s="14" t="str">
        <x:v>Hayır</x:v>
      </x:c>
      <x:c r="Q1437" s="14" t="str">
        <x:v>Evet</x:v>
      </x:c>
      <x:c r="R1437" s="14" t="str">
        <x:v>Planlandı</x:v>
      </x:c>
      <x:c r="S1437" s="15" t="str"/>
      <x:c r="T1437" s="14" t="str"/>
    </x:row>
    <x:row r="1438">
      <x:c r="A1438" s="14" t="n">
        <x:v>1437</x:v>
      </x:c>
      <x:c r="B1438" s="15" t="n">
        <x:v>46411</x:v>
      </x:c>
      <x:c r="C1438" s="14" t="str">
        <x:v>Pazar</x:v>
      </x:c>
      <x:c r="D1438" s="14" t="str">
        <x:v>Hafta Sonu</x:v>
      </x:c>
      <x:c r="E1438" s="14" t="str">
        <x:v>Tam gün</x:v>
      </x:c>
      <x:c r="F1438" s="14" t="str">
        <x:v>F2 - LGS Kapsam + Ustalık</x:v>
      </x:c>
      <x:c r="G1438" s="14" t="str">
        <x:v>15:45</x:v>
      </x:c>
      <x:c r="H1438" s="14" t="str">
        <x:v>16:25</x:v>
      </x:c>
      <x:c r="I1438" s="14" t="str">
        <x:v>İngilizce</x:v>
      </x:c>
      <x:c r="J1438" s="14" t="str">
        <x:v>Konu / Tekrar</x:v>
      </x:c>
      <x:c r="K1438" s="14" t="str">
        <x:v>Unit 8 - Chores</x:v>
      </x:c>
      <x:c r="L1438" s="14" t="str">
        <x:v>Unit 8 - Chores — Content çalışmasını playlistten yap.</x:v>
      </x:c>
      <x:c r="M1438" s="14" t="str">
        <x:v>İngilizce Genel Oynatma Listesi</x:v>
      </x:c>
      <x:c r="N1438" s="14" t="str">
        <x:v>https://www.youtube.com/watch?v=FaY3dFjZbns&amp;list=PLSgpQDrUSYp94WgE9pzpHiOG5FwxnZBrr</x:v>
      </x:c>
      <x:c r="O1438" s="14" t="n">
        <x:v>0</x:v>
      </x:c>
      <x:c r="P1438" s="14" t="str">
        <x:v>Hayır</x:v>
      </x:c>
      <x:c r="Q1438" s="14" t="str">
        <x:v>Evet</x:v>
      </x:c>
      <x:c r="R1438" s="14" t="str">
        <x:v>Planlandı</x:v>
      </x:c>
      <x:c r="S1438" s="15" t="str"/>
      <x:c r="T1438" s="14" t="str"/>
    </x:row>
    <x:row r="1439">
      <x:c r="A1439" s="14" t="n">
        <x:v>1438</x:v>
      </x:c>
      <x:c r="B1439" s="15" t="n">
        <x:v>46411</x:v>
      </x:c>
      <x:c r="C1439" s="14" t="str">
        <x:v>Pazar</x:v>
      </x:c>
      <x:c r="D1439" s="14" t="str">
        <x:v>Hafta Sonu</x:v>
      </x:c>
      <x:c r="E1439" s="14" t="str">
        <x:v>Tam gün</x:v>
      </x:c>
      <x:c r="F1439" s="14" t="str">
        <x:v>F2 - LGS Kapsam + Ustalık</x:v>
      </x:c>
      <x:c r="G1439" s="14" t="str">
        <x:v>16:35</x:v>
      </x:c>
      <x:c r="H1439" s="14" t="str">
        <x:v>17:15</x:v>
      </x:c>
      <x:c r="I1439" s="14" t="str">
        <x:v>İngilizce</x:v>
      </x:c>
      <x:c r="J1439" s="14" t="str">
        <x:v>Kitap / MEB / Mastery</x:v>
      </x:c>
      <x:c r="K1439" s="14" t="str">
        <x:v>Unit 8 - Chores</x:v>
      </x:c>
      <x:c r="L1439" s="14" t="str">
        <x:v>Unit 8 - Chores ile ilgili soru kitabından en az 18 soru / bugünkü test payını çöz.</x:v>
      </x:c>
      <x:c r="M1439" s="14" t="str">
        <x:v>More &amp; More 8 Worksheets Notebook</x:v>
      </x:c>
      <x:c r="N1439" s="14" t="str">
        <x:v>https://www.youtube.com/watch?v=FaY3dFjZbns&amp;list=PLSgpQDrUSYp94WgE9pzpHiOG5FwxnZBrr</x:v>
      </x:c>
      <x:c r="O1439" s="14" t="n">
        <x:v>18</x:v>
      </x:c>
      <x:c r="P1439" s="14" t="str">
        <x:v>Hayır</x:v>
      </x:c>
      <x:c r="Q1439" s="14" t="str">
        <x:v>Evet</x:v>
      </x:c>
      <x:c r="R1439" s="14" t="str">
        <x:v>Planlandı</x:v>
      </x:c>
      <x:c r="S1439" s="15" t="str"/>
      <x:c r="T1439" s="14" t="str"/>
    </x:row>
    <x:row r="1440">
      <x:c r="A1440" s="14" t="n">
        <x:v>1439</x:v>
      </x:c>
      <x:c r="B1440" s="15" t="n">
        <x:v>46411</x:v>
      </x:c>
      <x:c r="C1440" s="14" t="str">
        <x:v>Pazar</x:v>
      </x:c>
      <x:c r="D1440" s="14" t="str">
        <x:v>Hafta Sonu</x:v>
      </x:c>
      <x:c r="E1440" s="14" t="str">
        <x:v>Tam gün</x:v>
      </x:c>
      <x:c r="F1440" s="14" t="str">
        <x:v>F2 - LGS Kapsam + Ustalık</x:v>
      </x:c>
      <x:c r="G1440" s="14" t="str">
        <x:v>17:25</x:v>
      </x:c>
      <x:c r="H1440" s="14" t="str">
        <x:v>18:25</x:v>
      </x:c>
      <x:c r="I1440" s="14" t="str">
        <x:v>Genel</x:v>
      </x:c>
      <x:c r="J1440" s="14" t="str">
        <x:v>Kaynak Tamamlama</x:v>
      </x:c>
      <x:c r="K1440" s="14" t="str">
        <x:v>En Geride Kalan Kaynak</x:v>
      </x:c>
      <x:c r="L1440" s="14" t="str">
        <x:v>Kaynak_Ilerleme sayfasında hedef yüzdesinin en gerisinde kalan ZORUNLU soru kaynağına 60 dk ayır. Öğrenilmemiş konudan ileri gitme.</x:v>
      </x:c>
      <x:c r="M1440" s="14" t="str">
        <x:v>Kaynak İlerleme</x:v>
      </x:c>
      <x:c r="N1440" s="14" t="str"/>
      <x:c r="O1440" s="14" t="n">
        <x:v>0</x:v>
      </x:c>
      <x:c r="P1440" s="14" t="str">
        <x:v>Hayır</x:v>
      </x:c>
      <x:c r="Q1440" s="14" t="str">
        <x:v>Evet</x:v>
      </x:c>
      <x:c r="R1440" s="14" t="str">
        <x:v>Planlandı</x:v>
      </x:c>
      <x:c r="S1440" s="15" t="str"/>
      <x:c r="T1440" s="14" t="str">
        <x:v>Amaç 13.04.2027'de zorunlu soru kitapları + ilgili MEB setlerini %100 tamamlamak.</x:v>
      </x:c>
    </x:row>
    <x:row r="1441">
      <x:c r="A1441" s="14" t="n">
        <x:v>1440</x:v>
      </x:c>
      <x:c r="B1441" s="15" t="n">
        <x:v>46411</x:v>
      </x:c>
      <x:c r="C1441" s="14" t="str">
        <x:v>Pazar</x:v>
      </x:c>
      <x:c r="D1441" s="14" t="str">
        <x:v>Hafta Sonu</x:v>
      </x:c>
      <x:c r="E1441" s="14" t="str">
        <x:v>Tam gün</x:v>
      </x:c>
      <x:c r="F1441" s="14" t="str">
        <x:v>F2 - LGS Kapsam + Ustalık</x:v>
      </x:c>
      <x:c r="G1441" s="14" t="str">
        <x:v>18:25</x:v>
      </x:c>
      <x:c r="H1441" s="14" t="str">
        <x:v>18:45</x:v>
      </x:c>
      <x:c r="I1441" s="14" t="str">
        <x:v>Genel</x:v>
      </x:c>
      <x:c r="J1441" s="14" t="str">
        <x:v>Yanlış / Boş Analizi</x:v>
      </x:c>
      <x:c r="K1441" s="14" t="str">
        <x:v>Günlük</x:v>
      </x:c>
      <x:c r="L1441" s="14" t="str">
        <x:v>Bugünkü yanlış/boşları kaydet; çözümünü öğrenmeden kapatma. Hata türünü sınıflandır.</x:v>
      </x:c>
      <x:c r="M1441" s="14" t="str">
        <x:v>Yanlış Defteri</x:v>
      </x:c>
      <x:c r="N1441" s="14" t="str"/>
      <x:c r="O1441" s="14" t="n">
        <x:v>0</x:v>
      </x:c>
      <x:c r="P1441" s="14" t="str">
        <x:v>Hayır</x:v>
      </x:c>
      <x:c r="Q1441" s="14" t="str">
        <x:v>Evet</x:v>
      </x:c>
      <x:c r="R1441" s="14" t="str">
        <x:v>Planlandı</x:v>
      </x:c>
      <x:c r="S1441" s="15" t="str"/>
      <x:c r="T1441" s="14" t="str"/>
    </x:row>
    <x:row r="1442">
      <x:c r="A1442" s="14" t="n">
        <x:v>1441</x:v>
      </x:c>
      <x:c r="B1442" s="15" t="n">
        <x:v>46411</x:v>
      </x:c>
      <x:c r="C1442" s="14" t="str">
        <x:v>Pazar</x:v>
      </x:c>
      <x:c r="D1442" s="14" t="str">
        <x:v>Hafta Sonu</x:v>
      </x:c>
      <x:c r="E1442" s="14" t="str">
        <x:v>Tam gün</x:v>
      </x:c>
      <x:c r="F1442" s="14" t="str">
        <x:v>F2 - LGS Kapsam + Ustalık</x:v>
      </x:c>
      <x:c r="G1442" s="14" t="str">
        <x:v>18:45</x:v>
      </x:c>
      <x:c r="H1442" s="14" t="str">
        <x:v>19:05</x:v>
      </x:c>
      <x:c r="I1442" s="14" t="str">
        <x:v>Genel</x:v>
      </x:c>
      <x:c r="J1442" s="14" t="str">
        <x:v>Aralıklı Hata Tekrarı</x:v>
      </x:c>
      <x:c r="K1442" s="14" t="str">
        <x:v>+1 / +7 / +21</x:v>
      </x:c>
      <x:c r="L1442" s="14" t="str">
        <x:v>Bugün vadesi gelen yanlış soruları tekrar çöz. Vadesi yoksa bu süre serbest/okuma olabilir.</x:v>
      </x:c>
      <x:c r="M1442" s="14" t="str">
        <x:v>Yanlış Defteri</x:v>
      </x:c>
      <x:c r="N1442" s="14" t="str"/>
      <x:c r="O1442" s="14" t="n">
        <x:v>0</x:v>
      </x:c>
      <x:c r="P1442" s="14" t="str">
        <x:v>Hayır</x:v>
      </x:c>
      <x:c r="Q1442" s="14" t="str">
        <x:v>Koşullu</x:v>
      </x:c>
      <x:c r="R1442" s="14" t="str">
        <x:v>Planlandı</x:v>
      </x:c>
      <x:c r="S1442" s="15" t="str"/>
      <x:c r="T1442" s="14" t="str">
        <x:v>Yanlışlar +1, +7 ve +21 gün aralıklarıyla tekrar edilir; hâlâ yanlışsa konu mastery durumu düşürülür.</x:v>
      </x:c>
    </x:row>
    <x:row r="1443">
      <x:c r="A1443" s="14" t="n">
        <x:v>1442</x:v>
      </x:c>
      <x:c r="B1443" s="15" t="n">
        <x:v>46411</x:v>
      </x:c>
      <x:c r="C1443" s="14" t="str">
        <x:v>Pazar</x:v>
      </x:c>
      <x:c r="D1443" s="14" t="str">
        <x:v>Hafta Sonu</x:v>
      </x:c>
      <x:c r="E1443" s="14" t="str">
        <x:v>Tam gün</x:v>
      </x:c>
      <x:c r="F1443" s="14" t="str">
        <x:v>F2 - LGS Kapsam + Ustalık</x:v>
      </x:c>
      <x:c r="G1443" s="14" t="str">
        <x:v>20:00</x:v>
      </x:c>
      <x:c r="H1443" s="14" t="str">
        <x:v>20:30</x:v>
      </x:c>
      <x:c r="I1443" s="14" t="str">
        <x:v>Okuma</x:v>
      </x:c>
      <x:c r="J1443" s="14" t="str">
        <x:v>İsteğe Bağlı</x:v>
      </x:c>
      <x:c r="K1443" s="14" t="str">
        <x:v>Serbest Kitap</x:v>
      </x:c>
      <x:c r="L1443" s="14" t="str">
        <x:v>Zorunlu çalışmalar bittiyse isteğe bağlı kitap oku.</x:v>
      </x:c>
      <x:c r="M1443" s="14" t="str">
        <x:v>Serbest Kitap</x:v>
      </x:c>
      <x:c r="N1443" s="14" t="str"/>
      <x:c r="O1443" s="14" t="n">
        <x:v>0</x:v>
      </x:c>
      <x:c r="P1443" s="14" t="str">
        <x:v>İsteğe Bağlı</x:v>
      </x:c>
      <x:c r="Q1443" s="14" t="str">
        <x:v>Hayır</x:v>
      </x:c>
      <x:c r="R1443" s="14" t="str">
        <x:v>Planlandı</x:v>
      </x:c>
      <x:c r="S1443" s="15" t="str"/>
      <x:c r="T1443" s="14" t="str">
        <x:v>Minimum süre yok.</x:v>
      </x:c>
    </x:row>
    <x:row r="1444">
      <x:c r="A1444" s="14" t="n">
        <x:v>1443</x:v>
      </x:c>
      <x:c r="B1444" s="15" t="n">
        <x:v>46411</x:v>
      </x:c>
      <x:c r="C1444" s="14" t="str">
        <x:v>Pazar</x:v>
      </x:c>
      <x:c r="D1444" s="14" t="str">
        <x:v>Hafta Sonu</x:v>
      </x:c>
      <x:c r="E1444" s="14" t="str">
        <x:v>Tam gün</x:v>
      </x:c>
      <x:c r="F1444" s="14" t="str">
        <x:v>F2 - LGS Kapsam + Ustalık</x:v>
      </x:c>
      <x:c r="G1444" s="14" t="str">
        <x:v>21:50</x:v>
      </x:c>
      <x:c r="H1444" s="14" t="str">
        <x:v>22:00</x:v>
      </x:c>
      <x:c r="I1444" s="14" t="str">
        <x:v>Genel</x:v>
      </x:c>
      <x:c r="J1444" s="14" t="str">
        <x:v>Uyku Hazırlığı</x:v>
      </x:c>
      <x:c r="K1444" s="14" t="str"/>
      <x:c r="L1444" s="14" t="str">
        <x:v>22:00'de yatakta ve uyku.</x:v>
      </x:c>
      <x:c r="M1444" s="14" t="str"/>
      <x:c r="N1444" s="14" t="str"/>
      <x:c r="O1444" s="14" t="n">
        <x:v>0</x:v>
      </x:c>
      <x:c r="P1444" s="14" t="str">
        <x:v>Hayır</x:v>
      </x:c>
      <x:c r="Q1444" s="14" t="str">
        <x:v>Hayır</x:v>
      </x:c>
      <x:c r="R1444" s="14" t="str">
        <x:v>Planlandı</x:v>
      </x:c>
      <x:c r="S1444" s="15" t="str"/>
      <x:c r="T1444" s="14" t="str"/>
    </x:row>
    <x:row r="1445">
      <x:c r="A1445" s="14" t="n">
        <x:v>1444</x:v>
      </x:c>
      <x:c r="B1445" s="15" t="n">
        <x:v>46412</x:v>
      </x:c>
      <x:c r="C1445" s="14" t="str">
        <x:v>Pazartesi</x:v>
      </x:c>
      <x:c r="D1445" s="14" t="str">
        <x:v>Okul Tatili</x:v>
      </x:c>
      <x:c r="E1445" s="14" t="str">
        <x:v>MEB Yarıyıl Tatili</x:v>
      </x:c>
      <x:c r="F1445" s="14" t="str">
        <x:v>F2 - LGS Kapsam + Ustalık</x:v>
      </x:c>
      <x:c r="G1445" s="14" t="str">
        <x:v>09:30</x:v>
      </x:c>
      <x:c r="H1445" s="14" t="str">
        <x:v>10:15</x:v>
      </x:c>
      <x:c r="I1445" s="14" t="str">
        <x:v>Matematik</x:v>
      </x:c>
      <x:c r="J1445" s="14" t="str">
        <x:v>Konu / Tekrar</x:v>
      </x:c>
      <x:c r="K1445" s="14" t="str">
        <x:v>Geometrik Cisimler</x:v>
      </x:c>
      <x:c r="L1445" s="14" t="str">
        <x:v>Geometrik Cisimler — genel oynatma listesinden ilgili videoyu izle (1/4).</x:v>
      </x:c>
      <x:c r="M1445" s="14" t="str">
        <x:v>Matematik Yedek Oynatma Listesi</x:v>
      </x:c>
      <x:c r="N1445" s="14" t="str">
        <x:v>https://www.youtube.com/watch?v=Z7exqEHEqQA&amp;list=PLHN_SjKO7rCI&amp;index=3</x:v>
      </x:c>
      <x:c r="O1445" s="14" t="n">
        <x:v>0</x:v>
      </x:c>
      <x:c r="P1445" s="14" t="str">
        <x:v>Hayır</x:v>
      </x:c>
      <x:c r="Q1445" s="14" t="str">
        <x:v>Evet</x:v>
      </x:c>
      <x:c r="R1445" s="14" t="str">
        <x:v>Planlandı</x:v>
      </x:c>
      <x:c r="S1445" s="15" t="str"/>
      <x:c r="T1445" s="14" t="str">
        <x:v>Yeni konu ancak plan sırasıyla açılır; LGS dışı ileri TYT içeriği zorunlu değildir.</x:v>
      </x:c>
    </x:row>
    <x:row r="1446">
      <x:c r="A1446" s="14" t="n">
        <x:v>1445</x:v>
      </x:c>
      <x:c r="B1446" s="15" t="n">
        <x:v>46412</x:v>
      </x:c>
      <x:c r="C1446" s="14" t="str">
        <x:v>Pazartesi</x:v>
      </x:c>
      <x:c r="D1446" s="14" t="str">
        <x:v>Okul Tatili</x:v>
      </x:c>
      <x:c r="E1446" s="14" t="str">
        <x:v>MEB Yarıyıl Tatili</x:v>
      </x:c>
      <x:c r="F1446" s="14" t="str">
        <x:v>F2 - LGS Kapsam + Ustalık</x:v>
      </x:c>
      <x:c r="G1446" s="14" t="str">
        <x:v>10:25</x:v>
      </x:c>
      <x:c r="H1446" s="14" t="str">
        <x:v>11:15</x:v>
      </x:c>
      <x:c r="I1446" s="14" t="str">
        <x:v>Matematik</x:v>
      </x:c>
      <x:c r="J1446" s="14" t="str">
        <x:v>Kitap / MEB / Mastery</x:v>
      </x:c>
      <x:c r="K1446" s="14" t="str">
        <x:v>Geometrik Cisimler</x:v>
      </x:c>
      <x:c r="L1446" s="14" t="str">
        <x:v>Geometrik Cisimler ile ilgili soru kitabından en az 25 soru / bugünkü test payını çöz.</x:v>
      </x:c>
      <x:c r="M1446" s="14" t="str">
        <x:v>MUBA 8. Sınıf Başlangıç Matematik (ISBN 9789756526972); tamamlandıysa Mozaik 8. Sınıf Matematik</x:v>
      </x:c>
      <x:c r="N1446" s="14" t="str">
        <x:v>https://odsgm.meb.gov.tr/www/8sinif-calisma-sorulari/icerik/1632</x:v>
      </x:c>
      <x:c r="O1446" s="14" t="n">
        <x:v>25</x:v>
      </x:c>
      <x:c r="P1446" s="14" t="str">
        <x:v>İlk 20 soru</x:v>
      </x:c>
      <x:c r="Q1446" s="14" t="str">
        <x:v>Evet</x:v>
      </x:c>
      <x:c r="R1446" s="14" t="str">
        <x:v>Planlandı</x:v>
      </x:c>
      <x:c r="S1446" s="15" t="str"/>
      <x:c r="T1446" s="14" t="str">
        <x:v>Ayrı/rastgele matematik benchmark yoktur. Süreli ilk 20 soru o gün çalışılan konunun içindedir.</x:v>
      </x:c>
    </x:row>
    <x:row r="1447">
      <x:c r="A1447" s="14" t="n">
        <x:v>1446</x:v>
      </x:c>
      <x:c r="B1447" s="15" t="n">
        <x:v>46412</x:v>
      </x:c>
      <x:c r="C1447" s="14" t="str">
        <x:v>Pazartesi</x:v>
      </x:c>
      <x:c r="D1447" s="14" t="str">
        <x:v>Okul Tatili</x:v>
      </x:c>
      <x:c r="E1447" s="14" t="str">
        <x:v>MEB Yarıyıl Tatili</x:v>
      </x:c>
      <x:c r="F1447" s="14" t="str">
        <x:v>F2 - LGS Kapsam + Ustalık</x:v>
      </x:c>
      <x:c r="G1447" s="14" t="str">
        <x:v>12:00</x:v>
      </x:c>
      <x:c r="H1447" s="14" t="str">
        <x:v>14:00</x:v>
      </x:c>
      <x:c r="I1447" s="14" t="str">
        <x:v>Genel</x:v>
      </x:c>
      <x:c r="J1447" s="14" t="str">
        <x:v>Yemek / Serbest Zaman</x:v>
      </x:c>
      <x:c r="K1447" s="14" t="str"/>
      <x:c r="L1447" s="14" t="str">
        <x:v>Yemek, hareket ve dinlenme.</x:v>
      </x:c>
      <x:c r="M1447" s="14" t="str"/>
      <x:c r="N1447" s="14" t="str"/>
      <x:c r="O1447" s="14" t="n">
        <x:v>0</x:v>
      </x:c>
      <x:c r="P1447" s="14" t="str">
        <x:v>Hayır</x:v>
      </x:c>
      <x:c r="Q1447" s="14" t="str">
        <x:v>Hayır</x:v>
      </x:c>
      <x:c r="R1447" s="14" t="str">
        <x:v>Planlandı</x:v>
      </x:c>
      <x:c r="S1447" s="15" t="str"/>
      <x:c r="T1447" s="14" t="str"/>
    </x:row>
    <x:row r="1448">
      <x:c r="A1448" s="14" t="n">
        <x:v>1447</x:v>
      </x:c>
      <x:c r="B1448" s="15" t="n">
        <x:v>46412</x:v>
      </x:c>
      <x:c r="C1448" s="14" t="str">
        <x:v>Pazartesi</x:v>
      </x:c>
      <x:c r="D1448" s="14" t="str">
        <x:v>Okul Tatili</x:v>
      </x:c>
      <x:c r="E1448" s="14" t="str">
        <x:v>MEB Yarıyıl Tatili</x:v>
      </x:c>
      <x:c r="F1448" s="14" t="str">
        <x:v>F2 - LGS Kapsam + Ustalık</x:v>
      </x:c>
      <x:c r="G1448" s="14" t="str">
        <x:v>11:25</x:v>
      </x:c>
      <x:c r="H1448" s="14" t="str">
        <x:v>11:55</x:v>
      </x:c>
      <x:c r="I1448" s="14" t="str">
        <x:v>Türkçe</x:v>
      </x:c>
      <x:c r="J1448" s="14" t="str">
        <x:v>Paragraf Rutini</x:v>
      </x:c>
      <x:c r="K1448" s="14" t="str">
        <x:v>Paragraf</x:v>
      </x:c>
      <x:c r="L1448" s="14" t="str">
        <x:v>En az 25 paragraf sorusu çöz; ilk 20 soruyu ileri sayımla ölç, D/Y/B + süre kaydet.</x:v>
      </x:c>
      <x:c r="M1448" s="14" t="str">
        <x:v>Hız 8. Sınıf Türkçe Paragraf (ISBN 9786258394498)</x:v>
      </x:c>
      <x:c r="N1448" s="14" t="str"/>
      <x:c r="O1448" s="14" t="n">
        <x:v>25</x:v>
      </x:c>
      <x:c r="P1448" s="14" t="str">
        <x:v>İlk 20 soru</x:v>
      </x:c>
      <x:c r="Q1448" s="14" t="str">
        <x:v>Evet</x:v>
      </x:c>
      <x:c r="R1448" s="14" t="str">
        <x:v>Planlandı</x:v>
      </x:c>
      <x:c r="S1448" s="15" t="str"/>
      <x:c r="T1448" s="14" t="str">
        <x:v>Geri sayım ve hedef süre yok.</x:v>
      </x:c>
    </x:row>
    <x:row r="1449">
      <x:c r="A1449" s="14" t="n">
        <x:v>1448</x:v>
      </x:c>
      <x:c r="B1449" s="15" t="n">
        <x:v>46412</x:v>
      </x:c>
      <x:c r="C1449" s="14" t="str">
        <x:v>Pazartesi</x:v>
      </x:c>
      <x:c r="D1449" s="14" t="str">
        <x:v>Okul Tatili</x:v>
      </x:c>
      <x:c r="E1449" s="14" t="str">
        <x:v>MEB Yarıyıl Tatili</x:v>
      </x:c>
      <x:c r="F1449" s="14" t="str">
        <x:v>F2 - LGS Kapsam + Ustalık</x:v>
      </x:c>
      <x:c r="G1449" s="14" t="str">
        <x:v>14:00</x:v>
      </x:c>
      <x:c r="H1449" s="14" t="str">
        <x:v>14:40</x:v>
      </x:c>
      <x:c r="I1449" s="14" t="str">
        <x:v>Türkçe</x:v>
      </x:c>
      <x:c r="J1449" s="14" t="str">
        <x:v>Konu / Tekrar</x:v>
      </x:c>
      <x:c r="K1449" s="14" t="str">
        <x:v>Kaynak Tamamlama / Zayıf Konu</x:v>
      </x:c>
      <x:c r="L1449" s="14" t="str">
        <x:v>Yeni konu açma. En zayıf/açık konunun ilgili playlist videosunu yalnız gerekiyorsa tekrar izle.</x:v>
      </x:c>
      <x:c r="M1449" s="14" t="str">
        <x:v>Türkçe Ana Oynatma Listesi</x:v>
      </x:c>
      <x:c r="N1449" s="14" t="str">
        <x:v>https://www.youtube.com/watch?v=VYsPntNKVdw&amp;list=PLIBjFaUoJJ91bz7QQEBlxNJNZka5YQRr6</x:v>
      </x:c>
      <x:c r="O1449" s="14" t="n">
        <x:v>0</x:v>
      </x:c>
      <x:c r="P1449" s="14" t="str">
        <x:v>Hayır</x:v>
      </x:c>
      <x:c r="Q1449" s="14" t="str">
        <x:v>Evet</x:v>
      </x:c>
      <x:c r="R1449" s="14" t="str">
        <x:v>Planlandı</x:v>
      </x:c>
      <x:c r="S1449" s="15" t="str"/>
      <x:c r="T1449" s="14" t="str">
        <x:v>TYT etiketli kaynak temelden başlamak için sabittir; LGS dışı gereksiz ayrıntı zorunlu değildir.</x:v>
      </x:c>
    </x:row>
    <x:row r="1450">
      <x:c r="A1450" s="14" t="n">
        <x:v>1449</x:v>
      </x:c>
      <x:c r="B1450" s="15" t="n">
        <x:v>46412</x:v>
      </x:c>
      <x:c r="C1450" s="14" t="str">
        <x:v>Pazartesi</x:v>
      </x:c>
      <x:c r="D1450" s="14" t="str">
        <x:v>Okul Tatili</x:v>
      </x:c>
      <x:c r="E1450" s="14" t="str">
        <x:v>MEB Yarıyıl Tatili</x:v>
      </x:c>
      <x:c r="F1450" s="14" t="str">
        <x:v>F2 - LGS Kapsam + Ustalık</x:v>
      </x:c>
      <x:c r="G1450" s="14" t="str">
        <x:v>14:50</x:v>
      </x:c>
      <x:c r="H1450" s="14" t="str">
        <x:v>15:30</x:v>
      </x:c>
      <x:c r="I1450" s="14" t="str">
        <x:v>Türkçe</x:v>
      </x:c>
      <x:c r="J1450" s="14" t="str">
        <x:v>Kitap / MEB / Mastery</x:v>
      </x:c>
      <x:c r="K1450" s="14" t="str">
        <x:v>Kaynak Tamamlama / Zayıf Konu</x:v>
      </x:c>
      <x:c r="L1450" s="14" t="str">
        <x:v>13 Nisan %100 tamamlama hedefine göre en geride kalan Türkçe soru kaynağını/eksik MEB setini ilerlet; açık yanlışları kapat.</x:v>
      </x:c>
      <x:c r="M1450" s="14" t="str">
        <x:v>Ankara 8. Sınıf Dil Bilgisi Güçlendiren + açık MEB/yanlışlar</x:v>
      </x:c>
      <x:c r="N1450" s="14" t="str">
        <x:v>https://odsgm.meb.gov.tr/www/8sinif-calisma-sorulari/icerik/1632</x:v>
      </x:c>
      <x:c r="O1450" s="14" t="n">
        <x:v>15</x:v>
      </x:c>
      <x:c r="P1450" s="14" t="str">
        <x:v>Hayır</x:v>
      </x:c>
      <x:c r="Q1450" s="14" t="str">
        <x:v>Evet</x:v>
      </x:c>
      <x:c r="R1450" s="14" t="str">
        <x:v>Planlandı</x:v>
      </x:c>
      <x:c r="S1450" s="15" t="str"/>
      <x:c r="T1450" s="14" t="str"/>
    </x:row>
    <x:row r="1451">
      <x:c r="A1451" s="14" t="n">
        <x:v>1450</x:v>
      </x:c>
      <x:c r="B1451" s="15" t="n">
        <x:v>46412</x:v>
      </x:c>
      <x:c r="C1451" s="14" t="str">
        <x:v>Pazartesi</x:v>
      </x:c>
      <x:c r="D1451" s="14" t="str">
        <x:v>Okul Tatili</x:v>
      </x:c>
      <x:c r="E1451" s="14" t="str">
        <x:v>MEB Yarıyıl Tatili</x:v>
      </x:c>
      <x:c r="F1451" s="14" t="str">
        <x:v>F2 - LGS Kapsam + Ustalık</x:v>
      </x:c>
      <x:c r="G1451" s="14" t="str">
        <x:v>15:45</x:v>
      </x:c>
      <x:c r="H1451" s="14" t="str">
        <x:v>16:25</x:v>
      </x:c>
      <x:c r="I1451" s="14" t="str">
        <x:v>Fen</x:v>
      </x:c>
      <x:c r="J1451" s="14" t="str">
        <x:v>Konu / Tekrar</x:v>
      </x:c>
      <x:c r="K1451" s="14" t="str">
        <x:v>Basit Makineler - Eğik Düzlem / Çıkrık</x:v>
      </x:c>
      <x:c r="L1451" s="14" t="str">
        <x:v>Basit Makineler - Eğik Düzlem / Çıkrık — Fen soru çözüm playlistinden ilgili videoyu izle.</x:v>
      </x:c>
      <x:c r="M1451" s="14" t="str">
        <x:v>Fen Soru Çözüm / Tekrar</x:v>
      </x:c>
      <x:c r="N1451" s="14" t="str">
        <x:v>https://www.youtube.com/watch?v=pQXhWnDZ3vM&amp;list=PLrQm7mt99FRXcBnorCttd31HJEvg0En26&amp;index=23</x:v>
      </x:c>
      <x:c r="O1451" s="14" t="n">
        <x:v>0</x:v>
      </x:c>
      <x:c r="P1451" s="14" t="str">
        <x:v>Hayır</x:v>
      </x:c>
      <x:c r="Q1451" s="14" t="str">
        <x:v>Evet</x:v>
      </x:c>
      <x:c r="R1451" s="14" t="str">
        <x:v>Planlandı</x:v>
      </x:c>
      <x:c r="S1451" s="15" t="str"/>
      <x:c r="T1451" s="14" t="str"/>
    </x:row>
    <x:row r="1452">
      <x:c r="A1452" s="14" t="n">
        <x:v>1451</x:v>
      </x:c>
      <x:c r="B1452" s="15" t="n">
        <x:v>46412</x:v>
      </x:c>
      <x:c r="C1452" s="14" t="str">
        <x:v>Pazartesi</x:v>
      </x:c>
      <x:c r="D1452" s="14" t="str">
        <x:v>Okul Tatili</x:v>
      </x:c>
      <x:c r="E1452" s="14" t="str">
        <x:v>MEB Yarıyıl Tatili</x:v>
      </x:c>
      <x:c r="F1452" s="14" t="str">
        <x:v>F2 - LGS Kapsam + Ustalık</x:v>
      </x:c>
      <x:c r="G1452" s="14" t="str">
        <x:v>16:35</x:v>
      </x:c>
      <x:c r="H1452" s="14" t="str">
        <x:v>17:15</x:v>
      </x:c>
      <x:c r="I1452" s="14" t="str">
        <x:v>Fen</x:v>
      </x:c>
      <x:c r="J1452" s="14" t="str">
        <x:v>Kitap / MEB / Mastery</x:v>
      </x:c>
      <x:c r="K1452" s="14" t="str">
        <x:v>Basit Makineler - Eğik Düzlem / Çıkrık</x:v>
      </x:c>
      <x:c r="L1452" s="14" t="str">
        <x:v>Basit Makineler - Eğik Düzlem / Çıkrık ile ilgili soru kitabından en az 18 soru / bugünkü test payını çöz.</x:v>
      </x:c>
      <x:c r="M1452" s="14" t="str">
        <x:v>Hız 8. Sınıf Fen (ISBN 9786257514859); tamamlandıysa Mozaik 8. Sınıf Fen</x:v>
      </x:c>
      <x:c r="N1452" s="14" t="str">
        <x:v>https://www.youtube.com/watch?v=pQXhWnDZ3vM&amp;list=PLrQm7mt99FRXcBnorCttd31HJEvg0En26&amp;index=23</x:v>
      </x:c>
      <x:c r="O1452" s="14" t="n">
        <x:v>18</x:v>
      </x:c>
      <x:c r="P1452" s="14" t="str">
        <x:v>Hayır</x:v>
      </x:c>
      <x:c r="Q1452" s="14" t="str">
        <x:v>Evet</x:v>
      </x:c>
      <x:c r="R1452" s="14" t="str">
        <x:v>Planlandı</x:v>
      </x:c>
      <x:c r="S1452" s="15" t="str"/>
      <x:c r="T1452" s="14" t="str"/>
    </x:row>
    <x:row r="1453">
      <x:c r="A1453" s="14" t="n">
        <x:v>1452</x:v>
      </x:c>
      <x:c r="B1453" s="15" t="n">
        <x:v>46412</x:v>
      </x:c>
      <x:c r="C1453" s="14" t="str">
        <x:v>Pazartesi</x:v>
      </x:c>
      <x:c r="D1453" s="14" t="str">
        <x:v>Okul Tatili</x:v>
      </x:c>
      <x:c r="E1453" s="14" t="str">
        <x:v>MEB Yarıyıl Tatili</x:v>
      </x:c>
      <x:c r="F1453" s="14" t="str">
        <x:v>F2 - LGS Kapsam + Ustalık</x:v>
      </x:c>
      <x:c r="G1453" s="14" t="str">
        <x:v>18:25</x:v>
      </x:c>
      <x:c r="H1453" s="14" t="str">
        <x:v>18:45</x:v>
      </x:c>
      <x:c r="I1453" s="14" t="str">
        <x:v>Genel</x:v>
      </x:c>
      <x:c r="J1453" s="14" t="str">
        <x:v>Yanlış / Boş Analizi</x:v>
      </x:c>
      <x:c r="K1453" s="14" t="str">
        <x:v>Günlük</x:v>
      </x:c>
      <x:c r="L1453" s="14" t="str">
        <x:v>Bugünkü yanlış/boşları kaydet; çözümünü öğrenmeden kapatma. Hata türünü sınıflandır.</x:v>
      </x:c>
      <x:c r="M1453" s="14" t="str">
        <x:v>Yanlış Defteri</x:v>
      </x:c>
      <x:c r="N1453" s="14" t="str"/>
      <x:c r="O1453" s="14" t="n">
        <x:v>0</x:v>
      </x:c>
      <x:c r="P1453" s="14" t="str">
        <x:v>Hayır</x:v>
      </x:c>
      <x:c r="Q1453" s="14" t="str">
        <x:v>Evet</x:v>
      </x:c>
      <x:c r="R1453" s="14" t="str">
        <x:v>Planlandı</x:v>
      </x:c>
      <x:c r="S1453" s="15" t="str"/>
      <x:c r="T1453" s="14" t="str"/>
    </x:row>
    <x:row r="1454">
      <x:c r="A1454" s="14" t="n">
        <x:v>1453</x:v>
      </x:c>
      <x:c r="B1454" s="15" t="n">
        <x:v>46412</x:v>
      </x:c>
      <x:c r="C1454" s="14" t="str">
        <x:v>Pazartesi</x:v>
      </x:c>
      <x:c r="D1454" s="14" t="str">
        <x:v>Okul Tatili</x:v>
      </x:c>
      <x:c r="E1454" s="14" t="str">
        <x:v>MEB Yarıyıl Tatili</x:v>
      </x:c>
      <x:c r="F1454" s="14" t="str">
        <x:v>F2 - LGS Kapsam + Ustalık</x:v>
      </x:c>
      <x:c r="G1454" s="14" t="str">
        <x:v>18:45</x:v>
      </x:c>
      <x:c r="H1454" s="14" t="str">
        <x:v>19:05</x:v>
      </x:c>
      <x:c r="I1454" s="14" t="str">
        <x:v>Genel</x:v>
      </x:c>
      <x:c r="J1454" s="14" t="str">
        <x:v>Aralıklı Hata Tekrarı</x:v>
      </x:c>
      <x:c r="K1454" s="14" t="str">
        <x:v>+1 / +7 / +21</x:v>
      </x:c>
      <x:c r="L1454" s="14" t="str">
        <x:v>Bugün vadesi gelen yanlış soruları tekrar çöz. Vadesi yoksa bu süre serbest/okuma olabilir.</x:v>
      </x:c>
      <x:c r="M1454" s="14" t="str">
        <x:v>Yanlış Defteri</x:v>
      </x:c>
      <x:c r="N1454" s="14" t="str"/>
      <x:c r="O1454" s="14" t="n">
        <x:v>0</x:v>
      </x:c>
      <x:c r="P1454" s="14" t="str">
        <x:v>Hayır</x:v>
      </x:c>
      <x:c r="Q1454" s="14" t="str">
        <x:v>Koşullu</x:v>
      </x:c>
      <x:c r="R1454" s="14" t="str">
        <x:v>Planlandı</x:v>
      </x:c>
      <x:c r="S1454" s="15" t="str"/>
      <x:c r="T1454" s="14" t="str">
        <x:v>Yanlışlar +1, +7 ve +21 gün aralıklarıyla tekrar edilir; hâlâ yanlışsa konu mastery durumu düşürülür.</x:v>
      </x:c>
    </x:row>
    <x:row r="1455">
      <x:c r="A1455" s="14" t="n">
        <x:v>1454</x:v>
      </x:c>
      <x:c r="B1455" s="15" t="n">
        <x:v>46412</x:v>
      </x:c>
      <x:c r="C1455" s="14" t="str">
        <x:v>Pazartesi</x:v>
      </x:c>
      <x:c r="D1455" s="14" t="str">
        <x:v>Okul Tatili</x:v>
      </x:c>
      <x:c r="E1455" s="14" t="str">
        <x:v>MEB Yarıyıl Tatili</x:v>
      </x:c>
      <x:c r="F1455" s="14" t="str">
        <x:v>F2 - LGS Kapsam + Ustalık</x:v>
      </x:c>
      <x:c r="G1455" s="14" t="str">
        <x:v>20:00</x:v>
      </x:c>
      <x:c r="H1455" s="14" t="str">
        <x:v>20:30</x:v>
      </x:c>
      <x:c r="I1455" s="14" t="str">
        <x:v>Okuma</x:v>
      </x:c>
      <x:c r="J1455" s="14" t="str">
        <x:v>İsteğe Bağlı</x:v>
      </x:c>
      <x:c r="K1455" s="14" t="str">
        <x:v>Serbest Kitap</x:v>
      </x:c>
      <x:c r="L1455" s="14" t="str">
        <x:v>Zorunlu çalışmalar bittiyse isteğe bağlı kitap oku.</x:v>
      </x:c>
      <x:c r="M1455" s="14" t="str">
        <x:v>Serbest Kitap</x:v>
      </x:c>
      <x:c r="N1455" s="14" t="str"/>
      <x:c r="O1455" s="14" t="n">
        <x:v>0</x:v>
      </x:c>
      <x:c r="P1455" s="14" t="str">
        <x:v>İsteğe Bağlı</x:v>
      </x:c>
      <x:c r="Q1455" s="14" t="str">
        <x:v>Hayır</x:v>
      </x:c>
      <x:c r="R1455" s="14" t="str">
        <x:v>Planlandı</x:v>
      </x:c>
      <x:c r="S1455" s="15" t="str"/>
      <x:c r="T1455" s="14" t="str">
        <x:v>Minimum süre yok.</x:v>
      </x:c>
    </x:row>
    <x:row r="1456">
      <x:c r="A1456" s="14" t="n">
        <x:v>1455</x:v>
      </x:c>
      <x:c r="B1456" s="15" t="n">
        <x:v>46412</x:v>
      </x:c>
      <x:c r="C1456" s="14" t="str">
        <x:v>Pazartesi</x:v>
      </x:c>
      <x:c r="D1456" s="14" t="str">
        <x:v>Okul Tatili</x:v>
      </x:c>
      <x:c r="E1456" s="14" t="str">
        <x:v>MEB Yarıyıl Tatili</x:v>
      </x:c>
      <x:c r="F1456" s="14" t="str">
        <x:v>F2 - LGS Kapsam + Ustalık</x:v>
      </x:c>
      <x:c r="G1456" s="14" t="str">
        <x:v>21:50</x:v>
      </x:c>
      <x:c r="H1456" s="14" t="str">
        <x:v>22:00</x:v>
      </x:c>
      <x:c r="I1456" s="14" t="str">
        <x:v>Genel</x:v>
      </x:c>
      <x:c r="J1456" s="14" t="str">
        <x:v>Uyku Hazırlığı</x:v>
      </x:c>
      <x:c r="K1456" s="14" t="str"/>
      <x:c r="L1456" s="14" t="str">
        <x:v>22:00'de yatakta ve uyku.</x:v>
      </x:c>
      <x:c r="M1456" s="14" t="str"/>
      <x:c r="N1456" s="14" t="str"/>
      <x:c r="O1456" s="14" t="n">
        <x:v>0</x:v>
      </x:c>
      <x:c r="P1456" s="14" t="str">
        <x:v>Hayır</x:v>
      </x:c>
      <x:c r="Q1456" s="14" t="str">
        <x:v>Hayır</x:v>
      </x:c>
      <x:c r="R1456" s="14" t="str">
        <x:v>Planlandı</x:v>
      </x:c>
      <x:c r="S1456" s="15" t="str"/>
      <x:c r="T1456" s="14" t="str"/>
    </x:row>
    <x:row r="1457">
      <x:c r="A1457" s="14" t="n">
        <x:v>1456</x:v>
      </x:c>
      <x:c r="B1457" s="15" t="n">
        <x:v>46413</x:v>
      </x:c>
      <x:c r="C1457" s="14" t="str">
        <x:v>Salı</x:v>
      </x:c>
      <x:c r="D1457" s="14" t="str">
        <x:v>Okul Tatili</x:v>
      </x:c>
      <x:c r="E1457" s="14" t="str">
        <x:v>MEB Yarıyıl Tatili</x:v>
      </x:c>
      <x:c r="F1457" s="14" t="str">
        <x:v>F2 - LGS Kapsam + Ustalık</x:v>
      </x:c>
      <x:c r="G1457" s="14" t="str">
        <x:v>09:30</x:v>
      </x:c>
      <x:c r="H1457" s="14" t="str">
        <x:v>10:15</x:v>
      </x:c>
      <x:c r="I1457" s="14" t="str">
        <x:v>Matematik</x:v>
      </x:c>
      <x:c r="J1457" s="14" t="str">
        <x:v>Konu / Tekrar</x:v>
      </x:c>
      <x:c r="K1457" s="14" t="str">
        <x:v>Geometrik Cisimler</x:v>
      </x:c>
      <x:c r="L1457" s="14" t="str">
        <x:v>Geometrik Cisimler — genel oynatma listesinden ilgili videoyu izle (2/4).</x:v>
      </x:c>
      <x:c r="M1457" s="14" t="str">
        <x:v>Matematik Yedek Oynatma Listesi</x:v>
      </x:c>
      <x:c r="N1457" s="14" t="str">
        <x:v>https://www.youtube.com/watch?v=Z7exqEHEqQA&amp;list=PLHN_SjKO7rCI&amp;index=3</x:v>
      </x:c>
      <x:c r="O1457" s="14" t="n">
        <x:v>0</x:v>
      </x:c>
      <x:c r="P1457" s="14" t="str">
        <x:v>Hayır</x:v>
      </x:c>
      <x:c r="Q1457" s="14" t="str">
        <x:v>Evet</x:v>
      </x:c>
      <x:c r="R1457" s="14" t="str">
        <x:v>Planlandı</x:v>
      </x:c>
      <x:c r="S1457" s="15" t="str"/>
      <x:c r="T1457" s="14" t="str">
        <x:v>Yeni konu ancak plan sırasıyla açılır; LGS dışı ileri TYT içeriği zorunlu değildir.</x:v>
      </x:c>
    </x:row>
    <x:row r="1458">
      <x:c r="A1458" s="14" t="n">
        <x:v>1457</x:v>
      </x:c>
      <x:c r="B1458" s="15" t="n">
        <x:v>46413</x:v>
      </x:c>
      <x:c r="C1458" s="14" t="str">
        <x:v>Salı</x:v>
      </x:c>
      <x:c r="D1458" s="14" t="str">
        <x:v>Okul Tatili</x:v>
      </x:c>
      <x:c r="E1458" s="14" t="str">
        <x:v>MEB Yarıyıl Tatili</x:v>
      </x:c>
      <x:c r="F1458" s="14" t="str">
        <x:v>F2 - LGS Kapsam + Ustalık</x:v>
      </x:c>
      <x:c r="G1458" s="14" t="str">
        <x:v>10:25</x:v>
      </x:c>
      <x:c r="H1458" s="14" t="str">
        <x:v>11:15</x:v>
      </x:c>
      <x:c r="I1458" s="14" t="str">
        <x:v>Matematik</x:v>
      </x:c>
      <x:c r="J1458" s="14" t="str">
        <x:v>Kitap / MEB / Mastery</x:v>
      </x:c>
      <x:c r="K1458" s="14" t="str">
        <x:v>Geometrik Cisimler</x:v>
      </x:c>
      <x:c r="L1458" s="14" t="str">
        <x:v>Geometrik Cisimler ile ilgili soru kitabından en az 25 soru / bugünkü test payını çöz.</x:v>
      </x:c>
      <x:c r="M1458" s="14" t="str">
        <x:v>MUBA 8. Sınıf Başlangıç Matematik (ISBN 9789756526972); tamamlandıysa Mozaik 8. Sınıf Matematik</x:v>
      </x:c>
      <x:c r="N1458" s="14" t="str">
        <x:v>https://odsgm.meb.gov.tr/www/8sinif-calisma-sorulari/icerik/1632</x:v>
      </x:c>
      <x:c r="O1458" s="14" t="n">
        <x:v>25</x:v>
      </x:c>
      <x:c r="P1458" s="14" t="str">
        <x:v>İlk 20 soru</x:v>
      </x:c>
      <x:c r="Q1458" s="14" t="str">
        <x:v>Evet</x:v>
      </x:c>
      <x:c r="R1458" s="14" t="str">
        <x:v>Planlandı</x:v>
      </x:c>
      <x:c r="S1458" s="15" t="str"/>
      <x:c r="T1458" s="14" t="str">
        <x:v>Ayrı/rastgele matematik benchmark yoktur. Süreli ilk 20 soru o gün çalışılan konunun içindedir.</x:v>
      </x:c>
    </x:row>
    <x:row r="1459">
      <x:c r="A1459" s="14" t="n">
        <x:v>1458</x:v>
      </x:c>
      <x:c r="B1459" s="15" t="n">
        <x:v>46413</x:v>
      </x:c>
      <x:c r="C1459" s="14" t="str">
        <x:v>Salı</x:v>
      </x:c>
      <x:c r="D1459" s="14" t="str">
        <x:v>Okul Tatili</x:v>
      </x:c>
      <x:c r="E1459" s="14" t="str">
        <x:v>MEB Yarıyıl Tatili</x:v>
      </x:c>
      <x:c r="F1459" s="14" t="str">
        <x:v>F2 - LGS Kapsam + Ustalık</x:v>
      </x:c>
      <x:c r="G1459" s="14" t="str">
        <x:v>12:00</x:v>
      </x:c>
      <x:c r="H1459" s="14" t="str">
        <x:v>14:00</x:v>
      </x:c>
      <x:c r="I1459" s="14" t="str">
        <x:v>Genel</x:v>
      </x:c>
      <x:c r="J1459" s="14" t="str">
        <x:v>Yemek / Serbest Zaman</x:v>
      </x:c>
      <x:c r="K1459" s="14" t="str"/>
      <x:c r="L1459" s="14" t="str">
        <x:v>Yemek, hareket ve dinlenme.</x:v>
      </x:c>
      <x:c r="M1459" s="14" t="str"/>
      <x:c r="N1459" s="14" t="str"/>
      <x:c r="O1459" s="14" t="n">
        <x:v>0</x:v>
      </x:c>
      <x:c r="P1459" s="14" t="str">
        <x:v>Hayır</x:v>
      </x:c>
      <x:c r="Q1459" s="14" t="str">
        <x:v>Hayır</x:v>
      </x:c>
      <x:c r="R1459" s="14" t="str">
        <x:v>Planlandı</x:v>
      </x:c>
      <x:c r="S1459" s="15" t="str"/>
      <x:c r="T1459" s="14" t="str"/>
    </x:row>
    <x:row r="1460">
      <x:c r="A1460" s="14" t="n">
        <x:v>1459</x:v>
      </x:c>
      <x:c r="B1460" s="15" t="n">
        <x:v>46413</x:v>
      </x:c>
      <x:c r="C1460" s="14" t="str">
        <x:v>Salı</x:v>
      </x:c>
      <x:c r="D1460" s="14" t="str">
        <x:v>Okul Tatili</x:v>
      </x:c>
      <x:c r="E1460" s="14" t="str">
        <x:v>MEB Yarıyıl Tatili</x:v>
      </x:c>
      <x:c r="F1460" s="14" t="str">
        <x:v>F2 - LGS Kapsam + Ustalık</x:v>
      </x:c>
      <x:c r="G1460" s="14" t="str">
        <x:v>11:25</x:v>
      </x:c>
      <x:c r="H1460" s="14" t="str">
        <x:v>11:55</x:v>
      </x:c>
      <x:c r="I1460" s="14" t="str">
        <x:v>Türkçe</x:v>
      </x:c>
      <x:c r="J1460" s="14" t="str">
        <x:v>Paragraf Rutini</x:v>
      </x:c>
      <x:c r="K1460" s="14" t="str">
        <x:v>Paragraf</x:v>
      </x:c>
      <x:c r="L1460" s="14" t="str">
        <x:v>En az 25 paragraf sorusu çöz; ilk 20 soruyu ileri sayımla ölç, D/Y/B + süre kaydet.</x:v>
      </x:c>
      <x:c r="M1460" s="14" t="str">
        <x:v>Hız 8. Sınıf Türkçe Paragraf (ISBN 9786258394498)</x:v>
      </x:c>
      <x:c r="N1460" s="14" t="str"/>
      <x:c r="O1460" s="14" t="n">
        <x:v>25</x:v>
      </x:c>
      <x:c r="P1460" s="14" t="str">
        <x:v>İlk 20 soru</x:v>
      </x:c>
      <x:c r="Q1460" s="14" t="str">
        <x:v>Evet</x:v>
      </x:c>
      <x:c r="R1460" s="14" t="str">
        <x:v>Planlandı</x:v>
      </x:c>
      <x:c r="S1460" s="15" t="str"/>
      <x:c r="T1460" s="14" t="str">
        <x:v>Geri sayım ve hedef süre yok.</x:v>
      </x:c>
    </x:row>
    <x:row r="1461">
      <x:c r="A1461" s="14" t="n">
        <x:v>1460</x:v>
      </x:c>
      <x:c r="B1461" s="15" t="n">
        <x:v>46413</x:v>
      </x:c>
      <x:c r="C1461" s="14" t="str">
        <x:v>Salı</x:v>
      </x:c>
      <x:c r="D1461" s="14" t="str">
        <x:v>Okul Tatili</x:v>
      </x:c>
      <x:c r="E1461" s="14" t="str">
        <x:v>MEB Yarıyıl Tatili</x:v>
      </x:c>
      <x:c r="F1461" s="14" t="str">
        <x:v>F2 - LGS Kapsam + Ustalık</x:v>
      </x:c>
      <x:c r="G1461" s="14" t="str">
        <x:v>14:00</x:v>
      </x:c>
      <x:c r="H1461" s="14" t="str">
        <x:v>14:40</x:v>
      </x:c>
      <x:c r="I1461" s="14" t="str">
        <x:v>Türkçe</x:v>
      </x:c>
      <x:c r="J1461" s="14" t="str">
        <x:v>Konu / Tekrar</x:v>
      </x:c>
      <x:c r="K1461" s="14" t="str">
        <x:v>Kaynak Tamamlama / Zayıf Konu</x:v>
      </x:c>
      <x:c r="L1461" s="14" t="str">
        <x:v>Yeni konu açma. En zayıf/açık konunun ilgili playlist videosunu yalnız gerekiyorsa tekrar izle.</x:v>
      </x:c>
      <x:c r="M1461" s="14" t="str">
        <x:v>Türkçe Ana Oynatma Listesi</x:v>
      </x:c>
      <x:c r="N1461" s="14" t="str">
        <x:v>https://www.youtube.com/watch?v=VYsPntNKVdw&amp;list=PLIBjFaUoJJ91bz7QQEBlxNJNZka5YQRr6</x:v>
      </x:c>
      <x:c r="O1461" s="14" t="n">
        <x:v>0</x:v>
      </x:c>
      <x:c r="P1461" s="14" t="str">
        <x:v>Hayır</x:v>
      </x:c>
      <x:c r="Q1461" s="14" t="str">
        <x:v>Evet</x:v>
      </x:c>
      <x:c r="R1461" s="14" t="str">
        <x:v>Planlandı</x:v>
      </x:c>
      <x:c r="S1461" s="15" t="str"/>
      <x:c r="T1461" s="14" t="str">
        <x:v>TYT etiketli kaynak temelden başlamak için sabittir; LGS dışı gereksiz ayrıntı zorunlu değildir.</x:v>
      </x:c>
    </x:row>
    <x:row r="1462">
      <x:c r="A1462" s="14" t="n">
        <x:v>1461</x:v>
      </x:c>
      <x:c r="B1462" s="15" t="n">
        <x:v>46413</x:v>
      </x:c>
      <x:c r="C1462" s="14" t="str">
        <x:v>Salı</x:v>
      </x:c>
      <x:c r="D1462" s="14" t="str">
        <x:v>Okul Tatili</x:v>
      </x:c>
      <x:c r="E1462" s="14" t="str">
        <x:v>MEB Yarıyıl Tatili</x:v>
      </x:c>
      <x:c r="F1462" s="14" t="str">
        <x:v>F2 - LGS Kapsam + Ustalık</x:v>
      </x:c>
      <x:c r="G1462" s="14" t="str">
        <x:v>14:50</x:v>
      </x:c>
      <x:c r="H1462" s="14" t="str">
        <x:v>15:30</x:v>
      </x:c>
      <x:c r="I1462" s="14" t="str">
        <x:v>Türkçe</x:v>
      </x:c>
      <x:c r="J1462" s="14" t="str">
        <x:v>Kitap / MEB / Mastery</x:v>
      </x:c>
      <x:c r="K1462" s="14" t="str">
        <x:v>Kaynak Tamamlama / Zayıf Konu</x:v>
      </x:c>
      <x:c r="L1462" s="14" t="str">
        <x:v>13 Nisan %100 tamamlama hedefine göre en geride kalan Türkçe soru kaynağını/eksik MEB setini ilerlet; açık yanlışları kapat.</x:v>
      </x:c>
      <x:c r="M1462" s="14" t="str">
        <x:v>Ankara 8. Sınıf Dil Bilgisi Güçlendiren + açık MEB/yanlışlar</x:v>
      </x:c>
      <x:c r="N1462" s="14" t="str">
        <x:v>https://odsgm.meb.gov.tr/www/8sinif-calisma-sorulari/icerik/1632</x:v>
      </x:c>
      <x:c r="O1462" s="14" t="n">
        <x:v>15</x:v>
      </x:c>
      <x:c r="P1462" s="14" t="str">
        <x:v>Hayır</x:v>
      </x:c>
      <x:c r="Q1462" s="14" t="str">
        <x:v>Evet</x:v>
      </x:c>
      <x:c r="R1462" s="14" t="str">
        <x:v>Planlandı</x:v>
      </x:c>
      <x:c r="S1462" s="15" t="str"/>
      <x:c r="T1462" s="14" t="str"/>
    </x:row>
    <x:row r="1463">
      <x:c r="A1463" s="14" t="n">
        <x:v>1462</x:v>
      </x:c>
      <x:c r="B1463" s="15" t="n">
        <x:v>46413</x:v>
      </x:c>
      <x:c r="C1463" s="14" t="str">
        <x:v>Salı</x:v>
      </x:c>
      <x:c r="D1463" s="14" t="str">
        <x:v>Okul Tatili</x:v>
      </x:c>
      <x:c r="E1463" s="14" t="str">
        <x:v>MEB Yarıyıl Tatili</x:v>
      </x:c>
      <x:c r="F1463" s="14" t="str">
        <x:v>F2 - LGS Kapsam + Ustalık</x:v>
      </x:c>
      <x:c r="G1463" s="14" t="str">
        <x:v>15:45</x:v>
      </x:c>
      <x:c r="H1463" s="14" t="str">
        <x:v>16:25</x:v>
      </x:c>
      <x:c r="I1463" s="14" t="str">
        <x:v>Din</x:v>
      </x:c>
      <x:c r="J1463" s="14" t="str">
        <x:v>Konu / Tekrar</x:v>
      </x:c>
      <x:c r="K1463" s="14" t="str">
        <x:v>Kur’an-ı Kerim ve Özellikleri</x:v>
      </x:c>
      <x:c r="L1463" s="14" t="str">
        <x:v>Kur’an-ı Kerim ve Özellikleri — MEB doğrulaması öncesi 5-10 dk aktif hatırlama; gerekiyorsa ilgili playlist videosuna kısa dönüş yap.</x:v>
      </x:c>
      <x:c r="M1463" s="14" t="str">
        <x:v>Din Genel Oynatma Listesi</x:v>
      </x:c>
      <x:c r="N1463" s="14" t="str">
        <x:v>https://www.youtube.com/watch?v=wvdOE_75VnA&amp;list=PLbRoPq-Zu-SWXGUbVt4t4UWo-4VjsMUo-&amp;index=2</x:v>
      </x:c>
      <x:c r="O1463" s="14" t="n">
        <x:v>0</x:v>
      </x:c>
      <x:c r="P1463" s="14" t="str">
        <x:v>Hayır</x:v>
      </x:c>
      <x:c r="Q1463" s="14" t="str">
        <x:v>Evet</x:v>
      </x:c>
      <x:c r="R1463" s="14" t="str">
        <x:v>Planlandı</x:v>
      </x:c>
      <x:c r="S1463" s="15" t="str"/>
      <x:c r="T1463" s="14" t="str"/>
    </x:row>
    <x:row r="1464">
      <x:c r="A1464" s="14" t="n">
        <x:v>1463</x:v>
      </x:c>
      <x:c r="B1464" s="15" t="n">
        <x:v>46413</x:v>
      </x:c>
      <x:c r="C1464" s="14" t="str">
        <x:v>Salı</x:v>
      </x:c>
      <x:c r="D1464" s="14" t="str">
        <x:v>Okul Tatili</x:v>
      </x:c>
      <x:c r="E1464" s="14" t="str">
        <x:v>MEB Yarıyıl Tatili</x:v>
      </x:c>
      <x:c r="F1464" s="14" t="str">
        <x:v>F2 - LGS Kapsam + Ustalık</x:v>
      </x:c>
      <x:c r="G1464" s="14" t="str">
        <x:v>16:35</x:v>
      </x:c>
      <x:c r="H1464" s="14" t="str">
        <x:v>17:15</x:v>
      </x:c>
      <x:c r="I1464" s="14" t="str">
        <x:v>Din</x:v>
      </x:c>
      <x:c r="J1464" s="14" t="str">
        <x:v>Kitap / MEB / Mastery</x:v>
      </x:c>
      <x:c r="K1464" s="14" t="str">
        <x:v>Kur’an-ı Kerim ve Özellikleri</x:v>
      </x:c>
      <x:c r="L1464" s="14" t="str">
        <x:v>Kur’an-ı Kerim ve Özellikleri için ilgili MEB sorularını TAMAMLA; D/Y/B kaydet. Bu oturum konu mastery gate'idir.</x:v>
      </x:c>
      <x:c r="M1464" s="14" t="str">
        <x:v>MEB 8. Sınıf Din Soruları</x:v>
      </x:c>
      <x:c r="N1464" s="14" t="str">
        <x:v>https://odsgm.meb.gov.tr/www/8sinif-calisma-sorulari/icerik/1632</x:v>
      </x:c>
      <x:c r="O1464" s="14" t="n">
        <x:v>0</x:v>
      </x:c>
      <x:c r="P1464" s="14" t="str">
        <x:v>Hayır</x:v>
      </x:c>
      <x:c r="Q1464" s="14" t="str">
        <x:v>Evet</x:v>
      </x:c>
      <x:c r="R1464" s="14" t="str">
        <x:v>Planlandı</x:v>
      </x:c>
      <x:c r="S1464" s="15" t="str"/>
      <x:c r="T1464" s="14" t="str">
        <x:v>MEB sonucu Konu_Ustaligi sayfasına işlenir.</x:v>
      </x:c>
    </x:row>
    <x:row r="1465">
      <x:c r="A1465" s="14" t="n">
        <x:v>1464</x:v>
      </x:c>
      <x:c r="B1465" s="15" t="n">
        <x:v>46413</x:v>
      </x:c>
      <x:c r="C1465" s="14" t="str">
        <x:v>Salı</x:v>
      </x:c>
      <x:c r="D1465" s="14" t="str">
        <x:v>Okul Tatili</x:v>
      </x:c>
      <x:c r="E1465" s="14" t="str">
        <x:v>MEB Yarıyıl Tatili</x:v>
      </x:c>
      <x:c r="F1465" s="14" t="str">
        <x:v>F2 - LGS Kapsam + Ustalık</x:v>
      </x:c>
      <x:c r="G1465" s="14" t="str">
        <x:v>18:25</x:v>
      </x:c>
      <x:c r="H1465" s="14" t="str">
        <x:v>18:45</x:v>
      </x:c>
      <x:c r="I1465" s="14" t="str">
        <x:v>Genel</x:v>
      </x:c>
      <x:c r="J1465" s="14" t="str">
        <x:v>Yanlış / Boş Analizi</x:v>
      </x:c>
      <x:c r="K1465" s="14" t="str">
        <x:v>Günlük</x:v>
      </x:c>
      <x:c r="L1465" s="14" t="str">
        <x:v>Bugünkü yanlış/boşları kaydet; çözümünü öğrenmeden kapatma. Hata türünü sınıflandır.</x:v>
      </x:c>
      <x:c r="M1465" s="14" t="str">
        <x:v>Yanlış Defteri</x:v>
      </x:c>
      <x:c r="N1465" s="14" t="str"/>
      <x:c r="O1465" s="14" t="n">
        <x:v>0</x:v>
      </x:c>
      <x:c r="P1465" s="14" t="str">
        <x:v>Hayır</x:v>
      </x:c>
      <x:c r="Q1465" s="14" t="str">
        <x:v>Evet</x:v>
      </x:c>
      <x:c r="R1465" s="14" t="str">
        <x:v>Planlandı</x:v>
      </x:c>
      <x:c r="S1465" s="15" t="str"/>
      <x:c r="T1465" s="14" t="str"/>
    </x:row>
    <x:row r="1466">
      <x:c r="A1466" s="14" t="n">
        <x:v>1465</x:v>
      </x:c>
      <x:c r="B1466" s="15" t="n">
        <x:v>46413</x:v>
      </x:c>
      <x:c r="C1466" s="14" t="str">
        <x:v>Salı</x:v>
      </x:c>
      <x:c r="D1466" s="14" t="str">
        <x:v>Okul Tatili</x:v>
      </x:c>
      <x:c r="E1466" s="14" t="str">
        <x:v>MEB Yarıyıl Tatili</x:v>
      </x:c>
      <x:c r="F1466" s="14" t="str">
        <x:v>F2 - LGS Kapsam + Ustalık</x:v>
      </x:c>
      <x:c r="G1466" s="14" t="str">
        <x:v>18:45</x:v>
      </x:c>
      <x:c r="H1466" s="14" t="str">
        <x:v>19:05</x:v>
      </x:c>
      <x:c r="I1466" s="14" t="str">
        <x:v>Genel</x:v>
      </x:c>
      <x:c r="J1466" s="14" t="str">
        <x:v>Aralıklı Hata Tekrarı</x:v>
      </x:c>
      <x:c r="K1466" s="14" t="str">
        <x:v>+1 / +7 / +21</x:v>
      </x:c>
      <x:c r="L1466" s="14" t="str">
        <x:v>Bugün vadesi gelen yanlış soruları tekrar çöz. Vadesi yoksa bu süre serbest/okuma olabilir.</x:v>
      </x:c>
      <x:c r="M1466" s="14" t="str">
        <x:v>Yanlış Defteri</x:v>
      </x:c>
      <x:c r="N1466" s="14" t="str"/>
      <x:c r="O1466" s="14" t="n">
        <x:v>0</x:v>
      </x:c>
      <x:c r="P1466" s="14" t="str">
        <x:v>Hayır</x:v>
      </x:c>
      <x:c r="Q1466" s="14" t="str">
        <x:v>Koşullu</x:v>
      </x:c>
      <x:c r="R1466" s="14" t="str">
        <x:v>Planlandı</x:v>
      </x:c>
      <x:c r="S1466" s="15" t="str"/>
      <x:c r="T1466" s="14" t="str">
        <x:v>Yanlışlar +1, +7 ve +21 gün aralıklarıyla tekrar edilir; hâlâ yanlışsa konu mastery durumu düşürülür.</x:v>
      </x:c>
    </x:row>
    <x:row r="1467">
      <x:c r="A1467" s="14" t="n">
        <x:v>1466</x:v>
      </x:c>
      <x:c r="B1467" s="15" t="n">
        <x:v>46413</x:v>
      </x:c>
      <x:c r="C1467" s="14" t="str">
        <x:v>Salı</x:v>
      </x:c>
      <x:c r="D1467" s="14" t="str">
        <x:v>Okul Tatili</x:v>
      </x:c>
      <x:c r="E1467" s="14" t="str">
        <x:v>MEB Yarıyıl Tatili</x:v>
      </x:c>
      <x:c r="F1467" s="14" t="str">
        <x:v>F2 - LGS Kapsam + Ustalık</x:v>
      </x:c>
      <x:c r="G1467" s="14" t="str">
        <x:v>20:00</x:v>
      </x:c>
      <x:c r="H1467" s="14" t="str">
        <x:v>20:30</x:v>
      </x:c>
      <x:c r="I1467" s="14" t="str">
        <x:v>Okuma</x:v>
      </x:c>
      <x:c r="J1467" s="14" t="str">
        <x:v>İsteğe Bağlı</x:v>
      </x:c>
      <x:c r="K1467" s="14" t="str">
        <x:v>Serbest Kitap</x:v>
      </x:c>
      <x:c r="L1467" s="14" t="str">
        <x:v>Zorunlu çalışmalar bittiyse isteğe bağlı kitap oku.</x:v>
      </x:c>
      <x:c r="M1467" s="14" t="str">
        <x:v>Serbest Kitap</x:v>
      </x:c>
      <x:c r="N1467" s="14" t="str"/>
      <x:c r="O1467" s="14" t="n">
        <x:v>0</x:v>
      </x:c>
      <x:c r="P1467" s="14" t="str">
        <x:v>İsteğe Bağlı</x:v>
      </x:c>
      <x:c r="Q1467" s="14" t="str">
        <x:v>Hayır</x:v>
      </x:c>
      <x:c r="R1467" s="14" t="str">
        <x:v>Planlandı</x:v>
      </x:c>
      <x:c r="S1467" s="15" t="str"/>
      <x:c r="T1467" s="14" t="str">
        <x:v>Minimum süre yok.</x:v>
      </x:c>
    </x:row>
    <x:row r="1468">
      <x:c r="A1468" s="14" t="n">
        <x:v>1467</x:v>
      </x:c>
      <x:c r="B1468" s="15" t="n">
        <x:v>46413</x:v>
      </x:c>
      <x:c r="C1468" s="14" t="str">
        <x:v>Salı</x:v>
      </x:c>
      <x:c r="D1468" s="14" t="str">
        <x:v>Okul Tatili</x:v>
      </x:c>
      <x:c r="E1468" s="14" t="str">
        <x:v>MEB Yarıyıl Tatili</x:v>
      </x:c>
      <x:c r="F1468" s="14" t="str">
        <x:v>F2 - LGS Kapsam + Ustalık</x:v>
      </x:c>
      <x:c r="G1468" s="14" t="str">
        <x:v>21:50</x:v>
      </x:c>
      <x:c r="H1468" s="14" t="str">
        <x:v>22:00</x:v>
      </x:c>
      <x:c r="I1468" s="14" t="str">
        <x:v>Genel</x:v>
      </x:c>
      <x:c r="J1468" s="14" t="str">
        <x:v>Uyku Hazırlığı</x:v>
      </x:c>
      <x:c r="K1468" s="14" t="str"/>
      <x:c r="L1468" s="14" t="str">
        <x:v>22:00'de yatakta ve uyku.</x:v>
      </x:c>
      <x:c r="M1468" s="14" t="str"/>
      <x:c r="N1468" s="14" t="str"/>
      <x:c r="O1468" s="14" t="n">
        <x:v>0</x:v>
      </x:c>
      <x:c r="P1468" s="14" t="str">
        <x:v>Hayır</x:v>
      </x:c>
      <x:c r="Q1468" s="14" t="str">
        <x:v>Hayır</x:v>
      </x:c>
      <x:c r="R1468" s="14" t="str">
        <x:v>Planlandı</x:v>
      </x:c>
      <x:c r="S1468" s="15" t="str"/>
      <x:c r="T1468" s="14" t="str"/>
    </x:row>
    <x:row r="1469">
      <x:c r="A1469" s="14" t="n">
        <x:v>1468</x:v>
      </x:c>
      <x:c r="B1469" s="15" t="n">
        <x:v>46414</x:v>
      </x:c>
      <x:c r="C1469" s="14" t="str">
        <x:v>Çarşamba</x:v>
      </x:c>
      <x:c r="D1469" s="14" t="str">
        <x:v>Okul Tatili</x:v>
      </x:c>
      <x:c r="E1469" s="14" t="str">
        <x:v>MEB Yarıyıl Tatili</x:v>
      </x:c>
      <x:c r="F1469" s="14" t="str">
        <x:v>F2 - LGS Kapsam + Ustalık</x:v>
      </x:c>
      <x:c r="G1469" s="14" t="str">
        <x:v>09:30</x:v>
      </x:c>
      <x:c r="H1469" s="14" t="str">
        <x:v>10:15</x:v>
      </x:c>
      <x:c r="I1469" s="14" t="str">
        <x:v>Matematik</x:v>
      </x:c>
      <x:c r="J1469" s="14" t="str">
        <x:v>Konu / Tekrar</x:v>
      </x:c>
      <x:c r="K1469" s="14" t="str">
        <x:v>Geometrik Cisimler</x:v>
      </x:c>
      <x:c r="L1469" s="14" t="str">
        <x:v>Geometrik Cisimler — genel oynatma listesinden ilgili videoyu izle (3/4).</x:v>
      </x:c>
      <x:c r="M1469" s="14" t="str">
        <x:v>Matematik Yedek Oynatma Listesi</x:v>
      </x:c>
      <x:c r="N1469" s="14" t="str">
        <x:v>https://www.youtube.com/watch?v=Z7exqEHEqQA&amp;list=PLHN_SjKO7rCI&amp;index=3</x:v>
      </x:c>
      <x:c r="O1469" s="14" t="n">
        <x:v>0</x:v>
      </x:c>
      <x:c r="P1469" s="14" t="str">
        <x:v>Hayır</x:v>
      </x:c>
      <x:c r="Q1469" s="14" t="str">
        <x:v>Evet</x:v>
      </x:c>
      <x:c r="R1469" s="14" t="str">
        <x:v>Planlandı</x:v>
      </x:c>
      <x:c r="S1469" s="15" t="str"/>
      <x:c r="T1469" s="14" t="str">
        <x:v>Yeni konu ancak plan sırasıyla açılır; LGS dışı ileri TYT içeriği zorunlu değildir.</x:v>
      </x:c>
    </x:row>
    <x:row r="1470">
      <x:c r="A1470" s="14" t="n">
        <x:v>1469</x:v>
      </x:c>
      <x:c r="B1470" s="15" t="n">
        <x:v>46414</x:v>
      </x:c>
      <x:c r="C1470" s="14" t="str">
        <x:v>Çarşamba</x:v>
      </x:c>
      <x:c r="D1470" s="14" t="str">
        <x:v>Okul Tatili</x:v>
      </x:c>
      <x:c r="E1470" s="14" t="str">
        <x:v>MEB Yarıyıl Tatili</x:v>
      </x:c>
      <x:c r="F1470" s="14" t="str">
        <x:v>F2 - LGS Kapsam + Ustalık</x:v>
      </x:c>
      <x:c r="G1470" s="14" t="str">
        <x:v>10:25</x:v>
      </x:c>
      <x:c r="H1470" s="14" t="str">
        <x:v>11:15</x:v>
      </x:c>
      <x:c r="I1470" s="14" t="str">
        <x:v>Matematik</x:v>
      </x:c>
      <x:c r="J1470" s="14" t="str">
        <x:v>Kitap / MEB / Mastery</x:v>
      </x:c>
      <x:c r="K1470" s="14" t="str">
        <x:v>Geometrik Cisimler</x:v>
      </x:c>
      <x:c r="L1470" s="14" t="str">
        <x:v>Geometrik Cisimler ile ilgili soru kitabından en az 25 soru / bugünkü test payını çöz.</x:v>
      </x:c>
      <x:c r="M1470" s="14" t="str">
        <x:v>MUBA 8. Sınıf Başlangıç Matematik (ISBN 9789756526972); tamamlandıysa Mozaik 8. Sınıf Matematik</x:v>
      </x:c>
      <x:c r="N1470" s="14" t="str">
        <x:v>https://odsgm.meb.gov.tr/www/8sinif-calisma-sorulari/icerik/1632</x:v>
      </x:c>
      <x:c r="O1470" s="14" t="n">
        <x:v>25</x:v>
      </x:c>
      <x:c r="P1470" s="14" t="str">
        <x:v>İlk 20 soru</x:v>
      </x:c>
      <x:c r="Q1470" s="14" t="str">
        <x:v>Evet</x:v>
      </x:c>
      <x:c r="R1470" s="14" t="str">
        <x:v>Planlandı</x:v>
      </x:c>
      <x:c r="S1470" s="15" t="str"/>
      <x:c r="T1470" s="14" t="str">
        <x:v>Ayrı/rastgele matematik benchmark yoktur. Süreli ilk 20 soru o gün çalışılan konunun içindedir.</x:v>
      </x:c>
    </x:row>
    <x:row r="1471">
      <x:c r="A1471" s="14" t="n">
        <x:v>1470</x:v>
      </x:c>
      <x:c r="B1471" s="15" t="n">
        <x:v>46414</x:v>
      </x:c>
      <x:c r="C1471" s="14" t="str">
        <x:v>Çarşamba</x:v>
      </x:c>
      <x:c r="D1471" s="14" t="str">
        <x:v>Okul Tatili</x:v>
      </x:c>
      <x:c r="E1471" s="14" t="str">
        <x:v>MEB Yarıyıl Tatili</x:v>
      </x:c>
      <x:c r="F1471" s="14" t="str">
        <x:v>F2 - LGS Kapsam + Ustalık</x:v>
      </x:c>
      <x:c r="G1471" s="14" t="str">
        <x:v>12:00</x:v>
      </x:c>
      <x:c r="H1471" s="14" t="str">
        <x:v>14:00</x:v>
      </x:c>
      <x:c r="I1471" s="14" t="str">
        <x:v>Genel</x:v>
      </x:c>
      <x:c r="J1471" s="14" t="str">
        <x:v>Yemek / Serbest Zaman</x:v>
      </x:c>
      <x:c r="K1471" s="14" t="str"/>
      <x:c r="L1471" s="14" t="str">
        <x:v>Yemek, hareket ve dinlenme.</x:v>
      </x:c>
      <x:c r="M1471" s="14" t="str"/>
      <x:c r="N1471" s="14" t="str"/>
      <x:c r="O1471" s="14" t="n">
        <x:v>0</x:v>
      </x:c>
      <x:c r="P1471" s="14" t="str">
        <x:v>Hayır</x:v>
      </x:c>
      <x:c r="Q1471" s="14" t="str">
        <x:v>Hayır</x:v>
      </x:c>
      <x:c r="R1471" s="14" t="str">
        <x:v>Planlandı</x:v>
      </x:c>
      <x:c r="S1471" s="15" t="str"/>
      <x:c r="T1471" s="14" t="str"/>
    </x:row>
    <x:row r="1472">
      <x:c r="A1472" s="14" t="n">
        <x:v>1471</x:v>
      </x:c>
      <x:c r="B1472" s="15" t="n">
        <x:v>46414</x:v>
      </x:c>
      <x:c r="C1472" s="14" t="str">
        <x:v>Çarşamba</x:v>
      </x:c>
      <x:c r="D1472" s="14" t="str">
        <x:v>Okul Tatili</x:v>
      </x:c>
      <x:c r="E1472" s="14" t="str">
        <x:v>MEB Yarıyıl Tatili</x:v>
      </x:c>
      <x:c r="F1472" s="14" t="str">
        <x:v>F2 - LGS Kapsam + Ustalık</x:v>
      </x:c>
      <x:c r="G1472" s="14" t="str">
        <x:v>11:25</x:v>
      </x:c>
      <x:c r="H1472" s="14" t="str">
        <x:v>11:55</x:v>
      </x:c>
      <x:c r="I1472" s="14" t="str">
        <x:v>Türkçe</x:v>
      </x:c>
      <x:c r="J1472" s="14" t="str">
        <x:v>Paragraf Rutini</x:v>
      </x:c>
      <x:c r="K1472" s="14" t="str">
        <x:v>Paragraf</x:v>
      </x:c>
      <x:c r="L1472" s="14" t="str">
        <x:v>En az 25 paragraf sorusu çöz; ilk 20 soruyu ileri sayımla ölç, D/Y/B + süre kaydet.</x:v>
      </x:c>
      <x:c r="M1472" s="14" t="str">
        <x:v>Hız 8. Sınıf Türkçe Paragraf (ISBN 9786258394498)</x:v>
      </x:c>
      <x:c r="N1472" s="14" t="str"/>
      <x:c r="O1472" s="14" t="n">
        <x:v>25</x:v>
      </x:c>
      <x:c r="P1472" s="14" t="str">
        <x:v>İlk 20 soru</x:v>
      </x:c>
      <x:c r="Q1472" s="14" t="str">
        <x:v>Evet</x:v>
      </x:c>
      <x:c r="R1472" s="14" t="str">
        <x:v>Planlandı</x:v>
      </x:c>
      <x:c r="S1472" s="15" t="str"/>
      <x:c r="T1472" s="14" t="str">
        <x:v>Geri sayım ve hedef süre yok.</x:v>
      </x:c>
    </x:row>
    <x:row r="1473">
      <x:c r="A1473" s="14" t="n">
        <x:v>1472</x:v>
      </x:c>
      <x:c r="B1473" s="15" t="n">
        <x:v>46414</x:v>
      </x:c>
      <x:c r="C1473" s="14" t="str">
        <x:v>Çarşamba</x:v>
      </x:c>
      <x:c r="D1473" s="14" t="str">
        <x:v>Okul Tatili</x:v>
      </x:c>
      <x:c r="E1473" s="14" t="str">
        <x:v>MEB Yarıyıl Tatili</x:v>
      </x:c>
      <x:c r="F1473" s="14" t="str">
        <x:v>F2 - LGS Kapsam + Ustalık</x:v>
      </x:c>
      <x:c r="G1473" s="14" t="str">
        <x:v>14:00</x:v>
      </x:c>
      <x:c r="H1473" s="14" t="str">
        <x:v>14:40</x:v>
      </x:c>
      <x:c r="I1473" s="14" t="str">
        <x:v>Türkçe</x:v>
      </x:c>
      <x:c r="J1473" s="14" t="str">
        <x:v>Konu / Tekrar</x:v>
      </x:c>
      <x:c r="K1473" s="14" t="str">
        <x:v>Kaynak Tamamlama / Zayıf Konu</x:v>
      </x:c>
      <x:c r="L1473" s="14" t="str">
        <x:v>Yeni konu açma. En zayıf/açık konunun ilgili playlist videosunu yalnız gerekiyorsa tekrar izle.</x:v>
      </x:c>
      <x:c r="M1473" s="14" t="str">
        <x:v>Türkçe Ana Oynatma Listesi</x:v>
      </x:c>
      <x:c r="N1473" s="14" t="str">
        <x:v>https://www.youtube.com/watch?v=VYsPntNKVdw&amp;list=PLIBjFaUoJJ91bz7QQEBlxNJNZka5YQRr6</x:v>
      </x:c>
      <x:c r="O1473" s="14" t="n">
        <x:v>0</x:v>
      </x:c>
      <x:c r="P1473" s="14" t="str">
        <x:v>Hayır</x:v>
      </x:c>
      <x:c r="Q1473" s="14" t="str">
        <x:v>Evet</x:v>
      </x:c>
      <x:c r="R1473" s="14" t="str">
        <x:v>Planlandı</x:v>
      </x:c>
      <x:c r="S1473" s="15" t="str"/>
      <x:c r="T1473" s="14" t="str">
        <x:v>TYT etiketli kaynak temelden başlamak için sabittir; LGS dışı gereksiz ayrıntı zorunlu değildir.</x:v>
      </x:c>
    </x:row>
    <x:row r="1474">
      <x:c r="A1474" s="14" t="n">
        <x:v>1473</x:v>
      </x:c>
      <x:c r="B1474" s="15" t="n">
        <x:v>46414</x:v>
      </x:c>
      <x:c r="C1474" s="14" t="str">
        <x:v>Çarşamba</x:v>
      </x:c>
      <x:c r="D1474" s="14" t="str">
        <x:v>Okul Tatili</x:v>
      </x:c>
      <x:c r="E1474" s="14" t="str">
        <x:v>MEB Yarıyıl Tatili</x:v>
      </x:c>
      <x:c r="F1474" s="14" t="str">
        <x:v>F2 - LGS Kapsam + Ustalık</x:v>
      </x:c>
      <x:c r="G1474" s="14" t="str">
        <x:v>14:50</x:v>
      </x:c>
      <x:c r="H1474" s="14" t="str">
        <x:v>15:30</x:v>
      </x:c>
      <x:c r="I1474" s="14" t="str">
        <x:v>Türkçe</x:v>
      </x:c>
      <x:c r="J1474" s="14" t="str">
        <x:v>Kitap / MEB / Mastery</x:v>
      </x:c>
      <x:c r="K1474" s="14" t="str">
        <x:v>Kaynak Tamamlama / Zayıf Konu</x:v>
      </x:c>
      <x:c r="L1474" s="14" t="str">
        <x:v>13 Nisan %100 tamamlama hedefine göre en geride kalan Türkçe soru kaynağını/eksik MEB setini ilerlet; açık yanlışları kapat.</x:v>
      </x:c>
      <x:c r="M1474" s="14" t="str">
        <x:v>Ankara 8. Sınıf Dil Bilgisi Güçlendiren + açık MEB/yanlışlar</x:v>
      </x:c>
      <x:c r="N1474" s="14" t="str">
        <x:v>https://odsgm.meb.gov.tr/www/8sinif-calisma-sorulari/icerik/1632</x:v>
      </x:c>
      <x:c r="O1474" s="14" t="n">
        <x:v>15</x:v>
      </x:c>
      <x:c r="P1474" s="14" t="str">
        <x:v>Hayır</x:v>
      </x:c>
      <x:c r="Q1474" s="14" t="str">
        <x:v>Evet</x:v>
      </x:c>
      <x:c r="R1474" s="14" t="str">
        <x:v>Planlandı</x:v>
      </x:c>
      <x:c r="S1474" s="15" t="str"/>
      <x:c r="T1474" s="14" t="str"/>
    </x:row>
    <x:row r="1475">
      <x:c r="A1475" s="14" t="n">
        <x:v>1474</x:v>
      </x:c>
      <x:c r="B1475" s="15" t="n">
        <x:v>46414</x:v>
      </x:c>
      <x:c r="C1475" s="14" t="str">
        <x:v>Çarşamba</x:v>
      </x:c>
      <x:c r="D1475" s="14" t="str">
        <x:v>Okul Tatili</x:v>
      </x:c>
      <x:c r="E1475" s="14" t="str">
        <x:v>MEB Yarıyıl Tatili</x:v>
      </x:c>
      <x:c r="F1475" s="14" t="str">
        <x:v>F2 - LGS Kapsam + Ustalık</x:v>
      </x:c>
      <x:c r="G1475" s="14" t="str">
        <x:v>15:45</x:v>
      </x:c>
      <x:c r="H1475" s="14" t="str">
        <x:v>16:25</x:v>
      </x:c>
      <x:c r="I1475" s="14" t="str">
        <x:v>İnkılap</x:v>
      </x:c>
      <x:c r="J1475" s="14" t="str">
        <x:v>Konu / Tekrar</x:v>
      </x:c>
      <x:c r="K1475" s="14" t="str">
        <x:v>Atatürkçülük ve Çağdaşlaşan Türkiye</x:v>
      </x:c>
      <x:c r="L1475" s="14" t="str">
        <x:v>Atatürkçülük ve Çağdaşlaşan Türkiye — genel oynatma listesinden ilgili konu/soru çalışmasını yap.</x:v>
      </x:c>
      <x:c r="M1475" s="14" t="str">
        <x:v>İnkılap Genel Oynatma Listesi</x:v>
      </x:c>
      <x:c r="N1475" s="14" t="str">
        <x:v>https://www.youtube.com/watch?v=MltIX0oKpYU&amp;list=PLsAsBPsriHNbXit4Ra3iuBrk1ZHZWxsOR&amp;index=78</x:v>
      </x:c>
      <x:c r="O1475" s="14" t="n">
        <x:v>0</x:v>
      </x:c>
      <x:c r="P1475" s="14" t="str">
        <x:v>Hayır</x:v>
      </x:c>
      <x:c r="Q1475" s="14" t="str">
        <x:v>Evet</x:v>
      </x:c>
      <x:c r="R1475" s="14" t="str">
        <x:v>Planlandı</x:v>
      </x:c>
      <x:c r="S1475" s="15" t="str"/>
      <x:c r="T1475" s="14" t="str">
        <x:v>İnkılapta okul yazılısı videoları zorunlu değildir.</x:v>
      </x:c>
    </x:row>
    <x:row r="1476">
      <x:c r="A1476" s="14" t="n">
        <x:v>1475</x:v>
      </x:c>
      <x:c r="B1476" s="15" t="n">
        <x:v>46414</x:v>
      </x:c>
      <x:c r="C1476" s="14" t="str">
        <x:v>Çarşamba</x:v>
      </x:c>
      <x:c r="D1476" s="14" t="str">
        <x:v>Okul Tatili</x:v>
      </x:c>
      <x:c r="E1476" s="14" t="str">
        <x:v>MEB Yarıyıl Tatili</x:v>
      </x:c>
      <x:c r="F1476" s="14" t="str">
        <x:v>F2 - LGS Kapsam + Ustalık</x:v>
      </x:c>
      <x:c r="G1476" s="14" t="str">
        <x:v>16:35</x:v>
      </x:c>
      <x:c r="H1476" s="14" t="str">
        <x:v>17:15</x:v>
      </x:c>
      <x:c r="I1476" s="14" t="str">
        <x:v>İnkılap</x:v>
      </x:c>
      <x:c r="J1476" s="14" t="str">
        <x:v>Kitap / MEB / Mastery</x:v>
      </x:c>
      <x:c r="K1476" s="14" t="str">
        <x:v>Atatürkçülük ve Çağdaşlaşan Türkiye</x:v>
      </x:c>
      <x:c r="L1476" s="14" t="str">
        <x:v>Atatürkçülük ve Çağdaşlaşan Türkiye ile ilgili soru kitabından en az 18 soru / bugünkü test payını çöz.</x:v>
      </x:c>
      <x:c r="M1476" s="14" t="str">
        <x:v>Hız 8. Sınıf T.C. İnkılap Tarihi ve Atatürkçülük</x:v>
      </x:c>
      <x:c r="N1476" s="14" t="str">
        <x:v>https://www.youtube.com/watch?v=MltIX0oKpYU&amp;list=PLsAsBPsriHNbXit4Ra3iuBrk1ZHZWxsOR&amp;index=78</x:v>
      </x:c>
      <x:c r="O1476" s="14" t="n">
        <x:v>18</x:v>
      </x:c>
      <x:c r="P1476" s="14" t="str">
        <x:v>Hayır</x:v>
      </x:c>
      <x:c r="Q1476" s="14" t="str">
        <x:v>Evet</x:v>
      </x:c>
      <x:c r="R1476" s="14" t="str">
        <x:v>Planlandı</x:v>
      </x:c>
      <x:c r="S1476" s="15" t="str"/>
      <x:c r="T1476" s="14" t="str"/>
    </x:row>
    <x:row r="1477">
      <x:c r="A1477" s="14" t="n">
        <x:v>1476</x:v>
      </x:c>
      <x:c r="B1477" s="15" t="n">
        <x:v>46414</x:v>
      </x:c>
      <x:c r="C1477" s="14" t="str">
        <x:v>Çarşamba</x:v>
      </x:c>
      <x:c r="D1477" s="14" t="str">
        <x:v>Okul Tatili</x:v>
      </x:c>
      <x:c r="E1477" s="14" t="str">
        <x:v>MEB Yarıyıl Tatili</x:v>
      </x:c>
      <x:c r="F1477" s="14" t="str">
        <x:v>F2 - LGS Kapsam + Ustalık</x:v>
      </x:c>
      <x:c r="G1477" s="14" t="str">
        <x:v>18:25</x:v>
      </x:c>
      <x:c r="H1477" s="14" t="str">
        <x:v>18:45</x:v>
      </x:c>
      <x:c r="I1477" s="14" t="str">
        <x:v>Genel</x:v>
      </x:c>
      <x:c r="J1477" s="14" t="str">
        <x:v>Yanlış / Boş Analizi</x:v>
      </x:c>
      <x:c r="K1477" s="14" t="str">
        <x:v>Günlük</x:v>
      </x:c>
      <x:c r="L1477" s="14" t="str">
        <x:v>Bugünkü yanlış/boşları kaydet; çözümünü öğrenmeden kapatma. Hata türünü sınıflandır.</x:v>
      </x:c>
      <x:c r="M1477" s="14" t="str">
        <x:v>Yanlış Defteri</x:v>
      </x:c>
      <x:c r="N1477" s="14" t="str"/>
      <x:c r="O1477" s="14" t="n">
        <x:v>0</x:v>
      </x:c>
      <x:c r="P1477" s="14" t="str">
        <x:v>Hayır</x:v>
      </x:c>
      <x:c r="Q1477" s="14" t="str">
        <x:v>Evet</x:v>
      </x:c>
      <x:c r="R1477" s="14" t="str">
        <x:v>Planlandı</x:v>
      </x:c>
      <x:c r="S1477" s="15" t="str"/>
      <x:c r="T1477" s="14" t="str"/>
    </x:row>
    <x:row r="1478">
      <x:c r="A1478" s="14" t="n">
        <x:v>1477</x:v>
      </x:c>
      <x:c r="B1478" s="15" t="n">
        <x:v>46414</x:v>
      </x:c>
      <x:c r="C1478" s="14" t="str">
        <x:v>Çarşamba</x:v>
      </x:c>
      <x:c r="D1478" s="14" t="str">
        <x:v>Okul Tatili</x:v>
      </x:c>
      <x:c r="E1478" s="14" t="str">
        <x:v>MEB Yarıyıl Tatili</x:v>
      </x:c>
      <x:c r="F1478" s="14" t="str">
        <x:v>F2 - LGS Kapsam + Ustalık</x:v>
      </x:c>
      <x:c r="G1478" s="14" t="str">
        <x:v>18:45</x:v>
      </x:c>
      <x:c r="H1478" s="14" t="str">
        <x:v>19:05</x:v>
      </x:c>
      <x:c r="I1478" s="14" t="str">
        <x:v>Genel</x:v>
      </x:c>
      <x:c r="J1478" s="14" t="str">
        <x:v>Aralıklı Hata Tekrarı</x:v>
      </x:c>
      <x:c r="K1478" s="14" t="str">
        <x:v>+1 / +7 / +21</x:v>
      </x:c>
      <x:c r="L1478" s="14" t="str">
        <x:v>Bugün vadesi gelen yanlış soruları tekrar çöz. Vadesi yoksa bu süre serbest/okuma olabilir.</x:v>
      </x:c>
      <x:c r="M1478" s="14" t="str">
        <x:v>Yanlış Defteri</x:v>
      </x:c>
      <x:c r="N1478" s="14" t="str"/>
      <x:c r="O1478" s="14" t="n">
        <x:v>0</x:v>
      </x:c>
      <x:c r="P1478" s="14" t="str">
        <x:v>Hayır</x:v>
      </x:c>
      <x:c r="Q1478" s="14" t="str">
        <x:v>Koşullu</x:v>
      </x:c>
      <x:c r="R1478" s="14" t="str">
        <x:v>Planlandı</x:v>
      </x:c>
      <x:c r="S1478" s="15" t="str"/>
      <x:c r="T1478" s="14" t="str">
        <x:v>Yanlışlar +1, +7 ve +21 gün aralıklarıyla tekrar edilir; hâlâ yanlışsa konu mastery durumu düşürülür.</x:v>
      </x:c>
    </x:row>
    <x:row r="1479">
      <x:c r="A1479" s="14" t="n">
        <x:v>1478</x:v>
      </x:c>
      <x:c r="B1479" s="15" t="n">
        <x:v>46414</x:v>
      </x:c>
      <x:c r="C1479" s="14" t="str">
        <x:v>Çarşamba</x:v>
      </x:c>
      <x:c r="D1479" s="14" t="str">
        <x:v>Okul Tatili</x:v>
      </x:c>
      <x:c r="E1479" s="14" t="str">
        <x:v>MEB Yarıyıl Tatili</x:v>
      </x:c>
      <x:c r="F1479" s="14" t="str">
        <x:v>F2 - LGS Kapsam + Ustalık</x:v>
      </x:c>
      <x:c r="G1479" s="14" t="str">
        <x:v>20:00</x:v>
      </x:c>
      <x:c r="H1479" s="14" t="str">
        <x:v>20:30</x:v>
      </x:c>
      <x:c r="I1479" s="14" t="str">
        <x:v>Okuma</x:v>
      </x:c>
      <x:c r="J1479" s="14" t="str">
        <x:v>İsteğe Bağlı</x:v>
      </x:c>
      <x:c r="K1479" s="14" t="str">
        <x:v>Serbest Kitap</x:v>
      </x:c>
      <x:c r="L1479" s="14" t="str">
        <x:v>Zorunlu çalışmalar bittiyse isteğe bağlı kitap oku.</x:v>
      </x:c>
      <x:c r="M1479" s="14" t="str">
        <x:v>Serbest Kitap</x:v>
      </x:c>
      <x:c r="N1479" s="14" t="str"/>
      <x:c r="O1479" s="14" t="n">
        <x:v>0</x:v>
      </x:c>
      <x:c r="P1479" s="14" t="str">
        <x:v>İsteğe Bağlı</x:v>
      </x:c>
      <x:c r="Q1479" s="14" t="str">
        <x:v>Hayır</x:v>
      </x:c>
      <x:c r="R1479" s="14" t="str">
        <x:v>Planlandı</x:v>
      </x:c>
      <x:c r="S1479" s="15" t="str"/>
      <x:c r="T1479" s="14" t="str">
        <x:v>Minimum süre yok.</x:v>
      </x:c>
    </x:row>
    <x:row r="1480">
      <x:c r="A1480" s="14" t="n">
        <x:v>1479</x:v>
      </x:c>
      <x:c r="B1480" s="15" t="n">
        <x:v>46414</x:v>
      </x:c>
      <x:c r="C1480" s="14" t="str">
        <x:v>Çarşamba</x:v>
      </x:c>
      <x:c r="D1480" s="14" t="str">
        <x:v>Okul Tatili</x:v>
      </x:c>
      <x:c r="E1480" s="14" t="str">
        <x:v>MEB Yarıyıl Tatili</x:v>
      </x:c>
      <x:c r="F1480" s="14" t="str">
        <x:v>F2 - LGS Kapsam + Ustalık</x:v>
      </x:c>
      <x:c r="G1480" s="14" t="str">
        <x:v>21:50</x:v>
      </x:c>
      <x:c r="H1480" s="14" t="str">
        <x:v>22:00</x:v>
      </x:c>
      <x:c r="I1480" s="14" t="str">
        <x:v>Genel</x:v>
      </x:c>
      <x:c r="J1480" s="14" t="str">
        <x:v>Uyku Hazırlığı</x:v>
      </x:c>
      <x:c r="K1480" s="14" t="str"/>
      <x:c r="L1480" s="14" t="str">
        <x:v>22:00'de yatakta ve uyku.</x:v>
      </x:c>
      <x:c r="M1480" s="14" t="str"/>
      <x:c r="N1480" s="14" t="str"/>
      <x:c r="O1480" s="14" t="n">
        <x:v>0</x:v>
      </x:c>
      <x:c r="P1480" s="14" t="str">
        <x:v>Hayır</x:v>
      </x:c>
      <x:c r="Q1480" s="14" t="str">
        <x:v>Hayır</x:v>
      </x:c>
      <x:c r="R1480" s="14" t="str">
        <x:v>Planlandı</x:v>
      </x:c>
      <x:c r="S1480" s="15" t="str"/>
      <x:c r="T1480" s="14" t="str"/>
    </x:row>
    <x:row r="1481">
      <x:c r="A1481" s="14" t="n">
        <x:v>1480</x:v>
      </x:c>
      <x:c r="B1481" s="15" t="n">
        <x:v>46415</x:v>
      </x:c>
      <x:c r="C1481" s="14" t="str">
        <x:v>Perşembe</x:v>
      </x:c>
      <x:c r="D1481" s="14" t="str">
        <x:v>Okul Tatili</x:v>
      </x:c>
      <x:c r="E1481" s="14" t="str">
        <x:v>MEB Yarıyıl Tatili</x:v>
      </x:c>
      <x:c r="F1481" s="14" t="str">
        <x:v>F2 - LGS Kapsam + Ustalık</x:v>
      </x:c>
      <x:c r="G1481" s="14" t="str">
        <x:v>09:30</x:v>
      </x:c>
      <x:c r="H1481" s="14" t="str">
        <x:v>10:15</x:v>
      </x:c>
      <x:c r="I1481" s="14" t="str">
        <x:v>Matematik</x:v>
      </x:c>
      <x:c r="J1481" s="14" t="str">
        <x:v>Konu / Tekrar</x:v>
      </x:c>
      <x:c r="K1481" s="14" t="str">
        <x:v>Geometrik Cisimler</x:v>
      </x:c>
      <x:c r="L1481" s="14" t="str">
        <x:v>Geometrik Cisimler — genel oynatma listesinden ilgili videoyu izle (4/4).</x:v>
      </x:c>
      <x:c r="M1481" s="14" t="str">
        <x:v>Matematik Yedek Oynatma Listesi</x:v>
      </x:c>
      <x:c r="N1481" s="14" t="str">
        <x:v>https://www.youtube.com/watch?v=Z7exqEHEqQA&amp;list=PLHN_SjKO7rCI&amp;index=3</x:v>
      </x:c>
      <x:c r="O1481" s="14" t="n">
        <x:v>0</x:v>
      </x:c>
      <x:c r="P1481" s="14" t="str">
        <x:v>Hayır</x:v>
      </x:c>
      <x:c r="Q1481" s="14" t="str">
        <x:v>Evet</x:v>
      </x:c>
      <x:c r="R1481" s="14" t="str">
        <x:v>Planlandı</x:v>
      </x:c>
      <x:c r="S1481" s="15" t="str"/>
      <x:c r="T1481" s="14" t="str">
        <x:v>Yeni konu ancak plan sırasıyla açılır; LGS dışı ileri TYT içeriği zorunlu değildir.</x:v>
      </x:c>
    </x:row>
    <x:row r="1482">
      <x:c r="A1482" s="14" t="n">
        <x:v>1481</x:v>
      </x:c>
      <x:c r="B1482" s="15" t="n">
        <x:v>46415</x:v>
      </x:c>
      <x:c r="C1482" s="14" t="str">
        <x:v>Perşembe</x:v>
      </x:c>
      <x:c r="D1482" s="14" t="str">
        <x:v>Okul Tatili</x:v>
      </x:c>
      <x:c r="E1482" s="14" t="str">
        <x:v>MEB Yarıyıl Tatili</x:v>
      </x:c>
      <x:c r="F1482" s="14" t="str">
        <x:v>F2 - LGS Kapsam + Ustalık</x:v>
      </x:c>
      <x:c r="G1482" s="14" t="str">
        <x:v>10:25</x:v>
      </x:c>
      <x:c r="H1482" s="14" t="str">
        <x:v>11:15</x:v>
      </x:c>
      <x:c r="I1482" s="14" t="str">
        <x:v>Matematik</x:v>
      </x:c>
      <x:c r="J1482" s="14" t="str">
        <x:v>Kitap / MEB / Mastery</x:v>
      </x:c>
      <x:c r="K1482" s="14" t="str">
        <x:v>Geometrik Cisimler</x:v>
      </x:c>
      <x:c r="L1482" s="14" t="str">
        <x:v>Geometrik Cisimler ile ilgili soru kitabından en az 25 soru / bugünkü test payını çöz. İlgili kitap konu bölümünü bu oturumda bitirmeyi hedefle; sonraki oturum MEB doğrulaması.</x:v>
      </x:c>
      <x:c r="M1482" s="14" t="str">
        <x:v>MUBA 8. Sınıf Başlangıç Matematik (ISBN 9789756526972); tamamlandıysa Mozaik 8. Sınıf Matematik</x:v>
      </x:c>
      <x:c r="N1482" s="14" t="str">
        <x:v>https://odsgm.meb.gov.tr/www/8sinif-calisma-sorulari/icerik/1632</x:v>
      </x:c>
      <x:c r="O1482" s="14" t="n">
        <x:v>25</x:v>
      </x:c>
      <x:c r="P1482" s="14" t="str">
        <x:v>İlk 20 soru</x:v>
      </x:c>
      <x:c r="Q1482" s="14" t="str">
        <x:v>Evet</x:v>
      </x:c>
      <x:c r="R1482" s="14" t="str">
        <x:v>Planlandı</x:v>
      </x:c>
      <x:c r="S1482" s="15" t="str"/>
      <x:c r="T1482" s="14" t="str">
        <x:v>Ayrı/rastgele matematik benchmark yoktur. Süreli ilk 20 soru o gün çalışılan konunun içindedir.</x:v>
      </x:c>
    </x:row>
    <x:row r="1483">
      <x:c r="A1483" s="14" t="n">
        <x:v>1482</x:v>
      </x:c>
      <x:c r="B1483" s="15" t="n">
        <x:v>46415</x:v>
      </x:c>
      <x:c r="C1483" s="14" t="str">
        <x:v>Perşembe</x:v>
      </x:c>
      <x:c r="D1483" s="14" t="str">
        <x:v>Okul Tatili</x:v>
      </x:c>
      <x:c r="E1483" s="14" t="str">
        <x:v>MEB Yarıyıl Tatili</x:v>
      </x:c>
      <x:c r="F1483" s="14" t="str">
        <x:v>F2 - LGS Kapsam + Ustalık</x:v>
      </x:c>
      <x:c r="G1483" s="14" t="str">
        <x:v>12:00</x:v>
      </x:c>
      <x:c r="H1483" s="14" t="str">
        <x:v>14:00</x:v>
      </x:c>
      <x:c r="I1483" s="14" t="str">
        <x:v>Genel</x:v>
      </x:c>
      <x:c r="J1483" s="14" t="str">
        <x:v>Yemek / Serbest Zaman</x:v>
      </x:c>
      <x:c r="K1483" s="14" t="str"/>
      <x:c r="L1483" s="14" t="str">
        <x:v>Yemek, hareket ve dinlenme.</x:v>
      </x:c>
      <x:c r="M1483" s="14" t="str"/>
      <x:c r="N1483" s="14" t="str"/>
      <x:c r="O1483" s="14" t="n">
        <x:v>0</x:v>
      </x:c>
      <x:c r="P1483" s="14" t="str">
        <x:v>Hayır</x:v>
      </x:c>
      <x:c r="Q1483" s="14" t="str">
        <x:v>Hayır</x:v>
      </x:c>
      <x:c r="R1483" s="14" t="str">
        <x:v>Planlandı</x:v>
      </x:c>
      <x:c r="S1483" s="15" t="str"/>
      <x:c r="T1483" s="14" t="str"/>
    </x:row>
    <x:row r="1484">
      <x:c r="A1484" s="14" t="n">
        <x:v>1483</x:v>
      </x:c>
      <x:c r="B1484" s="15" t="n">
        <x:v>46415</x:v>
      </x:c>
      <x:c r="C1484" s="14" t="str">
        <x:v>Perşembe</x:v>
      </x:c>
      <x:c r="D1484" s="14" t="str">
        <x:v>Okul Tatili</x:v>
      </x:c>
      <x:c r="E1484" s="14" t="str">
        <x:v>MEB Yarıyıl Tatili</x:v>
      </x:c>
      <x:c r="F1484" s="14" t="str">
        <x:v>F2 - LGS Kapsam + Ustalık</x:v>
      </x:c>
      <x:c r="G1484" s="14" t="str">
        <x:v>11:25</x:v>
      </x:c>
      <x:c r="H1484" s="14" t="str">
        <x:v>11:55</x:v>
      </x:c>
      <x:c r="I1484" s="14" t="str">
        <x:v>Türkçe</x:v>
      </x:c>
      <x:c r="J1484" s="14" t="str">
        <x:v>Paragraf Rutini</x:v>
      </x:c>
      <x:c r="K1484" s="14" t="str">
        <x:v>Paragraf</x:v>
      </x:c>
      <x:c r="L1484" s="14" t="str">
        <x:v>En az 25 paragraf sorusu çöz; ilk 20 soruyu ileri sayımla ölç, D/Y/B + süre kaydet.</x:v>
      </x:c>
      <x:c r="M1484" s="14" t="str">
        <x:v>Hız 8. Sınıf Türkçe Paragraf (ISBN 9786258394498)</x:v>
      </x:c>
      <x:c r="N1484" s="14" t="str"/>
      <x:c r="O1484" s="14" t="n">
        <x:v>25</x:v>
      </x:c>
      <x:c r="P1484" s="14" t="str">
        <x:v>İlk 20 soru</x:v>
      </x:c>
      <x:c r="Q1484" s="14" t="str">
        <x:v>Evet</x:v>
      </x:c>
      <x:c r="R1484" s="14" t="str">
        <x:v>Planlandı</x:v>
      </x:c>
      <x:c r="S1484" s="15" t="str"/>
      <x:c r="T1484" s="14" t="str">
        <x:v>Geri sayım ve hedef süre yok.</x:v>
      </x:c>
    </x:row>
    <x:row r="1485">
      <x:c r="A1485" s="14" t="n">
        <x:v>1484</x:v>
      </x:c>
      <x:c r="B1485" s="15" t="n">
        <x:v>46415</x:v>
      </x:c>
      <x:c r="C1485" s="14" t="str">
        <x:v>Perşembe</x:v>
      </x:c>
      <x:c r="D1485" s="14" t="str">
        <x:v>Okul Tatili</x:v>
      </x:c>
      <x:c r="E1485" s="14" t="str">
        <x:v>MEB Yarıyıl Tatili</x:v>
      </x:c>
      <x:c r="F1485" s="14" t="str">
        <x:v>F2 - LGS Kapsam + Ustalık</x:v>
      </x:c>
      <x:c r="G1485" s="14" t="str">
        <x:v>14:00</x:v>
      </x:c>
      <x:c r="H1485" s="14" t="str">
        <x:v>14:40</x:v>
      </x:c>
      <x:c r="I1485" s="14" t="str">
        <x:v>Türkçe</x:v>
      </x:c>
      <x:c r="J1485" s="14" t="str">
        <x:v>Konu / Tekrar</x:v>
      </x:c>
      <x:c r="K1485" s="14" t="str">
        <x:v>Kaynak Tamamlama / Zayıf Konu</x:v>
      </x:c>
      <x:c r="L1485" s="14" t="str">
        <x:v>Yeni konu açma. En zayıf/açık konunun ilgili playlist videosunu yalnız gerekiyorsa tekrar izle.</x:v>
      </x:c>
      <x:c r="M1485" s="14" t="str">
        <x:v>Türkçe Ana Oynatma Listesi</x:v>
      </x:c>
      <x:c r="N1485" s="14" t="str">
        <x:v>https://www.youtube.com/watch?v=VYsPntNKVdw&amp;list=PLIBjFaUoJJ91bz7QQEBlxNJNZka5YQRr6</x:v>
      </x:c>
      <x:c r="O1485" s="14" t="n">
        <x:v>0</x:v>
      </x:c>
      <x:c r="P1485" s="14" t="str">
        <x:v>Hayır</x:v>
      </x:c>
      <x:c r="Q1485" s="14" t="str">
        <x:v>Evet</x:v>
      </x:c>
      <x:c r="R1485" s="14" t="str">
        <x:v>Planlandı</x:v>
      </x:c>
      <x:c r="S1485" s="15" t="str"/>
      <x:c r="T1485" s="14" t="str">
        <x:v>TYT etiketli kaynak temelden başlamak için sabittir; LGS dışı gereksiz ayrıntı zorunlu değildir.</x:v>
      </x:c>
    </x:row>
    <x:row r="1486">
      <x:c r="A1486" s="14" t="n">
        <x:v>1485</x:v>
      </x:c>
      <x:c r="B1486" s="15" t="n">
        <x:v>46415</x:v>
      </x:c>
      <x:c r="C1486" s="14" t="str">
        <x:v>Perşembe</x:v>
      </x:c>
      <x:c r="D1486" s="14" t="str">
        <x:v>Okul Tatili</x:v>
      </x:c>
      <x:c r="E1486" s="14" t="str">
        <x:v>MEB Yarıyıl Tatili</x:v>
      </x:c>
      <x:c r="F1486" s="14" t="str">
        <x:v>F2 - LGS Kapsam + Ustalık</x:v>
      </x:c>
      <x:c r="G1486" s="14" t="str">
        <x:v>14:50</x:v>
      </x:c>
      <x:c r="H1486" s="14" t="str">
        <x:v>15:30</x:v>
      </x:c>
      <x:c r="I1486" s="14" t="str">
        <x:v>Türkçe</x:v>
      </x:c>
      <x:c r="J1486" s="14" t="str">
        <x:v>Kitap / MEB / Mastery</x:v>
      </x:c>
      <x:c r="K1486" s="14" t="str">
        <x:v>Kaynak Tamamlama / Zayıf Konu</x:v>
      </x:c>
      <x:c r="L1486" s="14" t="str">
        <x:v>13 Nisan %100 tamamlama hedefine göre en geride kalan Türkçe soru kaynağını/eksik MEB setini ilerlet; açık yanlışları kapat.</x:v>
      </x:c>
      <x:c r="M1486" s="14" t="str">
        <x:v>Ankara 8. Sınıf Dil Bilgisi Güçlendiren + açık MEB/yanlışlar</x:v>
      </x:c>
      <x:c r="N1486" s="14" t="str">
        <x:v>https://odsgm.meb.gov.tr/www/8sinif-calisma-sorulari/icerik/1632</x:v>
      </x:c>
      <x:c r="O1486" s="14" t="n">
        <x:v>15</x:v>
      </x:c>
      <x:c r="P1486" s="14" t="str">
        <x:v>Hayır</x:v>
      </x:c>
      <x:c r="Q1486" s="14" t="str">
        <x:v>Evet</x:v>
      </x:c>
      <x:c r="R1486" s="14" t="str">
        <x:v>Planlandı</x:v>
      </x:c>
      <x:c r="S1486" s="15" t="str"/>
      <x:c r="T1486" s="14" t="str"/>
    </x:row>
    <x:row r="1487">
      <x:c r="A1487" s="14" t="n">
        <x:v>1486</x:v>
      </x:c>
      <x:c r="B1487" s="15" t="n">
        <x:v>46415</x:v>
      </x:c>
      <x:c r="C1487" s="14" t="str">
        <x:v>Perşembe</x:v>
      </x:c>
      <x:c r="D1487" s="14" t="str">
        <x:v>Okul Tatili</x:v>
      </x:c>
      <x:c r="E1487" s="14" t="str">
        <x:v>MEB Yarıyıl Tatili</x:v>
      </x:c>
      <x:c r="F1487" s="14" t="str">
        <x:v>F2 - LGS Kapsam + Ustalık</x:v>
      </x:c>
      <x:c r="G1487" s="14" t="str">
        <x:v>15:45</x:v>
      </x:c>
      <x:c r="H1487" s="14" t="str">
        <x:v>16:25</x:v>
      </x:c>
      <x:c r="I1487" s="14" t="str">
        <x:v>İngilizce</x:v>
      </x:c>
      <x:c r="J1487" s="14" t="str">
        <x:v>Konu / Tekrar</x:v>
      </x:c>
      <x:c r="K1487" s="14" t="str">
        <x:v>Unit 8 - Chores</x:v>
      </x:c>
      <x:c r="L1487" s="14" t="str">
        <x:v>Unit 8 - Chores — Reading çalışmasını playlistten yap.</x:v>
      </x:c>
      <x:c r="M1487" s="14" t="str">
        <x:v>İngilizce Genel Oynatma Listesi</x:v>
      </x:c>
      <x:c r="N1487" s="14" t="str">
        <x:v>https://www.youtube.com/watch?v=FaY3dFjZbns&amp;list=PLSgpQDrUSYp94WgE9pzpHiOG5FwxnZBrr</x:v>
      </x:c>
      <x:c r="O1487" s="14" t="n">
        <x:v>0</x:v>
      </x:c>
      <x:c r="P1487" s="14" t="str">
        <x:v>Hayır</x:v>
      </x:c>
      <x:c r="Q1487" s="14" t="str">
        <x:v>Evet</x:v>
      </x:c>
      <x:c r="R1487" s="14" t="str">
        <x:v>Planlandı</x:v>
      </x:c>
      <x:c r="S1487" s="15" t="str"/>
      <x:c r="T1487" s="14" t="str"/>
    </x:row>
    <x:row r="1488">
      <x:c r="A1488" s="14" t="n">
        <x:v>1487</x:v>
      </x:c>
      <x:c r="B1488" s="15" t="n">
        <x:v>46415</x:v>
      </x:c>
      <x:c r="C1488" s="14" t="str">
        <x:v>Perşembe</x:v>
      </x:c>
      <x:c r="D1488" s="14" t="str">
        <x:v>Okul Tatili</x:v>
      </x:c>
      <x:c r="E1488" s="14" t="str">
        <x:v>MEB Yarıyıl Tatili</x:v>
      </x:c>
      <x:c r="F1488" s="14" t="str">
        <x:v>F2 - LGS Kapsam + Ustalık</x:v>
      </x:c>
      <x:c r="G1488" s="14" t="str">
        <x:v>16:35</x:v>
      </x:c>
      <x:c r="H1488" s="14" t="str">
        <x:v>17:15</x:v>
      </x:c>
      <x:c r="I1488" s="14" t="str">
        <x:v>İngilizce</x:v>
      </x:c>
      <x:c r="J1488" s="14" t="str">
        <x:v>Kitap / MEB / Mastery</x:v>
      </x:c>
      <x:c r="K1488" s="14" t="str">
        <x:v>Unit 8 - Chores</x:v>
      </x:c>
      <x:c r="L1488" s="14" t="str">
        <x:v>Unit 8 - Chores ile ilgili soru kitabından en az 18 soru / bugünkü test payını çöz.</x:v>
      </x:c>
      <x:c r="M1488" s="14" t="str">
        <x:v>More &amp; More 8 Worksheets Notebook</x:v>
      </x:c>
      <x:c r="N1488" s="14" t="str">
        <x:v>https://www.youtube.com/watch?v=FaY3dFjZbns&amp;list=PLSgpQDrUSYp94WgE9pzpHiOG5FwxnZBrr</x:v>
      </x:c>
      <x:c r="O1488" s="14" t="n">
        <x:v>18</x:v>
      </x:c>
      <x:c r="P1488" s="14" t="str">
        <x:v>Hayır</x:v>
      </x:c>
      <x:c r="Q1488" s="14" t="str">
        <x:v>Evet</x:v>
      </x:c>
      <x:c r="R1488" s="14" t="str">
        <x:v>Planlandı</x:v>
      </x:c>
      <x:c r="S1488" s="15" t="str"/>
      <x:c r="T1488" s="14" t="str"/>
    </x:row>
    <x:row r="1489">
      <x:c r="A1489" s="14" t="n">
        <x:v>1488</x:v>
      </x:c>
      <x:c r="B1489" s="15" t="n">
        <x:v>46415</x:v>
      </x:c>
      <x:c r="C1489" s="14" t="str">
        <x:v>Perşembe</x:v>
      </x:c>
      <x:c r="D1489" s="14" t="str">
        <x:v>Okul Tatili</x:v>
      </x:c>
      <x:c r="E1489" s="14" t="str">
        <x:v>MEB Yarıyıl Tatili</x:v>
      </x:c>
      <x:c r="F1489" s="14" t="str">
        <x:v>F2 - LGS Kapsam + Ustalık</x:v>
      </x:c>
      <x:c r="G1489" s="14" t="str">
        <x:v>18:25</x:v>
      </x:c>
      <x:c r="H1489" s="14" t="str">
        <x:v>18:45</x:v>
      </x:c>
      <x:c r="I1489" s="14" t="str">
        <x:v>Genel</x:v>
      </x:c>
      <x:c r="J1489" s="14" t="str">
        <x:v>Yanlış / Boş Analizi</x:v>
      </x:c>
      <x:c r="K1489" s="14" t="str">
        <x:v>Günlük</x:v>
      </x:c>
      <x:c r="L1489" s="14" t="str">
        <x:v>Bugünkü yanlış/boşları kaydet; çözümünü öğrenmeden kapatma. Hata türünü sınıflandır.</x:v>
      </x:c>
      <x:c r="M1489" s="14" t="str">
        <x:v>Yanlış Defteri</x:v>
      </x:c>
      <x:c r="N1489" s="14" t="str"/>
      <x:c r="O1489" s="14" t="n">
        <x:v>0</x:v>
      </x:c>
      <x:c r="P1489" s="14" t="str">
        <x:v>Hayır</x:v>
      </x:c>
      <x:c r="Q1489" s="14" t="str">
        <x:v>Evet</x:v>
      </x:c>
      <x:c r="R1489" s="14" t="str">
        <x:v>Planlandı</x:v>
      </x:c>
      <x:c r="S1489" s="15" t="str"/>
      <x:c r="T1489" s="14" t="str"/>
    </x:row>
    <x:row r="1490">
      <x:c r="A1490" s="14" t="n">
        <x:v>1489</x:v>
      </x:c>
      <x:c r="B1490" s="15" t="n">
        <x:v>46415</x:v>
      </x:c>
      <x:c r="C1490" s="14" t="str">
        <x:v>Perşembe</x:v>
      </x:c>
      <x:c r="D1490" s="14" t="str">
        <x:v>Okul Tatili</x:v>
      </x:c>
      <x:c r="E1490" s="14" t="str">
        <x:v>MEB Yarıyıl Tatili</x:v>
      </x:c>
      <x:c r="F1490" s="14" t="str">
        <x:v>F2 - LGS Kapsam + Ustalık</x:v>
      </x:c>
      <x:c r="G1490" s="14" t="str">
        <x:v>18:45</x:v>
      </x:c>
      <x:c r="H1490" s="14" t="str">
        <x:v>19:05</x:v>
      </x:c>
      <x:c r="I1490" s="14" t="str">
        <x:v>Genel</x:v>
      </x:c>
      <x:c r="J1490" s="14" t="str">
        <x:v>Aralıklı Hata Tekrarı</x:v>
      </x:c>
      <x:c r="K1490" s="14" t="str">
        <x:v>+1 / +7 / +21</x:v>
      </x:c>
      <x:c r="L1490" s="14" t="str">
        <x:v>Bugün vadesi gelen yanlış soruları tekrar çöz. Vadesi yoksa bu süre serbest/okuma olabilir.</x:v>
      </x:c>
      <x:c r="M1490" s="14" t="str">
        <x:v>Yanlış Defteri</x:v>
      </x:c>
      <x:c r="N1490" s="14" t="str"/>
      <x:c r="O1490" s="14" t="n">
        <x:v>0</x:v>
      </x:c>
      <x:c r="P1490" s="14" t="str">
        <x:v>Hayır</x:v>
      </x:c>
      <x:c r="Q1490" s="14" t="str">
        <x:v>Koşullu</x:v>
      </x:c>
      <x:c r="R1490" s="14" t="str">
        <x:v>Planlandı</x:v>
      </x:c>
      <x:c r="S1490" s="15" t="str"/>
      <x:c r="T1490" s="14" t="str">
        <x:v>Yanlışlar +1, +7 ve +21 gün aralıklarıyla tekrar edilir; hâlâ yanlışsa konu mastery durumu düşürülür.</x:v>
      </x:c>
    </x:row>
    <x:row r="1491">
      <x:c r="A1491" s="14" t="n">
        <x:v>1490</x:v>
      </x:c>
      <x:c r="B1491" s="15" t="n">
        <x:v>46415</x:v>
      </x:c>
      <x:c r="C1491" s="14" t="str">
        <x:v>Perşembe</x:v>
      </x:c>
      <x:c r="D1491" s="14" t="str">
        <x:v>Okul Tatili</x:v>
      </x:c>
      <x:c r="E1491" s="14" t="str">
        <x:v>MEB Yarıyıl Tatili</x:v>
      </x:c>
      <x:c r="F1491" s="14" t="str">
        <x:v>F2 - LGS Kapsam + Ustalık</x:v>
      </x:c>
      <x:c r="G1491" s="14" t="str">
        <x:v>20:00</x:v>
      </x:c>
      <x:c r="H1491" s="14" t="str">
        <x:v>20:30</x:v>
      </x:c>
      <x:c r="I1491" s="14" t="str">
        <x:v>Okuma</x:v>
      </x:c>
      <x:c r="J1491" s="14" t="str">
        <x:v>İsteğe Bağlı</x:v>
      </x:c>
      <x:c r="K1491" s="14" t="str">
        <x:v>Serbest Kitap</x:v>
      </x:c>
      <x:c r="L1491" s="14" t="str">
        <x:v>Zorunlu çalışmalar bittiyse isteğe bağlı kitap oku.</x:v>
      </x:c>
      <x:c r="M1491" s="14" t="str">
        <x:v>Serbest Kitap</x:v>
      </x:c>
      <x:c r="N1491" s="14" t="str"/>
      <x:c r="O1491" s="14" t="n">
        <x:v>0</x:v>
      </x:c>
      <x:c r="P1491" s="14" t="str">
        <x:v>İsteğe Bağlı</x:v>
      </x:c>
      <x:c r="Q1491" s="14" t="str">
        <x:v>Hayır</x:v>
      </x:c>
      <x:c r="R1491" s="14" t="str">
        <x:v>Planlandı</x:v>
      </x:c>
      <x:c r="S1491" s="15" t="str"/>
      <x:c r="T1491" s="14" t="str">
        <x:v>Minimum süre yok.</x:v>
      </x:c>
    </x:row>
    <x:row r="1492">
      <x:c r="A1492" s="14" t="n">
        <x:v>1491</x:v>
      </x:c>
      <x:c r="B1492" s="15" t="n">
        <x:v>46415</x:v>
      </x:c>
      <x:c r="C1492" s="14" t="str">
        <x:v>Perşembe</x:v>
      </x:c>
      <x:c r="D1492" s="14" t="str">
        <x:v>Okul Tatili</x:v>
      </x:c>
      <x:c r="E1492" s="14" t="str">
        <x:v>MEB Yarıyıl Tatili</x:v>
      </x:c>
      <x:c r="F1492" s="14" t="str">
        <x:v>F2 - LGS Kapsam + Ustalık</x:v>
      </x:c>
      <x:c r="G1492" s="14" t="str">
        <x:v>21:50</x:v>
      </x:c>
      <x:c r="H1492" s="14" t="str">
        <x:v>22:00</x:v>
      </x:c>
      <x:c r="I1492" s="14" t="str">
        <x:v>Genel</x:v>
      </x:c>
      <x:c r="J1492" s="14" t="str">
        <x:v>Uyku Hazırlığı</x:v>
      </x:c>
      <x:c r="K1492" s="14" t="str"/>
      <x:c r="L1492" s="14" t="str">
        <x:v>22:00'de yatakta ve uyku.</x:v>
      </x:c>
      <x:c r="M1492" s="14" t="str"/>
      <x:c r="N1492" s="14" t="str"/>
      <x:c r="O1492" s="14" t="n">
        <x:v>0</x:v>
      </x:c>
      <x:c r="P1492" s="14" t="str">
        <x:v>Hayır</x:v>
      </x:c>
      <x:c r="Q1492" s="14" t="str">
        <x:v>Hayır</x:v>
      </x:c>
      <x:c r="R1492" s="14" t="str">
        <x:v>Planlandı</x:v>
      </x:c>
      <x:c r="S1492" s="15" t="str"/>
      <x:c r="T1492" s="14" t="str"/>
    </x:row>
    <x:row r="1493">
      <x:c r="A1493" s="14" t="n">
        <x:v>1492</x:v>
      </x:c>
      <x:c r="B1493" s="15" t="n">
        <x:v>46416</x:v>
      </x:c>
      <x:c r="C1493" s="14" t="str">
        <x:v>Cuma</x:v>
      </x:c>
      <x:c r="D1493" s="14" t="str">
        <x:v>Okul Tatili</x:v>
      </x:c>
      <x:c r="E1493" s="14" t="str">
        <x:v>MEB Yarıyıl Tatili</x:v>
      </x:c>
      <x:c r="F1493" s="14" t="str">
        <x:v>F2 - LGS Kapsam + Ustalık</x:v>
      </x:c>
      <x:c r="G1493" s="14" t="str">
        <x:v>09:30</x:v>
      </x:c>
      <x:c r="H1493" s="14" t="str">
        <x:v>10:15</x:v>
      </x:c>
      <x:c r="I1493" s="14" t="str">
        <x:v>Matematik</x:v>
      </x:c>
      <x:c r="J1493" s="14" t="str">
        <x:v>Konu / Tekrar</x:v>
      </x:c>
      <x:c r="K1493" s="14" t="str">
        <x:v>Geometrik Cisimler</x:v>
      </x:c>
      <x:c r="L1493" s="14" t="str">
        <x:v>Geometrik Cisimler — MEB doğrulaması öncesi 5-10 dk aktif hatırlama; gerekiyorsa ilgili playlist videosuna kısa dönüş yap.</x:v>
      </x:c>
      <x:c r="M1493" s="14" t="str">
        <x:v>Matematik Yedek Oynatma Listesi</x:v>
      </x:c>
      <x:c r="N1493" s="14" t="str">
        <x:v>https://www.youtube.com/watch?v=Z7exqEHEqQA&amp;list=PLHN_SjKO7rCI&amp;index=3</x:v>
      </x:c>
      <x:c r="O1493" s="14" t="n">
        <x:v>0</x:v>
      </x:c>
      <x:c r="P1493" s="14" t="str">
        <x:v>Hayır</x:v>
      </x:c>
      <x:c r="Q1493" s="14" t="str">
        <x:v>Evet</x:v>
      </x:c>
      <x:c r="R1493" s="14" t="str">
        <x:v>Planlandı</x:v>
      </x:c>
      <x:c r="S1493" s="15" t="str"/>
      <x:c r="T1493" s="14" t="str">
        <x:v>Yeni konu ancak plan sırasıyla açılır; LGS dışı ileri TYT içeriği zorunlu değildir.</x:v>
      </x:c>
    </x:row>
    <x:row r="1494">
      <x:c r="A1494" s="14" t="n">
        <x:v>1493</x:v>
      </x:c>
      <x:c r="B1494" s="15" t="n">
        <x:v>46416</x:v>
      </x:c>
      <x:c r="C1494" s="14" t="str">
        <x:v>Cuma</x:v>
      </x:c>
      <x:c r="D1494" s="14" t="str">
        <x:v>Okul Tatili</x:v>
      </x:c>
      <x:c r="E1494" s="14" t="str">
        <x:v>MEB Yarıyıl Tatili</x:v>
      </x:c>
      <x:c r="F1494" s="14" t="str">
        <x:v>F2 - LGS Kapsam + Ustalık</x:v>
      </x:c>
      <x:c r="G1494" s="14" t="str">
        <x:v>10:25</x:v>
      </x:c>
      <x:c r="H1494" s="14" t="str">
        <x:v>11:15</x:v>
      </x:c>
      <x:c r="I1494" s="14" t="str">
        <x:v>Matematik</x:v>
      </x:c>
      <x:c r="J1494" s="14" t="str">
        <x:v>Kitap / MEB / Mastery</x:v>
      </x:c>
      <x:c r="K1494" s="14" t="str">
        <x:v>Geometrik Cisimler</x:v>
      </x:c>
      <x:c r="L1494" s="14" t="str">
        <x:v>Geometrik Cisimler için ilgili MEB sorularını TAMAMLA; D/Y/B kaydet. Bu oturum konu mastery gate'idir.</x:v>
      </x:c>
      <x:c r="M1494" s="14" t="str">
        <x:v>MEB Resmî Soru Seti</x:v>
      </x:c>
      <x:c r="N1494" s="14" t="str">
        <x:v>https://odsgm.meb.gov.tr/www/8sinif-calisma-sorulari/icerik/1632</x:v>
      </x:c>
      <x:c r="O1494" s="14" t="n">
        <x:v>0</x:v>
      </x:c>
      <x:c r="P1494" s="14" t="str">
        <x:v>Hayır</x:v>
      </x:c>
      <x:c r="Q1494" s="14" t="str">
        <x:v>Evet</x:v>
      </x:c>
      <x:c r="R1494" s="14" t="str">
        <x:v>Planlandı</x:v>
      </x:c>
      <x:c r="S1494" s="15" t="str"/>
      <x:c r="T1494" s="14" t="str">
        <x:v>MEB sonucu Konu_Ustaligi sayfasına işlenir.</x:v>
      </x:c>
    </x:row>
    <x:row r="1495">
      <x:c r="A1495" s="14" t="n">
        <x:v>1494</x:v>
      </x:c>
      <x:c r="B1495" s="15" t="n">
        <x:v>46416</x:v>
      </x:c>
      <x:c r="C1495" s="14" t="str">
        <x:v>Cuma</x:v>
      </x:c>
      <x:c r="D1495" s="14" t="str">
        <x:v>Okul Tatili</x:v>
      </x:c>
      <x:c r="E1495" s="14" t="str">
        <x:v>MEB Yarıyıl Tatili</x:v>
      </x:c>
      <x:c r="F1495" s="14" t="str">
        <x:v>F2 - LGS Kapsam + Ustalık</x:v>
      </x:c>
      <x:c r="G1495" s="14" t="str">
        <x:v>12:00</x:v>
      </x:c>
      <x:c r="H1495" s="14" t="str">
        <x:v>14:00</x:v>
      </x:c>
      <x:c r="I1495" s="14" t="str">
        <x:v>Genel</x:v>
      </x:c>
      <x:c r="J1495" s="14" t="str">
        <x:v>Yemek / Serbest Zaman</x:v>
      </x:c>
      <x:c r="K1495" s="14" t="str"/>
      <x:c r="L1495" s="14" t="str">
        <x:v>Yemek, hareket ve dinlenme.</x:v>
      </x:c>
      <x:c r="M1495" s="14" t="str"/>
      <x:c r="N1495" s="14" t="str"/>
      <x:c r="O1495" s="14" t="n">
        <x:v>0</x:v>
      </x:c>
      <x:c r="P1495" s="14" t="str">
        <x:v>Hayır</x:v>
      </x:c>
      <x:c r="Q1495" s="14" t="str">
        <x:v>Hayır</x:v>
      </x:c>
      <x:c r="R1495" s="14" t="str">
        <x:v>Planlandı</x:v>
      </x:c>
      <x:c r="S1495" s="15" t="str"/>
      <x:c r="T1495" s="14" t="str"/>
    </x:row>
    <x:row r="1496">
      <x:c r="A1496" s="14" t="n">
        <x:v>1495</x:v>
      </x:c>
      <x:c r="B1496" s="15" t="n">
        <x:v>46416</x:v>
      </x:c>
      <x:c r="C1496" s="14" t="str">
        <x:v>Cuma</x:v>
      </x:c>
      <x:c r="D1496" s="14" t="str">
        <x:v>Okul Tatili</x:v>
      </x:c>
      <x:c r="E1496" s="14" t="str">
        <x:v>MEB Yarıyıl Tatili</x:v>
      </x:c>
      <x:c r="F1496" s="14" t="str">
        <x:v>F2 - LGS Kapsam + Ustalık</x:v>
      </x:c>
      <x:c r="G1496" s="14" t="str">
        <x:v>11:25</x:v>
      </x:c>
      <x:c r="H1496" s="14" t="str">
        <x:v>11:55</x:v>
      </x:c>
      <x:c r="I1496" s="14" t="str">
        <x:v>Türkçe</x:v>
      </x:c>
      <x:c r="J1496" s="14" t="str">
        <x:v>Paragraf Rutini</x:v>
      </x:c>
      <x:c r="K1496" s="14" t="str">
        <x:v>Paragraf</x:v>
      </x:c>
      <x:c r="L1496" s="14" t="str">
        <x:v>En az 25 paragraf sorusu çöz; ilk 20 soruyu ileri sayımla ölç, D/Y/B + süre kaydet.</x:v>
      </x:c>
      <x:c r="M1496" s="14" t="str">
        <x:v>Hız 8. Sınıf Türkçe Paragraf (ISBN 9786258394498)</x:v>
      </x:c>
      <x:c r="N1496" s="14" t="str"/>
      <x:c r="O1496" s="14" t="n">
        <x:v>25</x:v>
      </x:c>
      <x:c r="P1496" s="14" t="str">
        <x:v>İlk 20 soru</x:v>
      </x:c>
      <x:c r="Q1496" s="14" t="str">
        <x:v>Evet</x:v>
      </x:c>
      <x:c r="R1496" s="14" t="str">
        <x:v>Planlandı</x:v>
      </x:c>
      <x:c r="S1496" s="15" t="str"/>
      <x:c r="T1496" s="14" t="str">
        <x:v>Geri sayım ve hedef süre yok.</x:v>
      </x:c>
    </x:row>
    <x:row r="1497">
      <x:c r="A1497" s="14" t="n">
        <x:v>1496</x:v>
      </x:c>
      <x:c r="B1497" s="15" t="n">
        <x:v>46416</x:v>
      </x:c>
      <x:c r="C1497" s="14" t="str">
        <x:v>Cuma</x:v>
      </x:c>
      <x:c r="D1497" s="14" t="str">
        <x:v>Okul Tatili</x:v>
      </x:c>
      <x:c r="E1497" s="14" t="str">
        <x:v>MEB Yarıyıl Tatili</x:v>
      </x:c>
      <x:c r="F1497" s="14" t="str">
        <x:v>F2 - LGS Kapsam + Ustalık</x:v>
      </x:c>
      <x:c r="G1497" s="14" t="str">
        <x:v>14:00</x:v>
      </x:c>
      <x:c r="H1497" s="14" t="str">
        <x:v>14:40</x:v>
      </x:c>
      <x:c r="I1497" s="14" t="str">
        <x:v>Türkçe</x:v>
      </x:c>
      <x:c r="J1497" s="14" t="str">
        <x:v>Konu / Tekrar</x:v>
      </x:c>
      <x:c r="K1497" s="14" t="str">
        <x:v>Kaynak Tamamlama / Zayıf Konu</x:v>
      </x:c>
      <x:c r="L1497" s="14" t="str">
        <x:v>Yeni konu açma. En zayıf/açık konunun ilgili playlist videosunu yalnız gerekiyorsa tekrar izle.</x:v>
      </x:c>
      <x:c r="M1497" s="14" t="str">
        <x:v>Türkçe Ana Oynatma Listesi</x:v>
      </x:c>
      <x:c r="N1497" s="14" t="str">
        <x:v>https://www.youtube.com/watch?v=VYsPntNKVdw&amp;list=PLIBjFaUoJJ91bz7QQEBlxNJNZka5YQRr6</x:v>
      </x:c>
      <x:c r="O1497" s="14" t="n">
        <x:v>0</x:v>
      </x:c>
      <x:c r="P1497" s="14" t="str">
        <x:v>Hayır</x:v>
      </x:c>
      <x:c r="Q1497" s="14" t="str">
        <x:v>Evet</x:v>
      </x:c>
      <x:c r="R1497" s="14" t="str">
        <x:v>Planlandı</x:v>
      </x:c>
      <x:c r="S1497" s="15" t="str"/>
      <x:c r="T1497" s="14" t="str">
        <x:v>TYT etiketli kaynak temelden başlamak için sabittir; LGS dışı gereksiz ayrıntı zorunlu değildir.</x:v>
      </x:c>
    </x:row>
    <x:row r="1498">
      <x:c r="A1498" s="14" t="n">
        <x:v>1497</x:v>
      </x:c>
      <x:c r="B1498" s="15" t="n">
        <x:v>46416</x:v>
      </x:c>
      <x:c r="C1498" s="14" t="str">
        <x:v>Cuma</x:v>
      </x:c>
      <x:c r="D1498" s="14" t="str">
        <x:v>Okul Tatili</x:v>
      </x:c>
      <x:c r="E1498" s="14" t="str">
        <x:v>MEB Yarıyıl Tatili</x:v>
      </x:c>
      <x:c r="F1498" s="14" t="str">
        <x:v>F2 - LGS Kapsam + Ustalık</x:v>
      </x:c>
      <x:c r="G1498" s="14" t="str">
        <x:v>14:50</x:v>
      </x:c>
      <x:c r="H1498" s="14" t="str">
        <x:v>15:30</x:v>
      </x:c>
      <x:c r="I1498" s="14" t="str">
        <x:v>Türkçe</x:v>
      </x:c>
      <x:c r="J1498" s="14" t="str">
        <x:v>Kitap / MEB / Mastery</x:v>
      </x:c>
      <x:c r="K1498" s="14" t="str">
        <x:v>Kaynak Tamamlama / Zayıf Konu</x:v>
      </x:c>
      <x:c r="L1498" s="14" t="str">
        <x:v>13 Nisan %100 tamamlama hedefine göre en geride kalan Türkçe soru kaynağını/eksik MEB setini ilerlet; açık yanlışları kapat.</x:v>
      </x:c>
      <x:c r="M1498" s="14" t="str">
        <x:v>Ankara 8. Sınıf Dil Bilgisi Güçlendiren + açık MEB/yanlışlar</x:v>
      </x:c>
      <x:c r="N1498" s="14" t="str">
        <x:v>https://odsgm.meb.gov.tr/www/8sinif-calisma-sorulari/icerik/1632</x:v>
      </x:c>
      <x:c r="O1498" s="14" t="n">
        <x:v>15</x:v>
      </x:c>
      <x:c r="P1498" s="14" t="str">
        <x:v>Hayır</x:v>
      </x:c>
      <x:c r="Q1498" s="14" t="str">
        <x:v>Evet</x:v>
      </x:c>
      <x:c r="R1498" s="14" t="str">
        <x:v>Planlandı</x:v>
      </x:c>
      <x:c r="S1498" s="15" t="str"/>
      <x:c r="T1498" s="14" t="str"/>
    </x:row>
    <x:row r="1499">
      <x:c r="A1499" s="14" t="n">
        <x:v>1498</x:v>
      </x:c>
      <x:c r="B1499" s="15" t="n">
        <x:v>46416</x:v>
      </x:c>
      <x:c r="C1499" s="14" t="str">
        <x:v>Cuma</x:v>
      </x:c>
      <x:c r="D1499" s="14" t="str">
        <x:v>Okul Tatili</x:v>
      </x:c>
      <x:c r="E1499" s="14" t="str">
        <x:v>MEB Yarıyıl Tatili</x:v>
      </x:c>
      <x:c r="F1499" s="14" t="str">
        <x:v>F2 - LGS Kapsam + Ustalık</x:v>
      </x:c>
      <x:c r="G1499" s="14" t="str">
        <x:v>15:45</x:v>
      </x:c>
      <x:c r="H1499" s="14" t="str">
        <x:v>16:25</x:v>
      </x:c>
      <x:c r="I1499" s="14" t="str">
        <x:v>Fen</x:v>
      </x:c>
      <x:c r="J1499" s="14" t="str">
        <x:v>Konu / Tekrar</x:v>
      </x:c>
      <x:c r="K1499" s="14" t="str">
        <x:v>Basit Makineler - Eğik Düzlem / Çıkrık</x:v>
      </x:c>
      <x:c r="L1499" s="14" t="str">
        <x:v>Basit Makineler - Eğik Düzlem / Çıkrık — MEB doğrulaması öncesi 5-10 dk aktif hatırlama; gerekiyorsa ilgili playlist videosuna kısa dönüş yap.</x:v>
      </x:c>
      <x:c r="M1499" s="14" t="str">
        <x:v>Fen Soru Çözüm / Tekrar</x:v>
      </x:c>
      <x:c r="N1499" s="14" t="str">
        <x:v>https://www.youtube.com/watch?v=pQXhWnDZ3vM&amp;list=PLrQm7mt99FRXcBnorCttd31HJEvg0En26&amp;index=23</x:v>
      </x:c>
      <x:c r="O1499" s="14" t="n">
        <x:v>0</x:v>
      </x:c>
      <x:c r="P1499" s="14" t="str">
        <x:v>Hayır</x:v>
      </x:c>
      <x:c r="Q1499" s="14" t="str">
        <x:v>Evet</x:v>
      </x:c>
      <x:c r="R1499" s="14" t="str">
        <x:v>Planlandı</x:v>
      </x:c>
      <x:c r="S1499" s="15" t="str"/>
      <x:c r="T1499" s="14" t="str"/>
    </x:row>
    <x:row r="1500">
      <x:c r="A1500" s="14" t="n">
        <x:v>1499</x:v>
      </x:c>
      <x:c r="B1500" s="15" t="n">
        <x:v>46416</x:v>
      </x:c>
      <x:c r="C1500" s="14" t="str">
        <x:v>Cuma</x:v>
      </x:c>
      <x:c r="D1500" s="14" t="str">
        <x:v>Okul Tatili</x:v>
      </x:c>
      <x:c r="E1500" s="14" t="str">
        <x:v>MEB Yarıyıl Tatili</x:v>
      </x:c>
      <x:c r="F1500" s="14" t="str">
        <x:v>F2 - LGS Kapsam + Ustalık</x:v>
      </x:c>
      <x:c r="G1500" s="14" t="str">
        <x:v>16:35</x:v>
      </x:c>
      <x:c r="H1500" s="14" t="str">
        <x:v>17:15</x:v>
      </x:c>
      <x:c r="I1500" s="14" t="str">
        <x:v>Fen</x:v>
      </x:c>
      <x:c r="J1500" s="14" t="str">
        <x:v>Kitap / MEB / Mastery</x:v>
      </x:c>
      <x:c r="K1500" s="14" t="str">
        <x:v>Basit Makineler - Eğik Düzlem / Çıkrık</x:v>
      </x:c>
      <x:c r="L1500" s="14" t="str">
        <x:v>Basit Makineler - Eğik Düzlem / Çıkrık için ilgili MEB sorularını TAMAMLA; D/Y/B kaydet. Bu oturum konu mastery gate'idir.</x:v>
      </x:c>
      <x:c r="M1500" s="14" t="str">
        <x:v>MEB 8. Sınıf Fen Soruları</x:v>
      </x:c>
      <x:c r="N1500" s="14" t="str">
        <x:v>https://odsgm.meb.gov.tr/www/8sinif-calisma-sorulari/icerik/1632</x:v>
      </x:c>
      <x:c r="O1500" s="14" t="n">
        <x:v>0</x:v>
      </x:c>
      <x:c r="P1500" s="14" t="str">
        <x:v>Hayır</x:v>
      </x:c>
      <x:c r="Q1500" s="14" t="str">
        <x:v>Evet</x:v>
      </x:c>
      <x:c r="R1500" s="14" t="str">
        <x:v>Planlandı</x:v>
      </x:c>
      <x:c r="S1500" s="15" t="str"/>
      <x:c r="T1500" s="14" t="str">
        <x:v>MEB sonucu Konu_Ustaligi sayfasına işlenir.</x:v>
      </x:c>
    </x:row>
    <x:row r="1501">
      <x:c r="A1501" s="14" t="n">
        <x:v>1500</x:v>
      </x:c>
      <x:c r="B1501" s="15" t="n">
        <x:v>46416</x:v>
      </x:c>
      <x:c r="C1501" s="14" t="str">
        <x:v>Cuma</x:v>
      </x:c>
      <x:c r="D1501" s="14" t="str">
        <x:v>Okul Tatili</x:v>
      </x:c>
      <x:c r="E1501" s="14" t="str">
        <x:v>MEB Yarıyıl Tatili</x:v>
      </x:c>
      <x:c r="F1501" s="14" t="str">
        <x:v>F2 - LGS Kapsam + Ustalık</x:v>
      </x:c>
      <x:c r="G1501" s="14" t="str">
        <x:v>18:25</x:v>
      </x:c>
      <x:c r="H1501" s="14" t="str">
        <x:v>18:45</x:v>
      </x:c>
      <x:c r="I1501" s="14" t="str">
        <x:v>Genel</x:v>
      </x:c>
      <x:c r="J1501" s="14" t="str">
        <x:v>Yanlış / Boş Analizi</x:v>
      </x:c>
      <x:c r="K1501" s="14" t="str">
        <x:v>Günlük</x:v>
      </x:c>
      <x:c r="L1501" s="14" t="str">
        <x:v>Bugünkü yanlış/boşları kaydet; çözümünü öğrenmeden kapatma. Hata türünü sınıflandır.</x:v>
      </x:c>
      <x:c r="M1501" s="14" t="str">
        <x:v>Yanlış Defteri</x:v>
      </x:c>
      <x:c r="N1501" s="14" t="str"/>
      <x:c r="O1501" s="14" t="n">
        <x:v>0</x:v>
      </x:c>
      <x:c r="P1501" s="14" t="str">
        <x:v>Hayır</x:v>
      </x:c>
      <x:c r="Q1501" s="14" t="str">
        <x:v>Evet</x:v>
      </x:c>
      <x:c r="R1501" s="14" t="str">
        <x:v>Planlandı</x:v>
      </x:c>
      <x:c r="S1501" s="15" t="str"/>
      <x:c r="T1501" s="14" t="str"/>
    </x:row>
    <x:row r="1502">
      <x:c r="A1502" s="14" t="n">
        <x:v>1501</x:v>
      </x:c>
      <x:c r="B1502" s="15" t="n">
        <x:v>46416</x:v>
      </x:c>
      <x:c r="C1502" s="14" t="str">
        <x:v>Cuma</x:v>
      </x:c>
      <x:c r="D1502" s="14" t="str">
        <x:v>Okul Tatili</x:v>
      </x:c>
      <x:c r="E1502" s="14" t="str">
        <x:v>MEB Yarıyıl Tatili</x:v>
      </x:c>
      <x:c r="F1502" s="14" t="str">
        <x:v>F2 - LGS Kapsam + Ustalık</x:v>
      </x:c>
      <x:c r="G1502" s="14" t="str">
        <x:v>18:45</x:v>
      </x:c>
      <x:c r="H1502" s="14" t="str">
        <x:v>19:05</x:v>
      </x:c>
      <x:c r="I1502" s="14" t="str">
        <x:v>Genel</x:v>
      </x:c>
      <x:c r="J1502" s="14" t="str">
        <x:v>Aralıklı Hata Tekrarı</x:v>
      </x:c>
      <x:c r="K1502" s="14" t="str">
        <x:v>+1 / +7 / +21</x:v>
      </x:c>
      <x:c r="L1502" s="14" t="str">
        <x:v>Bugün vadesi gelen yanlış soruları tekrar çöz. Vadesi yoksa bu süre serbest/okuma olabilir.</x:v>
      </x:c>
      <x:c r="M1502" s="14" t="str">
        <x:v>Yanlış Defteri</x:v>
      </x:c>
      <x:c r="N1502" s="14" t="str"/>
      <x:c r="O1502" s="14" t="n">
        <x:v>0</x:v>
      </x:c>
      <x:c r="P1502" s="14" t="str">
        <x:v>Hayır</x:v>
      </x:c>
      <x:c r="Q1502" s="14" t="str">
        <x:v>Koşullu</x:v>
      </x:c>
      <x:c r="R1502" s="14" t="str">
        <x:v>Planlandı</x:v>
      </x:c>
      <x:c r="S1502" s="15" t="str"/>
      <x:c r="T1502" s="14" t="str">
        <x:v>Yanlışlar +1, +7 ve +21 gün aralıklarıyla tekrar edilir; hâlâ yanlışsa konu mastery durumu düşürülür.</x:v>
      </x:c>
    </x:row>
    <x:row r="1503">
      <x:c r="A1503" s="14" t="n">
        <x:v>1502</x:v>
      </x:c>
      <x:c r="B1503" s="15" t="n">
        <x:v>46416</x:v>
      </x:c>
      <x:c r="C1503" s="14" t="str">
        <x:v>Cuma</x:v>
      </x:c>
      <x:c r="D1503" s="14" t="str">
        <x:v>Okul Tatili</x:v>
      </x:c>
      <x:c r="E1503" s="14" t="str">
        <x:v>MEB Yarıyıl Tatili</x:v>
      </x:c>
      <x:c r="F1503" s="14" t="str">
        <x:v>F2 - LGS Kapsam + Ustalık</x:v>
      </x:c>
      <x:c r="G1503" s="14" t="str">
        <x:v>20:00</x:v>
      </x:c>
      <x:c r="H1503" s="14" t="str">
        <x:v>20:30</x:v>
      </x:c>
      <x:c r="I1503" s="14" t="str">
        <x:v>Okuma</x:v>
      </x:c>
      <x:c r="J1503" s="14" t="str">
        <x:v>İsteğe Bağlı</x:v>
      </x:c>
      <x:c r="K1503" s="14" t="str">
        <x:v>Serbest Kitap</x:v>
      </x:c>
      <x:c r="L1503" s="14" t="str">
        <x:v>Zorunlu çalışmalar bittiyse isteğe bağlı kitap oku.</x:v>
      </x:c>
      <x:c r="M1503" s="14" t="str">
        <x:v>Serbest Kitap</x:v>
      </x:c>
      <x:c r="N1503" s="14" t="str"/>
      <x:c r="O1503" s="14" t="n">
        <x:v>0</x:v>
      </x:c>
      <x:c r="P1503" s="14" t="str">
        <x:v>İsteğe Bağlı</x:v>
      </x:c>
      <x:c r="Q1503" s="14" t="str">
        <x:v>Hayır</x:v>
      </x:c>
      <x:c r="R1503" s="14" t="str">
        <x:v>Planlandı</x:v>
      </x:c>
      <x:c r="S1503" s="15" t="str"/>
      <x:c r="T1503" s="14" t="str">
        <x:v>Minimum süre yok.</x:v>
      </x:c>
    </x:row>
    <x:row r="1504">
      <x:c r="A1504" s="14" t="n">
        <x:v>1503</x:v>
      </x:c>
      <x:c r="B1504" s="15" t="n">
        <x:v>46416</x:v>
      </x:c>
      <x:c r="C1504" s="14" t="str">
        <x:v>Cuma</x:v>
      </x:c>
      <x:c r="D1504" s="14" t="str">
        <x:v>Okul Tatili</x:v>
      </x:c>
      <x:c r="E1504" s="14" t="str">
        <x:v>MEB Yarıyıl Tatili</x:v>
      </x:c>
      <x:c r="F1504" s="14" t="str">
        <x:v>F2 - LGS Kapsam + Ustalık</x:v>
      </x:c>
      <x:c r="G1504" s="14" t="str">
        <x:v>21:50</x:v>
      </x:c>
      <x:c r="H1504" s="14" t="str">
        <x:v>22:00</x:v>
      </x:c>
      <x:c r="I1504" s="14" t="str">
        <x:v>Genel</x:v>
      </x:c>
      <x:c r="J1504" s="14" t="str">
        <x:v>Uyku Hazırlığı</x:v>
      </x:c>
      <x:c r="K1504" s="14" t="str"/>
      <x:c r="L1504" s="14" t="str">
        <x:v>22:00'de yatakta ve uyku.</x:v>
      </x:c>
      <x:c r="M1504" s="14" t="str"/>
      <x:c r="N1504" s="14" t="str"/>
      <x:c r="O1504" s="14" t="n">
        <x:v>0</x:v>
      </x:c>
      <x:c r="P1504" s="14" t="str">
        <x:v>Hayır</x:v>
      </x:c>
      <x:c r="Q1504" s="14" t="str">
        <x:v>Hayır</x:v>
      </x:c>
      <x:c r="R1504" s="14" t="str">
        <x:v>Planlandı</x:v>
      </x:c>
      <x:c r="S1504" s="15" t="str"/>
      <x:c r="T1504" s="14" t="str"/>
    </x:row>
    <x:row r="1505">
      <x:c r="A1505" s="14" t="n">
        <x:v>1504</x:v>
      </x:c>
      <x:c r="B1505" s="15" t="n">
        <x:v>46417</x:v>
      </x:c>
      <x:c r="C1505" s="14" t="str">
        <x:v>Cumartesi</x:v>
      </x:c>
      <x:c r="D1505" s="14" t="str">
        <x:v>Hafta Sonu</x:v>
      </x:c>
      <x:c r="E1505" s="14" t="str">
        <x:v>Tam gün</x:v>
      </x:c>
      <x:c r="F1505" s="14" t="str">
        <x:v>F2 - LGS Kapsam + Ustalık</x:v>
      </x:c>
      <x:c r="G1505" s="14" t="str">
        <x:v>09:30</x:v>
      </x:c>
      <x:c r="H1505" s="14" t="str">
        <x:v>10:15</x:v>
      </x:c>
      <x:c r="I1505" s="14" t="str">
        <x:v>Matematik</x:v>
      </x:c>
      <x:c r="J1505" s="14" t="str">
        <x:v>Konu / Tekrar</x:v>
      </x:c>
      <x:c r="K1505" s="14" t="str">
        <x:v>Kaynak Tamamlama / Zayıf Konu</x:v>
      </x:c>
      <x:c r="L1505" s="14" t="str">
        <x:v>Yeni konu açma. En zayıf/açık konunun ilgili playlist videosunu yalnız gerekiyorsa tekrar izle.</x:v>
      </x:c>
      <x:c r="M1505" s="14" t="str">
        <x:v>Matematik Ana Oynatma Listesi</x:v>
      </x:c>
      <x:c r="N1505" s="14" t="str">
        <x:v>https://www.youtube.com/watch?v=EuJ89QzqrAg&amp;list=PLicNtF7vp6fnfDqrRLH6H7fIbzYT4ct4F&amp;index=11</x:v>
      </x:c>
      <x:c r="O1505" s="14" t="n">
        <x:v>0</x:v>
      </x:c>
      <x:c r="P1505" s="14" t="str">
        <x:v>Hayır</x:v>
      </x:c>
      <x:c r="Q1505" s="14" t="str">
        <x:v>Evet</x:v>
      </x:c>
      <x:c r="R1505" s="14" t="str">
        <x:v>Planlandı</x:v>
      </x:c>
      <x:c r="S1505" s="15" t="str"/>
      <x:c r="T1505" s="14" t="str">
        <x:v>Yeni konu ancak plan sırasıyla açılır; LGS dışı ileri TYT içeriği zorunlu değildir.</x:v>
      </x:c>
    </x:row>
    <x:row r="1506">
      <x:c r="A1506" s="14" t="n">
        <x:v>1505</x:v>
      </x:c>
      <x:c r="B1506" s="15" t="n">
        <x:v>46417</x:v>
      </x:c>
      <x:c r="C1506" s="14" t="str">
        <x:v>Cumartesi</x:v>
      </x:c>
      <x:c r="D1506" s="14" t="str">
        <x:v>Hafta Sonu</x:v>
      </x:c>
      <x:c r="E1506" s="14" t="str">
        <x:v>Tam gün</x:v>
      </x:c>
      <x:c r="F1506" s="14" t="str">
        <x:v>F2 - LGS Kapsam + Ustalık</x:v>
      </x:c>
      <x:c r="G1506" s="14" t="str">
        <x:v>10:25</x:v>
      </x:c>
      <x:c r="H1506" s="14" t="str">
        <x:v>11:15</x:v>
      </x:c>
      <x:c r="I1506" s="14" t="str">
        <x:v>Matematik</x:v>
      </x:c>
      <x:c r="J1506" s="14" t="str">
        <x:v>Kitap / MEB / Mastery</x:v>
      </x:c>
      <x:c r="K1506" s="14" t="str">
        <x:v>Kaynak Tamamlama / Zayıf Konu</x:v>
      </x:c>
      <x:c r="L1506" s="14" t="str">
        <x:v>13 Nisan %100 tamamlama hedefine göre en geride kalan Matematik soru kaynağını/eksik MEB setini ilerlet; açık yanlışları kapat.</x:v>
      </x:c>
      <x:c r="M1506" s="14" t="str">
        <x:v>MUBA 8. Sınıf Başlangıç Matematik (ISBN 9789756526972) → tamamlandıysa Mozaik 8. Sınıf Matematik; açık MEB/yanlışlar</x:v>
      </x:c>
      <x:c r="N1506" s="14" t="str">
        <x:v>https://odsgm.meb.gov.tr/www/8sinif-calisma-sorulari/icerik/1632</x:v>
      </x:c>
      <x:c r="O1506" s="14" t="n">
        <x:v>25</x:v>
      </x:c>
      <x:c r="P1506" s="14" t="str">
        <x:v>İlk 20 soru</x:v>
      </x:c>
      <x:c r="Q1506" s="14" t="str">
        <x:v>Evet</x:v>
      </x:c>
      <x:c r="R1506" s="14" t="str">
        <x:v>Planlandı</x:v>
      </x:c>
      <x:c r="S1506" s="15" t="str"/>
      <x:c r="T1506" s="14" t="str">
        <x:v>Ayrı/rastgele matematik benchmark yoktur. Süreli ilk 20 soru o gün çalışılan konunun içindedir.</x:v>
      </x:c>
    </x:row>
    <x:row r="1507">
      <x:c r="A1507" s="14" t="n">
        <x:v>1506</x:v>
      </x:c>
      <x:c r="B1507" s="15" t="n">
        <x:v>46417</x:v>
      </x:c>
      <x:c r="C1507" s="14" t="str">
        <x:v>Cumartesi</x:v>
      </x:c>
      <x:c r="D1507" s="14" t="str">
        <x:v>Hafta Sonu</x:v>
      </x:c>
      <x:c r="E1507" s="14" t="str">
        <x:v>Tam gün</x:v>
      </x:c>
      <x:c r="F1507" s="14" t="str">
        <x:v>F2 - LGS Kapsam + Ustalık</x:v>
      </x:c>
      <x:c r="G1507" s="14" t="str">
        <x:v>12:00</x:v>
      </x:c>
      <x:c r="H1507" s="14" t="str">
        <x:v>14:00</x:v>
      </x:c>
      <x:c r="I1507" s="14" t="str">
        <x:v>Genel</x:v>
      </x:c>
      <x:c r="J1507" s="14" t="str">
        <x:v>Yemek / Serbest Zaman</x:v>
      </x:c>
      <x:c r="K1507" s="14" t="str"/>
      <x:c r="L1507" s="14" t="str">
        <x:v>Yemek, hareket ve dinlenme.</x:v>
      </x:c>
      <x:c r="M1507" s="14" t="str"/>
      <x:c r="N1507" s="14" t="str"/>
      <x:c r="O1507" s="14" t="n">
        <x:v>0</x:v>
      </x:c>
      <x:c r="P1507" s="14" t="str">
        <x:v>Hayır</x:v>
      </x:c>
      <x:c r="Q1507" s="14" t="str">
        <x:v>Hayır</x:v>
      </x:c>
      <x:c r="R1507" s="14" t="str">
        <x:v>Planlandı</x:v>
      </x:c>
      <x:c r="S1507" s="15" t="str"/>
      <x:c r="T1507" s="14" t="str"/>
    </x:row>
    <x:row r="1508">
      <x:c r="A1508" s="14" t="n">
        <x:v>1507</x:v>
      </x:c>
      <x:c r="B1508" s="15" t="n">
        <x:v>46417</x:v>
      </x:c>
      <x:c r="C1508" s="14" t="str">
        <x:v>Cumartesi</x:v>
      </x:c>
      <x:c r="D1508" s="14" t="str">
        <x:v>Hafta Sonu</x:v>
      </x:c>
      <x:c r="E1508" s="14" t="str">
        <x:v>Tam gün</x:v>
      </x:c>
      <x:c r="F1508" s="14" t="str">
        <x:v>F2 - LGS Kapsam + Ustalık</x:v>
      </x:c>
      <x:c r="G1508" s="14" t="str">
        <x:v>11:25</x:v>
      </x:c>
      <x:c r="H1508" s="14" t="str">
        <x:v>11:55</x:v>
      </x:c>
      <x:c r="I1508" s="14" t="str">
        <x:v>Türkçe</x:v>
      </x:c>
      <x:c r="J1508" s="14" t="str">
        <x:v>Paragraf Rutini</x:v>
      </x:c>
      <x:c r="K1508" s="14" t="str">
        <x:v>Paragraf</x:v>
      </x:c>
      <x:c r="L1508" s="14" t="str">
        <x:v>En az 25 paragraf sorusu çöz; ilk 20 soruyu ileri sayımla ölç, D/Y/B + süre kaydet.</x:v>
      </x:c>
      <x:c r="M1508" s="14" t="str">
        <x:v>Hız 8. Sınıf Türkçe Paragraf (ISBN 9786258394498)</x:v>
      </x:c>
      <x:c r="N1508" s="14" t="str"/>
      <x:c r="O1508" s="14" t="n">
        <x:v>25</x:v>
      </x:c>
      <x:c r="P1508" s="14" t="str">
        <x:v>İlk 20 soru</x:v>
      </x:c>
      <x:c r="Q1508" s="14" t="str">
        <x:v>Evet</x:v>
      </x:c>
      <x:c r="R1508" s="14" t="str">
        <x:v>Planlandı</x:v>
      </x:c>
      <x:c r="S1508" s="15" t="str"/>
      <x:c r="T1508" s="14" t="str">
        <x:v>Geri sayım ve hedef süre yok.</x:v>
      </x:c>
    </x:row>
    <x:row r="1509">
      <x:c r="A1509" s="14" t="n">
        <x:v>1508</x:v>
      </x:c>
      <x:c r="B1509" s="15" t="n">
        <x:v>46417</x:v>
      </x:c>
      <x:c r="C1509" s="14" t="str">
        <x:v>Cumartesi</x:v>
      </x:c>
      <x:c r="D1509" s="14" t="str">
        <x:v>Hafta Sonu</x:v>
      </x:c>
      <x:c r="E1509" s="14" t="str">
        <x:v>Tam gün</x:v>
      </x:c>
      <x:c r="F1509" s="14" t="str">
        <x:v>F2 - LGS Kapsam + Ustalık</x:v>
      </x:c>
      <x:c r="G1509" s="14" t="str">
        <x:v>14:00</x:v>
      </x:c>
      <x:c r="H1509" s="14" t="str">
        <x:v>14:40</x:v>
      </x:c>
      <x:c r="I1509" s="14" t="str">
        <x:v>Türkçe</x:v>
      </x:c>
      <x:c r="J1509" s="14" t="str">
        <x:v>Konu / Tekrar</x:v>
      </x:c>
      <x:c r="K1509" s="14" t="str">
        <x:v>Kaynak Tamamlama / Zayıf Konu</x:v>
      </x:c>
      <x:c r="L1509" s="14" t="str">
        <x:v>Yeni konu açma. En zayıf/açık konunun ilgili playlist videosunu yalnız gerekiyorsa tekrar izle.</x:v>
      </x:c>
      <x:c r="M1509" s="14" t="str">
        <x:v>Türkçe Ana Oynatma Listesi</x:v>
      </x:c>
      <x:c r="N1509" s="14" t="str">
        <x:v>https://www.youtube.com/watch?v=VYsPntNKVdw&amp;list=PLIBjFaUoJJ91bz7QQEBlxNJNZka5YQRr6</x:v>
      </x:c>
      <x:c r="O1509" s="14" t="n">
        <x:v>0</x:v>
      </x:c>
      <x:c r="P1509" s="14" t="str">
        <x:v>Hayır</x:v>
      </x:c>
      <x:c r="Q1509" s="14" t="str">
        <x:v>Evet</x:v>
      </x:c>
      <x:c r="R1509" s="14" t="str">
        <x:v>Planlandı</x:v>
      </x:c>
      <x:c r="S1509" s="15" t="str"/>
      <x:c r="T1509" s="14" t="str">
        <x:v>TYT etiketli kaynak temelden başlamak için sabittir; LGS dışı gereksiz ayrıntı zorunlu değildir.</x:v>
      </x:c>
    </x:row>
    <x:row r="1510">
      <x:c r="A1510" s="14" t="n">
        <x:v>1509</x:v>
      </x:c>
      <x:c r="B1510" s="15" t="n">
        <x:v>46417</x:v>
      </x:c>
      <x:c r="C1510" s="14" t="str">
        <x:v>Cumartesi</x:v>
      </x:c>
      <x:c r="D1510" s="14" t="str">
        <x:v>Hafta Sonu</x:v>
      </x:c>
      <x:c r="E1510" s="14" t="str">
        <x:v>Tam gün</x:v>
      </x:c>
      <x:c r="F1510" s="14" t="str">
        <x:v>F2 - LGS Kapsam + Ustalık</x:v>
      </x:c>
      <x:c r="G1510" s="14" t="str">
        <x:v>14:50</x:v>
      </x:c>
      <x:c r="H1510" s="14" t="str">
        <x:v>15:30</x:v>
      </x:c>
      <x:c r="I1510" s="14" t="str">
        <x:v>Türkçe</x:v>
      </x:c>
      <x:c r="J1510" s="14" t="str">
        <x:v>Kitap / MEB / Mastery</x:v>
      </x:c>
      <x:c r="K1510" s="14" t="str">
        <x:v>Kaynak Tamamlama / Zayıf Konu</x:v>
      </x:c>
      <x:c r="L1510" s="14" t="str">
        <x:v>13 Nisan %100 tamamlama hedefine göre en geride kalan Türkçe soru kaynağını/eksik MEB setini ilerlet; açık yanlışları kapat.</x:v>
      </x:c>
      <x:c r="M1510" s="14" t="str">
        <x:v>Ankara 8. Sınıf Dil Bilgisi Güçlendiren + açık MEB/yanlışlar</x:v>
      </x:c>
      <x:c r="N1510" s="14" t="str">
        <x:v>https://odsgm.meb.gov.tr/www/8sinif-calisma-sorulari/icerik/1632</x:v>
      </x:c>
      <x:c r="O1510" s="14" t="n">
        <x:v>15</x:v>
      </x:c>
      <x:c r="P1510" s="14" t="str">
        <x:v>Hayır</x:v>
      </x:c>
      <x:c r="Q1510" s="14" t="str">
        <x:v>Evet</x:v>
      </x:c>
      <x:c r="R1510" s="14" t="str">
        <x:v>Planlandı</x:v>
      </x:c>
      <x:c r="S1510" s="15" t="str"/>
      <x:c r="T1510" s="14" t="str"/>
    </x:row>
    <x:row r="1511">
      <x:c r="A1511" s="14" t="n">
        <x:v>1510</x:v>
      </x:c>
      <x:c r="B1511" s="15" t="n">
        <x:v>46417</x:v>
      </x:c>
      <x:c r="C1511" s="14" t="str">
        <x:v>Cumartesi</x:v>
      </x:c>
      <x:c r="D1511" s="14" t="str">
        <x:v>Hafta Sonu</x:v>
      </x:c>
      <x:c r="E1511" s="14" t="str">
        <x:v>Tam gün</x:v>
      </x:c>
      <x:c r="F1511" s="14" t="str">
        <x:v>F2 - LGS Kapsam + Ustalık</x:v>
      </x:c>
      <x:c r="G1511" s="14" t="str">
        <x:v>15:45</x:v>
      </x:c>
      <x:c r="H1511" s="14" t="str">
        <x:v>16:25</x:v>
      </x:c>
      <x:c r="I1511" s="14" t="str">
        <x:v>Din</x:v>
      </x:c>
      <x:c r="J1511" s="14" t="str">
        <x:v>Konu / Tekrar</x:v>
      </x:c>
      <x:c r="K1511" s="14" t="str">
        <x:v>İslam Dininin Temel Kaynakları ve Ana Konular</x:v>
      </x:c>
      <x:c r="L1511" s="14" t="str">
        <x:v>İslam Dininin Temel Kaynakları ve Ana Konular — genel oynatma listesinden ilgili konu/soru çalışmasını yap.</x:v>
      </x:c>
      <x:c r="M1511" s="14" t="str">
        <x:v>Din Genel Oynatma Listesi</x:v>
      </x:c>
      <x:c r="N1511" s="14" t="str">
        <x:v>https://www.youtube.com/watch?v=wvdOE_75VnA&amp;list=PLbRoPq-Zu-SWXGUbVt4t4UWo-4VjsMUo-&amp;index=2</x:v>
      </x:c>
      <x:c r="O1511" s="14" t="n">
        <x:v>0</x:v>
      </x:c>
      <x:c r="P1511" s="14" t="str">
        <x:v>Hayır</x:v>
      </x:c>
      <x:c r="Q1511" s="14" t="str">
        <x:v>Evet</x:v>
      </x:c>
      <x:c r="R1511" s="14" t="str">
        <x:v>Planlandı</x:v>
      </x:c>
      <x:c r="S1511" s="15" t="str"/>
      <x:c r="T1511" s="14" t="str"/>
    </x:row>
    <x:row r="1512">
      <x:c r="A1512" s="14" t="n">
        <x:v>1511</x:v>
      </x:c>
      <x:c r="B1512" s="15" t="n">
        <x:v>46417</x:v>
      </x:c>
      <x:c r="C1512" s="14" t="str">
        <x:v>Cumartesi</x:v>
      </x:c>
      <x:c r="D1512" s="14" t="str">
        <x:v>Hafta Sonu</x:v>
      </x:c>
      <x:c r="E1512" s="14" t="str">
        <x:v>Tam gün</x:v>
      </x:c>
      <x:c r="F1512" s="14" t="str">
        <x:v>F2 - LGS Kapsam + Ustalık</x:v>
      </x:c>
      <x:c r="G1512" s="14" t="str">
        <x:v>16:35</x:v>
      </x:c>
      <x:c r="H1512" s="14" t="str">
        <x:v>17:15</x:v>
      </x:c>
      <x:c r="I1512" s="14" t="str">
        <x:v>Din</x:v>
      </x:c>
      <x:c r="J1512" s="14" t="str">
        <x:v>Kitap / MEB / Mastery</x:v>
      </x:c>
      <x:c r="K1512" s="14" t="str">
        <x:v>İslam Dininin Temel Kaynakları ve Ana Konular</x:v>
      </x:c>
      <x:c r="L1512" s="14" t="str">
        <x:v>İslam Dininin Temel Kaynakları ve Ana Konular ile ilgili soru kitabından en az 18 soru / bugünkü test payını çöz.</x:v>
      </x:c>
      <x:c r="M1512" s="14" t="str">
        <x:v>Hız 8. Sınıf Din Kültürü ve Ahlak Bilgisi</x:v>
      </x:c>
      <x:c r="N1512" s="14" t="str">
        <x:v>https://www.youtube.com/watch?v=wvdOE_75VnA&amp;list=PLbRoPq-Zu-SWXGUbVt4t4UWo-4VjsMUo-&amp;index=2</x:v>
      </x:c>
      <x:c r="O1512" s="14" t="n">
        <x:v>18</x:v>
      </x:c>
      <x:c r="P1512" s="14" t="str">
        <x:v>Hayır</x:v>
      </x:c>
      <x:c r="Q1512" s="14" t="str">
        <x:v>Evet</x:v>
      </x:c>
      <x:c r="R1512" s="14" t="str">
        <x:v>Planlandı</x:v>
      </x:c>
      <x:c r="S1512" s="15" t="str"/>
      <x:c r="T1512" s="14" t="str"/>
    </x:row>
    <x:row r="1513">
      <x:c r="A1513" s="14" t="n">
        <x:v>1512</x:v>
      </x:c>
      <x:c r="B1513" s="15" t="n">
        <x:v>46417</x:v>
      </x:c>
      <x:c r="C1513" s="14" t="str">
        <x:v>Cumartesi</x:v>
      </x:c>
      <x:c r="D1513" s="14" t="str">
        <x:v>Hafta Sonu</x:v>
      </x:c>
      <x:c r="E1513" s="14" t="str">
        <x:v>Tam gün</x:v>
      </x:c>
      <x:c r="F1513" s="14" t="str">
        <x:v>F2 - LGS Kapsam + Ustalık</x:v>
      </x:c>
      <x:c r="G1513" s="14" t="str">
        <x:v>17:25</x:v>
      </x:c>
      <x:c r="H1513" s="14" t="str">
        <x:v>17:55</x:v>
      </x:c>
      <x:c r="I1513" s="14" t="str">
        <x:v>Fen</x:v>
      </x:c>
      <x:c r="J1513" s="14" t="str">
        <x:v>Ek Fen Pekiştirme</x:v>
      </x:c>
      <x:c r="K1513" s="14" t="str">
        <x:v>Besin Zinciri ve Enerji Akışı</x:v>
      </x:c>
      <x:c r="L1513" s="14" t="str">
        <x:v>Besin Zinciri ve Enerji Akışı — Fen konu anlatım playlistinden ilgili videoyu izle.</x:v>
      </x:c>
      <x:c r="M1513" s="14" t="str">
        <x:v>Fen Konu/Soru Oynatma Listesi</x:v>
      </x:c>
      <x:c r="N1513" s="14" t="str">
        <x:v>https://www.youtube.com/watch?v=AHdk01aR4Ko&amp;list=PLrQm7mt99FRV_Oe9xFavWzFpCIl7_XiWj</x:v>
      </x:c>
      <x:c r="O1513" s="14" t="n">
        <x:v>0</x:v>
      </x:c>
      <x:c r="P1513" s="14" t="str">
        <x:v>Hayır</x:v>
      </x:c>
      <x:c r="Q1513" s="14" t="str">
        <x:v>Evet</x:v>
      </x:c>
      <x:c r="R1513" s="14" t="str">
        <x:v>Planlandı</x:v>
      </x:c>
      <x:c r="S1513" s="15" t="str"/>
      <x:c r="T1513" s="14" t="str">
        <x:v>Fen haftalık temas sıklığını artırmak için ek Cumartesi oturumu.</x:v>
      </x:c>
    </x:row>
    <x:row r="1514">
      <x:c r="A1514" s="14" t="n">
        <x:v>1513</x:v>
      </x:c>
      <x:c r="B1514" s="15" t="n">
        <x:v>46417</x:v>
      </x:c>
      <x:c r="C1514" s="14" t="str">
        <x:v>Cumartesi</x:v>
      </x:c>
      <x:c r="D1514" s="14" t="str">
        <x:v>Hafta Sonu</x:v>
      </x:c>
      <x:c r="E1514" s="14" t="str">
        <x:v>Tam gün</x:v>
      </x:c>
      <x:c r="F1514" s="14" t="str">
        <x:v>F2 - LGS Kapsam + Ustalık</x:v>
      </x:c>
      <x:c r="G1514" s="14" t="str">
        <x:v>17:55</x:v>
      </x:c>
      <x:c r="H1514" s="14" t="str">
        <x:v>18:25</x:v>
      </x:c>
      <x:c r="I1514" s="14" t="str">
        <x:v>Fen</x:v>
      </x:c>
      <x:c r="J1514" s="14" t="str">
        <x:v>Ek Fen Kitap / MEB</x:v>
      </x:c>
      <x:c r="K1514" s="14" t="str">
        <x:v>Besin Zinciri ve Enerji Akışı</x:v>
      </x:c>
      <x:c r="L1514" s="14" t="str">
        <x:v>Besin Zinciri ve Enerji Akışı ile ilgili soru kitabından en az 18 soru / bugünkü test payını çöz.</x:v>
      </x:c>
      <x:c r="M1514" s="14" t="str">
        <x:v>Hız 8. Sınıf Fen (ISBN 9786257514859); tamamlandıysa Mozaik 8. Sınıf Fen</x:v>
      </x:c>
      <x:c r="N1514" s="14" t="str">
        <x:v>https://www.youtube.com/watch?v=AHdk01aR4Ko&amp;list=PLrQm7mt99FRV_Oe9xFavWzFpCIl7_XiWj</x:v>
      </x:c>
      <x:c r="O1514" s="14" t="n">
        <x:v>18</x:v>
      </x:c>
      <x:c r="P1514" s="14" t="str">
        <x:v>Hayır</x:v>
      </x:c>
      <x:c r="Q1514" s="14" t="str">
        <x:v>Evet</x:v>
      </x:c>
      <x:c r="R1514" s="14" t="str">
        <x:v>Planlandı</x:v>
      </x:c>
      <x:c r="S1514" s="15" t="str"/>
      <x:c r="T1514" s="14" t="str">
        <x:v>Fen için Hız → gerekiyorsa Mozaik; MEB doğrulaması konu bitiminde.</x:v>
      </x:c>
    </x:row>
    <x:row r="1515">
      <x:c r="A1515" s="14" t="n">
        <x:v>1514</x:v>
      </x:c>
      <x:c r="B1515" s="15" t="n">
        <x:v>46417</x:v>
      </x:c>
      <x:c r="C1515" s="14" t="str">
        <x:v>Cumartesi</x:v>
      </x:c>
      <x:c r="D1515" s="14" t="str">
        <x:v>Hafta Sonu</x:v>
      </x:c>
      <x:c r="E1515" s="14" t="str">
        <x:v>Tam gün</x:v>
      </x:c>
      <x:c r="F1515" s="14" t="str">
        <x:v>F2 - LGS Kapsam + Ustalık</x:v>
      </x:c>
      <x:c r="G1515" s="14" t="str">
        <x:v>18:25</x:v>
      </x:c>
      <x:c r="H1515" s="14" t="str">
        <x:v>18:45</x:v>
      </x:c>
      <x:c r="I1515" s="14" t="str">
        <x:v>Genel</x:v>
      </x:c>
      <x:c r="J1515" s="14" t="str">
        <x:v>Yanlış / Boş Analizi</x:v>
      </x:c>
      <x:c r="K1515" s="14" t="str">
        <x:v>Günlük</x:v>
      </x:c>
      <x:c r="L1515" s="14" t="str">
        <x:v>Bugünkü yanlış/boşları kaydet; çözümünü öğrenmeden kapatma. Hata türünü sınıflandır.</x:v>
      </x:c>
      <x:c r="M1515" s="14" t="str">
        <x:v>Yanlış Defteri</x:v>
      </x:c>
      <x:c r="N1515" s="14" t="str"/>
      <x:c r="O1515" s="14" t="n">
        <x:v>0</x:v>
      </x:c>
      <x:c r="P1515" s="14" t="str">
        <x:v>Hayır</x:v>
      </x:c>
      <x:c r="Q1515" s="14" t="str">
        <x:v>Evet</x:v>
      </x:c>
      <x:c r="R1515" s="14" t="str">
        <x:v>Planlandı</x:v>
      </x:c>
      <x:c r="S1515" s="15" t="str"/>
      <x:c r="T1515" s="14" t="str"/>
    </x:row>
    <x:row r="1516">
      <x:c r="A1516" s="14" t="n">
        <x:v>1515</x:v>
      </x:c>
      <x:c r="B1516" s="15" t="n">
        <x:v>46417</x:v>
      </x:c>
      <x:c r="C1516" s="14" t="str">
        <x:v>Cumartesi</x:v>
      </x:c>
      <x:c r="D1516" s="14" t="str">
        <x:v>Hafta Sonu</x:v>
      </x:c>
      <x:c r="E1516" s="14" t="str">
        <x:v>Tam gün</x:v>
      </x:c>
      <x:c r="F1516" s="14" t="str">
        <x:v>F2 - LGS Kapsam + Ustalık</x:v>
      </x:c>
      <x:c r="G1516" s="14" t="str">
        <x:v>18:45</x:v>
      </x:c>
      <x:c r="H1516" s="14" t="str">
        <x:v>19:05</x:v>
      </x:c>
      <x:c r="I1516" s="14" t="str">
        <x:v>Genel</x:v>
      </x:c>
      <x:c r="J1516" s="14" t="str">
        <x:v>Aralıklı Hata Tekrarı</x:v>
      </x:c>
      <x:c r="K1516" s="14" t="str">
        <x:v>+1 / +7 / +21</x:v>
      </x:c>
      <x:c r="L1516" s="14" t="str">
        <x:v>Bugün vadesi gelen yanlış soruları tekrar çöz. Vadesi yoksa bu süre serbest/okuma olabilir.</x:v>
      </x:c>
      <x:c r="M1516" s="14" t="str">
        <x:v>Yanlış Defteri</x:v>
      </x:c>
      <x:c r="N1516" s="14" t="str"/>
      <x:c r="O1516" s="14" t="n">
        <x:v>0</x:v>
      </x:c>
      <x:c r="P1516" s="14" t="str">
        <x:v>Hayır</x:v>
      </x:c>
      <x:c r="Q1516" s="14" t="str">
        <x:v>Koşullu</x:v>
      </x:c>
      <x:c r="R1516" s="14" t="str">
        <x:v>Planlandı</x:v>
      </x:c>
      <x:c r="S1516" s="15" t="str"/>
      <x:c r="T1516" s="14" t="str">
        <x:v>Yanlışlar +1, +7 ve +21 gün aralıklarıyla tekrar edilir; hâlâ yanlışsa konu mastery durumu düşürülür.</x:v>
      </x:c>
    </x:row>
    <x:row r="1517">
      <x:c r="A1517" s="14" t="n">
        <x:v>1516</x:v>
      </x:c>
      <x:c r="B1517" s="15" t="n">
        <x:v>46417</x:v>
      </x:c>
      <x:c r="C1517" s="14" t="str">
        <x:v>Cumartesi</x:v>
      </x:c>
      <x:c r="D1517" s="14" t="str">
        <x:v>Hafta Sonu</x:v>
      </x:c>
      <x:c r="E1517" s="14" t="str">
        <x:v>Tam gün</x:v>
      </x:c>
      <x:c r="F1517" s="14" t="str">
        <x:v>F2 - LGS Kapsam + Ustalık</x:v>
      </x:c>
      <x:c r="G1517" s="14" t="str">
        <x:v>20:00</x:v>
      </x:c>
      <x:c r="H1517" s="14" t="str">
        <x:v>20:30</x:v>
      </x:c>
      <x:c r="I1517" s="14" t="str">
        <x:v>Okuma</x:v>
      </x:c>
      <x:c r="J1517" s="14" t="str">
        <x:v>İsteğe Bağlı</x:v>
      </x:c>
      <x:c r="K1517" s="14" t="str">
        <x:v>Serbest Kitap</x:v>
      </x:c>
      <x:c r="L1517" s="14" t="str">
        <x:v>Zorunlu çalışmalar bittiyse isteğe bağlı kitap oku.</x:v>
      </x:c>
      <x:c r="M1517" s="14" t="str">
        <x:v>Serbest Kitap</x:v>
      </x:c>
      <x:c r="N1517" s="14" t="str"/>
      <x:c r="O1517" s="14" t="n">
        <x:v>0</x:v>
      </x:c>
      <x:c r="P1517" s="14" t="str">
        <x:v>İsteğe Bağlı</x:v>
      </x:c>
      <x:c r="Q1517" s="14" t="str">
        <x:v>Hayır</x:v>
      </x:c>
      <x:c r="R1517" s="14" t="str">
        <x:v>Planlandı</x:v>
      </x:c>
      <x:c r="S1517" s="15" t="str"/>
      <x:c r="T1517" s="14" t="str">
        <x:v>Minimum süre yok.</x:v>
      </x:c>
    </x:row>
    <x:row r="1518">
      <x:c r="A1518" s="14" t="n">
        <x:v>1517</x:v>
      </x:c>
      <x:c r="B1518" s="15" t="n">
        <x:v>46417</x:v>
      </x:c>
      <x:c r="C1518" s="14" t="str">
        <x:v>Cumartesi</x:v>
      </x:c>
      <x:c r="D1518" s="14" t="str">
        <x:v>Hafta Sonu</x:v>
      </x:c>
      <x:c r="E1518" s="14" t="str">
        <x:v>Tam gün</x:v>
      </x:c>
      <x:c r="F1518" s="14" t="str">
        <x:v>F2 - LGS Kapsam + Ustalık</x:v>
      </x:c>
      <x:c r="G1518" s="14" t="str">
        <x:v>21:50</x:v>
      </x:c>
      <x:c r="H1518" s="14" t="str">
        <x:v>22:00</x:v>
      </x:c>
      <x:c r="I1518" s="14" t="str">
        <x:v>Genel</x:v>
      </x:c>
      <x:c r="J1518" s="14" t="str">
        <x:v>Uyku Hazırlığı</x:v>
      </x:c>
      <x:c r="K1518" s="14" t="str"/>
      <x:c r="L1518" s="14" t="str">
        <x:v>22:00'de yatakta ve uyku.</x:v>
      </x:c>
      <x:c r="M1518" s="14" t="str"/>
      <x:c r="N1518" s="14" t="str"/>
      <x:c r="O1518" s="14" t="n">
        <x:v>0</x:v>
      </x:c>
      <x:c r="P1518" s="14" t="str">
        <x:v>Hayır</x:v>
      </x:c>
      <x:c r="Q1518" s="14" t="str">
        <x:v>Hayır</x:v>
      </x:c>
      <x:c r="R1518" s="14" t="str">
        <x:v>Planlandı</x:v>
      </x:c>
      <x:c r="S1518" s="15" t="str"/>
      <x:c r="T1518" s="14" t="str"/>
    </x:row>
    <x:row r="1519">
      <x:c r="A1519" s="14" t="n">
        <x:v>1518</x:v>
      </x:c>
      <x:c r="B1519" s="15" t="n">
        <x:v>46418</x:v>
      </x:c>
      <x:c r="C1519" s="14" t="str">
        <x:v>Pazar</x:v>
      </x:c>
      <x:c r="D1519" s="14" t="str">
        <x:v>Hafta Sonu</x:v>
      </x:c>
      <x:c r="E1519" s="14" t="str">
        <x:v>Tam gün</x:v>
      </x:c>
      <x:c r="F1519" s="14" t="str">
        <x:v>F2 - LGS Kapsam + Ustalık</x:v>
      </x:c>
      <x:c r="G1519" s="14" t="str">
        <x:v>09:30</x:v>
      </x:c>
      <x:c r="H1519" s="14" t="str">
        <x:v>10:15</x:v>
      </x:c>
      <x:c r="I1519" s="14" t="str">
        <x:v>Matematik</x:v>
      </x:c>
      <x:c r="J1519" s="14" t="str">
        <x:v>Konu / Tekrar</x:v>
      </x:c>
      <x:c r="K1519" s="14" t="str">
        <x:v>Kaynak Tamamlama / Zayıf Konu</x:v>
      </x:c>
      <x:c r="L1519" s="14" t="str">
        <x:v>Yeni konu açma. En zayıf/açık konunun ilgili playlist videosunu yalnız gerekiyorsa tekrar izle.</x:v>
      </x:c>
      <x:c r="M1519" s="14" t="str">
        <x:v>Matematik Ana Oynatma Listesi</x:v>
      </x:c>
      <x:c r="N1519" s="14" t="str">
        <x:v>https://www.youtube.com/watch?v=EuJ89QzqrAg&amp;list=PLicNtF7vp6fnfDqrRLH6H7fIbzYT4ct4F&amp;index=11</x:v>
      </x:c>
      <x:c r="O1519" s="14" t="n">
        <x:v>0</x:v>
      </x:c>
      <x:c r="P1519" s="14" t="str">
        <x:v>Hayır</x:v>
      </x:c>
      <x:c r="Q1519" s="14" t="str">
        <x:v>Evet</x:v>
      </x:c>
      <x:c r="R1519" s="14" t="str">
        <x:v>Planlandı</x:v>
      </x:c>
      <x:c r="S1519" s="15" t="str"/>
      <x:c r="T1519" s="14" t="str">
        <x:v>Yeni konu ancak plan sırasıyla açılır; LGS dışı ileri TYT içeriği zorunlu değildir.</x:v>
      </x:c>
    </x:row>
    <x:row r="1520">
      <x:c r="A1520" s="14" t="n">
        <x:v>1519</x:v>
      </x:c>
      <x:c r="B1520" s="15" t="n">
        <x:v>46418</x:v>
      </x:c>
      <x:c r="C1520" s="14" t="str">
        <x:v>Pazar</x:v>
      </x:c>
      <x:c r="D1520" s="14" t="str">
        <x:v>Hafta Sonu</x:v>
      </x:c>
      <x:c r="E1520" s="14" t="str">
        <x:v>Tam gün</x:v>
      </x:c>
      <x:c r="F1520" s="14" t="str">
        <x:v>F2 - LGS Kapsam + Ustalık</x:v>
      </x:c>
      <x:c r="G1520" s="14" t="str">
        <x:v>10:25</x:v>
      </x:c>
      <x:c r="H1520" s="14" t="str">
        <x:v>11:15</x:v>
      </x:c>
      <x:c r="I1520" s="14" t="str">
        <x:v>Matematik</x:v>
      </x:c>
      <x:c r="J1520" s="14" t="str">
        <x:v>Kitap / MEB / Mastery</x:v>
      </x:c>
      <x:c r="K1520" s="14" t="str">
        <x:v>Kaynak Tamamlama / Zayıf Konu</x:v>
      </x:c>
      <x:c r="L1520" s="14" t="str">
        <x:v>13 Nisan %100 tamamlama hedefine göre en geride kalan Matematik soru kaynağını/eksik MEB setini ilerlet; açık yanlışları kapat.</x:v>
      </x:c>
      <x:c r="M1520" s="14" t="str">
        <x:v>MUBA 8. Sınıf Başlangıç Matematik (ISBN 9789756526972) → tamamlandıysa Mozaik 8. Sınıf Matematik; açık MEB/yanlışlar</x:v>
      </x:c>
      <x:c r="N1520" s="14" t="str">
        <x:v>https://odsgm.meb.gov.tr/www/8sinif-calisma-sorulari/icerik/1632</x:v>
      </x:c>
      <x:c r="O1520" s="14" t="n">
        <x:v>25</x:v>
      </x:c>
      <x:c r="P1520" s="14" t="str">
        <x:v>İlk 20 soru</x:v>
      </x:c>
      <x:c r="Q1520" s="14" t="str">
        <x:v>Evet</x:v>
      </x:c>
      <x:c r="R1520" s="14" t="str">
        <x:v>Planlandı</x:v>
      </x:c>
      <x:c r="S1520" s="15" t="str"/>
      <x:c r="T1520" s="14" t="str">
        <x:v>Ayrı/rastgele matematik benchmark yoktur. Süreli ilk 20 soru o gün çalışılan konunun içindedir.</x:v>
      </x:c>
    </x:row>
    <x:row r="1521">
      <x:c r="A1521" s="14" t="n">
        <x:v>1520</x:v>
      </x:c>
      <x:c r="B1521" s="15" t="n">
        <x:v>46418</x:v>
      </x:c>
      <x:c r="C1521" s="14" t="str">
        <x:v>Pazar</x:v>
      </x:c>
      <x:c r="D1521" s="14" t="str">
        <x:v>Hafta Sonu</x:v>
      </x:c>
      <x:c r="E1521" s="14" t="str">
        <x:v>Tam gün</x:v>
      </x:c>
      <x:c r="F1521" s="14" t="str">
        <x:v>F2 - LGS Kapsam + Ustalık</x:v>
      </x:c>
      <x:c r="G1521" s="14" t="str">
        <x:v>12:00</x:v>
      </x:c>
      <x:c r="H1521" s="14" t="str">
        <x:v>14:00</x:v>
      </x:c>
      <x:c r="I1521" s="14" t="str">
        <x:v>Genel</x:v>
      </x:c>
      <x:c r="J1521" s="14" t="str">
        <x:v>Yemek / Serbest Zaman</x:v>
      </x:c>
      <x:c r="K1521" s="14" t="str"/>
      <x:c r="L1521" s="14" t="str">
        <x:v>Yemek, hareket ve dinlenme.</x:v>
      </x:c>
      <x:c r="M1521" s="14" t="str"/>
      <x:c r="N1521" s="14" t="str"/>
      <x:c r="O1521" s="14" t="n">
        <x:v>0</x:v>
      </x:c>
      <x:c r="P1521" s="14" t="str">
        <x:v>Hayır</x:v>
      </x:c>
      <x:c r="Q1521" s="14" t="str">
        <x:v>Hayır</x:v>
      </x:c>
      <x:c r="R1521" s="14" t="str">
        <x:v>Planlandı</x:v>
      </x:c>
      <x:c r="S1521" s="15" t="str"/>
      <x:c r="T1521" s="14" t="str"/>
    </x:row>
    <x:row r="1522">
      <x:c r="A1522" s="14" t="n">
        <x:v>1521</x:v>
      </x:c>
      <x:c r="B1522" s="15" t="n">
        <x:v>46418</x:v>
      </x:c>
      <x:c r="C1522" s="14" t="str">
        <x:v>Pazar</x:v>
      </x:c>
      <x:c r="D1522" s="14" t="str">
        <x:v>Hafta Sonu</x:v>
      </x:c>
      <x:c r="E1522" s="14" t="str">
        <x:v>Tam gün</x:v>
      </x:c>
      <x:c r="F1522" s="14" t="str">
        <x:v>F2 - LGS Kapsam + Ustalık</x:v>
      </x:c>
      <x:c r="G1522" s="14" t="str">
        <x:v>11:25</x:v>
      </x:c>
      <x:c r="H1522" s="14" t="str">
        <x:v>11:55</x:v>
      </x:c>
      <x:c r="I1522" s="14" t="str">
        <x:v>Türkçe</x:v>
      </x:c>
      <x:c r="J1522" s="14" t="str">
        <x:v>Paragraf Rutini</x:v>
      </x:c>
      <x:c r="K1522" s="14" t="str">
        <x:v>Paragraf</x:v>
      </x:c>
      <x:c r="L1522" s="14" t="str">
        <x:v>En az 25 paragraf sorusu çöz; ilk 20 soruyu ileri sayımla ölç, D/Y/B + süre kaydet.</x:v>
      </x:c>
      <x:c r="M1522" s="14" t="str">
        <x:v>Hız 8. Sınıf Türkçe Paragraf (ISBN 9786258394498)</x:v>
      </x:c>
      <x:c r="N1522" s="14" t="str"/>
      <x:c r="O1522" s="14" t="n">
        <x:v>25</x:v>
      </x:c>
      <x:c r="P1522" s="14" t="str">
        <x:v>İlk 20 soru</x:v>
      </x:c>
      <x:c r="Q1522" s="14" t="str">
        <x:v>Evet</x:v>
      </x:c>
      <x:c r="R1522" s="14" t="str">
        <x:v>Planlandı</x:v>
      </x:c>
      <x:c r="S1522" s="15" t="str"/>
      <x:c r="T1522" s="14" t="str">
        <x:v>Geri sayım ve hedef süre yok.</x:v>
      </x:c>
    </x:row>
    <x:row r="1523">
      <x:c r="A1523" s="14" t="n">
        <x:v>1522</x:v>
      </x:c>
      <x:c r="B1523" s="15" t="n">
        <x:v>46418</x:v>
      </x:c>
      <x:c r="C1523" s="14" t="str">
        <x:v>Pazar</x:v>
      </x:c>
      <x:c r="D1523" s="14" t="str">
        <x:v>Hafta Sonu</x:v>
      </x:c>
      <x:c r="E1523" s="14" t="str">
        <x:v>Tam gün</x:v>
      </x:c>
      <x:c r="F1523" s="14" t="str">
        <x:v>F2 - LGS Kapsam + Ustalık</x:v>
      </x:c>
      <x:c r="G1523" s="14" t="str">
        <x:v>14:00</x:v>
      </x:c>
      <x:c r="H1523" s="14" t="str">
        <x:v>14:40</x:v>
      </x:c>
      <x:c r="I1523" s="14" t="str">
        <x:v>Türkçe</x:v>
      </x:c>
      <x:c r="J1523" s="14" t="str">
        <x:v>Konu / Tekrar</x:v>
      </x:c>
      <x:c r="K1523" s="14" t="str">
        <x:v>Kaynak Tamamlama / Zayıf Konu</x:v>
      </x:c>
      <x:c r="L1523" s="14" t="str">
        <x:v>Yeni konu açma. En zayıf/açık konunun ilgili playlist videosunu yalnız gerekiyorsa tekrar izle.</x:v>
      </x:c>
      <x:c r="M1523" s="14" t="str">
        <x:v>Türkçe Ana Oynatma Listesi</x:v>
      </x:c>
      <x:c r="N1523" s="14" t="str">
        <x:v>https://www.youtube.com/watch?v=VYsPntNKVdw&amp;list=PLIBjFaUoJJ91bz7QQEBlxNJNZka5YQRr6</x:v>
      </x:c>
      <x:c r="O1523" s="14" t="n">
        <x:v>0</x:v>
      </x:c>
      <x:c r="P1523" s="14" t="str">
        <x:v>Hayır</x:v>
      </x:c>
      <x:c r="Q1523" s="14" t="str">
        <x:v>Evet</x:v>
      </x:c>
      <x:c r="R1523" s="14" t="str">
        <x:v>Planlandı</x:v>
      </x:c>
      <x:c r="S1523" s="15" t="str"/>
      <x:c r="T1523" s="14" t="str">
        <x:v>TYT etiketli kaynak temelden başlamak için sabittir; LGS dışı gereksiz ayrıntı zorunlu değildir.</x:v>
      </x:c>
    </x:row>
    <x:row r="1524">
      <x:c r="A1524" s="14" t="n">
        <x:v>1523</x:v>
      </x:c>
      <x:c r="B1524" s="15" t="n">
        <x:v>46418</x:v>
      </x:c>
      <x:c r="C1524" s="14" t="str">
        <x:v>Pazar</x:v>
      </x:c>
      <x:c r="D1524" s="14" t="str">
        <x:v>Hafta Sonu</x:v>
      </x:c>
      <x:c r="E1524" s="14" t="str">
        <x:v>Tam gün</x:v>
      </x:c>
      <x:c r="F1524" s="14" t="str">
        <x:v>F2 - LGS Kapsam + Ustalık</x:v>
      </x:c>
      <x:c r="G1524" s="14" t="str">
        <x:v>14:50</x:v>
      </x:c>
      <x:c r="H1524" s="14" t="str">
        <x:v>15:30</x:v>
      </x:c>
      <x:c r="I1524" s="14" t="str">
        <x:v>Türkçe</x:v>
      </x:c>
      <x:c r="J1524" s="14" t="str">
        <x:v>Kitap / MEB / Mastery</x:v>
      </x:c>
      <x:c r="K1524" s="14" t="str">
        <x:v>Kaynak Tamamlama / Zayıf Konu</x:v>
      </x:c>
      <x:c r="L1524" s="14" t="str">
        <x:v>13 Nisan %100 tamamlama hedefine göre en geride kalan Türkçe soru kaynağını/eksik MEB setini ilerlet; açık yanlışları kapat.</x:v>
      </x:c>
      <x:c r="M1524" s="14" t="str">
        <x:v>Ankara 8. Sınıf Dil Bilgisi Güçlendiren + açık MEB/yanlışlar</x:v>
      </x:c>
      <x:c r="N1524" s="14" t="str">
        <x:v>https://odsgm.meb.gov.tr/www/8sinif-calisma-sorulari/icerik/1632</x:v>
      </x:c>
      <x:c r="O1524" s="14" t="n">
        <x:v>15</x:v>
      </x:c>
      <x:c r="P1524" s="14" t="str">
        <x:v>Hayır</x:v>
      </x:c>
      <x:c r="Q1524" s="14" t="str">
        <x:v>Evet</x:v>
      </x:c>
      <x:c r="R1524" s="14" t="str">
        <x:v>Planlandı</x:v>
      </x:c>
      <x:c r="S1524" s="15" t="str"/>
      <x:c r="T1524" s="14" t="str"/>
    </x:row>
    <x:row r="1525">
      <x:c r="A1525" s="14" t="n">
        <x:v>1524</x:v>
      </x:c>
      <x:c r="B1525" s="15" t="n">
        <x:v>46418</x:v>
      </x:c>
      <x:c r="C1525" s="14" t="str">
        <x:v>Pazar</x:v>
      </x:c>
      <x:c r="D1525" s="14" t="str">
        <x:v>Hafta Sonu</x:v>
      </x:c>
      <x:c r="E1525" s="14" t="str">
        <x:v>Tam gün</x:v>
      </x:c>
      <x:c r="F1525" s="14" t="str">
        <x:v>F2 - LGS Kapsam + Ustalık</x:v>
      </x:c>
      <x:c r="G1525" s="14" t="str">
        <x:v>15:45</x:v>
      </x:c>
      <x:c r="H1525" s="14" t="str">
        <x:v>16:25</x:v>
      </x:c>
      <x:c r="I1525" s="14" t="str">
        <x:v>İnkılap</x:v>
      </x:c>
      <x:c r="J1525" s="14" t="str">
        <x:v>Konu / Tekrar</x:v>
      </x:c>
      <x:c r="K1525" s="14" t="str">
        <x:v>Atatürkçülük ve Çağdaşlaşan Türkiye</x:v>
      </x:c>
      <x:c r="L1525" s="14" t="str">
        <x:v>Atatürkçülük ve Çağdaşlaşan Türkiye — MEB doğrulaması öncesi 5-10 dk aktif hatırlama; gerekiyorsa ilgili playlist videosuna kısa dönüş yap.</x:v>
      </x:c>
      <x:c r="M1525" s="14" t="str">
        <x:v>İnkılap Genel Oynatma Listesi</x:v>
      </x:c>
      <x:c r="N1525" s="14" t="str">
        <x:v>https://www.youtube.com/watch?v=MltIX0oKpYU&amp;list=PLsAsBPsriHNbXit4Ra3iuBrk1ZHZWxsOR&amp;index=78</x:v>
      </x:c>
      <x:c r="O1525" s="14" t="n">
        <x:v>0</x:v>
      </x:c>
      <x:c r="P1525" s="14" t="str">
        <x:v>Hayır</x:v>
      </x:c>
      <x:c r="Q1525" s="14" t="str">
        <x:v>Evet</x:v>
      </x:c>
      <x:c r="R1525" s="14" t="str">
        <x:v>Planlandı</x:v>
      </x:c>
      <x:c r="S1525" s="15" t="str"/>
      <x:c r="T1525" s="14" t="str">
        <x:v>İnkılapta okul yazılısı videoları zorunlu değildir.</x:v>
      </x:c>
    </x:row>
    <x:row r="1526">
      <x:c r="A1526" s="14" t="n">
        <x:v>1525</x:v>
      </x:c>
      <x:c r="B1526" s="15" t="n">
        <x:v>46418</x:v>
      </x:c>
      <x:c r="C1526" s="14" t="str">
        <x:v>Pazar</x:v>
      </x:c>
      <x:c r="D1526" s="14" t="str">
        <x:v>Hafta Sonu</x:v>
      </x:c>
      <x:c r="E1526" s="14" t="str">
        <x:v>Tam gün</x:v>
      </x:c>
      <x:c r="F1526" s="14" t="str">
        <x:v>F2 - LGS Kapsam + Ustalık</x:v>
      </x:c>
      <x:c r="G1526" s="14" t="str">
        <x:v>16:35</x:v>
      </x:c>
      <x:c r="H1526" s="14" t="str">
        <x:v>17:15</x:v>
      </x:c>
      <x:c r="I1526" s="14" t="str">
        <x:v>İnkılap</x:v>
      </x:c>
      <x:c r="J1526" s="14" t="str">
        <x:v>Kitap / MEB / Mastery</x:v>
      </x:c>
      <x:c r="K1526" s="14" t="str">
        <x:v>Atatürkçülük ve Çağdaşlaşan Türkiye</x:v>
      </x:c>
      <x:c r="L1526" s="14" t="str">
        <x:v>Atatürkçülük ve Çağdaşlaşan Türkiye için ilgili MEB sorularını TAMAMLA; D/Y/B kaydet. Bu oturum konu mastery gate'idir.</x:v>
      </x:c>
      <x:c r="M1526" s="14" t="str">
        <x:v>MEB 8. Sınıf İnkılap Soruları</x:v>
      </x:c>
      <x:c r="N1526" s="14" t="str">
        <x:v>https://odsgm.meb.gov.tr/www/8sinif-calisma-sorulari/icerik/1632</x:v>
      </x:c>
      <x:c r="O1526" s="14" t="n">
        <x:v>0</x:v>
      </x:c>
      <x:c r="P1526" s="14" t="str">
        <x:v>Hayır</x:v>
      </x:c>
      <x:c r="Q1526" s="14" t="str">
        <x:v>Evet</x:v>
      </x:c>
      <x:c r="R1526" s="14" t="str">
        <x:v>Planlandı</x:v>
      </x:c>
      <x:c r="S1526" s="15" t="str"/>
      <x:c r="T1526" s="14" t="str">
        <x:v>MEB sonucu Konu_Ustaligi sayfasına işlenir.</x:v>
      </x:c>
    </x:row>
    <x:row r="1527">
      <x:c r="A1527" s="14" t="n">
        <x:v>1526</x:v>
      </x:c>
      <x:c r="B1527" s="15" t="n">
        <x:v>46418</x:v>
      </x:c>
      <x:c r="C1527" s="14" t="str">
        <x:v>Pazar</x:v>
      </x:c>
      <x:c r="D1527" s="14" t="str">
        <x:v>Hafta Sonu</x:v>
      </x:c>
      <x:c r="E1527" s="14" t="str">
        <x:v>Tam gün</x:v>
      </x:c>
      <x:c r="F1527" s="14" t="str">
        <x:v>F2 - LGS Kapsam + Ustalık</x:v>
      </x:c>
      <x:c r="G1527" s="14" t="str">
        <x:v>17:25</x:v>
      </x:c>
      <x:c r="H1527" s="14" t="str">
        <x:v>18:25</x:v>
      </x:c>
      <x:c r="I1527" s="14" t="str">
        <x:v>Genel</x:v>
      </x:c>
      <x:c r="J1527" s="14" t="str">
        <x:v>Kaynak Tamamlama</x:v>
      </x:c>
      <x:c r="K1527" s="14" t="str">
        <x:v>En Geride Kalan Kaynak</x:v>
      </x:c>
      <x:c r="L1527" s="14" t="str">
        <x:v>Kaynak_Ilerleme sayfasında hedef yüzdesinin en gerisinde kalan ZORUNLU soru kaynağına 60 dk ayır. Öğrenilmemiş konudan ileri gitme.</x:v>
      </x:c>
      <x:c r="M1527" s="14" t="str">
        <x:v>Kaynak İlerleme</x:v>
      </x:c>
      <x:c r="N1527" s="14" t="str"/>
      <x:c r="O1527" s="14" t="n">
        <x:v>0</x:v>
      </x:c>
      <x:c r="P1527" s="14" t="str">
        <x:v>Hayır</x:v>
      </x:c>
      <x:c r="Q1527" s="14" t="str">
        <x:v>Evet</x:v>
      </x:c>
      <x:c r="R1527" s="14" t="str">
        <x:v>Planlandı</x:v>
      </x:c>
      <x:c r="S1527" s="15" t="str"/>
      <x:c r="T1527" s="14" t="str">
        <x:v>Amaç 13.04.2027'de zorunlu soru kitapları + ilgili MEB setlerini %100 tamamlamak.</x:v>
      </x:c>
    </x:row>
    <x:row r="1528">
      <x:c r="A1528" s="14" t="n">
        <x:v>1527</x:v>
      </x:c>
      <x:c r="B1528" s="15" t="n">
        <x:v>46418</x:v>
      </x:c>
      <x:c r="C1528" s="14" t="str">
        <x:v>Pazar</x:v>
      </x:c>
      <x:c r="D1528" s="14" t="str">
        <x:v>Hafta Sonu</x:v>
      </x:c>
      <x:c r="E1528" s="14" t="str">
        <x:v>Tam gün</x:v>
      </x:c>
      <x:c r="F1528" s="14" t="str">
        <x:v>F2 - LGS Kapsam + Ustalık</x:v>
      </x:c>
      <x:c r="G1528" s="14" t="str">
        <x:v>18:25</x:v>
      </x:c>
      <x:c r="H1528" s="14" t="str">
        <x:v>18:45</x:v>
      </x:c>
      <x:c r="I1528" s="14" t="str">
        <x:v>Genel</x:v>
      </x:c>
      <x:c r="J1528" s="14" t="str">
        <x:v>Yanlış / Boş Analizi</x:v>
      </x:c>
      <x:c r="K1528" s="14" t="str">
        <x:v>Günlük</x:v>
      </x:c>
      <x:c r="L1528" s="14" t="str">
        <x:v>Bugünkü yanlış/boşları kaydet; çözümünü öğrenmeden kapatma. Hata türünü sınıflandır.</x:v>
      </x:c>
      <x:c r="M1528" s="14" t="str">
        <x:v>Yanlış Defteri</x:v>
      </x:c>
      <x:c r="N1528" s="14" t="str"/>
      <x:c r="O1528" s="14" t="n">
        <x:v>0</x:v>
      </x:c>
      <x:c r="P1528" s="14" t="str">
        <x:v>Hayır</x:v>
      </x:c>
      <x:c r="Q1528" s="14" t="str">
        <x:v>Evet</x:v>
      </x:c>
      <x:c r="R1528" s="14" t="str">
        <x:v>Planlandı</x:v>
      </x:c>
      <x:c r="S1528" s="15" t="str"/>
      <x:c r="T1528" s="14" t="str"/>
    </x:row>
    <x:row r="1529">
      <x:c r="A1529" s="14" t="n">
        <x:v>1528</x:v>
      </x:c>
      <x:c r="B1529" s="15" t="n">
        <x:v>46418</x:v>
      </x:c>
      <x:c r="C1529" s="14" t="str">
        <x:v>Pazar</x:v>
      </x:c>
      <x:c r="D1529" s="14" t="str">
        <x:v>Hafta Sonu</x:v>
      </x:c>
      <x:c r="E1529" s="14" t="str">
        <x:v>Tam gün</x:v>
      </x:c>
      <x:c r="F1529" s="14" t="str">
        <x:v>F2 - LGS Kapsam + Ustalık</x:v>
      </x:c>
      <x:c r="G1529" s="14" t="str">
        <x:v>18:45</x:v>
      </x:c>
      <x:c r="H1529" s="14" t="str">
        <x:v>19:05</x:v>
      </x:c>
      <x:c r="I1529" s="14" t="str">
        <x:v>Genel</x:v>
      </x:c>
      <x:c r="J1529" s="14" t="str">
        <x:v>Aralıklı Hata Tekrarı</x:v>
      </x:c>
      <x:c r="K1529" s="14" t="str">
        <x:v>+1 / +7 / +21</x:v>
      </x:c>
      <x:c r="L1529" s="14" t="str">
        <x:v>Bugün vadesi gelen yanlış soruları tekrar çöz. Vadesi yoksa bu süre serbest/okuma olabilir.</x:v>
      </x:c>
      <x:c r="M1529" s="14" t="str">
        <x:v>Yanlış Defteri</x:v>
      </x:c>
      <x:c r="N1529" s="14" t="str"/>
      <x:c r="O1529" s="14" t="n">
        <x:v>0</x:v>
      </x:c>
      <x:c r="P1529" s="14" t="str">
        <x:v>Hayır</x:v>
      </x:c>
      <x:c r="Q1529" s="14" t="str">
        <x:v>Koşullu</x:v>
      </x:c>
      <x:c r="R1529" s="14" t="str">
        <x:v>Planlandı</x:v>
      </x:c>
      <x:c r="S1529" s="15" t="str"/>
      <x:c r="T1529" s="14" t="str">
        <x:v>Yanlışlar +1, +7 ve +21 gün aralıklarıyla tekrar edilir; hâlâ yanlışsa konu mastery durumu düşürülür.</x:v>
      </x:c>
    </x:row>
    <x:row r="1530">
      <x:c r="A1530" s="14" t="n">
        <x:v>1529</x:v>
      </x:c>
      <x:c r="B1530" s="15" t="n">
        <x:v>46418</x:v>
      </x:c>
      <x:c r="C1530" s="14" t="str">
        <x:v>Pazar</x:v>
      </x:c>
      <x:c r="D1530" s="14" t="str">
        <x:v>Hafta Sonu</x:v>
      </x:c>
      <x:c r="E1530" s="14" t="str">
        <x:v>Tam gün</x:v>
      </x:c>
      <x:c r="F1530" s="14" t="str">
        <x:v>F2 - LGS Kapsam + Ustalık</x:v>
      </x:c>
      <x:c r="G1530" s="14" t="str">
        <x:v>20:00</x:v>
      </x:c>
      <x:c r="H1530" s="14" t="str">
        <x:v>20:30</x:v>
      </x:c>
      <x:c r="I1530" s="14" t="str">
        <x:v>Okuma</x:v>
      </x:c>
      <x:c r="J1530" s="14" t="str">
        <x:v>İsteğe Bağlı</x:v>
      </x:c>
      <x:c r="K1530" s="14" t="str">
        <x:v>Serbest Kitap</x:v>
      </x:c>
      <x:c r="L1530" s="14" t="str">
        <x:v>Zorunlu çalışmalar bittiyse isteğe bağlı kitap oku.</x:v>
      </x:c>
      <x:c r="M1530" s="14" t="str">
        <x:v>Serbest Kitap</x:v>
      </x:c>
      <x:c r="N1530" s="14" t="str"/>
      <x:c r="O1530" s="14" t="n">
        <x:v>0</x:v>
      </x:c>
      <x:c r="P1530" s="14" t="str">
        <x:v>İsteğe Bağlı</x:v>
      </x:c>
      <x:c r="Q1530" s="14" t="str">
        <x:v>Hayır</x:v>
      </x:c>
      <x:c r="R1530" s="14" t="str">
        <x:v>Planlandı</x:v>
      </x:c>
      <x:c r="S1530" s="15" t="str"/>
      <x:c r="T1530" s="14" t="str">
        <x:v>Minimum süre yok.</x:v>
      </x:c>
    </x:row>
    <x:row r="1531">
      <x:c r="A1531" s="14" t="n">
        <x:v>1530</x:v>
      </x:c>
      <x:c r="B1531" s="15" t="n">
        <x:v>46418</x:v>
      </x:c>
      <x:c r="C1531" s="14" t="str">
        <x:v>Pazar</x:v>
      </x:c>
      <x:c r="D1531" s="14" t="str">
        <x:v>Hafta Sonu</x:v>
      </x:c>
      <x:c r="E1531" s="14" t="str">
        <x:v>Tam gün</x:v>
      </x:c>
      <x:c r="F1531" s="14" t="str">
        <x:v>F2 - LGS Kapsam + Ustalık</x:v>
      </x:c>
      <x:c r="G1531" s="14" t="str">
        <x:v>21:50</x:v>
      </x:c>
      <x:c r="H1531" s="14" t="str">
        <x:v>22:00</x:v>
      </x:c>
      <x:c r="I1531" s="14" t="str">
        <x:v>Genel</x:v>
      </x:c>
      <x:c r="J1531" s="14" t="str">
        <x:v>Uyku Hazırlığı</x:v>
      </x:c>
      <x:c r="K1531" s="14" t="str"/>
      <x:c r="L1531" s="14" t="str">
        <x:v>22:00'de yatakta ve uyku.</x:v>
      </x:c>
      <x:c r="M1531" s="14" t="str"/>
      <x:c r="N1531" s="14" t="str"/>
      <x:c r="O1531" s="14" t="n">
        <x:v>0</x:v>
      </x:c>
      <x:c r="P1531" s="14" t="str">
        <x:v>Hayır</x:v>
      </x:c>
      <x:c r="Q1531" s="14" t="str">
        <x:v>Hayır</x:v>
      </x:c>
      <x:c r="R1531" s="14" t="str">
        <x:v>Planlandı</x:v>
      </x:c>
      <x:c r="S1531" s="15" t="str"/>
      <x:c r="T1531" s="14" t="str"/>
    </x:row>
    <x:row r="1532">
      <x:c r="A1532" s="14" t="n">
        <x:v>1531</x:v>
      </x:c>
      <x:c r="B1532" s="15" t="n">
        <x:v>46419</x:v>
      </x:c>
      <x:c r="C1532" s="14" t="str">
        <x:v>Pazartesi</x:v>
      </x:c>
      <x:c r="D1532" s="14" t="str">
        <x:v>Okul Tatili</x:v>
      </x:c>
      <x:c r="E1532" s="14" t="str">
        <x:v>MEB Yarıyıl Tatili</x:v>
      </x:c>
      <x:c r="F1532" s="14" t="str">
        <x:v>F2 - LGS Kapsam + Ustalık</x:v>
      </x:c>
      <x:c r="G1532" s="14" t="str">
        <x:v>09:30</x:v>
      </x:c>
      <x:c r="H1532" s="14" t="str">
        <x:v>10:15</x:v>
      </x:c>
      <x:c r="I1532" s="14" t="str">
        <x:v>Matematik</x:v>
      </x:c>
      <x:c r="J1532" s="14" t="str">
        <x:v>Konu / Tekrar</x:v>
      </x:c>
      <x:c r="K1532" s="14" t="str">
        <x:v>Kaynak Tamamlama / Zayıf Konu</x:v>
      </x:c>
      <x:c r="L1532" s="14" t="str">
        <x:v>Yeni konu açma. En zayıf/açık konunun ilgili playlist videosunu yalnız gerekiyorsa tekrar izle.</x:v>
      </x:c>
      <x:c r="M1532" s="14" t="str">
        <x:v>Matematik Ana Oynatma Listesi</x:v>
      </x:c>
      <x:c r="N1532" s="14" t="str">
        <x:v>https://www.youtube.com/watch?v=EuJ89QzqrAg&amp;list=PLicNtF7vp6fnfDqrRLH6H7fIbzYT4ct4F&amp;index=11</x:v>
      </x:c>
      <x:c r="O1532" s="14" t="n">
        <x:v>0</x:v>
      </x:c>
      <x:c r="P1532" s="14" t="str">
        <x:v>Hayır</x:v>
      </x:c>
      <x:c r="Q1532" s="14" t="str">
        <x:v>Evet</x:v>
      </x:c>
      <x:c r="R1532" s="14" t="str">
        <x:v>Planlandı</x:v>
      </x:c>
      <x:c r="S1532" s="15" t="str"/>
      <x:c r="T1532" s="14" t="str">
        <x:v>Yeni konu ancak plan sırasıyla açılır; LGS dışı ileri TYT içeriği zorunlu değildir.</x:v>
      </x:c>
    </x:row>
    <x:row r="1533">
      <x:c r="A1533" s="14" t="n">
        <x:v>1532</x:v>
      </x:c>
      <x:c r="B1533" s="15" t="n">
        <x:v>46419</x:v>
      </x:c>
      <x:c r="C1533" s="14" t="str">
        <x:v>Pazartesi</x:v>
      </x:c>
      <x:c r="D1533" s="14" t="str">
        <x:v>Okul Tatili</x:v>
      </x:c>
      <x:c r="E1533" s="14" t="str">
        <x:v>MEB Yarıyıl Tatili</x:v>
      </x:c>
      <x:c r="F1533" s="14" t="str">
        <x:v>F2 - LGS Kapsam + Ustalık</x:v>
      </x:c>
      <x:c r="G1533" s="14" t="str">
        <x:v>10:25</x:v>
      </x:c>
      <x:c r="H1533" s="14" t="str">
        <x:v>11:15</x:v>
      </x:c>
      <x:c r="I1533" s="14" t="str">
        <x:v>Matematik</x:v>
      </x:c>
      <x:c r="J1533" s="14" t="str">
        <x:v>Kitap / MEB / Mastery</x:v>
      </x:c>
      <x:c r="K1533" s="14" t="str">
        <x:v>Kaynak Tamamlama / Zayıf Konu</x:v>
      </x:c>
      <x:c r="L1533" s="14" t="str">
        <x:v>13 Nisan %100 tamamlama hedefine göre en geride kalan Matematik soru kaynağını/eksik MEB setini ilerlet; açık yanlışları kapat.</x:v>
      </x:c>
      <x:c r="M1533" s="14" t="str">
        <x:v>MUBA 8. Sınıf Başlangıç Matematik (ISBN 9789756526972) → tamamlandıysa Mozaik 8. Sınıf Matematik; açık MEB/yanlışlar</x:v>
      </x:c>
      <x:c r="N1533" s="14" t="str">
        <x:v>https://odsgm.meb.gov.tr/www/8sinif-calisma-sorulari/icerik/1632</x:v>
      </x:c>
      <x:c r="O1533" s="14" t="n">
        <x:v>30</x:v>
      </x:c>
      <x:c r="P1533" s="14" t="str">
        <x:v>İlk 20 soru</x:v>
      </x:c>
      <x:c r="Q1533" s="14" t="str">
        <x:v>Evet</x:v>
      </x:c>
      <x:c r="R1533" s="14" t="str">
        <x:v>Planlandı</x:v>
      </x:c>
      <x:c r="S1533" s="15" t="str"/>
      <x:c r="T1533" s="14" t="str">
        <x:v>Ayrı/rastgele matematik benchmark yoktur. Süreli ilk 20 soru o gün çalışılan konunun içindedir.</x:v>
      </x:c>
    </x:row>
    <x:row r="1534">
      <x:c r="A1534" s="14" t="n">
        <x:v>1533</x:v>
      </x:c>
      <x:c r="B1534" s="15" t="n">
        <x:v>46419</x:v>
      </x:c>
      <x:c r="C1534" s="14" t="str">
        <x:v>Pazartesi</x:v>
      </x:c>
      <x:c r="D1534" s="14" t="str">
        <x:v>Okul Tatili</x:v>
      </x:c>
      <x:c r="E1534" s="14" t="str">
        <x:v>MEB Yarıyıl Tatili</x:v>
      </x:c>
      <x:c r="F1534" s="14" t="str">
        <x:v>F2 - LGS Kapsam + Ustalık</x:v>
      </x:c>
      <x:c r="G1534" s="14" t="str">
        <x:v>12:00</x:v>
      </x:c>
      <x:c r="H1534" s="14" t="str">
        <x:v>14:00</x:v>
      </x:c>
      <x:c r="I1534" s="14" t="str">
        <x:v>Genel</x:v>
      </x:c>
      <x:c r="J1534" s="14" t="str">
        <x:v>Yemek / Serbest Zaman</x:v>
      </x:c>
      <x:c r="K1534" s="14" t="str"/>
      <x:c r="L1534" s="14" t="str">
        <x:v>Yemek, hareket ve dinlenme.</x:v>
      </x:c>
      <x:c r="M1534" s="14" t="str"/>
      <x:c r="N1534" s="14" t="str"/>
      <x:c r="O1534" s="14" t="n">
        <x:v>0</x:v>
      </x:c>
      <x:c r="P1534" s="14" t="str">
        <x:v>Hayır</x:v>
      </x:c>
      <x:c r="Q1534" s="14" t="str">
        <x:v>Hayır</x:v>
      </x:c>
      <x:c r="R1534" s="14" t="str">
        <x:v>Planlandı</x:v>
      </x:c>
      <x:c r="S1534" s="15" t="str"/>
      <x:c r="T1534" s="14" t="str"/>
    </x:row>
    <x:row r="1535">
      <x:c r="A1535" s="14" t="n">
        <x:v>1534</x:v>
      </x:c>
      <x:c r="B1535" s="15" t="n">
        <x:v>46419</x:v>
      </x:c>
      <x:c r="C1535" s="14" t="str">
        <x:v>Pazartesi</x:v>
      </x:c>
      <x:c r="D1535" s="14" t="str">
        <x:v>Okul Tatili</x:v>
      </x:c>
      <x:c r="E1535" s="14" t="str">
        <x:v>MEB Yarıyıl Tatili</x:v>
      </x:c>
      <x:c r="F1535" s="14" t="str">
        <x:v>F2 - LGS Kapsam + Ustalık</x:v>
      </x:c>
      <x:c r="G1535" s="14" t="str">
        <x:v>11:25</x:v>
      </x:c>
      <x:c r="H1535" s="14" t="str">
        <x:v>11:55</x:v>
      </x:c>
      <x:c r="I1535" s="14" t="str">
        <x:v>Türkçe</x:v>
      </x:c>
      <x:c r="J1535" s="14" t="str">
        <x:v>Paragraf Rutini</x:v>
      </x:c>
      <x:c r="K1535" s="14" t="str">
        <x:v>Paragraf</x:v>
      </x:c>
      <x:c r="L1535" s="14" t="str">
        <x:v>En az 30 paragraf sorusu çöz; ilk 20 soruyu ileri sayımla ölç, D/Y/B + süre kaydet.</x:v>
      </x:c>
      <x:c r="M1535" s="14" t="str">
        <x:v>Hız 8. Sınıf Türkçe Paragraf (ISBN 9786258394498)</x:v>
      </x:c>
      <x:c r="N1535" s="14" t="str"/>
      <x:c r="O1535" s="14" t="n">
        <x:v>30</x:v>
      </x:c>
      <x:c r="P1535" s="14" t="str">
        <x:v>İlk 20 soru</x:v>
      </x:c>
      <x:c r="Q1535" s="14" t="str">
        <x:v>Evet</x:v>
      </x:c>
      <x:c r="R1535" s="14" t="str">
        <x:v>Planlandı</x:v>
      </x:c>
      <x:c r="S1535" s="15" t="str"/>
      <x:c r="T1535" s="14" t="str">
        <x:v>Geri sayım ve hedef süre yok.</x:v>
      </x:c>
    </x:row>
    <x:row r="1536">
      <x:c r="A1536" s="14" t="n">
        <x:v>1535</x:v>
      </x:c>
      <x:c r="B1536" s="15" t="n">
        <x:v>46419</x:v>
      </x:c>
      <x:c r="C1536" s="14" t="str">
        <x:v>Pazartesi</x:v>
      </x:c>
      <x:c r="D1536" s="14" t="str">
        <x:v>Okul Tatili</x:v>
      </x:c>
      <x:c r="E1536" s="14" t="str">
        <x:v>MEB Yarıyıl Tatili</x:v>
      </x:c>
      <x:c r="F1536" s="14" t="str">
        <x:v>F2 - LGS Kapsam + Ustalık</x:v>
      </x:c>
      <x:c r="G1536" s="14" t="str">
        <x:v>14:00</x:v>
      </x:c>
      <x:c r="H1536" s="14" t="str">
        <x:v>14:40</x:v>
      </x:c>
      <x:c r="I1536" s="14" t="str">
        <x:v>Türkçe</x:v>
      </x:c>
      <x:c r="J1536" s="14" t="str">
        <x:v>Konu / Tekrar</x:v>
      </x:c>
      <x:c r="K1536" s="14" t="str">
        <x:v>Kaynak Tamamlama / Zayıf Konu</x:v>
      </x:c>
      <x:c r="L1536" s="14" t="str">
        <x:v>Yeni konu açma. En zayıf/açık konunun ilgili playlist videosunu yalnız gerekiyorsa tekrar izle.</x:v>
      </x:c>
      <x:c r="M1536" s="14" t="str">
        <x:v>Türkçe Ana Oynatma Listesi</x:v>
      </x:c>
      <x:c r="N1536" s="14" t="str">
        <x:v>https://www.youtube.com/watch?v=VYsPntNKVdw&amp;list=PLIBjFaUoJJ91bz7QQEBlxNJNZka5YQRr6</x:v>
      </x:c>
      <x:c r="O1536" s="14" t="n">
        <x:v>0</x:v>
      </x:c>
      <x:c r="P1536" s="14" t="str">
        <x:v>Hayır</x:v>
      </x:c>
      <x:c r="Q1536" s="14" t="str">
        <x:v>Evet</x:v>
      </x:c>
      <x:c r="R1536" s="14" t="str">
        <x:v>Planlandı</x:v>
      </x:c>
      <x:c r="S1536" s="15" t="str"/>
      <x:c r="T1536" s="14" t="str">
        <x:v>TYT etiketli kaynak temelden başlamak için sabittir; LGS dışı gereksiz ayrıntı zorunlu değildir.</x:v>
      </x:c>
    </x:row>
    <x:row r="1537">
      <x:c r="A1537" s="14" t="n">
        <x:v>1536</x:v>
      </x:c>
      <x:c r="B1537" s="15" t="n">
        <x:v>46419</x:v>
      </x:c>
      <x:c r="C1537" s="14" t="str">
        <x:v>Pazartesi</x:v>
      </x:c>
      <x:c r="D1537" s="14" t="str">
        <x:v>Okul Tatili</x:v>
      </x:c>
      <x:c r="E1537" s="14" t="str">
        <x:v>MEB Yarıyıl Tatili</x:v>
      </x:c>
      <x:c r="F1537" s="14" t="str">
        <x:v>F2 - LGS Kapsam + Ustalık</x:v>
      </x:c>
      <x:c r="G1537" s="14" t="str">
        <x:v>14:50</x:v>
      </x:c>
      <x:c r="H1537" s="14" t="str">
        <x:v>15:30</x:v>
      </x:c>
      <x:c r="I1537" s="14" t="str">
        <x:v>Türkçe</x:v>
      </x:c>
      <x:c r="J1537" s="14" t="str">
        <x:v>Kitap / MEB / Mastery</x:v>
      </x:c>
      <x:c r="K1537" s="14" t="str">
        <x:v>Kaynak Tamamlama / Zayıf Konu</x:v>
      </x:c>
      <x:c r="L1537" s="14" t="str">
        <x:v>13 Nisan %100 tamamlama hedefine göre en geride kalan Türkçe soru kaynağını/eksik MEB setini ilerlet; açık yanlışları kapat.</x:v>
      </x:c>
      <x:c r="M1537" s="14" t="str">
        <x:v>Ankara 8. Sınıf Dil Bilgisi Güçlendiren + açık MEB/yanlışlar</x:v>
      </x:c>
      <x:c r="N1537" s="14" t="str">
        <x:v>https://odsgm.meb.gov.tr/www/8sinif-calisma-sorulari/icerik/1632</x:v>
      </x:c>
      <x:c r="O1537" s="14" t="n">
        <x:v>15</x:v>
      </x:c>
      <x:c r="P1537" s="14" t="str">
        <x:v>Hayır</x:v>
      </x:c>
      <x:c r="Q1537" s="14" t="str">
        <x:v>Evet</x:v>
      </x:c>
      <x:c r="R1537" s="14" t="str">
        <x:v>Planlandı</x:v>
      </x:c>
      <x:c r="S1537" s="15" t="str"/>
      <x:c r="T1537" s="14" t="str"/>
    </x:row>
    <x:row r="1538">
      <x:c r="A1538" s="14" t="n">
        <x:v>1537</x:v>
      </x:c>
      <x:c r="B1538" s="15" t="n">
        <x:v>46419</x:v>
      </x:c>
      <x:c r="C1538" s="14" t="str">
        <x:v>Pazartesi</x:v>
      </x:c>
      <x:c r="D1538" s="14" t="str">
        <x:v>Okul Tatili</x:v>
      </x:c>
      <x:c r="E1538" s="14" t="str">
        <x:v>MEB Yarıyıl Tatili</x:v>
      </x:c>
      <x:c r="F1538" s="14" t="str">
        <x:v>F2 - LGS Kapsam + Ustalık</x:v>
      </x:c>
      <x:c r="G1538" s="14" t="str">
        <x:v>15:45</x:v>
      </x:c>
      <x:c r="H1538" s="14" t="str">
        <x:v>16:25</x:v>
      </x:c>
      <x:c r="I1538" s="14" t="str">
        <x:v>İngilizce</x:v>
      </x:c>
      <x:c r="J1538" s="14" t="str">
        <x:v>Konu / Tekrar</x:v>
      </x:c>
      <x:c r="K1538" s="14" t="str">
        <x:v>Unit 8 - Chores</x:v>
      </x:c>
      <x:c r="L1538" s="14" t="str">
        <x:v>Unit 8 - Chores — Worksheet çalışmasını playlistten yap.</x:v>
      </x:c>
      <x:c r="M1538" s="14" t="str">
        <x:v>İngilizce Genel Oynatma Listesi</x:v>
      </x:c>
      <x:c r="N1538" s="14" t="str">
        <x:v>https://www.youtube.com/watch?v=FaY3dFjZbns&amp;list=PLSgpQDrUSYp94WgE9pzpHiOG5FwxnZBrr</x:v>
      </x:c>
      <x:c r="O1538" s="14" t="n">
        <x:v>0</x:v>
      </x:c>
      <x:c r="P1538" s="14" t="str">
        <x:v>Hayır</x:v>
      </x:c>
      <x:c r="Q1538" s="14" t="str">
        <x:v>Evet</x:v>
      </x:c>
      <x:c r="R1538" s="14" t="str">
        <x:v>Planlandı</x:v>
      </x:c>
      <x:c r="S1538" s="15" t="str"/>
      <x:c r="T1538" s="14" t="str"/>
    </x:row>
    <x:row r="1539">
      <x:c r="A1539" s="14" t="n">
        <x:v>1538</x:v>
      </x:c>
      <x:c r="B1539" s="15" t="n">
        <x:v>46419</x:v>
      </x:c>
      <x:c r="C1539" s="14" t="str">
        <x:v>Pazartesi</x:v>
      </x:c>
      <x:c r="D1539" s="14" t="str">
        <x:v>Okul Tatili</x:v>
      </x:c>
      <x:c r="E1539" s="14" t="str">
        <x:v>MEB Yarıyıl Tatili</x:v>
      </x:c>
      <x:c r="F1539" s="14" t="str">
        <x:v>F2 - LGS Kapsam + Ustalık</x:v>
      </x:c>
      <x:c r="G1539" s="14" t="str">
        <x:v>16:35</x:v>
      </x:c>
      <x:c r="H1539" s="14" t="str">
        <x:v>17:15</x:v>
      </x:c>
      <x:c r="I1539" s="14" t="str">
        <x:v>İngilizce</x:v>
      </x:c>
      <x:c r="J1539" s="14" t="str">
        <x:v>Kitap / MEB / Mastery</x:v>
      </x:c>
      <x:c r="K1539" s="14" t="str">
        <x:v>Unit 8 - Chores</x:v>
      </x:c>
      <x:c r="L1539" s="14" t="str">
        <x:v>Unit 8 - Chores ile ilgili soru kitabından en az 20 soru / bugünkü test payını çöz.</x:v>
      </x:c>
      <x:c r="M1539" s="14" t="str">
        <x:v>More &amp; More 8 Worksheets Notebook</x:v>
      </x:c>
      <x:c r="N1539" s="14" t="str">
        <x:v>https://www.youtube.com/watch?v=FaY3dFjZbns&amp;list=PLSgpQDrUSYp94WgE9pzpHiOG5FwxnZBrr</x:v>
      </x:c>
      <x:c r="O1539" s="14" t="n">
        <x:v>20</x:v>
      </x:c>
      <x:c r="P1539" s="14" t="str">
        <x:v>Hayır</x:v>
      </x:c>
      <x:c r="Q1539" s="14" t="str">
        <x:v>Evet</x:v>
      </x:c>
      <x:c r="R1539" s="14" t="str">
        <x:v>Planlandı</x:v>
      </x:c>
      <x:c r="S1539" s="15" t="str"/>
      <x:c r="T1539" s="14" t="str"/>
    </x:row>
    <x:row r="1540">
      <x:c r="A1540" s="14" t="n">
        <x:v>1539</x:v>
      </x:c>
      <x:c r="B1540" s="15" t="n">
        <x:v>46419</x:v>
      </x:c>
      <x:c r="C1540" s="14" t="str">
        <x:v>Pazartesi</x:v>
      </x:c>
      <x:c r="D1540" s="14" t="str">
        <x:v>Okul Tatili</x:v>
      </x:c>
      <x:c r="E1540" s="14" t="str">
        <x:v>MEB Yarıyıl Tatili</x:v>
      </x:c>
      <x:c r="F1540" s="14" t="str">
        <x:v>F2 - LGS Kapsam + Ustalık</x:v>
      </x:c>
      <x:c r="G1540" s="14" t="str">
        <x:v>18:25</x:v>
      </x:c>
      <x:c r="H1540" s="14" t="str">
        <x:v>18:45</x:v>
      </x:c>
      <x:c r="I1540" s="14" t="str">
        <x:v>Genel</x:v>
      </x:c>
      <x:c r="J1540" s="14" t="str">
        <x:v>Yanlış / Boş Analizi</x:v>
      </x:c>
      <x:c r="K1540" s="14" t="str">
        <x:v>Günlük</x:v>
      </x:c>
      <x:c r="L1540" s="14" t="str">
        <x:v>Bugünkü yanlış/boşları kaydet; çözümünü öğrenmeden kapatma. Hata türünü sınıflandır.</x:v>
      </x:c>
      <x:c r="M1540" s="14" t="str">
        <x:v>Yanlış Defteri</x:v>
      </x:c>
      <x:c r="N1540" s="14" t="str"/>
      <x:c r="O1540" s="14" t="n">
        <x:v>0</x:v>
      </x:c>
      <x:c r="P1540" s="14" t="str">
        <x:v>Hayır</x:v>
      </x:c>
      <x:c r="Q1540" s="14" t="str">
        <x:v>Evet</x:v>
      </x:c>
      <x:c r="R1540" s="14" t="str">
        <x:v>Planlandı</x:v>
      </x:c>
      <x:c r="S1540" s="15" t="str"/>
      <x:c r="T1540" s="14" t="str"/>
    </x:row>
    <x:row r="1541">
      <x:c r="A1541" s="14" t="n">
        <x:v>1540</x:v>
      </x:c>
      <x:c r="B1541" s="15" t="n">
        <x:v>46419</x:v>
      </x:c>
      <x:c r="C1541" s="14" t="str">
        <x:v>Pazartesi</x:v>
      </x:c>
      <x:c r="D1541" s="14" t="str">
        <x:v>Okul Tatili</x:v>
      </x:c>
      <x:c r="E1541" s="14" t="str">
        <x:v>MEB Yarıyıl Tatili</x:v>
      </x:c>
      <x:c r="F1541" s="14" t="str">
        <x:v>F2 - LGS Kapsam + Ustalık</x:v>
      </x:c>
      <x:c r="G1541" s="14" t="str">
        <x:v>18:45</x:v>
      </x:c>
      <x:c r="H1541" s="14" t="str">
        <x:v>19:05</x:v>
      </x:c>
      <x:c r="I1541" s="14" t="str">
        <x:v>Genel</x:v>
      </x:c>
      <x:c r="J1541" s="14" t="str">
        <x:v>Aralıklı Hata Tekrarı</x:v>
      </x:c>
      <x:c r="K1541" s="14" t="str">
        <x:v>+1 / +7 / +21</x:v>
      </x:c>
      <x:c r="L1541" s="14" t="str">
        <x:v>Bugün vadesi gelen yanlış soruları tekrar çöz. Vadesi yoksa bu süre serbest/okuma olabilir.</x:v>
      </x:c>
      <x:c r="M1541" s="14" t="str">
        <x:v>Yanlış Defteri</x:v>
      </x:c>
      <x:c r="N1541" s="14" t="str"/>
      <x:c r="O1541" s="14" t="n">
        <x:v>0</x:v>
      </x:c>
      <x:c r="P1541" s="14" t="str">
        <x:v>Hayır</x:v>
      </x:c>
      <x:c r="Q1541" s="14" t="str">
        <x:v>Koşullu</x:v>
      </x:c>
      <x:c r="R1541" s="14" t="str">
        <x:v>Planlandı</x:v>
      </x:c>
      <x:c r="S1541" s="15" t="str"/>
      <x:c r="T1541" s="14" t="str">
        <x:v>Yanlışlar +1, +7 ve +21 gün aralıklarıyla tekrar edilir; hâlâ yanlışsa konu mastery durumu düşürülür.</x:v>
      </x:c>
    </x:row>
    <x:row r="1542">
      <x:c r="A1542" s="14" t="n">
        <x:v>1541</x:v>
      </x:c>
      <x:c r="B1542" s="15" t="n">
        <x:v>46419</x:v>
      </x:c>
      <x:c r="C1542" s="14" t="str">
        <x:v>Pazartesi</x:v>
      </x:c>
      <x:c r="D1542" s="14" t="str">
        <x:v>Okul Tatili</x:v>
      </x:c>
      <x:c r="E1542" s="14" t="str">
        <x:v>MEB Yarıyıl Tatili</x:v>
      </x:c>
      <x:c r="F1542" s="14" t="str">
        <x:v>F2 - LGS Kapsam + Ustalık</x:v>
      </x:c>
      <x:c r="G1542" s="14" t="str">
        <x:v>20:00</x:v>
      </x:c>
      <x:c r="H1542" s="14" t="str">
        <x:v>20:30</x:v>
      </x:c>
      <x:c r="I1542" s="14" t="str">
        <x:v>Okuma</x:v>
      </x:c>
      <x:c r="J1542" s="14" t="str">
        <x:v>İsteğe Bağlı</x:v>
      </x:c>
      <x:c r="K1542" s="14" t="str">
        <x:v>Serbest Kitap</x:v>
      </x:c>
      <x:c r="L1542" s="14" t="str">
        <x:v>Zorunlu çalışmalar bittiyse isteğe bağlı kitap oku.</x:v>
      </x:c>
      <x:c r="M1542" s="14" t="str">
        <x:v>Serbest Kitap</x:v>
      </x:c>
      <x:c r="N1542" s="14" t="str"/>
      <x:c r="O1542" s="14" t="n">
        <x:v>0</x:v>
      </x:c>
      <x:c r="P1542" s="14" t="str">
        <x:v>İsteğe Bağlı</x:v>
      </x:c>
      <x:c r="Q1542" s="14" t="str">
        <x:v>Hayır</x:v>
      </x:c>
      <x:c r="R1542" s="14" t="str">
        <x:v>Planlandı</x:v>
      </x:c>
      <x:c r="S1542" s="15" t="str"/>
      <x:c r="T1542" s="14" t="str">
        <x:v>Minimum süre yok.</x:v>
      </x:c>
    </x:row>
    <x:row r="1543">
      <x:c r="A1543" s="14" t="n">
        <x:v>1542</x:v>
      </x:c>
      <x:c r="B1543" s="15" t="n">
        <x:v>46419</x:v>
      </x:c>
      <x:c r="C1543" s="14" t="str">
        <x:v>Pazartesi</x:v>
      </x:c>
      <x:c r="D1543" s="14" t="str">
        <x:v>Okul Tatili</x:v>
      </x:c>
      <x:c r="E1543" s="14" t="str">
        <x:v>MEB Yarıyıl Tatili</x:v>
      </x:c>
      <x:c r="F1543" s="14" t="str">
        <x:v>F2 - LGS Kapsam + Ustalık</x:v>
      </x:c>
      <x:c r="G1543" s="14" t="str">
        <x:v>21:50</x:v>
      </x:c>
      <x:c r="H1543" s="14" t="str">
        <x:v>22:00</x:v>
      </x:c>
      <x:c r="I1543" s="14" t="str">
        <x:v>Genel</x:v>
      </x:c>
      <x:c r="J1543" s="14" t="str">
        <x:v>Uyku Hazırlığı</x:v>
      </x:c>
      <x:c r="K1543" s="14" t="str"/>
      <x:c r="L1543" s="14" t="str">
        <x:v>22:00'de yatakta ve uyku.</x:v>
      </x:c>
      <x:c r="M1543" s="14" t="str"/>
      <x:c r="N1543" s="14" t="str"/>
      <x:c r="O1543" s="14" t="n">
        <x:v>0</x:v>
      </x:c>
      <x:c r="P1543" s="14" t="str">
        <x:v>Hayır</x:v>
      </x:c>
      <x:c r="Q1543" s="14" t="str">
        <x:v>Hayır</x:v>
      </x:c>
      <x:c r="R1543" s="14" t="str">
        <x:v>Planlandı</x:v>
      </x:c>
      <x:c r="S1543" s="15" t="str"/>
      <x:c r="T1543" s="14" t="str"/>
    </x:row>
    <x:row r="1544">
      <x:c r="A1544" s="14" t="n">
        <x:v>1543</x:v>
      </x:c>
      <x:c r="B1544" s="15" t="n">
        <x:v>46420</x:v>
      </x:c>
      <x:c r="C1544" s="14" t="str">
        <x:v>Salı</x:v>
      </x:c>
      <x:c r="D1544" s="14" t="str">
        <x:v>Okul Tatili</x:v>
      </x:c>
      <x:c r="E1544" s="14" t="str">
        <x:v>MEB Yarıyıl Tatili</x:v>
      </x:c>
      <x:c r="F1544" s="14" t="str">
        <x:v>F2 - LGS Kapsam + Ustalık</x:v>
      </x:c>
      <x:c r="G1544" s="14" t="str">
        <x:v>09:30</x:v>
      </x:c>
      <x:c r="H1544" s="14" t="str">
        <x:v>10:15</x:v>
      </x:c>
      <x:c r="I1544" s="14" t="str">
        <x:v>Matematik</x:v>
      </x:c>
      <x:c r="J1544" s="14" t="str">
        <x:v>Konu / Tekrar</x:v>
      </x:c>
      <x:c r="K1544" s="14" t="str">
        <x:v>Kaynak Tamamlama / Zayıf Konu</x:v>
      </x:c>
      <x:c r="L1544" s="14" t="str">
        <x:v>Yeni konu açma. En zayıf/açık konunun ilgili playlist videosunu yalnız gerekiyorsa tekrar izle.</x:v>
      </x:c>
      <x:c r="M1544" s="14" t="str">
        <x:v>Matematik Ana Oynatma Listesi</x:v>
      </x:c>
      <x:c r="N1544" s="14" t="str">
        <x:v>https://www.youtube.com/watch?v=EuJ89QzqrAg&amp;list=PLicNtF7vp6fnfDqrRLH6H7fIbzYT4ct4F&amp;index=11</x:v>
      </x:c>
      <x:c r="O1544" s="14" t="n">
        <x:v>0</x:v>
      </x:c>
      <x:c r="P1544" s="14" t="str">
        <x:v>Hayır</x:v>
      </x:c>
      <x:c r="Q1544" s="14" t="str">
        <x:v>Evet</x:v>
      </x:c>
      <x:c r="R1544" s="14" t="str">
        <x:v>Planlandı</x:v>
      </x:c>
      <x:c r="S1544" s="15" t="str"/>
      <x:c r="T1544" s="14" t="str">
        <x:v>Yeni konu ancak plan sırasıyla açılır; LGS dışı ileri TYT içeriği zorunlu değildir.</x:v>
      </x:c>
    </x:row>
    <x:row r="1545">
      <x:c r="A1545" s="14" t="n">
        <x:v>1544</x:v>
      </x:c>
      <x:c r="B1545" s="15" t="n">
        <x:v>46420</x:v>
      </x:c>
      <x:c r="C1545" s="14" t="str">
        <x:v>Salı</x:v>
      </x:c>
      <x:c r="D1545" s="14" t="str">
        <x:v>Okul Tatili</x:v>
      </x:c>
      <x:c r="E1545" s="14" t="str">
        <x:v>MEB Yarıyıl Tatili</x:v>
      </x:c>
      <x:c r="F1545" s="14" t="str">
        <x:v>F2 - LGS Kapsam + Ustalık</x:v>
      </x:c>
      <x:c r="G1545" s="14" t="str">
        <x:v>10:25</x:v>
      </x:c>
      <x:c r="H1545" s="14" t="str">
        <x:v>11:15</x:v>
      </x:c>
      <x:c r="I1545" s="14" t="str">
        <x:v>Matematik</x:v>
      </x:c>
      <x:c r="J1545" s="14" t="str">
        <x:v>Kitap / MEB / Mastery</x:v>
      </x:c>
      <x:c r="K1545" s="14" t="str">
        <x:v>Kaynak Tamamlama / Zayıf Konu</x:v>
      </x:c>
      <x:c r="L1545" s="14" t="str">
        <x:v>13 Nisan %100 tamamlama hedefine göre en geride kalan Matematik soru kaynağını/eksik MEB setini ilerlet; açık yanlışları kapat.</x:v>
      </x:c>
      <x:c r="M1545" s="14" t="str">
        <x:v>MUBA 8. Sınıf Başlangıç Matematik (ISBN 9789756526972) → tamamlandıysa Mozaik 8. Sınıf Matematik; açık MEB/yanlışlar</x:v>
      </x:c>
      <x:c r="N1545" s="14" t="str">
        <x:v>https://odsgm.meb.gov.tr/www/8sinif-calisma-sorulari/icerik/1632</x:v>
      </x:c>
      <x:c r="O1545" s="14" t="n">
        <x:v>30</x:v>
      </x:c>
      <x:c r="P1545" s="14" t="str">
        <x:v>İlk 20 soru</x:v>
      </x:c>
      <x:c r="Q1545" s="14" t="str">
        <x:v>Evet</x:v>
      </x:c>
      <x:c r="R1545" s="14" t="str">
        <x:v>Planlandı</x:v>
      </x:c>
      <x:c r="S1545" s="15" t="str"/>
      <x:c r="T1545" s="14" t="str">
        <x:v>Ayrı/rastgele matematik benchmark yoktur. Süreli ilk 20 soru o gün çalışılan konunun içindedir.</x:v>
      </x:c>
    </x:row>
    <x:row r="1546">
      <x:c r="A1546" s="14" t="n">
        <x:v>1545</x:v>
      </x:c>
      <x:c r="B1546" s="15" t="n">
        <x:v>46420</x:v>
      </x:c>
      <x:c r="C1546" s="14" t="str">
        <x:v>Salı</x:v>
      </x:c>
      <x:c r="D1546" s="14" t="str">
        <x:v>Okul Tatili</x:v>
      </x:c>
      <x:c r="E1546" s="14" t="str">
        <x:v>MEB Yarıyıl Tatili</x:v>
      </x:c>
      <x:c r="F1546" s="14" t="str">
        <x:v>F2 - LGS Kapsam + Ustalık</x:v>
      </x:c>
      <x:c r="G1546" s="14" t="str">
        <x:v>12:00</x:v>
      </x:c>
      <x:c r="H1546" s="14" t="str">
        <x:v>14:00</x:v>
      </x:c>
      <x:c r="I1546" s="14" t="str">
        <x:v>Genel</x:v>
      </x:c>
      <x:c r="J1546" s="14" t="str">
        <x:v>Yemek / Serbest Zaman</x:v>
      </x:c>
      <x:c r="K1546" s="14" t="str"/>
      <x:c r="L1546" s="14" t="str">
        <x:v>Yemek, hareket ve dinlenme.</x:v>
      </x:c>
      <x:c r="M1546" s="14" t="str"/>
      <x:c r="N1546" s="14" t="str"/>
      <x:c r="O1546" s="14" t="n">
        <x:v>0</x:v>
      </x:c>
      <x:c r="P1546" s="14" t="str">
        <x:v>Hayır</x:v>
      </x:c>
      <x:c r="Q1546" s="14" t="str">
        <x:v>Hayır</x:v>
      </x:c>
      <x:c r="R1546" s="14" t="str">
        <x:v>Planlandı</x:v>
      </x:c>
      <x:c r="S1546" s="15" t="str"/>
      <x:c r="T1546" s="14" t="str"/>
    </x:row>
    <x:row r="1547">
      <x:c r="A1547" s="14" t="n">
        <x:v>1546</x:v>
      </x:c>
      <x:c r="B1547" s="15" t="n">
        <x:v>46420</x:v>
      </x:c>
      <x:c r="C1547" s="14" t="str">
        <x:v>Salı</x:v>
      </x:c>
      <x:c r="D1547" s="14" t="str">
        <x:v>Okul Tatili</x:v>
      </x:c>
      <x:c r="E1547" s="14" t="str">
        <x:v>MEB Yarıyıl Tatili</x:v>
      </x:c>
      <x:c r="F1547" s="14" t="str">
        <x:v>F2 - LGS Kapsam + Ustalık</x:v>
      </x:c>
      <x:c r="G1547" s="14" t="str">
        <x:v>11:25</x:v>
      </x:c>
      <x:c r="H1547" s="14" t="str">
        <x:v>11:55</x:v>
      </x:c>
      <x:c r="I1547" s="14" t="str">
        <x:v>Türkçe</x:v>
      </x:c>
      <x:c r="J1547" s="14" t="str">
        <x:v>Paragraf Rutini</x:v>
      </x:c>
      <x:c r="K1547" s="14" t="str">
        <x:v>Paragraf</x:v>
      </x:c>
      <x:c r="L1547" s="14" t="str">
        <x:v>En az 30 paragraf sorusu çöz; ilk 20 soruyu ileri sayımla ölç, D/Y/B + süre kaydet.</x:v>
      </x:c>
      <x:c r="M1547" s="14" t="str">
        <x:v>Hız 8. Sınıf Türkçe Paragraf (ISBN 9786258394498)</x:v>
      </x:c>
      <x:c r="N1547" s="14" t="str"/>
      <x:c r="O1547" s="14" t="n">
        <x:v>30</x:v>
      </x:c>
      <x:c r="P1547" s="14" t="str">
        <x:v>İlk 20 soru</x:v>
      </x:c>
      <x:c r="Q1547" s="14" t="str">
        <x:v>Evet</x:v>
      </x:c>
      <x:c r="R1547" s="14" t="str">
        <x:v>Planlandı</x:v>
      </x:c>
      <x:c r="S1547" s="15" t="str"/>
      <x:c r="T1547" s="14" t="str">
        <x:v>Geri sayım ve hedef süre yok.</x:v>
      </x:c>
    </x:row>
    <x:row r="1548">
      <x:c r="A1548" s="14" t="n">
        <x:v>1547</x:v>
      </x:c>
      <x:c r="B1548" s="15" t="n">
        <x:v>46420</x:v>
      </x:c>
      <x:c r="C1548" s="14" t="str">
        <x:v>Salı</x:v>
      </x:c>
      <x:c r="D1548" s="14" t="str">
        <x:v>Okul Tatili</x:v>
      </x:c>
      <x:c r="E1548" s="14" t="str">
        <x:v>MEB Yarıyıl Tatili</x:v>
      </x:c>
      <x:c r="F1548" s="14" t="str">
        <x:v>F2 - LGS Kapsam + Ustalık</x:v>
      </x:c>
      <x:c r="G1548" s="14" t="str">
        <x:v>14:00</x:v>
      </x:c>
      <x:c r="H1548" s="14" t="str">
        <x:v>14:40</x:v>
      </x:c>
      <x:c r="I1548" s="14" t="str">
        <x:v>Türkçe</x:v>
      </x:c>
      <x:c r="J1548" s="14" t="str">
        <x:v>Konu / Tekrar</x:v>
      </x:c>
      <x:c r="K1548" s="14" t="str">
        <x:v>Kaynak Tamamlama / Zayıf Konu</x:v>
      </x:c>
      <x:c r="L1548" s="14" t="str">
        <x:v>Yeni konu açma. En zayıf/açık konunun ilgili playlist videosunu yalnız gerekiyorsa tekrar izle.</x:v>
      </x:c>
      <x:c r="M1548" s="14" t="str">
        <x:v>Türkçe Ana Oynatma Listesi</x:v>
      </x:c>
      <x:c r="N1548" s="14" t="str">
        <x:v>https://www.youtube.com/watch?v=VYsPntNKVdw&amp;list=PLIBjFaUoJJ91bz7QQEBlxNJNZka5YQRr6</x:v>
      </x:c>
      <x:c r="O1548" s="14" t="n">
        <x:v>0</x:v>
      </x:c>
      <x:c r="P1548" s="14" t="str">
        <x:v>Hayır</x:v>
      </x:c>
      <x:c r="Q1548" s="14" t="str">
        <x:v>Evet</x:v>
      </x:c>
      <x:c r="R1548" s="14" t="str">
        <x:v>Planlandı</x:v>
      </x:c>
      <x:c r="S1548" s="15" t="str"/>
      <x:c r="T1548" s="14" t="str">
        <x:v>TYT etiketli kaynak temelden başlamak için sabittir; LGS dışı gereksiz ayrıntı zorunlu değildir.</x:v>
      </x:c>
    </x:row>
    <x:row r="1549">
      <x:c r="A1549" s="14" t="n">
        <x:v>1548</x:v>
      </x:c>
      <x:c r="B1549" s="15" t="n">
        <x:v>46420</x:v>
      </x:c>
      <x:c r="C1549" s="14" t="str">
        <x:v>Salı</x:v>
      </x:c>
      <x:c r="D1549" s="14" t="str">
        <x:v>Okul Tatili</x:v>
      </x:c>
      <x:c r="E1549" s="14" t="str">
        <x:v>MEB Yarıyıl Tatili</x:v>
      </x:c>
      <x:c r="F1549" s="14" t="str">
        <x:v>F2 - LGS Kapsam + Ustalık</x:v>
      </x:c>
      <x:c r="G1549" s="14" t="str">
        <x:v>14:50</x:v>
      </x:c>
      <x:c r="H1549" s="14" t="str">
        <x:v>15:30</x:v>
      </x:c>
      <x:c r="I1549" s="14" t="str">
        <x:v>Türkçe</x:v>
      </x:c>
      <x:c r="J1549" s="14" t="str">
        <x:v>Kitap / MEB / Mastery</x:v>
      </x:c>
      <x:c r="K1549" s="14" t="str">
        <x:v>Kaynak Tamamlama / Zayıf Konu</x:v>
      </x:c>
      <x:c r="L1549" s="14" t="str">
        <x:v>13 Nisan %100 tamamlama hedefine göre en geride kalan Türkçe soru kaynağını/eksik MEB setini ilerlet; açık yanlışları kapat.</x:v>
      </x:c>
      <x:c r="M1549" s="14" t="str">
        <x:v>Ankara 8. Sınıf Dil Bilgisi Güçlendiren + açık MEB/yanlışlar</x:v>
      </x:c>
      <x:c r="N1549" s="14" t="str">
        <x:v>https://odsgm.meb.gov.tr/www/8sinif-calisma-sorulari/icerik/1632</x:v>
      </x:c>
      <x:c r="O1549" s="14" t="n">
        <x:v>15</x:v>
      </x:c>
      <x:c r="P1549" s="14" t="str">
        <x:v>Hayır</x:v>
      </x:c>
      <x:c r="Q1549" s="14" t="str">
        <x:v>Evet</x:v>
      </x:c>
      <x:c r="R1549" s="14" t="str">
        <x:v>Planlandı</x:v>
      </x:c>
      <x:c r="S1549" s="15" t="str"/>
      <x:c r="T1549" s="14" t="str"/>
    </x:row>
    <x:row r="1550">
      <x:c r="A1550" s="14" t="n">
        <x:v>1549</x:v>
      </x:c>
      <x:c r="B1550" s="15" t="n">
        <x:v>46420</x:v>
      </x:c>
      <x:c r="C1550" s="14" t="str">
        <x:v>Salı</x:v>
      </x:c>
      <x:c r="D1550" s="14" t="str">
        <x:v>Okul Tatili</x:v>
      </x:c>
      <x:c r="E1550" s="14" t="str">
        <x:v>MEB Yarıyıl Tatili</x:v>
      </x:c>
      <x:c r="F1550" s="14" t="str">
        <x:v>F2 - LGS Kapsam + Ustalık</x:v>
      </x:c>
      <x:c r="G1550" s="14" t="str">
        <x:v>15:45</x:v>
      </x:c>
      <x:c r="H1550" s="14" t="str">
        <x:v>16:25</x:v>
      </x:c>
      <x:c r="I1550" s="14" t="str">
        <x:v>Fen</x:v>
      </x:c>
      <x:c r="J1550" s="14" t="str">
        <x:v>Konu / Tekrar</x:v>
      </x:c>
      <x:c r="K1550" s="14" t="str">
        <x:v>Besin Zinciri ve Enerji Akışı</x:v>
      </x:c>
      <x:c r="L1550" s="14" t="str">
        <x:v>Besin Zinciri ve Enerji Akışı — Fen soru çözüm playlistinden ilgili videoyu izle.</x:v>
      </x:c>
      <x:c r="M1550" s="14" t="str">
        <x:v>Fen Soru Çözüm / Tekrar</x:v>
      </x:c>
      <x:c r="N1550" s="14" t="str">
        <x:v>https://www.youtube.com/watch?v=pQXhWnDZ3vM&amp;list=PLrQm7mt99FRXcBnorCttd31HJEvg0En26&amp;index=23</x:v>
      </x:c>
      <x:c r="O1550" s="14" t="n">
        <x:v>0</x:v>
      </x:c>
      <x:c r="P1550" s="14" t="str">
        <x:v>Hayır</x:v>
      </x:c>
      <x:c r="Q1550" s="14" t="str">
        <x:v>Evet</x:v>
      </x:c>
      <x:c r="R1550" s="14" t="str">
        <x:v>Planlandı</x:v>
      </x:c>
      <x:c r="S1550" s="15" t="str"/>
      <x:c r="T1550" s="14" t="str"/>
    </x:row>
    <x:row r="1551">
      <x:c r="A1551" s="14" t="n">
        <x:v>1550</x:v>
      </x:c>
      <x:c r="B1551" s="15" t="n">
        <x:v>46420</x:v>
      </x:c>
      <x:c r="C1551" s="14" t="str">
        <x:v>Salı</x:v>
      </x:c>
      <x:c r="D1551" s="14" t="str">
        <x:v>Okul Tatili</x:v>
      </x:c>
      <x:c r="E1551" s="14" t="str">
        <x:v>MEB Yarıyıl Tatili</x:v>
      </x:c>
      <x:c r="F1551" s="14" t="str">
        <x:v>F2 - LGS Kapsam + Ustalık</x:v>
      </x:c>
      <x:c r="G1551" s="14" t="str">
        <x:v>16:35</x:v>
      </x:c>
      <x:c r="H1551" s="14" t="str">
        <x:v>17:15</x:v>
      </x:c>
      <x:c r="I1551" s="14" t="str">
        <x:v>Fen</x:v>
      </x:c>
      <x:c r="J1551" s="14" t="str">
        <x:v>Kitap / MEB / Mastery</x:v>
      </x:c>
      <x:c r="K1551" s="14" t="str">
        <x:v>Besin Zinciri ve Enerji Akışı</x:v>
      </x:c>
      <x:c r="L1551" s="14" t="str">
        <x:v>Besin Zinciri ve Enerji Akışı ile ilgili soru kitabından en az 20 soru / bugünkü test payını çöz.</x:v>
      </x:c>
      <x:c r="M1551" s="14" t="str">
        <x:v>Hız 8. Sınıf Fen (ISBN 9786257514859); tamamlandıysa Mozaik 8. Sınıf Fen</x:v>
      </x:c>
      <x:c r="N1551" s="14" t="str">
        <x:v>https://www.youtube.com/watch?v=pQXhWnDZ3vM&amp;list=PLrQm7mt99FRXcBnorCttd31HJEvg0En26&amp;index=23</x:v>
      </x:c>
      <x:c r="O1551" s="14" t="n">
        <x:v>20</x:v>
      </x:c>
      <x:c r="P1551" s="14" t="str">
        <x:v>Hayır</x:v>
      </x:c>
      <x:c r="Q1551" s="14" t="str">
        <x:v>Evet</x:v>
      </x:c>
      <x:c r="R1551" s="14" t="str">
        <x:v>Planlandı</x:v>
      </x:c>
      <x:c r="S1551" s="15" t="str"/>
      <x:c r="T1551" s="14" t="str"/>
    </x:row>
    <x:row r="1552">
      <x:c r="A1552" s="14" t="n">
        <x:v>1551</x:v>
      </x:c>
      <x:c r="B1552" s="15" t="n">
        <x:v>46420</x:v>
      </x:c>
      <x:c r="C1552" s="14" t="str">
        <x:v>Salı</x:v>
      </x:c>
      <x:c r="D1552" s="14" t="str">
        <x:v>Okul Tatili</x:v>
      </x:c>
      <x:c r="E1552" s="14" t="str">
        <x:v>MEB Yarıyıl Tatili</x:v>
      </x:c>
      <x:c r="F1552" s="14" t="str">
        <x:v>F2 - LGS Kapsam + Ustalık</x:v>
      </x:c>
      <x:c r="G1552" s="14" t="str">
        <x:v>18:25</x:v>
      </x:c>
      <x:c r="H1552" s="14" t="str">
        <x:v>18:45</x:v>
      </x:c>
      <x:c r="I1552" s="14" t="str">
        <x:v>Genel</x:v>
      </x:c>
      <x:c r="J1552" s="14" t="str">
        <x:v>Yanlış / Boş Analizi</x:v>
      </x:c>
      <x:c r="K1552" s="14" t="str">
        <x:v>Günlük</x:v>
      </x:c>
      <x:c r="L1552" s="14" t="str">
        <x:v>Bugünkü yanlış/boşları kaydet; çözümünü öğrenmeden kapatma. Hata türünü sınıflandır.</x:v>
      </x:c>
      <x:c r="M1552" s="14" t="str">
        <x:v>Yanlış Defteri</x:v>
      </x:c>
      <x:c r="N1552" s="14" t="str"/>
      <x:c r="O1552" s="14" t="n">
        <x:v>0</x:v>
      </x:c>
      <x:c r="P1552" s="14" t="str">
        <x:v>Hayır</x:v>
      </x:c>
      <x:c r="Q1552" s="14" t="str">
        <x:v>Evet</x:v>
      </x:c>
      <x:c r="R1552" s="14" t="str">
        <x:v>Planlandı</x:v>
      </x:c>
      <x:c r="S1552" s="15" t="str"/>
      <x:c r="T1552" s="14" t="str"/>
    </x:row>
    <x:row r="1553">
      <x:c r="A1553" s="14" t="n">
        <x:v>1552</x:v>
      </x:c>
      <x:c r="B1553" s="15" t="n">
        <x:v>46420</x:v>
      </x:c>
      <x:c r="C1553" s="14" t="str">
        <x:v>Salı</x:v>
      </x:c>
      <x:c r="D1553" s="14" t="str">
        <x:v>Okul Tatili</x:v>
      </x:c>
      <x:c r="E1553" s="14" t="str">
        <x:v>MEB Yarıyıl Tatili</x:v>
      </x:c>
      <x:c r="F1553" s="14" t="str">
        <x:v>F2 - LGS Kapsam + Ustalık</x:v>
      </x:c>
      <x:c r="G1553" s="14" t="str">
        <x:v>18:45</x:v>
      </x:c>
      <x:c r="H1553" s="14" t="str">
        <x:v>19:05</x:v>
      </x:c>
      <x:c r="I1553" s="14" t="str">
        <x:v>Genel</x:v>
      </x:c>
      <x:c r="J1553" s="14" t="str">
        <x:v>Aralıklı Hata Tekrarı</x:v>
      </x:c>
      <x:c r="K1553" s="14" t="str">
        <x:v>+1 / +7 / +21</x:v>
      </x:c>
      <x:c r="L1553" s="14" t="str">
        <x:v>Bugün vadesi gelen yanlış soruları tekrar çöz. Vadesi yoksa bu süre serbest/okuma olabilir.</x:v>
      </x:c>
      <x:c r="M1553" s="14" t="str">
        <x:v>Yanlış Defteri</x:v>
      </x:c>
      <x:c r="N1553" s="14" t="str"/>
      <x:c r="O1553" s="14" t="n">
        <x:v>0</x:v>
      </x:c>
      <x:c r="P1553" s="14" t="str">
        <x:v>Hayır</x:v>
      </x:c>
      <x:c r="Q1553" s="14" t="str">
        <x:v>Koşullu</x:v>
      </x:c>
      <x:c r="R1553" s="14" t="str">
        <x:v>Planlandı</x:v>
      </x:c>
      <x:c r="S1553" s="15" t="str"/>
      <x:c r="T1553" s="14" t="str">
        <x:v>Yanlışlar +1, +7 ve +21 gün aralıklarıyla tekrar edilir; hâlâ yanlışsa konu mastery durumu düşürülür.</x:v>
      </x:c>
    </x:row>
    <x:row r="1554">
      <x:c r="A1554" s="14" t="n">
        <x:v>1553</x:v>
      </x:c>
      <x:c r="B1554" s="15" t="n">
        <x:v>46420</x:v>
      </x:c>
      <x:c r="C1554" s="14" t="str">
        <x:v>Salı</x:v>
      </x:c>
      <x:c r="D1554" s="14" t="str">
        <x:v>Okul Tatili</x:v>
      </x:c>
      <x:c r="E1554" s="14" t="str">
        <x:v>MEB Yarıyıl Tatili</x:v>
      </x:c>
      <x:c r="F1554" s="14" t="str">
        <x:v>F2 - LGS Kapsam + Ustalık</x:v>
      </x:c>
      <x:c r="G1554" s="14" t="str">
        <x:v>20:00</x:v>
      </x:c>
      <x:c r="H1554" s="14" t="str">
        <x:v>20:30</x:v>
      </x:c>
      <x:c r="I1554" s="14" t="str">
        <x:v>Okuma</x:v>
      </x:c>
      <x:c r="J1554" s="14" t="str">
        <x:v>İsteğe Bağlı</x:v>
      </x:c>
      <x:c r="K1554" s="14" t="str">
        <x:v>Serbest Kitap</x:v>
      </x:c>
      <x:c r="L1554" s="14" t="str">
        <x:v>Zorunlu çalışmalar bittiyse isteğe bağlı kitap oku.</x:v>
      </x:c>
      <x:c r="M1554" s="14" t="str">
        <x:v>Serbest Kitap</x:v>
      </x:c>
      <x:c r="N1554" s="14" t="str"/>
      <x:c r="O1554" s="14" t="n">
        <x:v>0</x:v>
      </x:c>
      <x:c r="P1554" s="14" t="str">
        <x:v>İsteğe Bağlı</x:v>
      </x:c>
      <x:c r="Q1554" s="14" t="str">
        <x:v>Hayır</x:v>
      </x:c>
      <x:c r="R1554" s="14" t="str">
        <x:v>Planlandı</x:v>
      </x:c>
      <x:c r="S1554" s="15" t="str"/>
      <x:c r="T1554" s="14" t="str">
        <x:v>Minimum süre yok.</x:v>
      </x:c>
    </x:row>
    <x:row r="1555">
      <x:c r="A1555" s="14" t="n">
        <x:v>1554</x:v>
      </x:c>
      <x:c r="B1555" s="15" t="n">
        <x:v>46420</x:v>
      </x:c>
      <x:c r="C1555" s="14" t="str">
        <x:v>Salı</x:v>
      </x:c>
      <x:c r="D1555" s="14" t="str">
        <x:v>Okul Tatili</x:v>
      </x:c>
      <x:c r="E1555" s="14" t="str">
        <x:v>MEB Yarıyıl Tatili</x:v>
      </x:c>
      <x:c r="F1555" s="14" t="str">
        <x:v>F2 - LGS Kapsam + Ustalık</x:v>
      </x:c>
      <x:c r="G1555" s="14" t="str">
        <x:v>21:50</x:v>
      </x:c>
      <x:c r="H1555" s="14" t="str">
        <x:v>22:00</x:v>
      </x:c>
      <x:c r="I1555" s="14" t="str">
        <x:v>Genel</x:v>
      </x:c>
      <x:c r="J1555" s="14" t="str">
        <x:v>Uyku Hazırlığı</x:v>
      </x:c>
      <x:c r="K1555" s="14" t="str"/>
      <x:c r="L1555" s="14" t="str">
        <x:v>22:00'de yatakta ve uyku.</x:v>
      </x:c>
      <x:c r="M1555" s="14" t="str"/>
      <x:c r="N1555" s="14" t="str"/>
      <x:c r="O1555" s="14" t="n">
        <x:v>0</x:v>
      </x:c>
      <x:c r="P1555" s="14" t="str">
        <x:v>Hayır</x:v>
      </x:c>
      <x:c r="Q1555" s="14" t="str">
        <x:v>Hayır</x:v>
      </x:c>
      <x:c r="R1555" s="14" t="str">
        <x:v>Planlandı</x:v>
      </x:c>
      <x:c r="S1555" s="15" t="str"/>
      <x:c r="T1555" s="14" t="str"/>
    </x:row>
    <x:row r="1556">
      <x:c r="A1556" s="14" t="n">
        <x:v>1555</x:v>
      </x:c>
      <x:c r="B1556" s="15" t="n">
        <x:v>46421</x:v>
      </x:c>
      <x:c r="C1556" s="14" t="str">
        <x:v>Çarşamba</x:v>
      </x:c>
      <x:c r="D1556" s="14" t="str">
        <x:v>Okul Tatili</x:v>
      </x:c>
      <x:c r="E1556" s="14" t="str">
        <x:v>MEB Yarıyıl Tatili</x:v>
      </x:c>
      <x:c r="F1556" s="14" t="str">
        <x:v>F2 - LGS Kapsam + Ustalık</x:v>
      </x:c>
      <x:c r="G1556" s="14" t="str">
        <x:v>09:30</x:v>
      </x:c>
      <x:c r="H1556" s="14" t="str">
        <x:v>10:15</x:v>
      </x:c>
      <x:c r="I1556" s="14" t="str">
        <x:v>Matematik</x:v>
      </x:c>
      <x:c r="J1556" s="14" t="str">
        <x:v>Konu / Tekrar</x:v>
      </x:c>
      <x:c r="K1556" s="14" t="str">
        <x:v>Kaynak Tamamlama / Zayıf Konu</x:v>
      </x:c>
      <x:c r="L1556" s="14" t="str">
        <x:v>Yeni konu açma. En zayıf/açık konunun ilgili playlist videosunu yalnız gerekiyorsa tekrar izle.</x:v>
      </x:c>
      <x:c r="M1556" s="14" t="str">
        <x:v>Matematik Ana Oynatma Listesi</x:v>
      </x:c>
      <x:c r="N1556" s="14" t="str">
        <x:v>https://www.youtube.com/watch?v=EuJ89QzqrAg&amp;list=PLicNtF7vp6fnfDqrRLH6H7fIbzYT4ct4F&amp;index=11</x:v>
      </x:c>
      <x:c r="O1556" s="14" t="n">
        <x:v>0</x:v>
      </x:c>
      <x:c r="P1556" s="14" t="str">
        <x:v>Hayır</x:v>
      </x:c>
      <x:c r="Q1556" s="14" t="str">
        <x:v>Evet</x:v>
      </x:c>
      <x:c r="R1556" s="14" t="str">
        <x:v>Planlandı</x:v>
      </x:c>
      <x:c r="S1556" s="15" t="str"/>
      <x:c r="T1556" s="14" t="str">
        <x:v>Yeni konu ancak plan sırasıyla açılır; LGS dışı ileri TYT içeriği zorunlu değildir.</x:v>
      </x:c>
    </x:row>
    <x:row r="1557">
      <x:c r="A1557" s="14" t="n">
        <x:v>1556</x:v>
      </x:c>
      <x:c r="B1557" s="15" t="n">
        <x:v>46421</x:v>
      </x:c>
      <x:c r="C1557" s="14" t="str">
        <x:v>Çarşamba</x:v>
      </x:c>
      <x:c r="D1557" s="14" t="str">
        <x:v>Okul Tatili</x:v>
      </x:c>
      <x:c r="E1557" s="14" t="str">
        <x:v>MEB Yarıyıl Tatili</x:v>
      </x:c>
      <x:c r="F1557" s="14" t="str">
        <x:v>F2 - LGS Kapsam + Ustalık</x:v>
      </x:c>
      <x:c r="G1557" s="14" t="str">
        <x:v>10:25</x:v>
      </x:c>
      <x:c r="H1557" s="14" t="str">
        <x:v>11:15</x:v>
      </x:c>
      <x:c r="I1557" s="14" t="str">
        <x:v>Matematik</x:v>
      </x:c>
      <x:c r="J1557" s="14" t="str">
        <x:v>Kitap / MEB / Mastery</x:v>
      </x:c>
      <x:c r="K1557" s="14" t="str">
        <x:v>Kaynak Tamamlama / Zayıf Konu</x:v>
      </x:c>
      <x:c r="L1557" s="14" t="str">
        <x:v>13 Nisan %100 tamamlama hedefine göre en geride kalan Matematik soru kaynağını/eksik MEB setini ilerlet; açık yanlışları kapat.</x:v>
      </x:c>
      <x:c r="M1557" s="14" t="str">
        <x:v>MUBA 8. Sınıf Başlangıç Matematik (ISBN 9789756526972) → tamamlandıysa Mozaik 8. Sınıf Matematik; açık MEB/yanlışlar</x:v>
      </x:c>
      <x:c r="N1557" s="14" t="str">
        <x:v>https://odsgm.meb.gov.tr/www/8sinif-calisma-sorulari/icerik/1632</x:v>
      </x:c>
      <x:c r="O1557" s="14" t="n">
        <x:v>30</x:v>
      </x:c>
      <x:c r="P1557" s="14" t="str">
        <x:v>İlk 20 soru</x:v>
      </x:c>
      <x:c r="Q1557" s="14" t="str">
        <x:v>Evet</x:v>
      </x:c>
      <x:c r="R1557" s="14" t="str">
        <x:v>Planlandı</x:v>
      </x:c>
      <x:c r="S1557" s="15" t="str"/>
      <x:c r="T1557" s="14" t="str">
        <x:v>Ayrı/rastgele matematik benchmark yoktur. Süreli ilk 20 soru o gün çalışılan konunun içindedir.</x:v>
      </x:c>
    </x:row>
    <x:row r="1558">
      <x:c r="A1558" s="14" t="n">
        <x:v>1557</x:v>
      </x:c>
      <x:c r="B1558" s="15" t="n">
        <x:v>46421</x:v>
      </x:c>
      <x:c r="C1558" s="14" t="str">
        <x:v>Çarşamba</x:v>
      </x:c>
      <x:c r="D1558" s="14" t="str">
        <x:v>Okul Tatili</x:v>
      </x:c>
      <x:c r="E1558" s="14" t="str">
        <x:v>MEB Yarıyıl Tatili</x:v>
      </x:c>
      <x:c r="F1558" s="14" t="str">
        <x:v>F2 - LGS Kapsam + Ustalık</x:v>
      </x:c>
      <x:c r="G1558" s="14" t="str">
        <x:v>12:00</x:v>
      </x:c>
      <x:c r="H1558" s="14" t="str">
        <x:v>14:00</x:v>
      </x:c>
      <x:c r="I1558" s="14" t="str">
        <x:v>Genel</x:v>
      </x:c>
      <x:c r="J1558" s="14" t="str">
        <x:v>Yemek / Serbest Zaman</x:v>
      </x:c>
      <x:c r="K1558" s="14" t="str"/>
      <x:c r="L1558" s="14" t="str">
        <x:v>Yemek, hareket ve dinlenme.</x:v>
      </x:c>
      <x:c r="M1558" s="14" t="str"/>
      <x:c r="N1558" s="14" t="str"/>
      <x:c r="O1558" s="14" t="n">
        <x:v>0</x:v>
      </x:c>
      <x:c r="P1558" s="14" t="str">
        <x:v>Hayır</x:v>
      </x:c>
      <x:c r="Q1558" s="14" t="str">
        <x:v>Hayır</x:v>
      </x:c>
      <x:c r="R1558" s="14" t="str">
        <x:v>Planlandı</x:v>
      </x:c>
      <x:c r="S1558" s="15" t="str"/>
      <x:c r="T1558" s="14" t="str"/>
    </x:row>
    <x:row r="1559">
      <x:c r="A1559" s="14" t="n">
        <x:v>1558</x:v>
      </x:c>
      <x:c r="B1559" s="15" t="n">
        <x:v>46421</x:v>
      </x:c>
      <x:c r="C1559" s="14" t="str">
        <x:v>Çarşamba</x:v>
      </x:c>
      <x:c r="D1559" s="14" t="str">
        <x:v>Okul Tatili</x:v>
      </x:c>
      <x:c r="E1559" s="14" t="str">
        <x:v>MEB Yarıyıl Tatili</x:v>
      </x:c>
      <x:c r="F1559" s="14" t="str">
        <x:v>F2 - LGS Kapsam + Ustalık</x:v>
      </x:c>
      <x:c r="G1559" s="14" t="str">
        <x:v>11:25</x:v>
      </x:c>
      <x:c r="H1559" s="14" t="str">
        <x:v>11:55</x:v>
      </x:c>
      <x:c r="I1559" s="14" t="str">
        <x:v>Türkçe</x:v>
      </x:c>
      <x:c r="J1559" s="14" t="str">
        <x:v>Paragraf Rutini</x:v>
      </x:c>
      <x:c r="K1559" s="14" t="str">
        <x:v>Paragraf</x:v>
      </x:c>
      <x:c r="L1559" s="14" t="str">
        <x:v>En az 30 paragraf sorusu çöz; ilk 20 soruyu ileri sayımla ölç, D/Y/B + süre kaydet.</x:v>
      </x:c>
      <x:c r="M1559" s="14" t="str">
        <x:v>Hız 8. Sınıf Türkçe Paragraf (ISBN 9786258394498)</x:v>
      </x:c>
      <x:c r="N1559" s="14" t="str"/>
      <x:c r="O1559" s="14" t="n">
        <x:v>30</x:v>
      </x:c>
      <x:c r="P1559" s="14" t="str">
        <x:v>İlk 20 soru</x:v>
      </x:c>
      <x:c r="Q1559" s="14" t="str">
        <x:v>Evet</x:v>
      </x:c>
      <x:c r="R1559" s="14" t="str">
        <x:v>Planlandı</x:v>
      </x:c>
      <x:c r="S1559" s="15" t="str"/>
      <x:c r="T1559" s="14" t="str">
        <x:v>Geri sayım ve hedef süre yok.</x:v>
      </x:c>
    </x:row>
    <x:row r="1560">
      <x:c r="A1560" s="14" t="n">
        <x:v>1559</x:v>
      </x:c>
      <x:c r="B1560" s="15" t="n">
        <x:v>46421</x:v>
      </x:c>
      <x:c r="C1560" s="14" t="str">
        <x:v>Çarşamba</x:v>
      </x:c>
      <x:c r="D1560" s="14" t="str">
        <x:v>Okul Tatili</x:v>
      </x:c>
      <x:c r="E1560" s="14" t="str">
        <x:v>MEB Yarıyıl Tatili</x:v>
      </x:c>
      <x:c r="F1560" s="14" t="str">
        <x:v>F2 - LGS Kapsam + Ustalık</x:v>
      </x:c>
      <x:c r="G1560" s="14" t="str">
        <x:v>14:00</x:v>
      </x:c>
      <x:c r="H1560" s="14" t="str">
        <x:v>14:40</x:v>
      </x:c>
      <x:c r="I1560" s="14" t="str">
        <x:v>Türkçe</x:v>
      </x:c>
      <x:c r="J1560" s="14" t="str">
        <x:v>Konu / Tekrar</x:v>
      </x:c>
      <x:c r="K1560" s="14" t="str">
        <x:v>Kaynak Tamamlama / Zayıf Konu</x:v>
      </x:c>
      <x:c r="L1560" s="14" t="str">
        <x:v>Yeni konu açma. En zayıf/açık konunun ilgili playlist videosunu yalnız gerekiyorsa tekrar izle.</x:v>
      </x:c>
      <x:c r="M1560" s="14" t="str">
        <x:v>Türkçe Ana Oynatma Listesi</x:v>
      </x:c>
      <x:c r="N1560" s="14" t="str">
        <x:v>https://www.youtube.com/watch?v=VYsPntNKVdw&amp;list=PLIBjFaUoJJ91bz7QQEBlxNJNZka5YQRr6</x:v>
      </x:c>
      <x:c r="O1560" s="14" t="n">
        <x:v>0</x:v>
      </x:c>
      <x:c r="P1560" s="14" t="str">
        <x:v>Hayır</x:v>
      </x:c>
      <x:c r="Q1560" s="14" t="str">
        <x:v>Evet</x:v>
      </x:c>
      <x:c r="R1560" s="14" t="str">
        <x:v>Planlandı</x:v>
      </x:c>
      <x:c r="S1560" s="15" t="str"/>
      <x:c r="T1560" s="14" t="str">
        <x:v>TYT etiketli kaynak temelden başlamak için sabittir; LGS dışı gereksiz ayrıntı zorunlu değildir.</x:v>
      </x:c>
    </x:row>
    <x:row r="1561">
      <x:c r="A1561" s="14" t="n">
        <x:v>1560</x:v>
      </x:c>
      <x:c r="B1561" s="15" t="n">
        <x:v>46421</x:v>
      </x:c>
      <x:c r="C1561" s="14" t="str">
        <x:v>Çarşamba</x:v>
      </x:c>
      <x:c r="D1561" s="14" t="str">
        <x:v>Okul Tatili</x:v>
      </x:c>
      <x:c r="E1561" s="14" t="str">
        <x:v>MEB Yarıyıl Tatili</x:v>
      </x:c>
      <x:c r="F1561" s="14" t="str">
        <x:v>F2 - LGS Kapsam + Ustalık</x:v>
      </x:c>
      <x:c r="G1561" s="14" t="str">
        <x:v>14:50</x:v>
      </x:c>
      <x:c r="H1561" s="14" t="str">
        <x:v>15:30</x:v>
      </x:c>
      <x:c r="I1561" s="14" t="str">
        <x:v>Türkçe</x:v>
      </x:c>
      <x:c r="J1561" s="14" t="str">
        <x:v>Kitap / MEB / Mastery</x:v>
      </x:c>
      <x:c r="K1561" s="14" t="str">
        <x:v>Kaynak Tamamlama / Zayıf Konu</x:v>
      </x:c>
      <x:c r="L1561" s="14" t="str">
        <x:v>13 Nisan %100 tamamlama hedefine göre en geride kalan Türkçe soru kaynağını/eksik MEB setini ilerlet; açık yanlışları kapat.</x:v>
      </x:c>
      <x:c r="M1561" s="14" t="str">
        <x:v>Ankara 8. Sınıf Dil Bilgisi Güçlendiren + açık MEB/yanlışlar</x:v>
      </x:c>
      <x:c r="N1561" s="14" t="str">
        <x:v>https://odsgm.meb.gov.tr/www/8sinif-calisma-sorulari/icerik/1632</x:v>
      </x:c>
      <x:c r="O1561" s="14" t="n">
        <x:v>15</x:v>
      </x:c>
      <x:c r="P1561" s="14" t="str">
        <x:v>Hayır</x:v>
      </x:c>
      <x:c r="Q1561" s="14" t="str">
        <x:v>Evet</x:v>
      </x:c>
      <x:c r="R1561" s="14" t="str">
        <x:v>Planlandı</x:v>
      </x:c>
      <x:c r="S1561" s="15" t="str"/>
      <x:c r="T1561" s="14" t="str"/>
    </x:row>
    <x:row r="1562">
      <x:c r="A1562" s="14" t="n">
        <x:v>1561</x:v>
      </x:c>
      <x:c r="B1562" s="15" t="n">
        <x:v>46421</x:v>
      </x:c>
      <x:c r="C1562" s="14" t="str">
        <x:v>Çarşamba</x:v>
      </x:c>
      <x:c r="D1562" s="14" t="str">
        <x:v>Okul Tatili</x:v>
      </x:c>
      <x:c r="E1562" s="14" t="str">
        <x:v>MEB Yarıyıl Tatili</x:v>
      </x:c>
      <x:c r="F1562" s="14" t="str">
        <x:v>F2 - LGS Kapsam + Ustalık</x:v>
      </x:c>
      <x:c r="G1562" s="14" t="str">
        <x:v>15:45</x:v>
      </x:c>
      <x:c r="H1562" s="14" t="str">
        <x:v>16:25</x:v>
      </x:c>
      <x:c r="I1562" s="14" t="str">
        <x:v>Din</x:v>
      </x:c>
      <x:c r="J1562" s="14" t="str">
        <x:v>Konu / Tekrar</x:v>
      </x:c>
      <x:c r="K1562" s="14" t="str">
        <x:v>İslam Dininin Temel Kaynakları ve Ana Konular</x:v>
      </x:c>
      <x:c r="L1562" s="14" t="str">
        <x:v>İslam Dininin Temel Kaynakları ve Ana Konular — genel oynatma listesinden ilgili konu/soru çalışmasını yap.</x:v>
      </x:c>
      <x:c r="M1562" s="14" t="str">
        <x:v>Din Genel Oynatma Listesi</x:v>
      </x:c>
      <x:c r="N1562" s="14" t="str">
        <x:v>https://www.youtube.com/watch?v=wvdOE_75VnA&amp;list=PLbRoPq-Zu-SWXGUbVt4t4UWo-4VjsMUo-&amp;index=2</x:v>
      </x:c>
      <x:c r="O1562" s="14" t="n">
        <x:v>0</x:v>
      </x:c>
      <x:c r="P1562" s="14" t="str">
        <x:v>Hayır</x:v>
      </x:c>
      <x:c r="Q1562" s="14" t="str">
        <x:v>Evet</x:v>
      </x:c>
      <x:c r="R1562" s="14" t="str">
        <x:v>Planlandı</x:v>
      </x:c>
      <x:c r="S1562" s="15" t="str"/>
      <x:c r="T1562" s="14" t="str"/>
    </x:row>
    <x:row r="1563">
      <x:c r="A1563" s="14" t="n">
        <x:v>1562</x:v>
      </x:c>
      <x:c r="B1563" s="15" t="n">
        <x:v>46421</x:v>
      </x:c>
      <x:c r="C1563" s="14" t="str">
        <x:v>Çarşamba</x:v>
      </x:c>
      <x:c r="D1563" s="14" t="str">
        <x:v>Okul Tatili</x:v>
      </x:c>
      <x:c r="E1563" s="14" t="str">
        <x:v>MEB Yarıyıl Tatili</x:v>
      </x:c>
      <x:c r="F1563" s="14" t="str">
        <x:v>F2 - LGS Kapsam + Ustalık</x:v>
      </x:c>
      <x:c r="G1563" s="14" t="str">
        <x:v>16:35</x:v>
      </x:c>
      <x:c r="H1563" s="14" t="str">
        <x:v>17:15</x:v>
      </x:c>
      <x:c r="I1563" s="14" t="str">
        <x:v>Din</x:v>
      </x:c>
      <x:c r="J1563" s="14" t="str">
        <x:v>Kitap / MEB / Mastery</x:v>
      </x:c>
      <x:c r="K1563" s="14" t="str">
        <x:v>İslam Dininin Temel Kaynakları ve Ana Konular</x:v>
      </x:c>
      <x:c r="L1563" s="14" t="str">
        <x:v>İslam Dininin Temel Kaynakları ve Ana Konular ile ilgili soru kitabından en az 20 soru / bugünkü test payını çöz.</x:v>
      </x:c>
      <x:c r="M1563" s="14" t="str">
        <x:v>Hız 8. Sınıf Din Kültürü ve Ahlak Bilgisi</x:v>
      </x:c>
      <x:c r="N1563" s="14" t="str">
        <x:v>https://www.youtube.com/watch?v=wvdOE_75VnA&amp;list=PLbRoPq-Zu-SWXGUbVt4t4UWo-4VjsMUo-&amp;index=2</x:v>
      </x:c>
      <x:c r="O1563" s="14" t="n">
        <x:v>20</x:v>
      </x:c>
      <x:c r="P1563" s="14" t="str">
        <x:v>Hayır</x:v>
      </x:c>
      <x:c r="Q1563" s="14" t="str">
        <x:v>Evet</x:v>
      </x:c>
      <x:c r="R1563" s="14" t="str">
        <x:v>Planlandı</x:v>
      </x:c>
      <x:c r="S1563" s="15" t="str"/>
      <x:c r="T1563" s="14" t="str"/>
    </x:row>
    <x:row r="1564">
      <x:c r="A1564" s="14" t="n">
        <x:v>1563</x:v>
      </x:c>
      <x:c r="B1564" s="15" t="n">
        <x:v>46421</x:v>
      </x:c>
      <x:c r="C1564" s="14" t="str">
        <x:v>Çarşamba</x:v>
      </x:c>
      <x:c r="D1564" s="14" t="str">
        <x:v>Okul Tatili</x:v>
      </x:c>
      <x:c r="E1564" s="14" t="str">
        <x:v>MEB Yarıyıl Tatili</x:v>
      </x:c>
      <x:c r="F1564" s="14" t="str">
        <x:v>F2 - LGS Kapsam + Ustalık</x:v>
      </x:c>
      <x:c r="G1564" s="14" t="str">
        <x:v>18:25</x:v>
      </x:c>
      <x:c r="H1564" s="14" t="str">
        <x:v>18:45</x:v>
      </x:c>
      <x:c r="I1564" s="14" t="str">
        <x:v>Genel</x:v>
      </x:c>
      <x:c r="J1564" s="14" t="str">
        <x:v>Yanlış / Boş Analizi</x:v>
      </x:c>
      <x:c r="K1564" s="14" t="str">
        <x:v>Günlük</x:v>
      </x:c>
      <x:c r="L1564" s="14" t="str">
        <x:v>Bugünkü yanlış/boşları kaydet; çözümünü öğrenmeden kapatma. Hata türünü sınıflandır.</x:v>
      </x:c>
      <x:c r="M1564" s="14" t="str">
        <x:v>Yanlış Defteri</x:v>
      </x:c>
      <x:c r="N1564" s="14" t="str"/>
      <x:c r="O1564" s="14" t="n">
        <x:v>0</x:v>
      </x:c>
      <x:c r="P1564" s="14" t="str">
        <x:v>Hayır</x:v>
      </x:c>
      <x:c r="Q1564" s="14" t="str">
        <x:v>Evet</x:v>
      </x:c>
      <x:c r="R1564" s="14" t="str">
        <x:v>Planlandı</x:v>
      </x:c>
      <x:c r="S1564" s="15" t="str"/>
      <x:c r="T1564" s="14" t="str"/>
    </x:row>
    <x:row r="1565">
      <x:c r="A1565" s="14" t="n">
        <x:v>1564</x:v>
      </x:c>
      <x:c r="B1565" s="15" t="n">
        <x:v>46421</x:v>
      </x:c>
      <x:c r="C1565" s="14" t="str">
        <x:v>Çarşamba</x:v>
      </x:c>
      <x:c r="D1565" s="14" t="str">
        <x:v>Okul Tatili</x:v>
      </x:c>
      <x:c r="E1565" s="14" t="str">
        <x:v>MEB Yarıyıl Tatili</x:v>
      </x:c>
      <x:c r="F1565" s="14" t="str">
        <x:v>F2 - LGS Kapsam + Ustalık</x:v>
      </x:c>
      <x:c r="G1565" s="14" t="str">
        <x:v>18:45</x:v>
      </x:c>
      <x:c r="H1565" s="14" t="str">
        <x:v>19:05</x:v>
      </x:c>
      <x:c r="I1565" s="14" t="str">
        <x:v>Genel</x:v>
      </x:c>
      <x:c r="J1565" s="14" t="str">
        <x:v>Aralıklı Hata Tekrarı</x:v>
      </x:c>
      <x:c r="K1565" s="14" t="str">
        <x:v>+1 / +7 / +21</x:v>
      </x:c>
      <x:c r="L1565" s="14" t="str">
        <x:v>Bugün vadesi gelen yanlış soruları tekrar çöz. Vadesi yoksa bu süre serbest/okuma olabilir.</x:v>
      </x:c>
      <x:c r="M1565" s="14" t="str">
        <x:v>Yanlış Defteri</x:v>
      </x:c>
      <x:c r="N1565" s="14" t="str"/>
      <x:c r="O1565" s="14" t="n">
        <x:v>0</x:v>
      </x:c>
      <x:c r="P1565" s="14" t="str">
        <x:v>Hayır</x:v>
      </x:c>
      <x:c r="Q1565" s="14" t="str">
        <x:v>Koşullu</x:v>
      </x:c>
      <x:c r="R1565" s="14" t="str">
        <x:v>Planlandı</x:v>
      </x:c>
      <x:c r="S1565" s="15" t="str"/>
      <x:c r="T1565" s="14" t="str">
        <x:v>Yanlışlar +1, +7 ve +21 gün aralıklarıyla tekrar edilir; hâlâ yanlışsa konu mastery durumu düşürülür.</x:v>
      </x:c>
    </x:row>
    <x:row r="1566">
      <x:c r="A1566" s="14" t="n">
        <x:v>1565</x:v>
      </x:c>
      <x:c r="B1566" s="15" t="n">
        <x:v>46421</x:v>
      </x:c>
      <x:c r="C1566" s="14" t="str">
        <x:v>Çarşamba</x:v>
      </x:c>
      <x:c r="D1566" s="14" t="str">
        <x:v>Okul Tatili</x:v>
      </x:c>
      <x:c r="E1566" s="14" t="str">
        <x:v>MEB Yarıyıl Tatili</x:v>
      </x:c>
      <x:c r="F1566" s="14" t="str">
        <x:v>F2 - LGS Kapsam + Ustalık</x:v>
      </x:c>
      <x:c r="G1566" s="14" t="str">
        <x:v>20:00</x:v>
      </x:c>
      <x:c r="H1566" s="14" t="str">
        <x:v>20:30</x:v>
      </x:c>
      <x:c r="I1566" s="14" t="str">
        <x:v>Okuma</x:v>
      </x:c>
      <x:c r="J1566" s="14" t="str">
        <x:v>İsteğe Bağlı</x:v>
      </x:c>
      <x:c r="K1566" s="14" t="str">
        <x:v>Serbest Kitap</x:v>
      </x:c>
      <x:c r="L1566" s="14" t="str">
        <x:v>Zorunlu çalışmalar bittiyse isteğe bağlı kitap oku.</x:v>
      </x:c>
      <x:c r="M1566" s="14" t="str">
        <x:v>Serbest Kitap</x:v>
      </x:c>
      <x:c r="N1566" s="14" t="str"/>
      <x:c r="O1566" s="14" t="n">
        <x:v>0</x:v>
      </x:c>
      <x:c r="P1566" s="14" t="str">
        <x:v>İsteğe Bağlı</x:v>
      </x:c>
      <x:c r="Q1566" s="14" t="str">
        <x:v>Hayır</x:v>
      </x:c>
      <x:c r="R1566" s="14" t="str">
        <x:v>Planlandı</x:v>
      </x:c>
      <x:c r="S1566" s="15" t="str"/>
      <x:c r="T1566" s="14" t="str">
        <x:v>Minimum süre yok.</x:v>
      </x:c>
    </x:row>
    <x:row r="1567">
      <x:c r="A1567" s="14" t="n">
        <x:v>1566</x:v>
      </x:c>
      <x:c r="B1567" s="15" t="n">
        <x:v>46421</x:v>
      </x:c>
      <x:c r="C1567" s="14" t="str">
        <x:v>Çarşamba</x:v>
      </x:c>
      <x:c r="D1567" s="14" t="str">
        <x:v>Okul Tatili</x:v>
      </x:c>
      <x:c r="E1567" s="14" t="str">
        <x:v>MEB Yarıyıl Tatili</x:v>
      </x:c>
      <x:c r="F1567" s="14" t="str">
        <x:v>F2 - LGS Kapsam + Ustalık</x:v>
      </x:c>
      <x:c r="G1567" s="14" t="str">
        <x:v>21:50</x:v>
      </x:c>
      <x:c r="H1567" s="14" t="str">
        <x:v>22:00</x:v>
      </x:c>
      <x:c r="I1567" s="14" t="str">
        <x:v>Genel</x:v>
      </x:c>
      <x:c r="J1567" s="14" t="str">
        <x:v>Uyku Hazırlığı</x:v>
      </x:c>
      <x:c r="K1567" s="14" t="str"/>
      <x:c r="L1567" s="14" t="str">
        <x:v>22:00'de yatakta ve uyku.</x:v>
      </x:c>
      <x:c r="M1567" s="14" t="str"/>
      <x:c r="N1567" s="14" t="str"/>
      <x:c r="O1567" s="14" t="n">
        <x:v>0</x:v>
      </x:c>
      <x:c r="P1567" s="14" t="str">
        <x:v>Hayır</x:v>
      </x:c>
      <x:c r="Q1567" s="14" t="str">
        <x:v>Hayır</x:v>
      </x:c>
      <x:c r="R1567" s="14" t="str">
        <x:v>Planlandı</x:v>
      </x:c>
      <x:c r="S1567" s="15" t="str"/>
      <x:c r="T1567" s="14" t="str"/>
    </x:row>
    <x:row r="1568">
      <x:c r="A1568" s="14" t="n">
        <x:v>1567</x:v>
      </x:c>
      <x:c r="B1568" s="15" t="n">
        <x:v>46422</x:v>
      </x:c>
      <x:c r="C1568" s="14" t="str">
        <x:v>Perşembe</x:v>
      </x:c>
      <x:c r="D1568" s="14" t="str">
        <x:v>Okul Tatili</x:v>
      </x:c>
      <x:c r="E1568" s="14" t="str">
        <x:v>MEB Yarıyıl Tatili</x:v>
      </x:c>
      <x:c r="F1568" s="14" t="str">
        <x:v>F2 - LGS Kapsam + Ustalık</x:v>
      </x:c>
      <x:c r="G1568" s="14" t="str">
        <x:v>09:30</x:v>
      </x:c>
      <x:c r="H1568" s="14" t="str">
        <x:v>10:15</x:v>
      </x:c>
      <x:c r="I1568" s="14" t="str">
        <x:v>Matematik</x:v>
      </x:c>
      <x:c r="J1568" s="14" t="str">
        <x:v>Konu / Tekrar</x:v>
      </x:c>
      <x:c r="K1568" s="14" t="str">
        <x:v>Kaynak Tamamlama / Zayıf Konu</x:v>
      </x:c>
      <x:c r="L1568" s="14" t="str">
        <x:v>Yeni konu açma. En zayıf/açık konunun ilgili playlist videosunu yalnız gerekiyorsa tekrar izle.</x:v>
      </x:c>
      <x:c r="M1568" s="14" t="str">
        <x:v>Matematik Ana Oynatma Listesi</x:v>
      </x:c>
      <x:c r="N1568" s="14" t="str">
        <x:v>https://www.youtube.com/watch?v=EuJ89QzqrAg&amp;list=PLicNtF7vp6fnfDqrRLH6H7fIbzYT4ct4F&amp;index=11</x:v>
      </x:c>
      <x:c r="O1568" s="14" t="n">
        <x:v>0</x:v>
      </x:c>
      <x:c r="P1568" s="14" t="str">
        <x:v>Hayır</x:v>
      </x:c>
      <x:c r="Q1568" s="14" t="str">
        <x:v>Evet</x:v>
      </x:c>
      <x:c r="R1568" s="14" t="str">
        <x:v>Planlandı</x:v>
      </x:c>
      <x:c r="S1568" s="15" t="str"/>
      <x:c r="T1568" s="14" t="str">
        <x:v>Yeni konu ancak plan sırasıyla açılır; LGS dışı ileri TYT içeriği zorunlu değildir.</x:v>
      </x:c>
    </x:row>
    <x:row r="1569">
      <x:c r="A1569" s="14" t="n">
        <x:v>1568</x:v>
      </x:c>
      <x:c r="B1569" s="15" t="n">
        <x:v>46422</x:v>
      </x:c>
      <x:c r="C1569" s="14" t="str">
        <x:v>Perşembe</x:v>
      </x:c>
      <x:c r="D1569" s="14" t="str">
        <x:v>Okul Tatili</x:v>
      </x:c>
      <x:c r="E1569" s="14" t="str">
        <x:v>MEB Yarıyıl Tatili</x:v>
      </x:c>
      <x:c r="F1569" s="14" t="str">
        <x:v>F2 - LGS Kapsam + Ustalık</x:v>
      </x:c>
      <x:c r="G1569" s="14" t="str">
        <x:v>10:25</x:v>
      </x:c>
      <x:c r="H1569" s="14" t="str">
        <x:v>11:15</x:v>
      </x:c>
      <x:c r="I1569" s="14" t="str">
        <x:v>Matematik</x:v>
      </x:c>
      <x:c r="J1569" s="14" t="str">
        <x:v>Kitap / MEB / Mastery</x:v>
      </x:c>
      <x:c r="K1569" s="14" t="str">
        <x:v>Kaynak Tamamlama / Zayıf Konu</x:v>
      </x:c>
      <x:c r="L1569" s="14" t="str">
        <x:v>13 Nisan %100 tamamlama hedefine göre en geride kalan Matematik soru kaynağını/eksik MEB setini ilerlet; açık yanlışları kapat.</x:v>
      </x:c>
      <x:c r="M1569" s="14" t="str">
        <x:v>MUBA 8. Sınıf Başlangıç Matematik (ISBN 9789756526972) → tamamlandıysa Mozaik 8. Sınıf Matematik; açık MEB/yanlışlar</x:v>
      </x:c>
      <x:c r="N1569" s="14" t="str">
        <x:v>https://odsgm.meb.gov.tr/www/8sinif-calisma-sorulari/icerik/1632</x:v>
      </x:c>
      <x:c r="O1569" s="14" t="n">
        <x:v>30</x:v>
      </x:c>
      <x:c r="P1569" s="14" t="str">
        <x:v>İlk 20 soru</x:v>
      </x:c>
      <x:c r="Q1569" s="14" t="str">
        <x:v>Evet</x:v>
      </x:c>
      <x:c r="R1569" s="14" t="str">
        <x:v>Planlandı</x:v>
      </x:c>
      <x:c r="S1569" s="15" t="str"/>
      <x:c r="T1569" s="14" t="str">
        <x:v>Ayrı/rastgele matematik benchmark yoktur. Süreli ilk 20 soru o gün çalışılan konunun içindedir.</x:v>
      </x:c>
    </x:row>
    <x:row r="1570">
      <x:c r="A1570" s="14" t="n">
        <x:v>1569</x:v>
      </x:c>
      <x:c r="B1570" s="15" t="n">
        <x:v>46422</x:v>
      </x:c>
      <x:c r="C1570" s="14" t="str">
        <x:v>Perşembe</x:v>
      </x:c>
      <x:c r="D1570" s="14" t="str">
        <x:v>Okul Tatili</x:v>
      </x:c>
      <x:c r="E1570" s="14" t="str">
        <x:v>MEB Yarıyıl Tatili</x:v>
      </x:c>
      <x:c r="F1570" s="14" t="str">
        <x:v>F2 - LGS Kapsam + Ustalık</x:v>
      </x:c>
      <x:c r="G1570" s="14" t="str">
        <x:v>12:00</x:v>
      </x:c>
      <x:c r="H1570" s="14" t="str">
        <x:v>14:00</x:v>
      </x:c>
      <x:c r="I1570" s="14" t="str">
        <x:v>Genel</x:v>
      </x:c>
      <x:c r="J1570" s="14" t="str">
        <x:v>Yemek / Serbest Zaman</x:v>
      </x:c>
      <x:c r="K1570" s="14" t="str"/>
      <x:c r="L1570" s="14" t="str">
        <x:v>Yemek, hareket ve dinlenme.</x:v>
      </x:c>
      <x:c r="M1570" s="14" t="str"/>
      <x:c r="N1570" s="14" t="str"/>
      <x:c r="O1570" s="14" t="n">
        <x:v>0</x:v>
      </x:c>
      <x:c r="P1570" s="14" t="str">
        <x:v>Hayır</x:v>
      </x:c>
      <x:c r="Q1570" s="14" t="str">
        <x:v>Hayır</x:v>
      </x:c>
      <x:c r="R1570" s="14" t="str">
        <x:v>Planlandı</x:v>
      </x:c>
      <x:c r="S1570" s="15" t="str"/>
      <x:c r="T1570" s="14" t="str"/>
    </x:row>
    <x:row r="1571">
      <x:c r="A1571" s="14" t="n">
        <x:v>1570</x:v>
      </x:c>
      <x:c r="B1571" s="15" t="n">
        <x:v>46422</x:v>
      </x:c>
      <x:c r="C1571" s="14" t="str">
        <x:v>Perşembe</x:v>
      </x:c>
      <x:c r="D1571" s="14" t="str">
        <x:v>Okul Tatili</x:v>
      </x:c>
      <x:c r="E1571" s="14" t="str">
        <x:v>MEB Yarıyıl Tatili</x:v>
      </x:c>
      <x:c r="F1571" s="14" t="str">
        <x:v>F2 - LGS Kapsam + Ustalık</x:v>
      </x:c>
      <x:c r="G1571" s="14" t="str">
        <x:v>11:25</x:v>
      </x:c>
      <x:c r="H1571" s="14" t="str">
        <x:v>11:55</x:v>
      </x:c>
      <x:c r="I1571" s="14" t="str">
        <x:v>Türkçe</x:v>
      </x:c>
      <x:c r="J1571" s="14" t="str">
        <x:v>Paragraf Rutini</x:v>
      </x:c>
      <x:c r="K1571" s="14" t="str">
        <x:v>Paragraf</x:v>
      </x:c>
      <x:c r="L1571" s="14" t="str">
        <x:v>En az 30 paragraf sorusu çöz; ilk 20 soruyu ileri sayımla ölç, D/Y/B + süre kaydet.</x:v>
      </x:c>
      <x:c r="M1571" s="14" t="str">
        <x:v>Hız 8. Sınıf Türkçe Paragraf (ISBN 9786258394498)</x:v>
      </x:c>
      <x:c r="N1571" s="14" t="str"/>
      <x:c r="O1571" s="14" t="n">
        <x:v>30</x:v>
      </x:c>
      <x:c r="P1571" s="14" t="str">
        <x:v>İlk 20 soru</x:v>
      </x:c>
      <x:c r="Q1571" s="14" t="str">
        <x:v>Evet</x:v>
      </x:c>
      <x:c r="R1571" s="14" t="str">
        <x:v>Planlandı</x:v>
      </x:c>
      <x:c r="S1571" s="15" t="str"/>
      <x:c r="T1571" s="14" t="str">
        <x:v>Geri sayım ve hedef süre yok.</x:v>
      </x:c>
    </x:row>
    <x:row r="1572">
      <x:c r="A1572" s="14" t="n">
        <x:v>1571</x:v>
      </x:c>
      <x:c r="B1572" s="15" t="n">
        <x:v>46422</x:v>
      </x:c>
      <x:c r="C1572" s="14" t="str">
        <x:v>Perşembe</x:v>
      </x:c>
      <x:c r="D1572" s="14" t="str">
        <x:v>Okul Tatili</x:v>
      </x:c>
      <x:c r="E1572" s="14" t="str">
        <x:v>MEB Yarıyıl Tatili</x:v>
      </x:c>
      <x:c r="F1572" s="14" t="str">
        <x:v>F2 - LGS Kapsam + Ustalık</x:v>
      </x:c>
      <x:c r="G1572" s="14" t="str">
        <x:v>14:00</x:v>
      </x:c>
      <x:c r="H1572" s="14" t="str">
        <x:v>14:40</x:v>
      </x:c>
      <x:c r="I1572" s="14" t="str">
        <x:v>Türkçe</x:v>
      </x:c>
      <x:c r="J1572" s="14" t="str">
        <x:v>Konu / Tekrar</x:v>
      </x:c>
      <x:c r="K1572" s="14" t="str">
        <x:v>Kaynak Tamamlama / Zayıf Konu</x:v>
      </x:c>
      <x:c r="L1572" s="14" t="str">
        <x:v>Yeni konu açma. En zayıf/açık konunun ilgili playlist videosunu yalnız gerekiyorsa tekrar izle.</x:v>
      </x:c>
      <x:c r="M1572" s="14" t="str">
        <x:v>Türkçe Ana Oynatma Listesi</x:v>
      </x:c>
      <x:c r="N1572" s="14" t="str">
        <x:v>https://www.youtube.com/watch?v=VYsPntNKVdw&amp;list=PLIBjFaUoJJ91bz7QQEBlxNJNZka5YQRr6</x:v>
      </x:c>
      <x:c r="O1572" s="14" t="n">
        <x:v>0</x:v>
      </x:c>
      <x:c r="P1572" s="14" t="str">
        <x:v>Hayır</x:v>
      </x:c>
      <x:c r="Q1572" s="14" t="str">
        <x:v>Evet</x:v>
      </x:c>
      <x:c r="R1572" s="14" t="str">
        <x:v>Planlandı</x:v>
      </x:c>
      <x:c r="S1572" s="15" t="str"/>
      <x:c r="T1572" s="14" t="str">
        <x:v>TYT etiketli kaynak temelden başlamak için sabittir; LGS dışı gereksiz ayrıntı zorunlu değildir.</x:v>
      </x:c>
    </x:row>
    <x:row r="1573">
      <x:c r="A1573" s="14" t="n">
        <x:v>1572</x:v>
      </x:c>
      <x:c r="B1573" s="15" t="n">
        <x:v>46422</x:v>
      </x:c>
      <x:c r="C1573" s="14" t="str">
        <x:v>Perşembe</x:v>
      </x:c>
      <x:c r="D1573" s="14" t="str">
        <x:v>Okul Tatili</x:v>
      </x:c>
      <x:c r="E1573" s="14" t="str">
        <x:v>MEB Yarıyıl Tatili</x:v>
      </x:c>
      <x:c r="F1573" s="14" t="str">
        <x:v>F2 - LGS Kapsam + Ustalık</x:v>
      </x:c>
      <x:c r="G1573" s="14" t="str">
        <x:v>14:50</x:v>
      </x:c>
      <x:c r="H1573" s="14" t="str">
        <x:v>15:30</x:v>
      </x:c>
      <x:c r="I1573" s="14" t="str">
        <x:v>Türkçe</x:v>
      </x:c>
      <x:c r="J1573" s="14" t="str">
        <x:v>Kitap / MEB / Mastery</x:v>
      </x:c>
      <x:c r="K1573" s="14" t="str">
        <x:v>Kaynak Tamamlama / Zayıf Konu</x:v>
      </x:c>
      <x:c r="L1573" s="14" t="str">
        <x:v>13 Nisan %100 tamamlama hedefine göre en geride kalan Türkçe soru kaynağını/eksik MEB setini ilerlet; açık yanlışları kapat.</x:v>
      </x:c>
      <x:c r="M1573" s="14" t="str">
        <x:v>Ankara 8. Sınıf Dil Bilgisi Güçlendiren + açık MEB/yanlışlar</x:v>
      </x:c>
      <x:c r="N1573" s="14" t="str">
        <x:v>https://odsgm.meb.gov.tr/www/8sinif-calisma-sorulari/icerik/1632</x:v>
      </x:c>
      <x:c r="O1573" s="14" t="n">
        <x:v>15</x:v>
      </x:c>
      <x:c r="P1573" s="14" t="str">
        <x:v>Hayır</x:v>
      </x:c>
      <x:c r="Q1573" s="14" t="str">
        <x:v>Evet</x:v>
      </x:c>
      <x:c r="R1573" s="14" t="str">
        <x:v>Planlandı</x:v>
      </x:c>
      <x:c r="S1573" s="15" t="str"/>
      <x:c r="T1573" s="14" t="str"/>
    </x:row>
    <x:row r="1574">
      <x:c r="A1574" s="14" t="n">
        <x:v>1573</x:v>
      </x:c>
      <x:c r="B1574" s="15" t="n">
        <x:v>46422</x:v>
      </x:c>
      <x:c r="C1574" s="14" t="str">
        <x:v>Perşembe</x:v>
      </x:c>
      <x:c r="D1574" s="14" t="str">
        <x:v>Okul Tatili</x:v>
      </x:c>
      <x:c r="E1574" s="14" t="str">
        <x:v>MEB Yarıyıl Tatili</x:v>
      </x:c>
      <x:c r="F1574" s="14" t="str">
        <x:v>F2 - LGS Kapsam + Ustalık</x:v>
      </x:c>
      <x:c r="G1574" s="14" t="str">
        <x:v>15:45</x:v>
      </x:c>
      <x:c r="H1574" s="14" t="str">
        <x:v>16:25</x:v>
      </x:c>
      <x:c r="I1574" s="14" t="str">
        <x:v>İnkılap</x:v>
      </x:c>
      <x:c r="J1574" s="14" t="str">
        <x:v>Konu / Tekrar</x:v>
      </x:c>
      <x:c r="K1574" s="14" t="str">
        <x:v>Demokratikleşme Çabaları</x:v>
      </x:c>
      <x:c r="L1574" s="14" t="str">
        <x:v>Demokratikleşme Çabaları — genel oynatma listesinden ilgili konu/soru çalışmasını yap.</x:v>
      </x:c>
      <x:c r="M1574" s="14" t="str">
        <x:v>İnkılap Genel Oynatma Listesi</x:v>
      </x:c>
      <x:c r="N1574" s="14" t="str">
        <x:v>https://www.youtube.com/watch?v=MltIX0oKpYU&amp;list=PLsAsBPsriHNbXit4Ra3iuBrk1ZHZWxsOR&amp;index=78</x:v>
      </x:c>
      <x:c r="O1574" s="14" t="n">
        <x:v>0</x:v>
      </x:c>
      <x:c r="P1574" s="14" t="str">
        <x:v>Hayır</x:v>
      </x:c>
      <x:c r="Q1574" s="14" t="str">
        <x:v>Evet</x:v>
      </x:c>
      <x:c r="R1574" s="14" t="str">
        <x:v>Planlandı</x:v>
      </x:c>
      <x:c r="S1574" s="15" t="str"/>
      <x:c r="T1574" s="14" t="str">
        <x:v>İnkılapta okul yazılısı videoları zorunlu değildir.</x:v>
      </x:c>
    </x:row>
    <x:row r="1575">
      <x:c r="A1575" s="14" t="n">
        <x:v>1574</x:v>
      </x:c>
      <x:c r="B1575" s="15" t="n">
        <x:v>46422</x:v>
      </x:c>
      <x:c r="C1575" s="14" t="str">
        <x:v>Perşembe</x:v>
      </x:c>
      <x:c r="D1575" s="14" t="str">
        <x:v>Okul Tatili</x:v>
      </x:c>
      <x:c r="E1575" s="14" t="str">
        <x:v>MEB Yarıyıl Tatili</x:v>
      </x:c>
      <x:c r="F1575" s="14" t="str">
        <x:v>F2 - LGS Kapsam + Ustalık</x:v>
      </x:c>
      <x:c r="G1575" s="14" t="str">
        <x:v>16:35</x:v>
      </x:c>
      <x:c r="H1575" s="14" t="str">
        <x:v>17:15</x:v>
      </x:c>
      <x:c r="I1575" s="14" t="str">
        <x:v>İnkılap</x:v>
      </x:c>
      <x:c r="J1575" s="14" t="str">
        <x:v>Kitap / MEB / Mastery</x:v>
      </x:c>
      <x:c r="K1575" s="14" t="str">
        <x:v>Demokratikleşme Çabaları</x:v>
      </x:c>
      <x:c r="L1575" s="14" t="str">
        <x:v>Demokratikleşme Çabaları ile ilgili soru kitabından en az 20 soru / bugünkü test payını çöz.</x:v>
      </x:c>
      <x:c r="M1575" s="14" t="str">
        <x:v>Hız 8. Sınıf T.C. İnkılap Tarihi ve Atatürkçülük</x:v>
      </x:c>
      <x:c r="N1575" s="14" t="str">
        <x:v>https://www.youtube.com/watch?v=MltIX0oKpYU&amp;list=PLsAsBPsriHNbXit4Ra3iuBrk1ZHZWxsOR&amp;index=78</x:v>
      </x:c>
      <x:c r="O1575" s="14" t="n">
        <x:v>20</x:v>
      </x:c>
      <x:c r="P1575" s="14" t="str">
        <x:v>Hayır</x:v>
      </x:c>
      <x:c r="Q1575" s="14" t="str">
        <x:v>Evet</x:v>
      </x:c>
      <x:c r="R1575" s="14" t="str">
        <x:v>Planlandı</x:v>
      </x:c>
      <x:c r="S1575" s="15" t="str"/>
      <x:c r="T1575" s="14" t="str"/>
    </x:row>
    <x:row r="1576">
      <x:c r="A1576" s="14" t="n">
        <x:v>1575</x:v>
      </x:c>
      <x:c r="B1576" s="15" t="n">
        <x:v>46422</x:v>
      </x:c>
      <x:c r="C1576" s="14" t="str">
        <x:v>Perşembe</x:v>
      </x:c>
      <x:c r="D1576" s="14" t="str">
        <x:v>Okul Tatili</x:v>
      </x:c>
      <x:c r="E1576" s="14" t="str">
        <x:v>MEB Yarıyıl Tatili</x:v>
      </x:c>
      <x:c r="F1576" s="14" t="str">
        <x:v>F2 - LGS Kapsam + Ustalık</x:v>
      </x:c>
      <x:c r="G1576" s="14" t="str">
        <x:v>18:25</x:v>
      </x:c>
      <x:c r="H1576" s="14" t="str">
        <x:v>18:45</x:v>
      </x:c>
      <x:c r="I1576" s="14" t="str">
        <x:v>Genel</x:v>
      </x:c>
      <x:c r="J1576" s="14" t="str">
        <x:v>Yanlış / Boş Analizi</x:v>
      </x:c>
      <x:c r="K1576" s="14" t="str">
        <x:v>Günlük</x:v>
      </x:c>
      <x:c r="L1576" s="14" t="str">
        <x:v>Bugünkü yanlış/boşları kaydet; çözümünü öğrenmeden kapatma. Hata türünü sınıflandır.</x:v>
      </x:c>
      <x:c r="M1576" s="14" t="str">
        <x:v>Yanlış Defteri</x:v>
      </x:c>
      <x:c r="N1576" s="14" t="str"/>
      <x:c r="O1576" s="14" t="n">
        <x:v>0</x:v>
      </x:c>
      <x:c r="P1576" s="14" t="str">
        <x:v>Hayır</x:v>
      </x:c>
      <x:c r="Q1576" s="14" t="str">
        <x:v>Evet</x:v>
      </x:c>
      <x:c r="R1576" s="14" t="str">
        <x:v>Planlandı</x:v>
      </x:c>
      <x:c r="S1576" s="15" t="str"/>
      <x:c r="T1576" s="14" t="str"/>
    </x:row>
    <x:row r="1577">
      <x:c r="A1577" s="14" t="n">
        <x:v>1576</x:v>
      </x:c>
      <x:c r="B1577" s="15" t="n">
        <x:v>46422</x:v>
      </x:c>
      <x:c r="C1577" s="14" t="str">
        <x:v>Perşembe</x:v>
      </x:c>
      <x:c r="D1577" s="14" t="str">
        <x:v>Okul Tatili</x:v>
      </x:c>
      <x:c r="E1577" s="14" t="str">
        <x:v>MEB Yarıyıl Tatili</x:v>
      </x:c>
      <x:c r="F1577" s="14" t="str">
        <x:v>F2 - LGS Kapsam + Ustalık</x:v>
      </x:c>
      <x:c r="G1577" s="14" t="str">
        <x:v>18:45</x:v>
      </x:c>
      <x:c r="H1577" s="14" t="str">
        <x:v>19:05</x:v>
      </x:c>
      <x:c r="I1577" s="14" t="str">
        <x:v>Genel</x:v>
      </x:c>
      <x:c r="J1577" s="14" t="str">
        <x:v>Aralıklı Hata Tekrarı</x:v>
      </x:c>
      <x:c r="K1577" s="14" t="str">
        <x:v>+1 / +7 / +21</x:v>
      </x:c>
      <x:c r="L1577" s="14" t="str">
        <x:v>Bugün vadesi gelen yanlış soruları tekrar çöz. Vadesi yoksa bu süre serbest/okuma olabilir.</x:v>
      </x:c>
      <x:c r="M1577" s="14" t="str">
        <x:v>Yanlış Defteri</x:v>
      </x:c>
      <x:c r="N1577" s="14" t="str"/>
      <x:c r="O1577" s="14" t="n">
        <x:v>0</x:v>
      </x:c>
      <x:c r="P1577" s="14" t="str">
        <x:v>Hayır</x:v>
      </x:c>
      <x:c r="Q1577" s="14" t="str">
        <x:v>Koşullu</x:v>
      </x:c>
      <x:c r="R1577" s="14" t="str">
        <x:v>Planlandı</x:v>
      </x:c>
      <x:c r="S1577" s="15" t="str"/>
      <x:c r="T1577" s="14" t="str">
        <x:v>Yanlışlar +1, +7 ve +21 gün aralıklarıyla tekrar edilir; hâlâ yanlışsa konu mastery durumu düşürülür.</x:v>
      </x:c>
    </x:row>
    <x:row r="1578">
      <x:c r="A1578" s="14" t="n">
        <x:v>1577</x:v>
      </x:c>
      <x:c r="B1578" s="15" t="n">
        <x:v>46422</x:v>
      </x:c>
      <x:c r="C1578" s="14" t="str">
        <x:v>Perşembe</x:v>
      </x:c>
      <x:c r="D1578" s="14" t="str">
        <x:v>Okul Tatili</x:v>
      </x:c>
      <x:c r="E1578" s="14" t="str">
        <x:v>MEB Yarıyıl Tatili</x:v>
      </x:c>
      <x:c r="F1578" s="14" t="str">
        <x:v>F2 - LGS Kapsam + Ustalık</x:v>
      </x:c>
      <x:c r="G1578" s="14" t="str">
        <x:v>20:00</x:v>
      </x:c>
      <x:c r="H1578" s="14" t="str">
        <x:v>20:30</x:v>
      </x:c>
      <x:c r="I1578" s="14" t="str">
        <x:v>Okuma</x:v>
      </x:c>
      <x:c r="J1578" s="14" t="str">
        <x:v>İsteğe Bağlı</x:v>
      </x:c>
      <x:c r="K1578" s="14" t="str">
        <x:v>Serbest Kitap</x:v>
      </x:c>
      <x:c r="L1578" s="14" t="str">
        <x:v>Zorunlu çalışmalar bittiyse isteğe bağlı kitap oku.</x:v>
      </x:c>
      <x:c r="M1578" s="14" t="str">
        <x:v>Serbest Kitap</x:v>
      </x:c>
      <x:c r="N1578" s="14" t="str"/>
      <x:c r="O1578" s="14" t="n">
        <x:v>0</x:v>
      </x:c>
      <x:c r="P1578" s="14" t="str">
        <x:v>İsteğe Bağlı</x:v>
      </x:c>
      <x:c r="Q1578" s="14" t="str">
        <x:v>Hayır</x:v>
      </x:c>
      <x:c r="R1578" s="14" t="str">
        <x:v>Planlandı</x:v>
      </x:c>
      <x:c r="S1578" s="15" t="str"/>
      <x:c r="T1578" s="14" t="str">
        <x:v>Minimum süre yok.</x:v>
      </x:c>
    </x:row>
    <x:row r="1579">
      <x:c r="A1579" s="14" t="n">
        <x:v>1578</x:v>
      </x:c>
      <x:c r="B1579" s="15" t="n">
        <x:v>46422</x:v>
      </x:c>
      <x:c r="C1579" s="14" t="str">
        <x:v>Perşembe</x:v>
      </x:c>
      <x:c r="D1579" s="14" t="str">
        <x:v>Okul Tatili</x:v>
      </x:c>
      <x:c r="E1579" s="14" t="str">
        <x:v>MEB Yarıyıl Tatili</x:v>
      </x:c>
      <x:c r="F1579" s="14" t="str">
        <x:v>F2 - LGS Kapsam + Ustalık</x:v>
      </x:c>
      <x:c r="G1579" s="14" t="str">
        <x:v>21:50</x:v>
      </x:c>
      <x:c r="H1579" s="14" t="str">
        <x:v>22:00</x:v>
      </x:c>
      <x:c r="I1579" s="14" t="str">
        <x:v>Genel</x:v>
      </x:c>
      <x:c r="J1579" s="14" t="str">
        <x:v>Uyku Hazırlığı</x:v>
      </x:c>
      <x:c r="K1579" s="14" t="str"/>
      <x:c r="L1579" s="14" t="str">
        <x:v>22:00'de yatakta ve uyku.</x:v>
      </x:c>
      <x:c r="M1579" s="14" t="str"/>
      <x:c r="N1579" s="14" t="str"/>
      <x:c r="O1579" s="14" t="n">
        <x:v>0</x:v>
      </x:c>
      <x:c r="P1579" s="14" t="str">
        <x:v>Hayır</x:v>
      </x:c>
      <x:c r="Q1579" s="14" t="str">
        <x:v>Hayır</x:v>
      </x:c>
      <x:c r="R1579" s="14" t="str">
        <x:v>Planlandı</x:v>
      </x:c>
      <x:c r="S1579" s="15" t="str"/>
      <x:c r="T1579" s="14" t="str"/>
    </x:row>
    <x:row r="1580">
      <x:c r="A1580" s="14" t="n">
        <x:v>1579</x:v>
      </x:c>
      <x:c r="B1580" s="15" t="n">
        <x:v>46423</x:v>
      </x:c>
      <x:c r="C1580" s="14" t="str">
        <x:v>Cuma</x:v>
      </x:c>
      <x:c r="D1580" s="14" t="str">
        <x:v>Okul Tatili</x:v>
      </x:c>
      <x:c r="E1580" s="14" t="str">
        <x:v>MEB Yarıyıl Tatili</x:v>
      </x:c>
      <x:c r="F1580" s="14" t="str">
        <x:v>F2 - LGS Kapsam + Ustalık</x:v>
      </x:c>
      <x:c r="G1580" s="14" t="str">
        <x:v>09:30</x:v>
      </x:c>
      <x:c r="H1580" s="14" t="str">
        <x:v>10:15</x:v>
      </x:c>
      <x:c r="I1580" s="14" t="str">
        <x:v>Matematik</x:v>
      </x:c>
      <x:c r="J1580" s="14" t="str">
        <x:v>Konu / Tekrar</x:v>
      </x:c>
      <x:c r="K1580" s="14" t="str">
        <x:v>Kaynak Tamamlama / Zayıf Konu</x:v>
      </x:c>
      <x:c r="L1580" s="14" t="str">
        <x:v>Yeni konu açma. En zayıf/açık konunun ilgili playlist videosunu yalnız gerekiyorsa tekrar izle.</x:v>
      </x:c>
      <x:c r="M1580" s="14" t="str">
        <x:v>Matematik Ana Oynatma Listesi</x:v>
      </x:c>
      <x:c r="N1580" s="14" t="str">
        <x:v>https://www.youtube.com/watch?v=EuJ89QzqrAg&amp;list=PLicNtF7vp6fnfDqrRLH6H7fIbzYT4ct4F&amp;index=11</x:v>
      </x:c>
      <x:c r="O1580" s="14" t="n">
        <x:v>0</x:v>
      </x:c>
      <x:c r="P1580" s="14" t="str">
        <x:v>Hayır</x:v>
      </x:c>
      <x:c r="Q1580" s="14" t="str">
        <x:v>Evet</x:v>
      </x:c>
      <x:c r="R1580" s="14" t="str">
        <x:v>Planlandı</x:v>
      </x:c>
      <x:c r="S1580" s="15" t="str"/>
      <x:c r="T1580" s="14" t="str">
        <x:v>Yeni konu ancak plan sırasıyla açılır; LGS dışı ileri TYT içeriği zorunlu değildir.</x:v>
      </x:c>
    </x:row>
    <x:row r="1581">
      <x:c r="A1581" s="14" t="n">
        <x:v>1580</x:v>
      </x:c>
      <x:c r="B1581" s="15" t="n">
        <x:v>46423</x:v>
      </x:c>
      <x:c r="C1581" s="14" t="str">
        <x:v>Cuma</x:v>
      </x:c>
      <x:c r="D1581" s="14" t="str">
        <x:v>Okul Tatili</x:v>
      </x:c>
      <x:c r="E1581" s="14" t="str">
        <x:v>MEB Yarıyıl Tatili</x:v>
      </x:c>
      <x:c r="F1581" s="14" t="str">
        <x:v>F2 - LGS Kapsam + Ustalık</x:v>
      </x:c>
      <x:c r="G1581" s="14" t="str">
        <x:v>10:25</x:v>
      </x:c>
      <x:c r="H1581" s="14" t="str">
        <x:v>11:15</x:v>
      </x:c>
      <x:c r="I1581" s="14" t="str">
        <x:v>Matematik</x:v>
      </x:c>
      <x:c r="J1581" s="14" t="str">
        <x:v>Kitap / MEB / Mastery</x:v>
      </x:c>
      <x:c r="K1581" s="14" t="str">
        <x:v>Kaynak Tamamlama / Zayıf Konu</x:v>
      </x:c>
      <x:c r="L1581" s="14" t="str">
        <x:v>13 Nisan %100 tamamlama hedefine göre en geride kalan Matematik soru kaynağını/eksik MEB setini ilerlet; açık yanlışları kapat.</x:v>
      </x:c>
      <x:c r="M1581" s="14" t="str">
        <x:v>MUBA 8. Sınıf Başlangıç Matematik (ISBN 9789756526972) → tamamlandıysa Mozaik 8. Sınıf Matematik; açık MEB/yanlışlar</x:v>
      </x:c>
      <x:c r="N1581" s="14" t="str">
        <x:v>https://odsgm.meb.gov.tr/www/8sinif-calisma-sorulari/icerik/1632</x:v>
      </x:c>
      <x:c r="O1581" s="14" t="n">
        <x:v>30</x:v>
      </x:c>
      <x:c r="P1581" s="14" t="str">
        <x:v>İlk 20 soru</x:v>
      </x:c>
      <x:c r="Q1581" s="14" t="str">
        <x:v>Evet</x:v>
      </x:c>
      <x:c r="R1581" s="14" t="str">
        <x:v>Planlandı</x:v>
      </x:c>
      <x:c r="S1581" s="15" t="str"/>
      <x:c r="T1581" s="14" t="str">
        <x:v>Ayrı/rastgele matematik benchmark yoktur. Süreli ilk 20 soru o gün çalışılan konunun içindedir.</x:v>
      </x:c>
    </x:row>
    <x:row r="1582">
      <x:c r="A1582" s="14" t="n">
        <x:v>1581</x:v>
      </x:c>
      <x:c r="B1582" s="15" t="n">
        <x:v>46423</x:v>
      </x:c>
      <x:c r="C1582" s="14" t="str">
        <x:v>Cuma</x:v>
      </x:c>
      <x:c r="D1582" s="14" t="str">
        <x:v>Okul Tatili</x:v>
      </x:c>
      <x:c r="E1582" s="14" t="str">
        <x:v>MEB Yarıyıl Tatili</x:v>
      </x:c>
      <x:c r="F1582" s="14" t="str">
        <x:v>F2 - LGS Kapsam + Ustalık</x:v>
      </x:c>
      <x:c r="G1582" s="14" t="str">
        <x:v>12:00</x:v>
      </x:c>
      <x:c r="H1582" s="14" t="str">
        <x:v>14:00</x:v>
      </x:c>
      <x:c r="I1582" s="14" t="str">
        <x:v>Genel</x:v>
      </x:c>
      <x:c r="J1582" s="14" t="str">
        <x:v>Yemek / Serbest Zaman</x:v>
      </x:c>
      <x:c r="K1582" s="14" t="str"/>
      <x:c r="L1582" s="14" t="str">
        <x:v>Yemek, hareket ve dinlenme.</x:v>
      </x:c>
      <x:c r="M1582" s="14" t="str"/>
      <x:c r="N1582" s="14" t="str"/>
      <x:c r="O1582" s="14" t="n">
        <x:v>0</x:v>
      </x:c>
      <x:c r="P1582" s="14" t="str">
        <x:v>Hayır</x:v>
      </x:c>
      <x:c r="Q1582" s="14" t="str">
        <x:v>Hayır</x:v>
      </x:c>
      <x:c r="R1582" s="14" t="str">
        <x:v>Planlandı</x:v>
      </x:c>
      <x:c r="S1582" s="15" t="str"/>
      <x:c r="T1582" s="14" t="str"/>
    </x:row>
    <x:row r="1583">
      <x:c r="A1583" s="14" t="n">
        <x:v>1582</x:v>
      </x:c>
      <x:c r="B1583" s="15" t="n">
        <x:v>46423</x:v>
      </x:c>
      <x:c r="C1583" s="14" t="str">
        <x:v>Cuma</x:v>
      </x:c>
      <x:c r="D1583" s="14" t="str">
        <x:v>Okul Tatili</x:v>
      </x:c>
      <x:c r="E1583" s="14" t="str">
        <x:v>MEB Yarıyıl Tatili</x:v>
      </x:c>
      <x:c r="F1583" s="14" t="str">
        <x:v>F2 - LGS Kapsam + Ustalık</x:v>
      </x:c>
      <x:c r="G1583" s="14" t="str">
        <x:v>11:25</x:v>
      </x:c>
      <x:c r="H1583" s="14" t="str">
        <x:v>11:55</x:v>
      </x:c>
      <x:c r="I1583" s="14" t="str">
        <x:v>Türkçe</x:v>
      </x:c>
      <x:c r="J1583" s="14" t="str">
        <x:v>Paragraf Rutini</x:v>
      </x:c>
      <x:c r="K1583" s="14" t="str">
        <x:v>Paragraf</x:v>
      </x:c>
      <x:c r="L1583" s="14" t="str">
        <x:v>En az 30 paragraf sorusu çöz; ilk 20 soruyu ileri sayımla ölç, D/Y/B + süre kaydet.</x:v>
      </x:c>
      <x:c r="M1583" s="14" t="str">
        <x:v>Hız 8. Sınıf Türkçe Paragraf (ISBN 9786258394498)</x:v>
      </x:c>
      <x:c r="N1583" s="14" t="str"/>
      <x:c r="O1583" s="14" t="n">
        <x:v>30</x:v>
      </x:c>
      <x:c r="P1583" s="14" t="str">
        <x:v>İlk 20 soru</x:v>
      </x:c>
      <x:c r="Q1583" s="14" t="str">
        <x:v>Evet</x:v>
      </x:c>
      <x:c r="R1583" s="14" t="str">
        <x:v>Planlandı</x:v>
      </x:c>
      <x:c r="S1583" s="15" t="str"/>
      <x:c r="T1583" s="14" t="str">
        <x:v>Geri sayım ve hedef süre yok.</x:v>
      </x:c>
    </x:row>
    <x:row r="1584">
      <x:c r="A1584" s="14" t="n">
        <x:v>1583</x:v>
      </x:c>
      <x:c r="B1584" s="15" t="n">
        <x:v>46423</x:v>
      </x:c>
      <x:c r="C1584" s="14" t="str">
        <x:v>Cuma</x:v>
      </x:c>
      <x:c r="D1584" s="14" t="str">
        <x:v>Okul Tatili</x:v>
      </x:c>
      <x:c r="E1584" s="14" t="str">
        <x:v>MEB Yarıyıl Tatili</x:v>
      </x:c>
      <x:c r="F1584" s="14" t="str">
        <x:v>F2 - LGS Kapsam + Ustalık</x:v>
      </x:c>
      <x:c r="G1584" s="14" t="str">
        <x:v>14:00</x:v>
      </x:c>
      <x:c r="H1584" s="14" t="str">
        <x:v>14:40</x:v>
      </x:c>
      <x:c r="I1584" s="14" t="str">
        <x:v>Türkçe</x:v>
      </x:c>
      <x:c r="J1584" s="14" t="str">
        <x:v>Konu / Tekrar</x:v>
      </x:c>
      <x:c r="K1584" s="14" t="str">
        <x:v>Kaynak Tamamlama / Zayıf Konu</x:v>
      </x:c>
      <x:c r="L1584" s="14" t="str">
        <x:v>Yeni konu açma. En zayıf/açık konunun ilgili playlist videosunu yalnız gerekiyorsa tekrar izle.</x:v>
      </x:c>
      <x:c r="M1584" s="14" t="str">
        <x:v>Türkçe Ana Oynatma Listesi</x:v>
      </x:c>
      <x:c r="N1584" s="14" t="str">
        <x:v>https://www.youtube.com/watch?v=VYsPntNKVdw&amp;list=PLIBjFaUoJJ91bz7QQEBlxNJNZka5YQRr6</x:v>
      </x:c>
      <x:c r="O1584" s="14" t="n">
        <x:v>0</x:v>
      </x:c>
      <x:c r="P1584" s="14" t="str">
        <x:v>Hayır</x:v>
      </x:c>
      <x:c r="Q1584" s="14" t="str">
        <x:v>Evet</x:v>
      </x:c>
      <x:c r="R1584" s="14" t="str">
        <x:v>Planlandı</x:v>
      </x:c>
      <x:c r="S1584" s="15" t="str"/>
      <x:c r="T1584" s="14" t="str">
        <x:v>TYT etiketli kaynak temelden başlamak için sabittir; LGS dışı gereksiz ayrıntı zorunlu değildir.</x:v>
      </x:c>
    </x:row>
    <x:row r="1585">
      <x:c r="A1585" s="14" t="n">
        <x:v>1584</x:v>
      </x:c>
      <x:c r="B1585" s="15" t="n">
        <x:v>46423</x:v>
      </x:c>
      <x:c r="C1585" s="14" t="str">
        <x:v>Cuma</x:v>
      </x:c>
      <x:c r="D1585" s="14" t="str">
        <x:v>Okul Tatili</x:v>
      </x:c>
      <x:c r="E1585" s="14" t="str">
        <x:v>MEB Yarıyıl Tatili</x:v>
      </x:c>
      <x:c r="F1585" s="14" t="str">
        <x:v>F2 - LGS Kapsam + Ustalık</x:v>
      </x:c>
      <x:c r="G1585" s="14" t="str">
        <x:v>14:50</x:v>
      </x:c>
      <x:c r="H1585" s="14" t="str">
        <x:v>15:30</x:v>
      </x:c>
      <x:c r="I1585" s="14" t="str">
        <x:v>Türkçe</x:v>
      </x:c>
      <x:c r="J1585" s="14" t="str">
        <x:v>Kitap / MEB / Mastery</x:v>
      </x:c>
      <x:c r="K1585" s="14" t="str">
        <x:v>Kaynak Tamamlama / Zayıf Konu</x:v>
      </x:c>
      <x:c r="L1585" s="14" t="str">
        <x:v>13 Nisan %100 tamamlama hedefine göre en geride kalan Türkçe soru kaynağını/eksik MEB setini ilerlet; açık yanlışları kapat.</x:v>
      </x:c>
      <x:c r="M1585" s="14" t="str">
        <x:v>Ankara 8. Sınıf Dil Bilgisi Güçlendiren + açık MEB/yanlışlar</x:v>
      </x:c>
      <x:c r="N1585" s="14" t="str">
        <x:v>https://odsgm.meb.gov.tr/www/8sinif-calisma-sorulari/icerik/1632</x:v>
      </x:c>
      <x:c r="O1585" s="14" t="n">
        <x:v>15</x:v>
      </x:c>
      <x:c r="P1585" s="14" t="str">
        <x:v>Hayır</x:v>
      </x:c>
      <x:c r="Q1585" s="14" t="str">
        <x:v>Evet</x:v>
      </x:c>
      <x:c r="R1585" s="14" t="str">
        <x:v>Planlandı</x:v>
      </x:c>
      <x:c r="S1585" s="15" t="str"/>
      <x:c r="T1585" s="14" t="str"/>
    </x:row>
    <x:row r="1586">
      <x:c r="A1586" s="14" t="n">
        <x:v>1585</x:v>
      </x:c>
      <x:c r="B1586" s="15" t="n">
        <x:v>46423</x:v>
      </x:c>
      <x:c r="C1586" s="14" t="str">
        <x:v>Cuma</x:v>
      </x:c>
      <x:c r="D1586" s="14" t="str">
        <x:v>Okul Tatili</x:v>
      </x:c>
      <x:c r="E1586" s="14" t="str">
        <x:v>MEB Yarıyıl Tatili</x:v>
      </x:c>
      <x:c r="F1586" s="14" t="str">
        <x:v>F2 - LGS Kapsam + Ustalık</x:v>
      </x:c>
      <x:c r="G1586" s="14" t="str">
        <x:v>15:45</x:v>
      </x:c>
      <x:c r="H1586" s="14" t="str">
        <x:v>16:25</x:v>
      </x:c>
      <x:c r="I1586" s="14" t="str">
        <x:v>İngilizce</x:v>
      </x:c>
      <x:c r="J1586" s="14" t="str">
        <x:v>Konu / Tekrar</x:v>
      </x:c>
      <x:c r="K1586" s="14" t="str">
        <x:v>Unit 8 - Chores</x:v>
      </x:c>
      <x:c r="L1586" s="14" t="str">
        <x:v>Unit 8 - Chores — MEB doğrulaması öncesi 5-10 dk aktif hatırlama; gerekiyorsa ilgili playlist videosuna kısa dönüş yap.</x:v>
      </x:c>
      <x:c r="M1586" s="14" t="str">
        <x:v>İngilizce Genel Oynatma Listesi</x:v>
      </x:c>
      <x:c r="N1586" s="14" t="str">
        <x:v>https://www.youtube.com/watch?v=FaY3dFjZbns&amp;list=PLSgpQDrUSYp94WgE9pzpHiOG5FwxnZBrr</x:v>
      </x:c>
      <x:c r="O1586" s="14" t="n">
        <x:v>0</x:v>
      </x:c>
      <x:c r="P1586" s="14" t="str">
        <x:v>Hayır</x:v>
      </x:c>
      <x:c r="Q1586" s="14" t="str">
        <x:v>Evet</x:v>
      </x:c>
      <x:c r="R1586" s="14" t="str">
        <x:v>Planlandı</x:v>
      </x:c>
      <x:c r="S1586" s="15" t="str"/>
      <x:c r="T1586" s="14" t="str"/>
    </x:row>
    <x:row r="1587">
      <x:c r="A1587" s="14" t="n">
        <x:v>1586</x:v>
      </x:c>
      <x:c r="B1587" s="15" t="n">
        <x:v>46423</x:v>
      </x:c>
      <x:c r="C1587" s="14" t="str">
        <x:v>Cuma</x:v>
      </x:c>
      <x:c r="D1587" s="14" t="str">
        <x:v>Okul Tatili</x:v>
      </x:c>
      <x:c r="E1587" s="14" t="str">
        <x:v>MEB Yarıyıl Tatili</x:v>
      </x:c>
      <x:c r="F1587" s="14" t="str">
        <x:v>F2 - LGS Kapsam + Ustalık</x:v>
      </x:c>
      <x:c r="G1587" s="14" t="str">
        <x:v>16:35</x:v>
      </x:c>
      <x:c r="H1587" s="14" t="str">
        <x:v>17:15</x:v>
      </x:c>
      <x:c r="I1587" s="14" t="str">
        <x:v>İngilizce</x:v>
      </x:c>
      <x:c r="J1587" s="14" t="str">
        <x:v>Kitap / MEB / Mastery</x:v>
      </x:c>
      <x:c r="K1587" s="14" t="str">
        <x:v>Unit 8 - Chores</x:v>
      </x:c>
      <x:c r="L1587" s="14" t="str">
        <x:v>Unit 8 - Chores için ilgili MEB sorularını TAMAMLA; D/Y/B kaydet. Bu oturum konu mastery gate'idir.</x:v>
      </x:c>
      <x:c r="M1587" s="14" t="str">
        <x:v>MEB 8. Sınıf İngilizce Soruları</x:v>
      </x:c>
      <x:c r="N1587" s="14" t="str">
        <x:v>https://odsgm.meb.gov.tr/www/8sinif-calisma-sorulari/icerik/1632</x:v>
      </x:c>
      <x:c r="O1587" s="14" t="n">
        <x:v>0</x:v>
      </x:c>
      <x:c r="P1587" s="14" t="str">
        <x:v>Hayır</x:v>
      </x:c>
      <x:c r="Q1587" s="14" t="str">
        <x:v>Evet</x:v>
      </x:c>
      <x:c r="R1587" s="14" t="str">
        <x:v>Planlandı</x:v>
      </x:c>
      <x:c r="S1587" s="15" t="str"/>
      <x:c r="T1587" s="14" t="str">
        <x:v>MEB sonucu Konu_Ustaligi sayfasına işlenir.</x:v>
      </x:c>
    </x:row>
    <x:row r="1588">
      <x:c r="A1588" s="14" t="n">
        <x:v>1587</x:v>
      </x:c>
      <x:c r="B1588" s="15" t="n">
        <x:v>46423</x:v>
      </x:c>
      <x:c r="C1588" s="14" t="str">
        <x:v>Cuma</x:v>
      </x:c>
      <x:c r="D1588" s="14" t="str">
        <x:v>Okul Tatili</x:v>
      </x:c>
      <x:c r="E1588" s="14" t="str">
        <x:v>MEB Yarıyıl Tatili</x:v>
      </x:c>
      <x:c r="F1588" s="14" t="str">
        <x:v>F2 - LGS Kapsam + Ustalık</x:v>
      </x:c>
      <x:c r="G1588" s="14" t="str">
        <x:v>18:25</x:v>
      </x:c>
      <x:c r="H1588" s="14" t="str">
        <x:v>18:45</x:v>
      </x:c>
      <x:c r="I1588" s="14" t="str">
        <x:v>Genel</x:v>
      </x:c>
      <x:c r="J1588" s="14" t="str">
        <x:v>Yanlış / Boş Analizi</x:v>
      </x:c>
      <x:c r="K1588" s="14" t="str">
        <x:v>Günlük</x:v>
      </x:c>
      <x:c r="L1588" s="14" t="str">
        <x:v>Bugünkü yanlış/boşları kaydet; çözümünü öğrenmeden kapatma. Hata türünü sınıflandır.</x:v>
      </x:c>
      <x:c r="M1588" s="14" t="str">
        <x:v>Yanlış Defteri</x:v>
      </x:c>
      <x:c r="N1588" s="14" t="str"/>
      <x:c r="O1588" s="14" t="n">
        <x:v>0</x:v>
      </x:c>
      <x:c r="P1588" s="14" t="str">
        <x:v>Hayır</x:v>
      </x:c>
      <x:c r="Q1588" s="14" t="str">
        <x:v>Evet</x:v>
      </x:c>
      <x:c r="R1588" s="14" t="str">
        <x:v>Planlandı</x:v>
      </x:c>
      <x:c r="S1588" s="15" t="str"/>
      <x:c r="T1588" s="14" t="str"/>
    </x:row>
    <x:row r="1589">
      <x:c r="A1589" s="14" t="n">
        <x:v>1588</x:v>
      </x:c>
      <x:c r="B1589" s="15" t="n">
        <x:v>46423</x:v>
      </x:c>
      <x:c r="C1589" s="14" t="str">
        <x:v>Cuma</x:v>
      </x:c>
      <x:c r="D1589" s="14" t="str">
        <x:v>Okul Tatili</x:v>
      </x:c>
      <x:c r="E1589" s="14" t="str">
        <x:v>MEB Yarıyıl Tatili</x:v>
      </x:c>
      <x:c r="F1589" s="14" t="str">
        <x:v>F2 - LGS Kapsam + Ustalık</x:v>
      </x:c>
      <x:c r="G1589" s="14" t="str">
        <x:v>18:45</x:v>
      </x:c>
      <x:c r="H1589" s="14" t="str">
        <x:v>19:05</x:v>
      </x:c>
      <x:c r="I1589" s="14" t="str">
        <x:v>Genel</x:v>
      </x:c>
      <x:c r="J1589" s="14" t="str">
        <x:v>Aralıklı Hata Tekrarı</x:v>
      </x:c>
      <x:c r="K1589" s="14" t="str">
        <x:v>+1 / +7 / +21</x:v>
      </x:c>
      <x:c r="L1589" s="14" t="str">
        <x:v>Bugün vadesi gelen yanlış soruları tekrar çöz. Vadesi yoksa bu süre serbest/okuma olabilir.</x:v>
      </x:c>
      <x:c r="M1589" s="14" t="str">
        <x:v>Yanlış Defteri</x:v>
      </x:c>
      <x:c r="N1589" s="14" t="str"/>
      <x:c r="O1589" s="14" t="n">
        <x:v>0</x:v>
      </x:c>
      <x:c r="P1589" s="14" t="str">
        <x:v>Hayır</x:v>
      </x:c>
      <x:c r="Q1589" s="14" t="str">
        <x:v>Koşullu</x:v>
      </x:c>
      <x:c r="R1589" s="14" t="str">
        <x:v>Planlandı</x:v>
      </x:c>
      <x:c r="S1589" s="15" t="str"/>
      <x:c r="T1589" s="14" t="str">
        <x:v>Yanlışlar +1, +7 ve +21 gün aralıklarıyla tekrar edilir; hâlâ yanlışsa konu mastery durumu düşürülür.</x:v>
      </x:c>
    </x:row>
    <x:row r="1590">
      <x:c r="A1590" s="14" t="n">
        <x:v>1589</x:v>
      </x:c>
      <x:c r="B1590" s="15" t="n">
        <x:v>46423</x:v>
      </x:c>
      <x:c r="C1590" s="14" t="str">
        <x:v>Cuma</x:v>
      </x:c>
      <x:c r="D1590" s="14" t="str">
        <x:v>Okul Tatili</x:v>
      </x:c>
      <x:c r="E1590" s="14" t="str">
        <x:v>MEB Yarıyıl Tatili</x:v>
      </x:c>
      <x:c r="F1590" s="14" t="str">
        <x:v>F2 - LGS Kapsam + Ustalık</x:v>
      </x:c>
      <x:c r="G1590" s="14" t="str">
        <x:v>20:00</x:v>
      </x:c>
      <x:c r="H1590" s="14" t="str">
        <x:v>20:30</x:v>
      </x:c>
      <x:c r="I1590" s="14" t="str">
        <x:v>Okuma</x:v>
      </x:c>
      <x:c r="J1590" s="14" t="str">
        <x:v>İsteğe Bağlı</x:v>
      </x:c>
      <x:c r="K1590" s="14" t="str">
        <x:v>Serbest Kitap</x:v>
      </x:c>
      <x:c r="L1590" s="14" t="str">
        <x:v>Zorunlu çalışmalar bittiyse isteğe bağlı kitap oku.</x:v>
      </x:c>
      <x:c r="M1590" s="14" t="str">
        <x:v>Serbest Kitap</x:v>
      </x:c>
      <x:c r="N1590" s="14" t="str"/>
      <x:c r="O1590" s="14" t="n">
        <x:v>0</x:v>
      </x:c>
      <x:c r="P1590" s="14" t="str">
        <x:v>İsteğe Bağlı</x:v>
      </x:c>
      <x:c r="Q1590" s="14" t="str">
        <x:v>Hayır</x:v>
      </x:c>
      <x:c r="R1590" s="14" t="str">
        <x:v>Planlandı</x:v>
      </x:c>
      <x:c r="S1590" s="15" t="str"/>
      <x:c r="T1590" s="14" t="str">
        <x:v>Minimum süre yok.</x:v>
      </x:c>
    </x:row>
    <x:row r="1591">
      <x:c r="A1591" s="14" t="n">
        <x:v>1590</x:v>
      </x:c>
      <x:c r="B1591" s="15" t="n">
        <x:v>46423</x:v>
      </x:c>
      <x:c r="C1591" s="14" t="str">
        <x:v>Cuma</x:v>
      </x:c>
      <x:c r="D1591" s="14" t="str">
        <x:v>Okul Tatili</x:v>
      </x:c>
      <x:c r="E1591" s="14" t="str">
        <x:v>MEB Yarıyıl Tatili</x:v>
      </x:c>
      <x:c r="F1591" s="14" t="str">
        <x:v>F2 - LGS Kapsam + Ustalık</x:v>
      </x:c>
      <x:c r="G1591" s="14" t="str">
        <x:v>21:50</x:v>
      </x:c>
      <x:c r="H1591" s="14" t="str">
        <x:v>22:00</x:v>
      </x:c>
      <x:c r="I1591" s="14" t="str">
        <x:v>Genel</x:v>
      </x:c>
      <x:c r="J1591" s="14" t="str">
        <x:v>Uyku Hazırlığı</x:v>
      </x:c>
      <x:c r="K1591" s="14" t="str"/>
      <x:c r="L1591" s="14" t="str">
        <x:v>22:00'de yatakta ve uyku.</x:v>
      </x:c>
      <x:c r="M1591" s="14" t="str"/>
      <x:c r="N1591" s="14" t="str"/>
      <x:c r="O1591" s="14" t="n">
        <x:v>0</x:v>
      </x:c>
      <x:c r="P1591" s="14" t="str">
        <x:v>Hayır</x:v>
      </x:c>
      <x:c r="Q1591" s="14" t="str">
        <x:v>Hayır</x:v>
      </x:c>
      <x:c r="R1591" s="14" t="str">
        <x:v>Planlandı</x:v>
      </x:c>
      <x:c r="S1591" s="15" t="str"/>
      <x:c r="T1591" s="14" t="str"/>
    </x:row>
    <x:row r="1592">
      <x:c r="A1592" s="14" t="n">
        <x:v>1591</x:v>
      </x:c>
      <x:c r="B1592" s="15" t="n">
        <x:v>46424</x:v>
      </x:c>
      <x:c r="C1592" s="14" t="str">
        <x:v>Cumartesi</x:v>
      </x:c>
      <x:c r="D1592" s="14" t="str">
        <x:v>Hafta Sonu</x:v>
      </x:c>
      <x:c r="E1592" s="14" t="str">
        <x:v>Tam gün</x:v>
      </x:c>
      <x:c r="F1592" s="14" t="str">
        <x:v>F2 - LGS Kapsam + Ustalık</x:v>
      </x:c>
      <x:c r="G1592" s="14" t="str">
        <x:v>09:30</x:v>
      </x:c>
      <x:c r="H1592" s="14" t="str">
        <x:v>10:15</x:v>
      </x:c>
      <x:c r="I1592" s="14" t="str">
        <x:v>Matematik</x:v>
      </x:c>
      <x:c r="J1592" s="14" t="str">
        <x:v>Konu / Tekrar</x:v>
      </x:c>
      <x:c r="K1592" s="14" t="str">
        <x:v>Kaynak Tamamlama / Zayıf Konu</x:v>
      </x:c>
      <x:c r="L1592" s="14" t="str">
        <x:v>Yeni konu açma. En zayıf/açık konunun ilgili playlist videosunu yalnız gerekiyorsa tekrar izle.</x:v>
      </x:c>
      <x:c r="M1592" s="14" t="str">
        <x:v>Matematik Ana Oynatma Listesi</x:v>
      </x:c>
      <x:c r="N1592" s="14" t="str">
        <x:v>https://www.youtube.com/watch?v=EuJ89QzqrAg&amp;list=PLicNtF7vp6fnfDqrRLH6H7fIbzYT4ct4F&amp;index=11</x:v>
      </x:c>
      <x:c r="O1592" s="14" t="n">
        <x:v>0</x:v>
      </x:c>
      <x:c r="P1592" s="14" t="str">
        <x:v>Hayır</x:v>
      </x:c>
      <x:c r="Q1592" s="14" t="str">
        <x:v>Evet</x:v>
      </x:c>
      <x:c r="R1592" s="14" t="str">
        <x:v>Planlandı</x:v>
      </x:c>
      <x:c r="S1592" s="15" t="str"/>
      <x:c r="T1592" s="14" t="str">
        <x:v>Yeni konu ancak plan sırasıyla açılır; LGS dışı ileri TYT içeriği zorunlu değildir.</x:v>
      </x:c>
    </x:row>
    <x:row r="1593">
      <x:c r="A1593" s="14" t="n">
        <x:v>1592</x:v>
      </x:c>
      <x:c r="B1593" s="15" t="n">
        <x:v>46424</x:v>
      </x:c>
      <x:c r="C1593" s="14" t="str">
        <x:v>Cumartesi</x:v>
      </x:c>
      <x:c r="D1593" s="14" t="str">
        <x:v>Hafta Sonu</x:v>
      </x:c>
      <x:c r="E1593" s="14" t="str">
        <x:v>Tam gün</x:v>
      </x:c>
      <x:c r="F1593" s="14" t="str">
        <x:v>F2 - LGS Kapsam + Ustalık</x:v>
      </x:c>
      <x:c r="G1593" s="14" t="str">
        <x:v>10:25</x:v>
      </x:c>
      <x:c r="H1593" s="14" t="str">
        <x:v>11:15</x:v>
      </x:c>
      <x:c r="I1593" s="14" t="str">
        <x:v>Matematik</x:v>
      </x:c>
      <x:c r="J1593" s="14" t="str">
        <x:v>Kitap / MEB / Mastery</x:v>
      </x:c>
      <x:c r="K1593" s="14" t="str">
        <x:v>Kaynak Tamamlama / Zayıf Konu</x:v>
      </x:c>
      <x:c r="L1593" s="14" t="str">
        <x:v>13 Nisan %100 tamamlama hedefine göre en geride kalan Matematik soru kaynağını/eksik MEB setini ilerlet; açık yanlışları kapat.</x:v>
      </x:c>
      <x:c r="M1593" s="14" t="str">
        <x:v>MUBA 8. Sınıf Başlangıç Matematik (ISBN 9789756526972) → tamamlandıysa Mozaik 8. Sınıf Matematik; açık MEB/yanlışlar</x:v>
      </x:c>
      <x:c r="N1593" s="14" t="str">
        <x:v>https://odsgm.meb.gov.tr/www/8sinif-calisma-sorulari/icerik/1632</x:v>
      </x:c>
      <x:c r="O1593" s="14" t="n">
        <x:v>30</x:v>
      </x:c>
      <x:c r="P1593" s="14" t="str">
        <x:v>İlk 20 soru</x:v>
      </x:c>
      <x:c r="Q1593" s="14" t="str">
        <x:v>Evet</x:v>
      </x:c>
      <x:c r="R1593" s="14" t="str">
        <x:v>Planlandı</x:v>
      </x:c>
      <x:c r="S1593" s="15" t="str"/>
      <x:c r="T1593" s="14" t="str">
        <x:v>Ayrı/rastgele matematik benchmark yoktur. Süreli ilk 20 soru o gün çalışılan konunun içindedir.</x:v>
      </x:c>
    </x:row>
    <x:row r="1594">
      <x:c r="A1594" s="14" t="n">
        <x:v>1593</x:v>
      </x:c>
      <x:c r="B1594" s="15" t="n">
        <x:v>46424</x:v>
      </x:c>
      <x:c r="C1594" s="14" t="str">
        <x:v>Cumartesi</x:v>
      </x:c>
      <x:c r="D1594" s="14" t="str">
        <x:v>Hafta Sonu</x:v>
      </x:c>
      <x:c r="E1594" s="14" t="str">
        <x:v>Tam gün</x:v>
      </x:c>
      <x:c r="F1594" s="14" t="str">
        <x:v>F2 - LGS Kapsam + Ustalık</x:v>
      </x:c>
      <x:c r="G1594" s="14" t="str">
        <x:v>12:00</x:v>
      </x:c>
      <x:c r="H1594" s="14" t="str">
        <x:v>14:00</x:v>
      </x:c>
      <x:c r="I1594" s="14" t="str">
        <x:v>Genel</x:v>
      </x:c>
      <x:c r="J1594" s="14" t="str">
        <x:v>Yemek / Serbest Zaman</x:v>
      </x:c>
      <x:c r="K1594" s="14" t="str"/>
      <x:c r="L1594" s="14" t="str">
        <x:v>Yemek, hareket ve dinlenme.</x:v>
      </x:c>
      <x:c r="M1594" s="14" t="str"/>
      <x:c r="N1594" s="14" t="str"/>
      <x:c r="O1594" s="14" t="n">
        <x:v>0</x:v>
      </x:c>
      <x:c r="P1594" s="14" t="str">
        <x:v>Hayır</x:v>
      </x:c>
      <x:c r="Q1594" s="14" t="str">
        <x:v>Hayır</x:v>
      </x:c>
      <x:c r="R1594" s="14" t="str">
        <x:v>Planlandı</x:v>
      </x:c>
      <x:c r="S1594" s="15" t="str"/>
      <x:c r="T1594" s="14" t="str"/>
    </x:row>
    <x:row r="1595">
      <x:c r="A1595" s="14" t="n">
        <x:v>1594</x:v>
      </x:c>
      <x:c r="B1595" s="15" t="n">
        <x:v>46424</x:v>
      </x:c>
      <x:c r="C1595" s="14" t="str">
        <x:v>Cumartesi</x:v>
      </x:c>
      <x:c r="D1595" s="14" t="str">
        <x:v>Hafta Sonu</x:v>
      </x:c>
      <x:c r="E1595" s="14" t="str">
        <x:v>Tam gün</x:v>
      </x:c>
      <x:c r="F1595" s="14" t="str">
        <x:v>F2 - LGS Kapsam + Ustalık</x:v>
      </x:c>
      <x:c r="G1595" s="14" t="str">
        <x:v>11:25</x:v>
      </x:c>
      <x:c r="H1595" s="14" t="str">
        <x:v>11:55</x:v>
      </x:c>
      <x:c r="I1595" s="14" t="str">
        <x:v>Türkçe</x:v>
      </x:c>
      <x:c r="J1595" s="14" t="str">
        <x:v>Paragraf Rutini</x:v>
      </x:c>
      <x:c r="K1595" s="14" t="str">
        <x:v>Paragraf</x:v>
      </x:c>
      <x:c r="L1595" s="14" t="str">
        <x:v>En az 30 paragraf sorusu çöz; ilk 20 soruyu ileri sayımla ölç, D/Y/B + süre kaydet.</x:v>
      </x:c>
      <x:c r="M1595" s="14" t="str">
        <x:v>Hız 8. Sınıf Türkçe Paragraf (ISBN 9786258394498)</x:v>
      </x:c>
      <x:c r="N1595" s="14" t="str"/>
      <x:c r="O1595" s="14" t="n">
        <x:v>30</x:v>
      </x:c>
      <x:c r="P1595" s="14" t="str">
        <x:v>İlk 20 soru</x:v>
      </x:c>
      <x:c r="Q1595" s="14" t="str">
        <x:v>Evet</x:v>
      </x:c>
      <x:c r="R1595" s="14" t="str">
        <x:v>Planlandı</x:v>
      </x:c>
      <x:c r="S1595" s="15" t="str"/>
      <x:c r="T1595" s="14" t="str">
        <x:v>Geri sayım ve hedef süre yok.</x:v>
      </x:c>
    </x:row>
    <x:row r="1596">
      <x:c r="A1596" s="14" t="n">
        <x:v>1595</x:v>
      </x:c>
      <x:c r="B1596" s="15" t="n">
        <x:v>46424</x:v>
      </x:c>
      <x:c r="C1596" s="14" t="str">
        <x:v>Cumartesi</x:v>
      </x:c>
      <x:c r="D1596" s="14" t="str">
        <x:v>Hafta Sonu</x:v>
      </x:c>
      <x:c r="E1596" s="14" t="str">
        <x:v>Tam gün</x:v>
      </x:c>
      <x:c r="F1596" s="14" t="str">
        <x:v>F2 - LGS Kapsam + Ustalık</x:v>
      </x:c>
      <x:c r="G1596" s="14" t="str">
        <x:v>14:00</x:v>
      </x:c>
      <x:c r="H1596" s="14" t="str">
        <x:v>14:40</x:v>
      </x:c>
      <x:c r="I1596" s="14" t="str">
        <x:v>Türkçe</x:v>
      </x:c>
      <x:c r="J1596" s="14" t="str">
        <x:v>Konu / Tekrar</x:v>
      </x:c>
      <x:c r="K1596" s="14" t="str">
        <x:v>Kaynak Tamamlama / Zayıf Konu</x:v>
      </x:c>
      <x:c r="L1596" s="14" t="str">
        <x:v>Yeni konu açma. En zayıf/açık konunun ilgili playlist videosunu yalnız gerekiyorsa tekrar izle.</x:v>
      </x:c>
      <x:c r="M1596" s="14" t="str">
        <x:v>Türkçe Ana Oynatma Listesi</x:v>
      </x:c>
      <x:c r="N1596" s="14" t="str">
        <x:v>https://www.youtube.com/watch?v=VYsPntNKVdw&amp;list=PLIBjFaUoJJ91bz7QQEBlxNJNZka5YQRr6</x:v>
      </x:c>
      <x:c r="O1596" s="14" t="n">
        <x:v>0</x:v>
      </x:c>
      <x:c r="P1596" s="14" t="str">
        <x:v>Hayır</x:v>
      </x:c>
      <x:c r="Q1596" s="14" t="str">
        <x:v>Evet</x:v>
      </x:c>
      <x:c r="R1596" s="14" t="str">
        <x:v>Planlandı</x:v>
      </x:c>
      <x:c r="S1596" s="15" t="str"/>
      <x:c r="T1596" s="14" t="str">
        <x:v>TYT etiketli kaynak temelden başlamak için sabittir; LGS dışı gereksiz ayrıntı zorunlu değildir.</x:v>
      </x:c>
    </x:row>
    <x:row r="1597">
      <x:c r="A1597" s="14" t="n">
        <x:v>1596</x:v>
      </x:c>
      <x:c r="B1597" s="15" t="n">
        <x:v>46424</x:v>
      </x:c>
      <x:c r="C1597" s="14" t="str">
        <x:v>Cumartesi</x:v>
      </x:c>
      <x:c r="D1597" s="14" t="str">
        <x:v>Hafta Sonu</x:v>
      </x:c>
      <x:c r="E1597" s="14" t="str">
        <x:v>Tam gün</x:v>
      </x:c>
      <x:c r="F1597" s="14" t="str">
        <x:v>F2 - LGS Kapsam + Ustalık</x:v>
      </x:c>
      <x:c r="G1597" s="14" t="str">
        <x:v>14:50</x:v>
      </x:c>
      <x:c r="H1597" s="14" t="str">
        <x:v>15:30</x:v>
      </x:c>
      <x:c r="I1597" s="14" t="str">
        <x:v>Türkçe</x:v>
      </x:c>
      <x:c r="J1597" s="14" t="str">
        <x:v>Kitap / MEB / Mastery</x:v>
      </x:c>
      <x:c r="K1597" s="14" t="str">
        <x:v>Kaynak Tamamlama / Zayıf Konu</x:v>
      </x:c>
      <x:c r="L1597" s="14" t="str">
        <x:v>13 Nisan %100 tamamlama hedefine göre en geride kalan Türkçe soru kaynağını/eksik MEB setini ilerlet; açık yanlışları kapat.</x:v>
      </x:c>
      <x:c r="M1597" s="14" t="str">
        <x:v>Ankara 8. Sınıf Dil Bilgisi Güçlendiren + açık MEB/yanlışlar</x:v>
      </x:c>
      <x:c r="N1597" s="14" t="str">
        <x:v>https://odsgm.meb.gov.tr/www/8sinif-calisma-sorulari/icerik/1632</x:v>
      </x:c>
      <x:c r="O1597" s="14" t="n">
        <x:v>15</x:v>
      </x:c>
      <x:c r="P1597" s="14" t="str">
        <x:v>Hayır</x:v>
      </x:c>
      <x:c r="Q1597" s="14" t="str">
        <x:v>Evet</x:v>
      </x:c>
      <x:c r="R1597" s="14" t="str">
        <x:v>Planlandı</x:v>
      </x:c>
      <x:c r="S1597" s="15" t="str"/>
      <x:c r="T1597" s="14" t="str"/>
    </x:row>
    <x:row r="1598">
      <x:c r="A1598" s="14" t="n">
        <x:v>1597</x:v>
      </x:c>
      <x:c r="B1598" s="15" t="n">
        <x:v>46424</x:v>
      </x:c>
      <x:c r="C1598" s="14" t="str">
        <x:v>Cumartesi</x:v>
      </x:c>
      <x:c r="D1598" s="14" t="str">
        <x:v>Hafta Sonu</x:v>
      </x:c>
      <x:c r="E1598" s="14" t="str">
        <x:v>Tam gün</x:v>
      </x:c>
      <x:c r="F1598" s="14" t="str">
        <x:v>F2 - LGS Kapsam + Ustalık</x:v>
      </x:c>
      <x:c r="G1598" s="14" t="str">
        <x:v>15:45</x:v>
      </x:c>
      <x:c r="H1598" s="14" t="str">
        <x:v>16:25</x:v>
      </x:c>
      <x:c r="I1598" s="14" t="str">
        <x:v>Fen</x:v>
      </x:c>
      <x:c r="J1598" s="14" t="str">
        <x:v>Konu / Tekrar</x:v>
      </x:c>
      <x:c r="K1598" s="14" t="str">
        <x:v>Besin Zinciri ve Enerji Akışı</x:v>
      </x:c>
      <x:c r="L1598" s="14" t="str">
        <x:v>Besin Zinciri ve Enerji Akışı — MEB doğrulaması öncesi 5-10 dk aktif hatırlama; gerekiyorsa ilgili playlist videosuna kısa dönüş yap.</x:v>
      </x:c>
      <x:c r="M1598" s="14" t="str">
        <x:v>Fen Soru Çözüm / Tekrar</x:v>
      </x:c>
      <x:c r="N1598" s="14" t="str">
        <x:v>https://www.youtube.com/watch?v=pQXhWnDZ3vM&amp;list=PLrQm7mt99FRXcBnorCttd31HJEvg0En26&amp;index=23</x:v>
      </x:c>
      <x:c r="O1598" s="14" t="n">
        <x:v>0</x:v>
      </x:c>
      <x:c r="P1598" s="14" t="str">
        <x:v>Hayır</x:v>
      </x:c>
      <x:c r="Q1598" s="14" t="str">
        <x:v>Evet</x:v>
      </x:c>
      <x:c r="R1598" s="14" t="str">
        <x:v>Planlandı</x:v>
      </x:c>
      <x:c r="S1598" s="15" t="str"/>
      <x:c r="T1598" s="14" t="str"/>
    </x:row>
    <x:row r="1599">
      <x:c r="A1599" s="14" t="n">
        <x:v>1598</x:v>
      </x:c>
      <x:c r="B1599" s="15" t="n">
        <x:v>46424</x:v>
      </x:c>
      <x:c r="C1599" s="14" t="str">
        <x:v>Cumartesi</x:v>
      </x:c>
      <x:c r="D1599" s="14" t="str">
        <x:v>Hafta Sonu</x:v>
      </x:c>
      <x:c r="E1599" s="14" t="str">
        <x:v>Tam gün</x:v>
      </x:c>
      <x:c r="F1599" s="14" t="str">
        <x:v>F2 - LGS Kapsam + Ustalık</x:v>
      </x:c>
      <x:c r="G1599" s="14" t="str">
        <x:v>16:35</x:v>
      </x:c>
      <x:c r="H1599" s="14" t="str">
        <x:v>17:15</x:v>
      </x:c>
      <x:c r="I1599" s="14" t="str">
        <x:v>Fen</x:v>
      </x:c>
      <x:c r="J1599" s="14" t="str">
        <x:v>Kitap / MEB / Mastery</x:v>
      </x:c>
      <x:c r="K1599" s="14" t="str">
        <x:v>Besin Zinciri ve Enerji Akışı</x:v>
      </x:c>
      <x:c r="L1599" s="14" t="str">
        <x:v>Besin Zinciri ve Enerji Akışı için ilgili MEB sorularını TAMAMLA; D/Y/B kaydet. Bu oturum konu mastery gate'idir.</x:v>
      </x:c>
      <x:c r="M1599" s="14" t="str">
        <x:v>MEB 8. Sınıf Fen Soruları</x:v>
      </x:c>
      <x:c r="N1599" s="14" t="str">
        <x:v>https://odsgm.meb.gov.tr/www/8sinif-calisma-sorulari/icerik/1632</x:v>
      </x:c>
      <x:c r="O1599" s="14" t="n">
        <x:v>0</x:v>
      </x:c>
      <x:c r="P1599" s="14" t="str">
        <x:v>Hayır</x:v>
      </x:c>
      <x:c r="Q1599" s="14" t="str">
        <x:v>Evet</x:v>
      </x:c>
      <x:c r="R1599" s="14" t="str">
        <x:v>Planlandı</x:v>
      </x:c>
      <x:c r="S1599" s="15" t="str"/>
      <x:c r="T1599" s="14" t="str">
        <x:v>MEB sonucu Konu_Ustaligi sayfasına işlenir.</x:v>
      </x:c>
    </x:row>
    <x:row r="1600">
      <x:c r="A1600" s="14" t="n">
        <x:v>1599</x:v>
      </x:c>
      <x:c r="B1600" s="15" t="n">
        <x:v>46424</x:v>
      </x:c>
      <x:c r="C1600" s="14" t="str">
        <x:v>Cumartesi</x:v>
      </x:c>
      <x:c r="D1600" s="14" t="str">
        <x:v>Hafta Sonu</x:v>
      </x:c>
      <x:c r="E1600" s="14" t="str">
        <x:v>Tam gün</x:v>
      </x:c>
      <x:c r="F1600" s="14" t="str">
        <x:v>F2 - LGS Kapsam + Ustalık</x:v>
      </x:c>
      <x:c r="G1600" s="14" t="str">
        <x:v>17:25</x:v>
      </x:c>
      <x:c r="H1600" s="14" t="str">
        <x:v>17:55</x:v>
      </x:c>
      <x:c r="I1600" s="14" t="str">
        <x:v>Fen</x:v>
      </x:c>
      <x:c r="J1600" s="14" t="str">
        <x:v>Ek Fen Pekiştirme</x:v>
      </x:c>
      <x:c r="K1600" s="14" t="str">
        <x:v>Fotosentez</x:v>
      </x:c>
      <x:c r="L1600" s="14" t="str">
        <x:v>Fotosentez — Fen konu anlatım playlistinden ilgili videoyu izle.</x:v>
      </x:c>
      <x:c r="M1600" s="14" t="str">
        <x:v>Fen Konu/Soru Oynatma Listesi</x:v>
      </x:c>
      <x:c r="N1600" s="14" t="str">
        <x:v>https://www.youtube.com/watch?v=AHdk01aR4Ko&amp;list=PLrQm7mt99FRV_Oe9xFavWzFpCIl7_XiWj</x:v>
      </x:c>
      <x:c r="O1600" s="14" t="n">
        <x:v>0</x:v>
      </x:c>
      <x:c r="P1600" s="14" t="str">
        <x:v>Hayır</x:v>
      </x:c>
      <x:c r="Q1600" s="14" t="str">
        <x:v>Evet</x:v>
      </x:c>
      <x:c r="R1600" s="14" t="str">
        <x:v>Planlandı</x:v>
      </x:c>
      <x:c r="S1600" s="15" t="str"/>
      <x:c r="T1600" s="14" t="str">
        <x:v>Fen haftalık temas sıklığını artırmak için ek Cumartesi oturumu.</x:v>
      </x:c>
    </x:row>
    <x:row r="1601">
      <x:c r="A1601" s="14" t="n">
        <x:v>1600</x:v>
      </x:c>
      <x:c r="B1601" s="15" t="n">
        <x:v>46424</x:v>
      </x:c>
      <x:c r="C1601" s="14" t="str">
        <x:v>Cumartesi</x:v>
      </x:c>
      <x:c r="D1601" s="14" t="str">
        <x:v>Hafta Sonu</x:v>
      </x:c>
      <x:c r="E1601" s="14" t="str">
        <x:v>Tam gün</x:v>
      </x:c>
      <x:c r="F1601" s="14" t="str">
        <x:v>F2 - LGS Kapsam + Ustalık</x:v>
      </x:c>
      <x:c r="G1601" s="14" t="str">
        <x:v>17:55</x:v>
      </x:c>
      <x:c r="H1601" s="14" t="str">
        <x:v>18:25</x:v>
      </x:c>
      <x:c r="I1601" s="14" t="str">
        <x:v>Fen</x:v>
      </x:c>
      <x:c r="J1601" s="14" t="str">
        <x:v>Ek Fen Kitap / MEB</x:v>
      </x:c>
      <x:c r="K1601" s="14" t="str">
        <x:v>Fotosentez</x:v>
      </x:c>
      <x:c r="L1601" s="14" t="str">
        <x:v>Fotosentez ile ilgili soru kitabından en az 20 soru / bugünkü test payını çöz.</x:v>
      </x:c>
      <x:c r="M1601" s="14" t="str">
        <x:v>Hız 8. Sınıf Fen (ISBN 9786257514859); tamamlandıysa Mozaik 8. Sınıf Fen</x:v>
      </x:c>
      <x:c r="N1601" s="14" t="str">
        <x:v>https://www.youtube.com/watch?v=AHdk01aR4Ko&amp;list=PLrQm7mt99FRV_Oe9xFavWzFpCIl7_XiWj</x:v>
      </x:c>
      <x:c r="O1601" s="14" t="n">
        <x:v>20</x:v>
      </x:c>
      <x:c r="P1601" s="14" t="str">
        <x:v>Hayır</x:v>
      </x:c>
      <x:c r="Q1601" s="14" t="str">
        <x:v>Evet</x:v>
      </x:c>
      <x:c r="R1601" s="14" t="str">
        <x:v>Planlandı</x:v>
      </x:c>
      <x:c r="S1601" s="15" t="str"/>
      <x:c r="T1601" s="14" t="str">
        <x:v>Fen için Hız → gerekiyorsa Mozaik; MEB doğrulaması konu bitiminde.</x:v>
      </x:c>
    </x:row>
    <x:row r="1602">
      <x:c r="A1602" s="14" t="n">
        <x:v>1601</x:v>
      </x:c>
      <x:c r="B1602" s="15" t="n">
        <x:v>46424</x:v>
      </x:c>
      <x:c r="C1602" s="14" t="str">
        <x:v>Cumartesi</x:v>
      </x:c>
      <x:c r="D1602" s="14" t="str">
        <x:v>Hafta Sonu</x:v>
      </x:c>
      <x:c r="E1602" s="14" t="str">
        <x:v>Tam gün</x:v>
      </x:c>
      <x:c r="F1602" s="14" t="str">
        <x:v>F2 - LGS Kapsam + Ustalık</x:v>
      </x:c>
      <x:c r="G1602" s="14" t="str">
        <x:v>18:25</x:v>
      </x:c>
      <x:c r="H1602" s="14" t="str">
        <x:v>18:45</x:v>
      </x:c>
      <x:c r="I1602" s="14" t="str">
        <x:v>Genel</x:v>
      </x:c>
      <x:c r="J1602" s="14" t="str">
        <x:v>Yanlış / Boş Analizi</x:v>
      </x:c>
      <x:c r="K1602" s="14" t="str">
        <x:v>Günlük</x:v>
      </x:c>
      <x:c r="L1602" s="14" t="str">
        <x:v>Bugünkü yanlış/boşları kaydet; çözümünü öğrenmeden kapatma. Hata türünü sınıflandır.</x:v>
      </x:c>
      <x:c r="M1602" s="14" t="str">
        <x:v>Yanlış Defteri</x:v>
      </x:c>
      <x:c r="N1602" s="14" t="str"/>
      <x:c r="O1602" s="14" t="n">
        <x:v>0</x:v>
      </x:c>
      <x:c r="P1602" s="14" t="str">
        <x:v>Hayır</x:v>
      </x:c>
      <x:c r="Q1602" s="14" t="str">
        <x:v>Evet</x:v>
      </x:c>
      <x:c r="R1602" s="14" t="str">
        <x:v>Planlandı</x:v>
      </x:c>
      <x:c r="S1602" s="15" t="str"/>
      <x:c r="T1602" s="14" t="str"/>
    </x:row>
    <x:row r="1603">
      <x:c r="A1603" s="14" t="n">
        <x:v>1602</x:v>
      </x:c>
      <x:c r="B1603" s="15" t="n">
        <x:v>46424</x:v>
      </x:c>
      <x:c r="C1603" s="14" t="str">
        <x:v>Cumartesi</x:v>
      </x:c>
      <x:c r="D1603" s="14" t="str">
        <x:v>Hafta Sonu</x:v>
      </x:c>
      <x:c r="E1603" s="14" t="str">
        <x:v>Tam gün</x:v>
      </x:c>
      <x:c r="F1603" s="14" t="str">
        <x:v>F2 - LGS Kapsam + Ustalık</x:v>
      </x:c>
      <x:c r="G1603" s="14" t="str">
        <x:v>18:45</x:v>
      </x:c>
      <x:c r="H1603" s="14" t="str">
        <x:v>19:05</x:v>
      </x:c>
      <x:c r="I1603" s="14" t="str">
        <x:v>Genel</x:v>
      </x:c>
      <x:c r="J1603" s="14" t="str">
        <x:v>Aralıklı Hata Tekrarı</x:v>
      </x:c>
      <x:c r="K1603" s="14" t="str">
        <x:v>+1 / +7 / +21</x:v>
      </x:c>
      <x:c r="L1603" s="14" t="str">
        <x:v>Bugün vadesi gelen yanlış soruları tekrar çöz. Vadesi yoksa bu süre serbest/okuma olabilir.</x:v>
      </x:c>
      <x:c r="M1603" s="14" t="str">
        <x:v>Yanlış Defteri</x:v>
      </x:c>
      <x:c r="N1603" s="14" t="str"/>
      <x:c r="O1603" s="14" t="n">
        <x:v>0</x:v>
      </x:c>
      <x:c r="P1603" s="14" t="str">
        <x:v>Hayır</x:v>
      </x:c>
      <x:c r="Q1603" s="14" t="str">
        <x:v>Koşullu</x:v>
      </x:c>
      <x:c r="R1603" s="14" t="str">
        <x:v>Planlandı</x:v>
      </x:c>
      <x:c r="S1603" s="15" t="str"/>
      <x:c r="T1603" s="14" t="str">
        <x:v>Yanlışlar +1, +7 ve +21 gün aralıklarıyla tekrar edilir; hâlâ yanlışsa konu mastery durumu düşürülür.</x:v>
      </x:c>
    </x:row>
    <x:row r="1604">
      <x:c r="A1604" s="14" t="n">
        <x:v>1603</x:v>
      </x:c>
      <x:c r="B1604" s="15" t="n">
        <x:v>46424</x:v>
      </x:c>
      <x:c r="C1604" s="14" t="str">
        <x:v>Cumartesi</x:v>
      </x:c>
      <x:c r="D1604" s="14" t="str">
        <x:v>Hafta Sonu</x:v>
      </x:c>
      <x:c r="E1604" s="14" t="str">
        <x:v>Tam gün</x:v>
      </x:c>
      <x:c r="F1604" s="14" t="str">
        <x:v>F2 - LGS Kapsam + Ustalık</x:v>
      </x:c>
      <x:c r="G1604" s="14" t="str">
        <x:v>20:00</x:v>
      </x:c>
      <x:c r="H1604" s="14" t="str">
        <x:v>20:30</x:v>
      </x:c>
      <x:c r="I1604" s="14" t="str">
        <x:v>Okuma</x:v>
      </x:c>
      <x:c r="J1604" s="14" t="str">
        <x:v>İsteğe Bağlı</x:v>
      </x:c>
      <x:c r="K1604" s="14" t="str">
        <x:v>Serbest Kitap</x:v>
      </x:c>
      <x:c r="L1604" s="14" t="str">
        <x:v>Zorunlu çalışmalar bittiyse isteğe bağlı kitap oku.</x:v>
      </x:c>
      <x:c r="M1604" s="14" t="str">
        <x:v>Serbest Kitap</x:v>
      </x:c>
      <x:c r="N1604" s="14" t="str"/>
      <x:c r="O1604" s="14" t="n">
        <x:v>0</x:v>
      </x:c>
      <x:c r="P1604" s="14" t="str">
        <x:v>İsteğe Bağlı</x:v>
      </x:c>
      <x:c r="Q1604" s="14" t="str">
        <x:v>Hayır</x:v>
      </x:c>
      <x:c r="R1604" s="14" t="str">
        <x:v>Planlandı</x:v>
      </x:c>
      <x:c r="S1604" s="15" t="str"/>
      <x:c r="T1604" s="14" t="str">
        <x:v>Minimum süre yok.</x:v>
      </x:c>
    </x:row>
    <x:row r="1605">
      <x:c r="A1605" s="14" t="n">
        <x:v>1604</x:v>
      </x:c>
      <x:c r="B1605" s="15" t="n">
        <x:v>46424</x:v>
      </x:c>
      <x:c r="C1605" s="14" t="str">
        <x:v>Cumartesi</x:v>
      </x:c>
      <x:c r="D1605" s="14" t="str">
        <x:v>Hafta Sonu</x:v>
      </x:c>
      <x:c r="E1605" s="14" t="str">
        <x:v>Tam gün</x:v>
      </x:c>
      <x:c r="F1605" s="14" t="str">
        <x:v>F2 - LGS Kapsam + Ustalık</x:v>
      </x:c>
      <x:c r="G1605" s="14" t="str">
        <x:v>21:50</x:v>
      </x:c>
      <x:c r="H1605" s="14" t="str">
        <x:v>22:00</x:v>
      </x:c>
      <x:c r="I1605" s="14" t="str">
        <x:v>Genel</x:v>
      </x:c>
      <x:c r="J1605" s="14" t="str">
        <x:v>Uyku Hazırlığı</x:v>
      </x:c>
      <x:c r="K1605" s="14" t="str"/>
      <x:c r="L1605" s="14" t="str">
        <x:v>22:00'de yatakta ve uyku.</x:v>
      </x:c>
      <x:c r="M1605" s="14" t="str"/>
      <x:c r="N1605" s="14" t="str"/>
      <x:c r="O1605" s="14" t="n">
        <x:v>0</x:v>
      </x:c>
      <x:c r="P1605" s="14" t="str">
        <x:v>Hayır</x:v>
      </x:c>
      <x:c r="Q1605" s="14" t="str">
        <x:v>Hayır</x:v>
      </x:c>
      <x:c r="R1605" s="14" t="str">
        <x:v>Planlandı</x:v>
      </x:c>
      <x:c r="S1605" s="15" t="str"/>
      <x:c r="T1605" s="14" t="str"/>
    </x:row>
    <x:row r="1606">
      <x:c r="A1606" s="14" t="n">
        <x:v>1605</x:v>
      </x:c>
      <x:c r="B1606" s="15" t="n">
        <x:v>46425</x:v>
      </x:c>
      <x:c r="C1606" s="14" t="str">
        <x:v>Pazar</x:v>
      </x:c>
      <x:c r="D1606" s="14" t="str">
        <x:v>Hafta Sonu</x:v>
      </x:c>
      <x:c r="E1606" s="14" t="str">
        <x:v>Tam gün</x:v>
      </x:c>
      <x:c r="F1606" s="14" t="str">
        <x:v>F2 - LGS Kapsam + Ustalık</x:v>
      </x:c>
      <x:c r="G1606" s="14" t="str">
        <x:v>09:30</x:v>
      </x:c>
      <x:c r="H1606" s="14" t="str">
        <x:v>10:15</x:v>
      </x:c>
      <x:c r="I1606" s="14" t="str">
        <x:v>Matematik</x:v>
      </x:c>
      <x:c r="J1606" s="14" t="str">
        <x:v>Konu / Tekrar</x:v>
      </x:c>
      <x:c r="K1606" s="14" t="str">
        <x:v>Kaynak Tamamlama / Zayıf Konu</x:v>
      </x:c>
      <x:c r="L1606" s="14" t="str">
        <x:v>Yeni konu açma. En zayıf/açık konunun ilgili playlist videosunu yalnız gerekiyorsa tekrar izle.</x:v>
      </x:c>
      <x:c r="M1606" s="14" t="str">
        <x:v>Matematik Ana Oynatma Listesi</x:v>
      </x:c>
      <x:c r="N1606" s="14" t="str">
        <x:v>https://www.youtube.com/watch?v=EuJ89QzqrAg&amp;list=PLicNtF7vp6fnfDqrRLH6H7fIbzYT4ct4F&amp;index=11</x:v>
      </x:c>
      <x:c r="O1606" s="14" t="n">
        <x:v>0</x:v>
      </x:c>
      <x:c r="P1606" s="14" t="str">
        <x:v>Hayır</x:v>
      </x:c>
      <x:c r="Q1606" s="14" t="str">
        <x:v>Evet</x:v>
      </x:c>
      <x:c r="R1606" s="14" t="str">
        <x:v>Planlandı</x:v>
      </x:c>
      <x:c r="S1606" s="15" t="str"/>
      <x:c r="T1606" s="14" t="str">
        <x:v>Yeni konu ancak plan sırasıyla açılır; LGS dışı ileri TYT içeriği zorunlu değildir.</x:v>
      </x:c>
    </x:row>
    <x:row r="1607">
      <x:c r="A1607" s="14" t="n">
        <x:v>1606</x:v>
      </x:c>
      <x:c r="B1607" s="15" t="n">
        <x:v>46425</x:v>
      </x:c>
      <x:c r="C1607" s="14" t="str">
        <x:v>Pazar</x:v>
      </x:c>
      <x:c r="D1607" s="14" t="str">
        <x:v>Hafta Sonu</x:v>
      </x:c>
      <x:c r="E1607" s="14" t="str">
        <x:v>Tam gün</x:v>
      </x:c>
      <x:c r="F1607" s="14" t="str">
        <x:v>F2 - LGS Kapsam + Ustalık</x:v>
      </x:c>
      <x:c r="G1607" s="14" t="str">
        <x:v>10:25</x:v>
      </x:c>
      <x:c r="H1607" s="14" t="str">
        <x:v>11:15</x:v>
      </x:c>
      <x:c r="I1607" s="14" t="str">
        <x:v>Matematik</x:v>
      </x:c>
      <x:c r="J1607" s="14" t="str">
        <x:v>Kitap / MEB / Mastery</x:v>
      </x:c>
      <x:c r="K1607" s="14" t="str">
        <x:v>Kaynak Tamamlama / Zayıf Konu</x:v>
      </x:c>
      <x:c r="L1607" s="14" t="str">
        <x:v>13 Nisan %100 tamamlama hedefine göre en geride kalan Matematik soru kaynağını/eksik MEB setini ilerlet; açık yanlışları kapat.</x:v>
      </x:c>
      <x:c r="M1607" s="14" t="str">
        <x:v>MUBA 8. Sınıf Başlangıç Matematik (ISBN 9789756526972) → tamamlandıysa Mozaik 8. Sınıf Matematik; açık MEB/yanlışlar</x:v>
      </x:c>
      <x:c r="N1607" s="14" t="str">
        <x:v>https://odsgm.meb.gov.tr/www/8sinif-calisma-sorulari/icerik/1632</x:v>
      </x:c>
      <x:c r="O1607" s="14" t="n">
        <x:v>30</x:v>
      </x:c>
      <x:c r="P1607" s="14" t="str">
        <x:v>İlk 20 soru</x:v>
      </x:c>
      <x:c r="Q1607" s="14" t="str">
        <x:v>Evet</x:v>
      </x:c>
      <x:c r="R1607" s="14" t="str">
        <x:v>Planlandı</x:v>
      </x:c>
      <x:c r="S1607" s="15" t="str"/>
      <x:c r="T1607" s="14" t="str">
        <x:v>Ayrı/rastgele matematik benchmark yoktur. Süreli ilk 20 soru o gün çalışılan konunun içindedir.</x:v>
      </x:c>
    </x:row>
    <x:row r="1608">
      <x:c r="A1608" s="14" t="n">
        <x:v>1607</x:v>
      </x:c>
      <x:c r="B1608" s="15" t="n">
        <x:v>46425</x:v>
      </x:c>
      <x:c r="C1608" s="14" t="str">
        <x:v>Pazar</x:v>
      </x:c>
      <x:c r="D1608" s="14" t="str">
        <x:v>Hafta Sonu</x:v>
      </x:c>
      <x:c r="E1608" s="14" t="str">
        <x:v>Tam gün</x:v>
      </x:c>
      <x:c r="F1608" s="14" t="str">
        <x:v>F2 - LGS Kapsam + Ustalık</x:v>
      </x:c>
      <x:c r="G1608" s="14" t="str">
        <x:v>12:00</x:v>
      </x:c>
      <x:c r="H1608" s="14" t="str">
        <x:v>14:00</x:v>
      </x:c>
      <x:c r="I1608" s="14" t="str">
        <x:v>Genel</x:v>
      </x:c>
      <x:c r="J1608" s="14" t="str">
        <x:v>Yemek / Serbest Zaman</x:v>
      </x:c>
      <x:c r="K1608" s="14" t="str"/>
      <x:c r="L1608" s="14" t="str">
        <x:v>Yemek, hareket ve dinlenme.</x:v>
      </x:c>
      <x:c r="M1608" s="14" t="str"/>
      <x:c r="N1608" s="14" t="str"/>
      <x:c r="O1608" s="14" t="n">
        <x:v>0</x:v>
      </x:c>
      <x:c r="P1608" s="14" t="str">
        <x:v>Hayır</x:v>
      </x:c>
      <x:c r="Q1608" s="14" t="str">
        <x:v>Hayır</x:v>
      </x:c>
      <x:c r="R1608" s="14" t="str">
        <x:v>Planlandı</x:v>
      </x:c>
      <x:c r="S1608" s="15" t="str"/>
      <x:c r="T1608" s="14" t="str"/>
    </x:row>
    <x:row r="1609">
      <x:c r="A1609" s="14" t="n">
        <x:v>1608</x:v>
      </x:c>
      <x:c r="B1609" s="15" t="n">
        <x:v>46425</x:v>
      </x:c>
      <x:c r="C1609" s="14" t="str">
        <x:v>Pazar</x:v>
      </x:c>
      <x:c r="D1609" s="14" t="str">
        <x:v>Hafta Sonu</x:v>
      </x:c>
      <x:c r="E1609" s="14" t="str">
        <x:v>Tam gün</x:v>
      </x:c>
      <x:c r="F1609" s="14" t="str">
        <x:v>F2 - LGS Kapsam + Ustalık</x:v>
      </x:c>
      <x:c r="G1609" s="14" t="str">
        <x:v>11:25</x:v>
      </x:c>
      <x:c r="H1609" s="14" t="str">
        <x:v>11:55</x:v>
      </x:c>
      <x:c r="I1609" s="14" t="str">
        <x:v>Türkçe</x:v>
      </x:c>
      <x:c r="J1609" s="14" t="str">
        <x:v>Paragraf Rutini</x:v>
      </x:c>
      <x:c r="K1609" s="14" t="str">
        <x:v>Paragraf</x:v>
      </x:c>
      <x:c r="L1609" s="14" t="str">
        <x:v>En az 30 paragraf sorusu çöz; ilk 20 soruyu ileri sayımla ölç, D/Y/B + süre kaydet.</x:v>
      </x:c>
      <x:c r="M1609" s="14" t="str">
        <x:v>Hız 8. Sınıf Türkçe Paragraf (ISBN 9786258394498)</x:v>
      </x:c>
      <x:c r="N1609" s="14" t="str"/>
      <x:c r="O1609" s="14" t="n">
        <x:v>30</x:v>
      </x:c>
      <x:c r="P1609" s="14" t="str">
        <x:v>İlk 20 soru</x:v>
      </x:c>
      <x:c r="Q1609" s="14" t="str">
        <x:v>Evet</x:v>
      </x:c>
      <x:c r="R1609" s="14" t="str">
        <x:v>Planlandı</x:v>
      </x:c>
      <x:c r="S1609" s="15" t="str"/>
      <x:c r="T1609" s="14" t="str">
        <x:v>Geri sayım ve hedef süre yok.</x:v>
      </x:c>
    </x:row>
    <x:row r="1610">
      <x:c r="A1610" s="14" t="n">
        <x:v>1609</x:v>
      </x:c>
      <x:c r="B1610" s="15" t="n">
        <x:v>46425</x:v>
      </x:c>
      <x:c r="C1610" s="14" t="str">
        <x:v>Pazar</x:v>
      </x:c>
      <x:c r="D1610" s="14" t="str">
        <x:v>Hafta Sonu</x:v>
      </x:c>
      <x:c r="E1610" s="14" t="str">
        <x:v>Tam gün</x:v>
      </x:c>
      <x:c r="F1610" s="14" t="str">
        <x:v>F2 - LGS Kapsam + Ustalık</x:v>
      </x:c>
      <x:c r="G1610" s="14" t="str">
        <x:v>14:00</x:v>
      </x:c>
      <x:c r="H1610" s="14" t="str">
        <x:v>14:40</x:v>
      </x:c>
      <x:c r="I1610" s="14" t="str">
        <x:v>Türkçe</x:v>
      </x:c>
      <x:c r="J1610" s="14" t="str">
        <x:v>Konu / Tekrar</x:v>
      </x:c>
      <x:c r="K1610" s="14" t="str">
        <x:v>Kaynak Tamamlama / Zayıf Konu</x:v>
      </x:c>
      <x:c r="L1610" s="14" t="str">
        <x:v>Yeni konu açma. En zayıf/açık konunun ilgili playlist videosunu yalnız gerekiyorsa tekrar izle.</x:v>
      </x:c>
      <x:c r="M1610" s="14" t="str">
        <x:v>Türkçe Ana Oynatma Listesi</x:v>
      </x:c>
      <x:c r="N1610" s="14" t="str">
        <x:v>https://www.youtube.com/watch?v=VYsPntNKVdw&amp;list=PLIBjFaUoJJ91bz7QQEBlxNJNZka5YQRr6</x:v>
      </x:c>
      <x:c r="O1610" s="14" t="n">
        <x:v>0</x:v>
      </x:c>
      <x:c r="P1610" s="14" t="str">
        <x:v>Hayır</x:v>
      </x:c>
      <x:c r="Q1610" s="14" t="str">
        <x:v>Evet</x:v>
      </x:c>
      <x:c r="R1610" s="14" t="str">
        <x:v>Planlandı</x:v>
      </x:c>
      <x:c r="S1610" s="15" t="str"/>
      <x:c r="T1610" s="14" t="str">
        <x:v>TYT etiketli kaynak temelden başlamak için sabittir; LGS dışı gereksiz ayrıntı zorunlu değildir.</x:v>
      </x:c>
    </x:row>
    <x:row r="1611">
      <x:c r="A1611" s="14" t="n">
        <x:v>1610</x:v>
      </x:c>
      <x:c r="B1611" s="15" t="n">
        <x:v>46425</x:v>
      </x:c>
      <x:c r="C1611" s="14" t="str">
        <x:v>Pazar</x:v>
      </x:c>
      <x:c r="D1611" s="14" t="str">
        <x:v>Hafta Sonu</x:v>
      </x:c>
      <x:c r="E1611" s="14" t="str">
        <x:v>Tam gün</x:v>
      </x:c>
      <x:c r="F1611" s="14" t="str">
        <x:v>F2 - LGS Kapsam + Ustalık</x:v>
      </x:c>
      <x:c r="G1611" s="14" t="str">
        <x:v>14:50</x:v>
      </x:c>
      <x:c r="H1611" s="14" t="str">
        <x:v>15:30</x:v>
      </x:c>
      <x:c r="I1611" s="14" t="str">
        <x:v>Türkçe</x:v>
      </x:c>
      <x:c r="J1611" s="14" t="str">
        <x:v>Kitap / MEB / Mastery</x:v>
      </x:c>
      <x:c r="K1611" s="14" t="str">
        <x:v>Kaynak Tamamlama / Zayıf Konu</x:v>
      </x:c>
      <x:c r="L1611" s="14" t="str">
        <x:v>13 Nisan %100 tamamlama hedefine göre en geride kalan Türkçe soru kaynağını/eksik MEB setini ilerlet; açık yanlışları kapat.</x:v>
      </x:c>
      <x:c r="M1611" s="14" t="str">
        <x:v>Ankara 8. Sınıf Dil Bilgisi Güçlendiren + açık MEB/yanlışlar</x:v>
      </x:c>
      <x:c r="N1611" s="14" t="str">
        <x:v>https://odsgm.meb.gov.tr/www/8sinif-calisma-sorulari/icerik/1632</x:v>
      </x:c>
      <x:c r="O1611" s="14" t="n">
        <x:v>15</x:v>
      </x:c>
      <x:c r="P1611" s="14" t="str">
        <x:v>Hayır</x:v>
      </x:c>
      <x:c r="Q1611" s="14" t="str">
        <x:v>Evet</x:v>
      </x:c>
      <x:c r="R1611" s="14" t="str">
        <x:v>Planlandı</x:v>
      </x:c>
      <x:c r="S1611" s="15" t="str"/>
      <x:c r="T1611" s="14" t="str"/>
    </x:row>
    <x:row r="1612">
      <x:c r="A1612" s="14" t="n">
        <x:v>1611</x:v>
      </x:c>
      <x:c r="B1612" s="15" t="n">
        <x:v>46425</x:v>
      </x:c>
      <x:c r="C1612" s="14" t="str">
        <x:v>Pazar</x:v>
      </x:c>
      <x:c r="D1612" s="14" t="str">
        <x:v>Hafta Sonu</x:v>
      </x:c>
      <x:c r="E1612" s="14" t="str">
        <x:v>Tam gün</x:v>
      </x:c>
      <x:c r="F1612" s="14" t="str">
        <x:v>F2 - LGS Kapsam + Ustalık</x:v>
      </x:c>
      <x:c r="G1612" s="14" t="str">
        <x:v>15:45</x:v>
      </x:c>
      <x:c r="H1612" s="14" t="str">
        <x:v>16:25</x:v>
      </x:c>
      <x:c r="I1612" s="14" t="str">
        <x:v>Din</x:v>
      </x:c>
      <x:c r="J1612" s="14" t="str">
        <x:v>Konu / Tekrar</x:v>
      </x:c>
      <x:c r="K1612" s="14" t="str">
        <x:v>İslam Dininin Temel Kaynakları ve Ana Konular</x:v>
      </x:c>
      <x:c r="L1612" s="14" t="str">
        <x:v>İslam Dininin Temel Kaynakları ve Ana Konular — MEB doğrulaması öncesi 5-10 dk aktif hatırlama; gerekiyorsa ilgili playlist videosuna kısa dönüş yap.</x:v>
      </x:c>
      <x:c r="M1612" s="14" t="str">
        <x:v>Din Genel Oynatma Listesi</x:v>
      </x:c>
      <x:c r="N1612" s="14" t="str">
        <x:v>https://www.youtube.com/watch?v=wvdOE_75VnA&amp;list=PLbRoPq-Zu-SWXGUbVt4t4UWo-4VjsMUo-&amp;index=2</x:v>
      </x:c>
      <x:c r="O1612" s="14" t="n">
        <x:v>0</x:v>
      </x:c>
      <x:c r="P1612" s="14" t="str">
        <x:v>Hayır</x:v>
      </x:c>
      <x:c r="Q1612" s="14" t="str">
        <x:v>Evet</x:v>
      </x:c>
      <x:c r="R1612" s="14" t="str">
        <x:v>Planlandı</x:v>
      </x:c>
      <x:c r="S1612" s="15" t="str"/>
      <x:c r="T1612" s="14" t="str"/>
    </x:row>
    <x:row r="1613">
      <x:c r="A1613" s="14" t="n">
        <x:v>1612</x:v>
      </x:c>
      <x:c r="B1613" s="15" t="n">
        <x:v>46425</x:v>
      </x:c>
      <x:c r="C1613" s="14" t="str">
        <x:v>Pazar</x:v>
      </x:c>
      <x:c r="D1613" s="14" t="str">
        <x:v>Hafta Sonu</x:v>
      </x:c>
      <x:c r="E1613" s="14" t="str">
        <x:v>Tam gün</x:v>
      </x:c>
      <x:c r="F1613" s="14" t="str">
        <x:v>F2 - LGS Kapsam + Ustalık</x:v>
      </x:c>
      <x:c r="G1613" s="14" t="str">
        <x:v>16:35</x:v>
      </x:c>
      <x:c r="H1613" s="14" t="str">
        <x:v>17:15</x:v>
      </x:c>
      <x:c r="I1613" s="14" t="str">
        <x:v>Din</x:v>
      </x:c>
      <x:c r="J1613" s="14" t="str">
        <x:v>Kitap / MEB / Mastery</x:v>
      </x:c>
      <x:c r="K1613" s="14" t="str">
        <x:v>İslam Dininin Temel Kaynakları ve Ana Konular</x:v>
      </x:c>
      <x:c r="L1613" s="14" t="str">
        <x:v>İslam Dininin Temel Kaynakları ve Ana Konular için ilgili MEB sorularını TAMAMLA; D/Y/B kaydet. Bu oturum konu mastery gate'idir.</x:v>
      </x:c>
      <x:c r="M1613" s="14" t="str">
        <x:v>MEB 8. Sınıf Din Soruları</x:v>
      </x:c>
      <x:c r="N1613" s="14" t="str">
        <x:v>https://odsgm.meb.gov.tr/www/8sinif-calisma-sorulari/icerik/1632</x:v>
      </x:c>
      <x:c r="O1613" s="14" t="n">
        <x:v>0</x:v>
      </x:c>
      <x:c r="P1613" s="14" t="str">
        <x:v>Hayır</x:v>
      </x:c>
      <x:c r="Q1613" s="14" t="str">
        <x:v>Evet</x:v>
      </x:c>
      <x:c r="R1613" s="14" t="str">
        <x:v>Planlandı</x:v>
      </x:c>
      <x:c r="S1613" s="15" t="str"/>
      <x:c r="T1613" s="14" t="str">
        <x:v>MEB sonucu Konu_Ustaligi sayfasına işlenir.</x:v>
      </x:c>
    </x:row>
    <x:row r="1614">
      <x:c r="A1614" s="14" t="n">
        <x:v>1613</x:v>
      </x:c>
      <x:c r="B1614" s="15" t="n">
        <x:v>46425</x:v>
      </x:c>
      <x:c r="C1614" s="14" t="str">
        <x:v>Pazar</x:v>
      </x:c>
      <x:c r="D1614" s="14" t="str">
        <x:v>Hafta Sonu</x:v>
      </x:c>
      <x:c r="E1614" s="14" t="str">
        <x:v>Tam gün</x:v>
      </x:c>
      <x:c r="F1614" s="14" t="str">
        <x:v>F2 - LGS Kapsam + Ustalık</x:v>
      </x:c>
      <x:c r="G1614" s="14" t="str">
        <x:v>17:25</x:v>
      </x:c>
      <x:c r="H1614" s="14" t="str">
        <x:v>18:25</x:v>
      </x:c>
      <x:c r="I1614" s="14" t="str">
        <x:v>Genel</x:v>
      </x:c>
      <x:c r="J1614" s="14" t="str">
        <x:v>Kaynak Tamamlama</x:v>
      </x:c>
      <x:c r="K1614" s="14" t="str">
        <x:v>En Geride Kalan Kaynak</x:v>
      </x:c>
      <x:c r="L1614" s="14" t="str">
        <x:v>Kaynak_Ilerleme sayfasında hedef yüzdesinin en gerisinde kalan ZORUNLU soru kaynağına 60 dk ayır. Öğrenilmemiş konudan ileri gitme.</x:v>
      </x:c>
      <x:c r="M1614" s="14" t="str">
        <x:v>Kaynak İlerleme</x:v>
      </x:c>
      <x:c r="N1614" s="14" t="str"/>
      <x:c r="O1614" s="14" t="n">
        <x:v>0</x:v>
      </x:c>
      <x:c r="P1614" s="14" t="str">
        <x:v>Hayır</x:v>
      </x:c>
      <x:c r="Q1614" s="14" t="str">
        <x:v>Evet</x:v>
      </x:c>
      <x:c r="R1614" s="14" t="str">
        <x:v>Planlandı</x:v>
      </x:c>
      <x:c r="S1614" s="15" t="str"/>
      <x:c r="T1614" s="14" t="str">
        <x:v>Amaç 13.04.2027'de zorunlu soru kitapları + ilgili MEB setlerini %100 tamamlamak.</x:v>
      </x:c>
    </x:row>
    <x:row r="1615">
      <x:c r="A1615" s="14" t="n">
        <x:v>1614</x:v>
      </x:c>
      <x:c r="B1615" s="15" t="n">
        <x:v>46425</x:v>
      </x:c>
      <x:c r="C1615" s="14" t="str">
        <x:v>Pazar</x:v>
      </x:c>
      <x:c r="D1615" s="14" t="str">
        <x:v>Hafta Sonu</x:v>
      </x:c>
      <x:c r="E1615" s="14" t="str">
        <x:v>Tam gün</x:v>
      </x:c>
      <x:c r="F1615" s="14" t="str">
        <x:v>F2 - LGS Kapsam + Ustalık</x:v>
      </x:c>
      <x:c r="G1615" s="14" t="str">
        <x:v>18:25</x:v>
      </x:c>
      <x:c r="H1615" s="14" t="str">
        <x:v>18:45</x:v>
      </x:c>
      <x:c r="I1615" s="14" t="str">
        <x:v>Genel</x:v>
      </x:c>
      <x:c r="J1615" s="14" t="str">
        <x:v>Yanlış / Boş Analizi</x:v>
      </x:c>
      <x:c r="K1615" s="14" t="str">
        <x:v>Günlük</x:v>
      </x:c>
      <x:c r="L1615" s="14" t="str">
        <x:v>Bugünkü yanlış/boşları kaydet; çözümünü öğrenmeden kapatma. Hata türünü sınıflandır.</x:v>
      </x:c>
      <x:c r="M1615" s="14" t="str">
        <x:v>Yanlış Defteri</x:v>
      </x:c>
      <x:c r="N1615" s="14" t="str"/>
      <x:c r="O1615" s="14" t="n">
        <x:v>0</x:v>
      </x:c>
      <x:c r="P1615" s="14" t="str">
        <x:v>Hayır</x:v>
      </x:c>
      <x:c r="Q1615" s="14" t="str">
        <x:v>Evet</x:v>
      </x:c>
      <x:c r="R1615" s="14" t="str">
        <x:v>Planlandı</x:v>
      </x:c>
      <x:c r="S1615" s="15" t="str"/>
      <x:c r="T1615" s="14" t="str"/>
    </x:row>
    <x:row r="1616">
      <x:c r="A1616" s="14" t="n">
        <x:v>1615</x:v>
      </x:c>
      <x:c r="B1616" s="15" t="n">
        <x:v>46425</x:v>
      </x:c>
      <x:c r="C1616" s="14" t="str">
        <x:v>Pazar</x:v>
      </x:c>
      <x:c r="D1616" s="14" t="str">
        <x:v>Hafta Sonu</x:v>
      </x:c>
      <x:c r="E1616" s="14" t="str">
        <x:v>Tam gün</x:v>
      </x:c>
      <x:c r="F1616" s="14" t="str">
        <x:v>F2 - LGS Kapsam + Ustalık</x:v>
      </x:c>
      <x:c r="G1616" s="14" t="str">
        <x:v>18:45</x:v>
      </x:c>
      <x:c r="H1616" s="14" t="str">
        <x:v>19:05</x:v>
      </x:c>
      <x:c r="I1616" s="14" t="str">
        <x:v>Genel</x:v>
      </x:c>
      <x:c r="J1616" s="14" t="str">
        <x:v>Aralıklı Hata Tekrarı</x:v>
      </x:c>
      <x:c r="K1616" s="14" t="str">
        <x:v>+1 / +7 / +21</x:v>
      </x:c>
      <x:c r="L1616" s="14" t="str">
        <x:v>Bugün vadesi gelen yanlış soruları tekrar çöz. Vadesi yoksa bu süre serbest/okuma olabilir.</x:v>
      </x:c>
      <x:c r="M1616" s="14" t="str">
        <x:v>Yanlış Defteri</x:v>
      </x:c>
      <x:c r="N1616" s="14" t="str"/>
      <x:c r="O1616" s="14" t="n">
        <x:v>0</x:v>
      </x:c>
      <x:c r="P1616" s="14" t="str">
        <x:v>Hayır</x:v>
      </x:c>
      <x:c r="Q1616" s="14" t="str">
        <x:v>Koşullu</x:v>
      </x:c>
      <x:c r="R1616" s="14" t="str">
        <x:v>Planlandı</x:v>
      </x:c>
      <x:c r="S1616" s="15" t="str"/>
      <x:c r="T1616" s="14" t="str">
        <x:v>Yanlışlar +1, +7 ve +21 gün aralıklarıyla tekrar edilir; hâlâ yanlışsa konu mastery durumu düşürülür.</x:v>
      </x:c>
    </x:row>
    <x:row r="1617">
      <x:c r="A1617" s="14" t="n">
        <x:v>1616</x:v>
      </x:c>
      <x:c r="B1617" s="15" t="n">
        <x:v>46425</x:v>
      </x:c>
      <x:c r="C1617" s="14" t="str">
        <x:v>Pazar</x:v>
      </x:c>
      <x:c r="D1617" s="14" t="str">
        <x:v>Hafta Sonu</x:v>
      </x:c>
      <x:c r="E1617" s="14" t="str">
        <x:v>Tam gün</x:v>
      </x:c>
      <x:c r="F1617" s="14" t="str">
        <x:v>F2 - LGS Kapsam + Ustalık</x:v>
      </x:c>
      <x:c r="G1617" s="14" t="str">
        <x:v>20:00</x:v>
      </x:c>
      <x:c r="H1617" s="14" t="str">
        <x:v>20:30</x:v>
      </x:c>
      <x:c r="I1617" s="14" t="str">
        <x:v>Okuma</x:v>
      </x:c>
      <x:c r="J1617" s="14" t="str">
        <x:v>İsteğe Bağlı</x:v>
      </x:c>
      <x:c r="K1617" s="14" t="str">
        <x:v>Serbest Kitap</x:v>
      </x:c>
      <x:c r="L1617" s="14" t="str">
        <x:v>Zorunlu çalışmalar bittiyse isteğe bağlı kitap oku.</x:v>
      </x:c>
      <x:c r="M1617" s="14" t="str">
        <x:v>Serbest Kitap</x:v>
      </x:c>
      <x:c r="N1617" s="14" t="str"/>
      <x:c r="O1617" s="14" t="n">
        <x:v>0</x:v>
      </x:c>
      <x:c r="P1617" s="14" t="str">
        <x:v>İsteğe Bağlı</x:v>
      </x:c>
      <x:c r="Q1617" s="14" t="str">
        <x:v>Hayır</x:v>
      </x:c>
      <x:c r="R1617" s="14" t="str">
        <x:v>Planlandı</x:v>
      </x:c>
      <x:c r="S1617" s="15" t="str"/>
      <x:c r="T1617" s="14" t="str">
        <x:v>Minimum süre yok.</x:v>
      </x:c>
    </x:row>
    <x:row r="1618">
      <x:c r="A1618" s="14" t="n">
        <x:v>1617</x:v>
      </x:c>
      <x:c r="B1618" s="15" t="n">
        <x:v>46425</x:v>
      </x:c>
      <x:c r="C1618" s="14" t="str">
        <x:v>Pazar</x:v>
      </x:c>
      <x:c r="D1618" s="14" t="str">
        <x:v>Hafta Sonu</x:v>
      </x:c>
      <x:c r="E1618" s="14" t="str">
        <x:v>Tam gün</x:v>
      </x:c>
      <x:c r="F1618" s="14" t="str">
        <x:v>F2 - LGS Kapsam + Ustalık</x:v>
      </x:c>
      <x:c r="G1618" s="14" t="str">
        <x:v>21:50</x:v>
      </x:c>
      <x:c r="H1618" s="14" t="str">
        <x:v>22:00</x:v>
      </x:c>
      <x:c r="I1618" s="14" t="str">
        <x:v>Genel</x:v>
      </x:c>
      <x:c r="J1618" s="14" t="str">
        <x:v>Uyku Hazırlığı</x:v>
      </x:c>
      <x:c r="K1618" s="14" t="str"/>
      <x:c r="L1618" s="14" t="str">
        <x:v>22:00'de yatakta ve uyku.</x:v>
      </x:c>
      <x:c r="M1618" s="14" t="str"/>
      <x:c r="N1618" s="14" t="str"/>
      <x:c r="O1618" s="14" t="n">
        <x:v>0</x:v>
      </x:c>
      <x:c r="P1618" s="14" t="str">
        <x:v>Hayır</x:v>
      </x:c>
      <x:c r="Q1618" s="14" t="str">
        <x:v>Hayır</x:v>
      </x:c>
      <x:c r="R1618" s="14" t="str">
        <x:v>Planlandı</x:v>
      </x:c>
      <x:c r="S1618" s="15" t="str"/>
      <x:c r="T1618" s="14" t="str"/>
    </x:row>
    <x:row r="1619">
      <x:c r="A1619" s="14" t="n">
        <x:v>1618</x:v>
      </x:c>
      <x:c r="B1619" s="15" t="n">
        <x:v>46426</x:v>
      </x:c>
      <x:c r="C1619" s="14" t="str">
        <x:v>Pazartesi</x:v>
      </x:c>
      <x:c r="D1619" s="14" t="str">
        <x:v>Okul Günü</x:v>
      </x:c>
      <x:c r="E1619" s="14" t="str">
        <x:v>16:00 sonrası</x:v>
      </x:c>
      <x:c r="F1619" s="14" t="str">
        <x:v>F2 - LGS Kapsam + Ustalık</x:v>
      </x:c>
      <x:c r="G1619" s="14" t="str">
        <x:v>16:00</x:v>
      </x:c>
      <x:c r="H1619" s="14" t="str">
        <x:v>16:25</x:v>
      </x:c>
      <x:c r="I1619" s="14" t="str">
        <x:v>Genel</x:v>
      </x:c>
      <x:c r="J1619" s="14" t="str">
        <x:v>Dinlenme</x:v>
      </x:c>
      <x:c r="K1619" s="14" t="str"/>
      <x:c r="L1619" s="14" t="str">
        <x:v>Eve geliş, atıştırma ve dinlenme.</x:v>
      </x:c>
      <x:c r="M1619" s="14" t="str"/>
      <x:c r="N1619" s="14" t="str"/>
      <x:c r="O1619" s="14" t="n">
        <x:v>0</x:v>
      </x:c>
      <x:c r="P1619" s="14" t="str">
        <x:v>Hayır</x:v>
      </x:c>
      <x:c r="Q1619" s="14" t="str">
        <x:v>Hayır</x:v>
      </x:c>
      <x:c r="R1619" s="14" t="str">
        <x:v>Planlandı</x:v>
      </x:c>
      <x:c r="S1619" s="15" t="str"/>
      <x:c r="T1619" s="14" t="str"/>
    </x:row>
    <x:row r="1620">
      <x:c r="A1620" s="14" t="n">
        <x:v>1619</x:v>
      </x:c>
      <x:c r="B1620" s="15" t="n">
        <x:v>46426</x:v>
      </x:c>
      <x:c r="C1620" s="14" t="str">
        <x:v>Pazartesi</x:v>
      </x:c>
      <x:c r="D1620" s="14" t="str">
        <x:v>Okul Günü</x:v>
      </x:c>
      <x:c r="E1620" s="14" t="str">
        <x:v>16:00 sonrası</x:v>
      </x:c>
      <x:c r="F1620" s="14" t="str">
        <x:v>F2 - LGS Kapsam + Ustalık</x:v>
      </x:c>
      <x:c r="G1620" s="14" t="str">
        <x:v>16:25</x:v>
      </x:c>
      <x:c r="H1620" s="14" t="str">
        <x:v>17:05</x:v>
      </x:c>
      <x:c r="I1620" s="14" t="str">
        <x:v>Matematik</x:v>
      </x:c>
      <x:c r="J1620" s="14" t="str">
        <x:v>Konu / Tekrar</x:v>
      </x:c>
      <x:c r="K1620" s="14" t="str">
        <x:v>Kaynak Tamamlama / Zayıf Konu</x:v>
      </x:c>
      <x:c r="L1620" s="14" t="str">
        <x:v>Yeni konu açma. En zayıf/açık konunun ilgili playlist videosunu yalnız gerekiyorsa tekrar izle.</x:v>
      </x:c>
      <x:c r="M1620" s="14" t="str">
        <x:v>Matematik Ana Oynatma Listesi</x:v>
      </x:c>
      <x:c r="N1620" s="14" t="str">
        <x:v>https://www.youtube.com/watch?v=EuJ89QzqrAg&amp;list=PLicNtF7vp6fnfDqrRLH6H7fIbzYT4ct4F&amp;index=11</x:v>
      </x:c>
      <x:c r="O1620" s="14" t="n">
        <x:v>0</x:v>
      </x:c>
      <x:c r="P1620" s="14" t="str">
        <x:v>Hayır</x:v>
      </x:c>
      <x:c r="Q1620" s="14" t="str">
        <x:v>Evet</x:v>
      </x:c>
      <x:c r="R1620" s="14" t="str">
        <x:v>Planlandı</x:v>
      </x:c>
      <x:c r="S1620" s="15" t="str"/>
      <x:c r="T1620" s="14" t="str">
        <x:v>Yeni konu ancak plan sırasıyla açılır; LGS dışı ileri TYT içeriği zorunlu değildir.</x:v>
      </x:c>
    </x:row>
    <x:row r="1621">
      <x:c r="A1621" s="14" t="n">
        <x:v>1620</x:v>
      </x:c>
      <x:c r="B1621" s="15" t="n">
        <x:v>46426</x:v>
      </x:c>
      <x:c r="C1621" s="14" t="str">
        <x:v>Pazartesi</x:v>
      </x:c>
      <x:c r="D1621" s="14" t="str">
        <x:v>Okul Günü</x:v>
      </x:c>
      <x:c r="E1621" s="14" t="str">
        <x:v>16:00 sonrası</x:v>
      </x:c>
      <x:c r="F1621" s="14" t="str">
        <x:v>F2 - LGS Kapsam + Ustalık</x:v>
      </x:c>
      <x:c r="G1621" s="14" t="str">
        <x:v>17:10</x:v>
      </x:c>
      <x:c r="H1621" s="14" t="str">
        <x:v>17:55</x:v>
      </x:c>
      <x:c r="I1621" s="14" t="str">
        <x:v>Matematik</x:v>
      </x:c>
      <x:c r="J1621" s="14" t="str">
        <x:v>Kitap / MEB / Mastery</x:v>
      </x:c>
      <x:c r="K1621" s="14" t="str">
        <x:v>Kaynak Tamamlama / Zayıf Konu</x:v>
      </x:c>
      <x:c r="L1621" s="14" t="str">
        <x:v>13 Nisan %100 tamamlama hedefine göre en geride kalan Matematik soru kaynağını/eksik MEB setini ilerlet; açık yanlışları kapat.</x:v>
      </x:c>
      <x:c r="M1621" s="14" t="str">
        <x:v>MUBA 8. Sınıf Başlangıç Matematik (ISBN 9789756526972) → tamamlandıysa Mozaik 8. Sınıf Matematik; açık MEB/yanlışlar</x:v>
      </x:c>
      <x:c r="N1621" s="14" t="str">
        <x:v>https://odsgm.meb.gov.tr/www/8sinif-calisma-sorulari/icerik/1632</x:v>
      </x:c>
      <x:c r="O1621" s="14" t="n">
        <x:v>30</x:v>
      </x:c>
      <x:c r="P1621" s="14" t="str">
        <x:v>İlk 20 soru</x:v>
      </x:c>
      <x:c r="Q1621" s="14" t="str">
        <x:v>Evet</x:v>
      </x:c>
      <x:c r="R1621" s="14" t="str">
        <x:v>Planlandı</x:v>
      </x:c>
      <x:c r="S1621" s="15" t="str"/>
      <x:c r="T1621" s="14" t="str">
        <x:v>Ayrı/rastgele matematik benchmark yoktur. Süreli ilk 20 soru o gün çalışılan konunun içindedir.</x:v>
      </x:c>
    </x:row>
    <x:row r="1622">
      <x:c r="A1622" s="14" t="n">
        <x:v>1621</x:v>
      </x:c>
      <x:c r="B1622" s="15" t="n">
        <x:v>46426</x:v>
      </x:c>
      <x:c r="C1622" s="14" t="str">
        <x:v>Pazartesi</x:v>
      </x:c>
      <x:c r="D1622" s="14" t="str">
        <x:v>Okul Günü</x:v>
      </x:c>
      <x:c r="E1622" s="14" t="str">
        <x:v>16:00 sonrası</x:v>
      </x:c>
      <x:c r="F1622" s="14" t="str">
        <x:v>F2 - LGS Kapsam + Ustalık</x:v>
      </x:c>
      <x:c r="G1622" s="14" t="str">
        <x:v>17:55</x:v>
      </x:c>
      <x:c r="H1622" s="14" t="str">
        <x:v>18:25</x:v>
      </x:c>
      <x:c r="I1622" s="14" t="str">
        <x:v>Genel</x:v>
      </x:c>
      <x:c r="J1622" s="14" t="str">
        <x:v>Yemek / Serbest Zaman</x:v>
      </x:c>
      <x:c r="K1622" s="14" t="str"/>
      <x:c r="L1622" s="14" t="str">
        <x:v>Yemek, hareket ve dinlenme.</x:v>
      </x:c>
      <x:c r="M1622" s="14" t="str"/>
      <x:c r="N1622" s="14" t="str"/>
      <x:c r="O1622" s="14" t="n">
        <x:v>0</x:v>
      </x:c>
      <x:c r="P1622" s="14" t="str">
        <x:v>Hayır</x:v>
      </x:c>
      <x:c r="Q1622" s="14" t="str">
        <x:v>Hayır</x:v>
      </x:c>
      <x:c r="R1622" s="14" t="str">
        <x:v>Planlandı</x:v>
      </x:c>
      <x:c r="S1622" s="15" t="str"/>
      <x:c r="T1622" s="14" t="str"/>
    </x:row>
    <x:row r="1623">
      <x:c r="A1623" s="14" t="n">
        <x:v>1622</x:v>
      </x:c>
      <x:c r="B1623" s="15" t="n">
        <x:v>46426</x:v>
      </x:c>
      <x:c r="C1623" s="14" t="str">
        <x:v>Pazartesi</x:v>
      </x:c>
      <x:c r="D1623" s="14" t="str">
        <x:v>Okul Günü</x:v>
      </x:c>
      <x:c r="E1623" s="14" t="str">
        <x:v>16:00 sonrası</x:v>
      </x:c>
      <x:c r="F1623" s="14" t="str">
        <x:v>F2 - LGS Kapsam + Ustalık</x:v>
      </x:c>
      <x:c r="G1623" s="14" t="str">
        <x:v>18:25</x:v>
      </x:c>
      <x:c r="H1623" s="14" t="str">
        <x:v>18:55</x:v>
      </x:c>
      <x:c r="I1623" s="14" t="str">
        <x:v>Türkçe</x:v>
      </x:c>
      <x:c r="J1623" s="14" t="str">
        <x:v>Paragraf Rutini</x:v>
      </x:c>
      <x:c r="K1623" s="14" t="str">
        <x:v>Paragraf</x:v>
      </x:c>
      <x:c r="L1623" s="14" t="str">
        <x:v>En az 30 paragraf sorusu çöz; ilk 20 soruyu ileri sayımla ölç, D/Y/B + süre kaydet.</x:v>
      </x:c>
      <x:c r="M1623" s="14" t="str">
        <x:v>Hız 8. Sınıf Türkçe Paragraf (ISBN 9786258394498)</x:v>
      </x:c>
      <x:c r="N1623" s="14" t="str"/>
      <x:c r="O1623" s="14" t="n">
        <x:v>30</x:v>
      </x:c>
      <x:c r="P1623" s="14" t="str">
        <x:v>İlk 20 soru</x:v>
      </x:c>
      <x:c r="Q1623" s="14" t="str">
        <x:v>Evet</x:v>
      </x:c>
      <x:c r="R1623" s="14" t="str">
        <x:v>Planlandı</x:v>
      </x:c>
      <x:c r="S1623" s="15" t="str"/>
      <x:c r="T1623" s="14" t="str">
        <x:v>Geri sayım ve hedef süre yok.</x:v>
      </x:c>
    </x:row>
    <x:row r="1624">
      <x:c r="A1624" s="14" t="n">
        <x:v>1623</x:v>
      </x:c>
      <x:c r="B1624" s="15" t="n">
        <x:v>46426</x:v>
      </x:c>
      <x:c r="C1624" s="14" t="str">
        <x:v>Pazartesi</x:v>
      </x:c>
      <x:c r="D1624" s="14" t="str">
        <x:v>Okul Günü</x:v>
      </x:c>
      <x:c r="E1624" s="14" t="str">
        <x:v>16:00 sonrası</x:v>
      </x:c>
      <x:c r="F1624" s="14" t="str">
        <x:v>F2 - LGS Kapsam + Ustalık</x:v>
      </x:c>
      <x:c r="G1624" s="14" t="str">
        <x:v>19:00</x:v>
      </x:c>
      <x:c r="H1624" s="14" t="str">
        <x:v>19:35</x:v>
      </x:c>
      <x:c r="I1624" s="14" t="str">
        <x:v>Türkçe</x:v>
      </x:c>
      <x:c r="J1624" s="14" t="str">
        <x:v>Konu / Tekrar</x:v>
      </x:c>
      <x:c r="K1624" s="14" t="str">
        <x:v>Kaynak Tamamlama / Zayıf Konu</x:v>
      </x:c>
      <x:c r="L1624" s="14" t="str">
        <x:v>Yeni konu açma. En zayıf/açık konunun ilgili playlist videosunu yalnız gerekiyorsa tekrar izle.</x:v>
      </x:c>
      <x:c r="M1624" s="14" t="str">
        <x:v>Türkçe Ana Oynatma Listesi</x:v>
      </x:c>
      <x:c r="N1624" s="14" t="str">
        <x:v>https://www.youtube.com/watch?v=VYsPntNKVdw&amp;list=PLIBjFaUoJJ91bz7QQEBlxNJNZka5YQRr6</x:v>
      </x:c>
      <x:c r="O1624" s="14" t="n">
        <x:v>0</x:v>
      </x:c>
      <x:c r="P1624" s="14" t="str">
        <x:v>Hayır</x:v>
      </x:c>
      <x:c r="Q1624" s="14" t="str">
        <x:v>Evet</x:v>
      </x:c>
      <x:c r="R1624" s="14" t="str">
        <x:v>Planlandı</x:v>
      </x:c>
      <x:c r="S1624" s="15" t="str"/>
      <x:c r="T1624" s="14" t="str">
        <x:v>TYT etiketli kaynak temelden başlamak için sabittir; LGS dışı gereksiz ayrıntı zorunlu değildir.</x:v>
      </x:c>
    </x:row>
    <x:row r="1625">
      <x:c r="A1625" s="14" t="n">
        <x:v>1624</x:v>
      </x:c>
      <x:c r="B1625" s="15" t="n">
        <x:v>46426</x:v>
      </x:c>
      <x:c r="C1625" s="14" t="str">
        <x:v>Pazartesi</x:v>
      </x:c>
      <x:c r="D1625" s="14" t="str">
        <x:v>Okul Günü</x:v>
      </x:c>
      <x:c r="E1625" s="14" t="str">
        <x:v>16:00 sonrası</x:v>
      </x:c>
      <x:c r="F1625" s="14" t="str">
        <x:v>F2 - LGS Kapsam + Ustalık</x:v>
      </x:c>
      <x:c r="G1625" s="14" t="str">
        <x:v>19:40</x:v>
      </x:c>
      <x:c r="H1625" s="14" t="str">
        <x:v>20:10</x:v>
      </x:c>
      <x:c r="I1625" s="14" t="str">
        <x:v>Türkçe</x:v>
      </x:c>
      <x:c r="J1625" s="14" t="str">
        <x:v>Kitap / MEB / Mastery</x:v>
      </x:c>
      <x:c r="K1625" s="14" t="str">
        <x:v>Kaynak Tamamlama / Zayıf Konu</x:v>
      </x:c>
      <x:c r="L1625" s="14" t="str">
        <x:v>13 Nisan %100 tamamlama hedefine göre en geride kalan Türkçe soru kaynağını/eksik MEB setini ilerlet; açık yanlışları kapat.</x:v>
      </x:c>
      <x:c r="M1625" s="14" t="str">
        <x:v>Ankara 8. Sınıf Dil Bilgisi Güçlendiren + açık MEB/yanlışlar</x:v>
      </x:c>
      <x:c r="N1625" s="14" t="str">
        <x:v>https://odsgm.meb.gov.tr/www/8sinif-calisma-sorulari/icerik/1632</x:v>
      </x:c>
      <x:c r="O1625" s="14" t="n">
        <x:v>15</x:v>
      </x:c>
      <x:c r="P1625" s="14" t="str">
        <x:v>Hayır</x:v>
      </x:c>
      <x:c r="Q1625" s="14" t="str">
        <x:v>Evet</x:v>
      </x:c>
      <x:c r="R1625" s="14" t="str">
        <x:v>Planlandı</x:v>
      </x:c>
      <x:c r="S1625" s="15" t="str"/>
      <x:c r="T1625" s="14" t="str"/>
    </x:row>
    <x:row r="1626">
      <x:c r="A1626" s="14" t="n">
        <x:v>1625</x:v>
      </x:c>
      <x:c r="B1626" s="15" t="n">
        <x:v>46426</x:v>
      </x:c>
      <x:c r="C1626" s="14" t="str">
        <x:v>Pazartesi</x:v>
      </x:c>
      <x:c r="D1626" s="14" t="str">
        <x:v>Okul Günü</x:v>
      </x:c>
      <x:c r="E1626" s="14" t="str">
        <x:v>16:00 sonrası</x:v>
      </x:c>
      <x:c r="F1626" s="14" t="str">
        <x:v>F2 - LGS Kapsam + Ustalık</x:v>
      </x:c>
      <x:c r="G1626" s="14" t="str">
        <x:v>20:15</x:v>
      </x:c>
      <x:c r="H1626" s="14" t="str">
        <x:v>20:50</x:v>
      </x:c>
      <x:c r="I1626" s="14" t="str">
        <x:v>İnkılap</x:v>
      </x:c>
      <x:c r="J1626" s="14" t="str">
        <x:v>Konu / Tekrar</x:v>
      </x:c>
      <x:c r="K1626" s="14" t="str">
        <x:v>Demokratikleşme Çabaları</x:v>
      </x:c>
      <x:c r="L1626" s="14" t="str">
        <x:v>Demokratikleşme Çabaları — genel oynatma listesinden ilgili konu/soru çalışmasını yap.</x:v>
      </x:c>
      <x:c r="M1626" s="14" t="str">
        <x:v>İnkılap Genel Oynatma Listesi</x:v>
      </x:c>
      <x:c r="N1626" s="14" t="str">
        <x:v>https://www.youtube.com/watch?v=MltIX0oKpYU&amp;list=PLsAsBPsriHNbXit4Ra3iuBrk1ZHZWxsOR&amp;index=78</x:v>
      </x:c>
      <x:c r="O1626" s="14" t="n">
        <x:v>0</x:v>
      </x:c>
      <x:c r="P1626" s="14" t="str">
        <x:v>Hayır</x:v>
      </x:c>
      <x:c r="Q1626" s="14" t="str">
        <x:v>Evet</x:v>
      </x:c>
      <x:c r="R1626" s="14" t="str">
        <x:v>Planlandı</x:v>
      </x:c>
      <x:c r="S1626" s="15" t="str"/>
      <x:c r="T1626" s="14" t="str">
        <x:v>İnkılapta okul yazılısı videoları zorunlu değildir.</x:v>
      </x:c>
    </x:row>
    <x:row r="1627">
      <x:c r="A1627" s="14" t="n">
        <x:v>1626</x:v>
      </x:c>
      <x:c r="B1627" s="15" t="n">
        <x:v>46426</x:v>
      </x:c>
      <x:c r="C1627" s="14" t="str">
        <x:v>Pazartesi</x:v>
      </x:c>
      <x:c r="D1627" s="14" t="str">
        <x:v>Okul Günü</x:v>
      </x:c>
      <x:c r="E1627" s="14" t="str">
        <x:v>16:00 sonrası</x:v>
      </x:c>
      <x:c r="F1627" s="14" t="str">
        <x:v>F2 - LGS Kapsam + Ustalık</x:v>
      </x:c>
      <x:c r="G1627" s="14" t="str">
        <x:v>20:55</x:v>
      </x:c>
      <x:c r="H1627" s="14" t="str">
        <x:v>21:20</x:v>
      </x:c>
      <x:c r="I1627" s="14" t="str">
        <x:v>İnkılap</x:v>
      </x:c>
      <x:c r="J1627" s="14" t="str">
        <x:v>Kitap / MEB / Mastery</x:v>
      </x:c>
      <x:c r="K1627" s="14" t="str">
        <x:v>Demokratikleşme Çabaları</x:v>
      </x:c>
      <x:c r="L1627" s="14" t="str">
        <x:v>Demokratikleşme Çabaları ile ilgili soru kitabından en az 20 soru / bugünkü test payını çöz.</x:v>
      </x:c>
      <x:c r="M1627" s="14" t="str">
        <x:v>Hız 8. Sınıf T.C. İnkılap Tarihi ve Atatürkçülük</x:v>
      </x:c>
      <x:c r="N1627" s="14" t="str">
        <x:v>https://www.youtube.com/watch?v=MltIX0oKpYU&amp;list=PLsAsBPsriHNbXit4Ra3iuBrk1ZHZWxsOR&amp;index=78</x:v>
      </x:c>
      <x:c r="O1627" s="14" t="n">
        <x:v>20</x:v>
      </x:c>
      <x:c r="P1627" s="14" t="str">
        <x:v>Hayır</x:v>
      </x:c>
      <x:c r="Q1627" s="14" t="str">
        <x:v>Evet</x:v>
      </x:c>
      <x:c r="R1627" s="14" t="str">
        <x:v>Planlandı</x:v>
      </x:c>
      <x:c r="S1627" s="15" t="str"/>
      <x:c r="T1627" s="14" t="str"/>
    </x:row>
    <x:row r="1628">
      <x:c r="A1628" s="14" t="n">
        <x:v>1627</x:v>
      </x:c>
      <x:c r="B1628" s="15" t="n">
        <x:v>46426</x:v>
      </x:c>
      <x:c r="C1628" s="14" t="str">
        <x:v>Pazartesi</x:v>
      </x:c>
      <x:c r="D1628" s="14" t="str">
        <x:v>Okul Günü</x:v>
      </x:c>
      <x:c r="E1628" s="14" t="str">
        <x:v>16:00 sonrası</x:v>
      </x:c>
      <x:c r="F1628" s="14" t="str">
        <x:v>F2 - LGS Kapsam + Ustalık</x:v>
      </x:c>
      <x:c r="G1628" s="14" t="str">
        <x:v>21:20</x:v>
      </x:c>
      <x:c r="H1628" s="14" t="str">
        <x:v>21:35</x:v>
      </x:c>
      <x:c r="I1628" s="14" t="str">
        <x:v>Genel</x:v>
      </x:c>
      <x:c r="J1628" s="14" t="str">
        <x:v>Yanlış / Boş Analizi</x:v>
      </x:c>
      <x:c r="K1628" s="14" t="str">
        <x:v>Günlük</x:v>
      </x:c>
      <x:c r="L1628" s="14" t="str">
        <x:v>Bugünkü yanlış/boşları kaydet; çözümünü öğrenmeden kapatma. Hata türünü sınıflandır.</x:v>
      </x:c>
      <x:c r="M1628" s="14" t="str">
        <x:v>Yanlış Defteri</x:v>
      </x:c>
      <x:c r="N1628" s="14" t="str"/>
      <x:c r="O1628" s="14" t="n">
        <x:v>0</x:v>
      </x:c>
      <x:c r="P1628" s="14" t="str">
        <x:v>Hayır</x:v>
      </x:c>
      <x:c r="Q1628" s="14" t="str">
        <x:v>Evet</x:v>
      </x:c>
      <x:c r="R1628" s="14" t="str">
        <x:v>Planlandı</x:v>
      </x:c>
      <x:c r="S1628" s="15" t="str"/>
      <x:c r="T1628" s="14" t="str"/>
    </x:row>
    <x:row r="1629">
      <x:c r="A1629" s="14" t="n">
        <x:v>1628</x:v>
      </x:c>
      <x:c r="B1629" s="15" t="n">
        <x:v>46426</x:v>
      </x:c>
      <x:c r="C1629" s="14" t="str">
        <x:v>Pazartesi</x:v>
      </x:c>
      <x:c r="D1629" s="14" t="str">
        <x:v>Okul Günü</x:v>
      </x:c>
      <x:c r="E1629" s="14" t="str">
        <x:v>16:00 sonrası</x:v>
      </x:c>
      <x:c r="F1629" s="14" t="str">
        <x:v>F2 - LGS Kapsam + Ustalık</x:v>
      </x:c>
      <x:c r="G1629" s="14" t="str">
        <x:v>21:35</x:v>
      </x:c>
      <x:c r="H1629" s="14" t="str">
        <x:v>21:50</x:v>
      </x:c>
      <x:c r="I1629" s="14" t="str">
        <x:v>Genel</x:v>
      </x:c>
      <x:c r="J1629" s="14" t="str">
        <x:v>Aralıklı Hata Tekrarı</x:v>
      </x:c>
      <x:c r="K1629" s="14" t="str">
        <x:v>+1 / +7 / +21</x:v>
      </x:c>
      <x:c r="L1629" s="14" t="str">
        <x:v>Bugün vadesi gelen yanlış soruları tekrar çöz. Vadesi yoksa bu süre serbest/okuma olabilir.</x:v>
      </x:c>
      <x:c r="M1629" s="14" t="str">
        <x:v>Yanlış Defteri</x:v>
      </x:c>
      <x:c r="N1629" s="14" t="str"/>
      <x:c r="O1629" s="14" t="n">
        <x:v>0</x:v>
      </x:c>
      <x:c r="P1629" s="14" t="str">
        <x:v>Hayır</x:v>
      </x:c>
      <x:c r="Q1629" s="14" t="str">
        <x:v>Koşullu</x:v>
      </x:c>
      <x:c r="R1629" s="14" t="str">
        <x:v>Planlandı</x:v>
      </x:c>
      <x:c r="S1629" s="15" t="str"/>
      <x:c r="T1629" s="14" t="str">
        <x:v>Yanlışlar +1, +7 ve +21 gün aralıklarıyla tekrar edilir; hâlâ yanlışsa konu mastery durumu düşürülür.</x:v>
      </x:c>
    </x:row>
    <x:row r="1630">
      <x:c r="A1630" s="14" t="n">
        <x:v>1629</x:v>
      </x:c>
      <x:c r="B1630" s="15" t="n">
        <x:v>46426</x:v>
      </x:c>
      <x:c r="C1630" s="14" t="str">
        <x:v>Pazartesi</x:v>
      </x:c>
      <x:c r="D1630" s="14" t="str">
        <x:v>Okul Günü</x:v>
      </x:c>
      <x:c r="E1630" s="14" t="str">
        <x:v>16:00 sonrası</x:v>
      </x:c>
      <x:c r="F1630" s="14" t="str">
        <x:v>F2 - LGS Kapsam + Ustalık</x:v>
      </x:c>
      <x:c r="G1630" s="14" t="str">
        <x:v>21:50</x:v>
      </x:c>
      <x:c r="H1630" s="14" t="str">
        <x:v>22:00</x:v>
      </x:c>
      <x:c r="I1630" s="14" t="str">
        <x:v>Genel</x:v>
      </x:c>
      <x:c r="J1630" s="14" t="str">
        <x:v>Uyku Hazırlığı</x:v>
      </x:c>
      <x:c r="K1630" s="14" t="str"/>
      <x:c r="L1630" s="14" t="str">
        <x:v>22:00'de yatakta ve uyku.</x:v>
      </x:c>
      <x:c r="M1630" s="14" t="str"/>
      <x:c r="N1630" s="14" t="str"/>
      <x:c r="O1630" s="14" t="n">
        <x:v>0</x:v>
      </x:c>
      <x:c r="P1630" s="14" t="str">
        <x:v>Hayır</x:v>
      </x:c>
      <x:c r="Q1630" s="14" t="str">
        <x:v>Hayır</x:v>
      </x:c>
      <x:c r="R1630" s="14" t="str">
        <x:v>Planlandı</x:v>
      </x:c>
      <x:c r="S1630" s="15" t="str"/>
      <x:c r="T1630" s="14" t="str"/>
    </x:row>
    <x:row r="1631">
      <x:c r="A1631" s="14" t="n">
        <x:v>1630</x:v>
      </x:c>
      <x:c r="B1631" s="15" t="n">
        <x:v>46427</x:v>
      </x:c>
      <x:c r="C1631" s="14" t="str">
        <x:v>Salı</x:v>
      </x:c>
      <x:c r="D1631" s="14" t="str">
        <x:v>Okul Günü</x:v>
      </x:c>
      <x:c r="E1631" s="14" t="str">
        <x:v>16:00 sonrası</x:v>
      </x:c>
      <x:c r="F1631" s="14" t="str">
        <x:v>F2 - LGS Kapsam + Ustalık</x:v>
      </x:c>
      <x:c r="G1631" s="14" t="str">
        <x:v>16:00</x:v>
      </x:c>
      <x:c r="H1631" s="14" t="str">
        <x:v>16:25</x:v>
      </x:c>
      <x:c r="I1631" s="14" t="str">
        <x:v>Genel</x:v>
      </x:c>
      <x:c r="J1631" s="14" t="str">
        <x:v>Dinlenme</x:v>
      </x:c>
      <x:c r="K1631" s="14" t="str"/>
      <x:c r="L1631" s="14" t="str">
        <x:v>Eve geliş, atıştırma ve dinlenme.</x:v>
      </x:c>
      <x:c r="M1631" s="14" t="str"/>
      <x:c r="N1631" s="14" t="str"/>
      <x:c r="O1631" s="14" t="n">
        <x:v>0</x:v>
      </x:c>
      <x:c r="P1631" s="14" t="str">
        <x:v>Hayır</x:v>
      </x:c>
      <x:c r="Q1631" s="14" t="str">
        <x:v>Hayır</x:v>
      </x:c>
      <x:c r="R1631" s="14" t="str">
        <x:v>Planlandı</x:v>
      </x:c>
      <x:c r="S1631" s="15" t="str"/>
      <x:c r="T1631" s="14" t="str"/>
    </x:row>
    <x:row r="1632">
      <x:c r="A1632" s="14" t="n">
        <x:v>1631</x:v>
      </x:c>
      <x:c r="B1632" s="15" t="n">
        <x:v>46427</x:v>
      </x:c>
      <x:c r="C1632" s="14" t="str">
        <x:v>Salı</x:v>
      </x:c>
      <x:c r="D1632" s="14" t="str">
        <x:v>Okul Günü</x:v>
      </x:c>
      <x:c r="E1632" s="14" t="str">
        <x:v>16:00 sonrası</x:v>
      </x:c>
      <x:c r="F1632" s="14" t="str">
        <x:v>F2 - LGS Kapsam + Ustalık</x:v>
      </x:c>
      <x:c r="G1632" s="14" t="str">
        <x:v>16:25</x:v>
      </x:c>
      <x:c r="H1632" s="14" t="str">
        <x:v>17:05</x:v>
      </x:c>
      <x:c r="I1632" s="14" t="str">
        <x:v>Matematik</x:v>
      </x:c>
      <x:c r="J1632" s="14" t="str">
        <x:v>Konu / Tekrar</x:v>
      </x:c>
      <x:c r="K1632" s="14" t="str">
        <x:v>Kaynak Tamamlama / Zayıf Konu</x:v>
      </x:c>
      <x:c r="L1632" s="14" t="str">
        <x:v>Yeni konu açma. En zayıf/açık konunun ilgili playlist videosunu yalnız gerekiyorsa tekrar izle.</x:v>
      </x:c>
      <x:c r="M1632" s="14" t="str">
        <x:v>Matematik Ana Oynatma Listesi</x:v>
      </x:c>
      <x:c r="N1632" s="14" t="str">
        <x:v>https://www.youtube.com/watch?v=EuJ89QzqrAg&amp;list=PLicNtF7vp6fnfDqrRLH6H7fIbzYT4ct4F&amp;index=11</x:v>
      </x:c>
      <x:c r="O1632" s="14" t="n">
        <x:v>0</x:v>
      </x:c>
      <x:c r="P1632" s="14" t="str">
        <x:v>Hayır</x:v>
      </x:c>
      <x:c r="Q1632" s="14" t="str">
        <x:v>Evet</x:v>
      </x:c>
      <x:c r="R1632" s="14" t="str">
        <x:v>Planlandı</x:v>
      </x:c>
      <x:c r="S1632" s="15" t="str"/>
      <x:c r="T1632" s="14" t="str">
        <x:v>Yeni konu ancak plan sırasıyla açılır; LGS dışı ileri TYT içeriği zorunlu değildir.</x:v>
      </x:c>
    </x:row>
    <x:row r="1633">
      <x:c r="A1633" s="14" t="n">
        <x:v>1632</x:v>
      </x:c>
      <x:c r="B1633" s="15" t="n">
        <x:v>46427</x:v>
      </x:c>
      <x:c r="C1633" s="14" t="str">
        <x:v>Salı</x:v>
      </x:c>
      <x:c r="D1633" s="14" t="str">
        <x:v>Okul Günü</x:v>
      </x:c>
      <x:c r="E1633" s="14" t="str">
        <x:v>16:00 sonrası</x:v>
      </x:c>
      <x:c r="F1633" s="14" t="str">
        <x:v>F2 - LGS Kapsam + Ustalık</x:v>
      </x:c>
      <x:c r="G1633" s="14" t="str">
        <x:v>17:10</x:v>
      </x:c>
      <x:c r="H1633" s="14" t="str">
        <x:v>17:55</x:v>
      </x:c>
      <x:c r="I1633" s="14" t="str">
        <x:v>Matematik</x:v>
      </x:c>
      <x:c r="J1633" s="14" t="str">
        <x:v>Kitap / MEB / Mastery</x:v>
      </x:c>
      <x:c r="K1633" s="14" t="str">
        <x:v>Kaynak Tamamlama / Zayıf Konu</x:v>
      </x:c>
      <x:c r="L1633" s="14" t="str">
        <x:v>13 Nisan %100 tamamlama hedefine göre en geride kalan Matematik soru kaynağını/eksik MEB setini ilerlet; açık yanlışları kapat.</x:v>
      </x:c>
      <x:c r="M1633" s="14" t="str">
        <x:v>MUBA 8. Sınıf Başlangıç Matematik (ISBN 9789756526972) → tamamlandıysa Mozaik 8. Sınıf Matematik; açık MEB/yanlışlar</x:v>
      </x:c>
      <x:c r="N1633" s="14" t="str">
        <x:v>https://odsgm.meb.gov.tr/www/8sinif-calisma-sorulari/icerik/1632</x:v>
      </x:c>
      <x:c r="O1633" s="14" t="n">
        <x:v>30</x:v>
      </x:c>
      <x:c r="P1633" s="14" t="str">
        <x:v>İlk 20 soru</x:v>
      </x:c>
      <x:c r="Q1633" s="14" t="str">
        <x:v>Evet</x:v>
      </x:c>
      <x:c r="R1633" s="14" t="str">
        <x:v>Planlandı</x:v>
      </x:c>
      <x:c r="S1633" s="15" t="str"/>
      <x:c r="T1633" s="14" t="str">
        <x:v>Ayrı/rastgele matematik benchmark yoktur. Süreli ilk 20 soru o gün çalışılan konunun içindedir.</x:v>
      </x:c>
    </x:row>
    <x:row r="1634">
      <x:c r="A1634" s="14" t="n">
        <x:v>1633</x:v>
      </x:c>
      <x:c r="B1634" s="15" t="n">
        <x:v>46427</x:v>
      </x:c>
      <x:c r="C1634" s="14" t="str">
        <x:v>Salı</x:v>
      </x:c>
      <x:c r="D1634" s="14" t="str">
        <x:v>Okul Günü</x:v>
      </x:c>
      <x:c r="E1634" s="14" t="str">
        <x:v>16:00 sonrası</x:v>
      </x:c>
      <x:c r="F1634" s="14" t="str">
        <x:v>F2 - LGS Kapsam + Ustalık</x:v>
      </x:c>
      <x:c r="G1634" s="14" t="str">
        <x:v>17:55</x:v>
      </x:c>
      <x:c r="H1634" s="14" t="str">
        <x:v>18:25</x:v>
      </x:c>
      <x:c r="I1634" s="14" t="str">
        <x:v>Genel</x:v>
      </x:c>
      <x:c r="J1634" s="14" t="str">
        <x:v>Yemek / Serbest Zaman</x:v>
      </x:c>
      <x:c r="K1634" s="14" t="str"/>
      <x:c r="L1634" s="14" t="str">
        <x:v>Yemek, hareket ve dinlenme.</x:v>
      </x:c>
      <x:c r="M1634" s="14" t="str"/>
      <x:c r="N1634" s="14" t="str"/>
      <x:c r="O1634" s="14" t="n">
        <x:v>0</x:v>
      </x:c>
      <x:c r="P1634" s="14" t="str">
        <x:v>Hayır</x:v>
      </x:c>
      <x:c r="Q1634" s="14" t="str">
        <x:v>Hayır</x:v>
      </x:c>
      <x:c r="R1634" s="14" t="str">
        <x:v>Planlandı</x:v>
      </x:c>
      <x:c r="S1634" s="15" t="str"/>
      <x:c r="T1634" s="14" t="str"/>
    </x:row>
    <x:row r="1635">
      <x:c r="A1635" s="14" t="n">
        <x:v>1634</x:v>
      </x:c>
      <x:c r="B1635" s="15" t="n">
        <x:v>46427</x:v>
      </x:c>
      <x:c r="C1635" s="14" t="str">
        <x:v>Salı</x:v>
      </x:c>
      <x:c r="D1635" s="14" t="str">
        <x:v>Okul Günü</x:v>
      </x:c>
      <x:c r="E1635" s="14" t="str">
        <x:v>16:00 sonrası</x:v>
      </x:c>
      <x:c r="F1635" s="14" t="str">
        <x:v>F2 - LGS Kapsam + Ustalık</x:v>
      </x:c>
      <x:c r="G1635" s="14" t="str">
        <x:v>18:25</x:v>
      </x:c>
      <x:c r="H1635" s="14" t="str">
        <x:v>18:55</x:v>
      </x:c>
      <x:c r="I1635" s="14" t="str">
        <x:v>Türkçe</x:v>
      </x:c>
      <x:c r="J1635" s="14" t="str">
        <x:v>Paragraf Rutini</x:v>
      </x:c>
      <x:c r="K1635" s="14" t="str">
        <x:v>Paragraf</x:v>
      </x:c>
      <x:c r="L1635" s="14" t="str">
        <x:v>En az 30 paragraf sorusu çöz; ilk 20 soruyu ileri sayımla ölç, D/Y/B + süre kaydet.</x:v>
      </x:c>
      <x:c r="M1635" s="14" t="str">
        <x:v>Hız 8. Sınıf Türkçe Paragraf (ISBN 9786258394498)</x:v>
      </x:c>
      <x:c r="N1635" s="14" t="str"/>
      <x:c r="O1635" s="14" t="n">
        <x:v>30</x:v>
      </x:c>
      <x:c r="P1635" s="14" t="str">
        <x:v>İlk 20 soru</x:v>
      </x:c>
      <x:c r="Q1635" s="14" t="str">
        <x:v>Evet</x:v>
      </x:c>
      <x:c r="R1635" s="14" t="str">
        <x:v>Planlandı</x:v>
      </x:c>
      <x:c r="S1635" s="15" t="str"/>
      <x:c r="T1635" s="14" t="str">
        <x:v>Geri sayım ve hedef süre yok.</x:v>
      </x:c>
    </x:row>
    <x:row r="1636">
      <x:c r="A1636" s="14" t="n">
        <x:v>1635</x:v>
      </x:c>
      <x:c r="B1636" s="15" t="n">
        <x:v>46427</x:v>
      </x:c>
      <x:c r="C1636" s="14" t="str">
        <x:v>Salı</x:v>
      </x:c>
      <x:c r="D1636" s="14" t="str">
        <x:v>Okul Günü</x:v>
      </x:c>
      <x:c r="E1636" s="14" t="str">
        <x:v>16:00 sonrası</x:v>
      </x:c>
      <x:c r="F1636" s="14" t="str">
        <x:v>F2 - LGS Kapsam + Ustalık</x:v>
      </x:c>
      <x:c r="G1636" s="14" t="str">
        <x:v>19:00</x:v>
      </x:c>
      <x:c r="H1636" s="14" t="str">
        <x:v>19:35</x:v>
      </x:c>
      <x:c r="I1636" s="14" t="str">
        <x:v>Türkçe</x:v>
      </x:c>
      <x:c r="J1636" s="14" t="str">
        <x:v>Konu / Tekrar</x:v>
      </x:c>
      <x:c r="K1636" s="14" t="str">
        <x:v>Kaynak Tamamlama / Zayıf Konu</x:v>
      </x:c>
      <x:c r="L1636" s="14" t="str">
        <x:v>Yeni konu açma. En zayıf/açık konunun ilgili playlist videosunu yalnız gerekiyorsa tekrar izle.</x:v>
      </x:c>
      <x:c r="M1636" s="14" t="str">
        <x:v>Türkçe Ana Oynatma Listesi</x:v>
      </x:c>
      <x:c r="N1636" s="14" t="str">
        <x:v>https://www.youtube.com/watch?v=VYsPntNKVdw&amp;list=PLIBjFaUoJJ91bz7QQEBlxNJNZka5YQRr6</x:v>
      </x:c>
      <x:c r="O1636" s="14" t="n">
        <x:v>0</x:v>
      </x:c>
      <x:c r="P1636" s="14" t="str">
        <x:v>Hayır</x:v>
      </x:c>
      <x:c r="Q1636" s="14" t="str">
        <x:v>Evet</x:v>
      </x:c>
      <x:c r="R1636" s="14" t="str">
        <x:v>Planlandı</x:v>
      </x:c>
      <x:c r="S1636" s="15" t="str"/>
      <x:c r="T1636" s="14" t="str">
        <x:v>TYT etiketli kaynak temelden başlamak için sabittir; LGS dışı gereksiz ayrıntı zorunlu değildir.</x:v>
      </x:c>
    </x:row>
    <x:row r="1637">
      <x:c r="A1637" s="14" t="n">
        <x:v>1636</x:v>
      </x:c>
      <x:c r="B1637" s="15" t="n">
        <x:v>46427</x:v>
      </x:c>
      <x:c r="C1637" s="14" t="str">
        <x:v>Salı</x:v>
      </x:c>
      <x:c r="D1637" s="14" t="str">
        <x:v>Okul Günü</x:v>
      </x:c>
      <x:c r="E1637" s="14" t="str">
        <x:v>16:00 sonrası</x:v>
      </x:c>
      <x:c r="F1637" s="14" t="str">
        <x:v>F2 - LGS Kapsam + Ustalık</x:v>
      </x:c>
      <x:c r="G1637" s="14" t="str">
        <x:v>19:40</x:v>
      </x:c>
      <x:c r="H1637" s="14" t="str">
        <x:v>20:10</x:v>
      </x:c>
      <x:c r="I1637" s="14" t="str">
        <x:v>Türkçe</x:v>
      </x:c>
      <x:c r="J1637" s="14" t="str">
        <x:v>Kitap / MEB / Mastery</x:v>
      </x:c>
      <x:c r="K1637" s="14" t="str">
        <x:v>Kaynak Tamamlama / Zayıf Konu</x:v>
      </x:c>
      <x:c r="L1637" s="14" t="str">
        <x:v>13 Nisan %100 tamamlama hedefine göre en geride kalan Türkçe soru kaynağını/eksik MEB setini ilerlet; açık yanlışları kapat.</x:v>
      </x:c>
      <x:c r="M1637" s="14" t="str">
        <x:v>Ankara 8. Sınıf Dil Bilgisi Güçlendiren + açık MEB/yanlışlar</x:v>
      </x:c>
      <x:c r="N1637" s="14" t="str">
        <x:v>https://odsgm.meb.gov.tr/www/8sinif-calisma-sorulari/icerik/1632</x:v>
      </x:c>
      <x:c r="O1637" s="14" t="n">
        <x:v>15</x:v>
      </x:c>
      <x:c r="P1637" s="14" t="str">
        <x:v>Hayır</x:v>
      </x:c>
      <x:c r="Q1637" s="14" t="str">
        <x:v>Evet</x:v>
      </x:c>
      <x:c r="R1637" s="14" t="str">
        <x:v>Planlandı</x:v>
      </x:c>
      <x:c r="S1637" s="15" t="str"/>
      <x:c r="T1637" s="14" t="str"/>
    </x:row>
    <x:row r="1638">
      <x:c r="A1638" s="14" t="n">
        <x:v>1637</x:v>
      </x:c>
      <x:c r="B1638" s="15" t="n">
        <x:v>46427</x:v>
      </x:c>
      <x:c r="C1638" s="14" t="str">
        <x:v>Salı</x:v>
      </x:c>
      <x:c r="D1638" s="14" t="str">
        <x:v>Okul Günü</x:v>
      </x:c>
      <x:c r="E1638" s="14" t="str">
        <x:v>16:00 sonrası</x:v>
      </x:c>
      <x:c r="F1638" s="14" t="str">
        <x:v>F2 - LGS Kapsam + Ustalık</x:v>
      </x:c>
      <x:c r="G1638" s="14" t="str">
        <x:v>20:15</x:v>
      </x:c>
      <x:c r="H1638" s="14" t="str">
        <x:v>20:50</x:v>
      </x:c>
      <x:c r="I1638" s="14" t="str">
        <x:v>İngilizce</x:v>
      </x:c>
      <x:c r="J1638" s="14" t="str">
        <x:v>Konu / Tekrar</x:v>
      </x:c>
      <x:c r="K1638" s="14" t="str">
        <x:v>Unit 9 - Science</x:v>
      </x:c>
      <x:c r="L1638" s="14" t="str">
        <x:v>Unit 9 - Science — Content çalışmasını playlistten yap.</x:v>
      </x:c>
      <x:c r="M1638" s="14" t="str">
        <x:v>İngilizce Genel Oynatma Listesi</x:v>
      </x:c>
      <x:c r="N1638" s="14" t="str">
        <x:v>https://www.youtube.com/watch?v=FaY3dFjZbns&amp;list=PLSgpQDrUSYp94WgE9pzpHiOG5FwxnZBrr</x:v>
      </x:c>
      <x:c r="O1638" s="14" t="n">
        <x:v>0</x:v>
      </x:c>
      <x:c r="P1638" s="14" t="str">
        <x:v>Hayır</x:v>
      </x:c>
      <x:c r="Q1638" s="14" t="str">
        <x:v>Evet</x:v>
      </x:c>
      <x:c r="R1638" s="14" t="str">
        <x:v>Planlandı</x:v>
      </x:c>
      <x:c r="S1638" s="15" t="str"/>
      <x:c r="T1638" s="14" t="str"/>
    </x:row>
    <x:row r="1639">
      <x:c r="A1639" s="14" t="n">
        <x:v>1638</x:v>
      </x:c>
      <x:c r="B1639" s="15" t="n">
        <x:v>46427</x:v>
      </x:c>
      <x:c r="C1639" s="14" t="str">
        <x:v>Salı</x:v>
      </x:c>
      <x:c r="D1639" s="14" t="str">
        <x:v>Okul Günü</x:v>
      </x:c>
      <x:c r="E1639" s="14" t="str">
        <x:v>16:00 sonrası</x:v>
      </x:c>
      <x:c r="F1639" s="14" t="str">
        <x:v>F2 - LGS Kapsam + Ustalık</x:v>
      </x:c>
      <x:c r="G1639" s="14" t="str">
        <x:v>20:55</x:v>
      </x:c>
      <x:c r="H1639" s="14" t="str">
        <x:v>21:20</x:v>
      </x:c>
      <x:c r="I1639" s="14" t="str">
        <x:v>İngilizce</x:v>
      </x:c>
      <x:c r="J1639" s="14" t="str">
        <x:v>Kitap / MEB / Mastery</x:v>
      </x:c>
      <x:c r="K1639" s="14" t="str">
        <x:v>Unit 9 - Science</x:v>
      </x:c>
      <x:c r="L1639" s="14" t="str">
        <x:v>Unit 9 - Science ile ilgili soru kitabından en az 20 soru / bugünkü test payını çöz.</x:v>
      </x:c>
      <x:c r="M1639" s="14" t="str">
        <x:v>More &amp; More 8 Worksheets Notebook</x:v>
      </x:c>
      <x:c r="N1639" s="14" t="str">
        <x:v>https://www.youtube.com/watch?v=FaY3dFjZbns&amp;list=PLSgpQDrUSYp94WgE9pzpHiOG5FwxnZBrr</x:v>
      </x:c>
      <x:c r="O1639" s="14" t="n">
        <x:v>20</x:v>
      </x:c>
      <x:c r="P1639" s="14" t="str">
        <x:v>Hayır</x:v>
      </x:c>
      <x:c r="Q1639" s="14" t="str">
        <x:v>Evet</x:v>
      </x:c>
      <x:c r="R1639" s="14" t="str">
        <x:v>Planlandı</x:v>
      </x:c>
      <x:c r="S1639" s="15" t="str"/>
      <x:c r="T1639" s="14" t="str"/>
    </x:row>
    <x:row r="1640">
      <x:c r="A1640" s="14" t="n">
        <x:v>1639</x:v>
      </x:c>
      <x:c r="B1640" s="15" t="n">
        <x:v>46427</x:v>
      </x:c>
      <x:c r="C1640" s="14" t="str">
        <x:v>Salı</x:v>
      </x:c>
      <x:c r="D1640" s="14" t="str">
        <x:v>Okul Günü</x:v>
      </x:c>
      <x:c r="E1640" s="14" t="str">
        <x:v>16:00 sonrası</x:v>
      </x:c>
      <x:c r="F1640" s="14" t="str">
        <x:v>F2 - LGS Kapsam + Ustalık</x:v>
      </x:c>
      <x:c r="G1640" s="14" t="str">
        <x:v>21:20</x:v>
      </x:c>
      <x:c r="H1640" s="14" t="str">
        <x:v>21:35</x:v>
      </x:c>
      <x:c r="I1640" s="14" t="str">
        <x:v>Genel</x:v>
      </x:c>
      <x:c r="J1640" s="14" t="str">
        <x:v>Yanlış / Boş Analizi</x:v>
      </x:c>
      <x:c r="K1640" s="14" t="str">
        <x:v>Günlük</x:v>
      </x:c>
      <x:c r="L1640" s="14" t="str">
        <x:v>Bugünkü yanlış/boşları kaydet; çözümünü öğrenmeden kapatma. Hata türünü sınıflandır.</x:v>
      </x:c>
      <x:c r="M1640" s="14" t="str">
        <x:v>Yanlış Defteri</x:v>
      </x:c>
      <x:c r="N1640" s="14" t="str"/>
      <x:c r="O1640" s="14" t="n">
        <x:v>0</x:v>
      </x:c>
      <x:c r="P1640" s="14" t="str">
        <x:v>Hayır</x:v>
      </x:c>
      <x:c r="Q1640" s="14" t="str">
        <x:v>Evet</x:v>
      </x:c>
      <x:c r="R1640" s="14" t="str">
        <x:v>Planlandı</x:v>
      </x:c>
      <x:c r="S1640" s="15" t="str"/>
      <x:c r="T1640" s="14" t="str"/>
    </x:row>
    <x:row r="1641">
      <x:c r="A1641" s="14" t="n">
        <x:v>1640</x:v>
      </x:c>
      <x:c r="B1641" s="15" t="n">
        <x:v>46427</x:v>
      </x:c>
      <x:c r="C1641" s="14" t="str">
        <x:v>Salı</x:v>
      </x:c>
      <x:c r="D1641" s="14" t="str">
        <x:v>Okul Günü</x:v>
      </x:c>
      <x:c r="E1641" s="14" t="str">
        <x:v>16:00 sonrası</x:v>
      </x:c>
      <x:c r="F1641" s="14" t="str">
        <x:v>F2 - LGS Kapsam + Ustalık</x:v>
      </x:c>
      <x:c r="G1641" s="14" t="str">
        <x:v>21:35</x:v>
      </x:c>
      <x:c r="H1641" s="14" t="str">
        <x:v>21:50</x:v>
      </x:c>
      <x:c r="I1641" s="14" t="str">
        <x:v>Genel</x:v>
      </x:c>
      <x:c r="J1641" s="14" t="str">
        <x:v>Aralıklı Hata Tekrarı</x:v>
      </x:c>
      <x:c r="K1641" s="14" t="str">
        <x:v>+1 / +7 / +21</x:v>
      </x:c>
      <x:c r="L1641" s="14" t="str">
        <x:v>Bugün vadesi gelen yanlış soruları tekrar çöz. Vadesi yoksa bu süre serbest/okuma olabilir.</x:v>
      </x:c>
      <x:c r="M1641" s="14" t="str">
        <x:v>Yanlış Defteri</x:v>
      </x:c>
      <x:c r="N1641" s="14" t="str"/>
      <x:c r="O1641" s="14" t="n">
        <x:v>0</x:v>
      </x:c>
      <x:c r="P1641" s="14" t="str">
        <x:v>Hayır</x:v>
      </x:c>
      <x:c r="Q1641" s="14" t="str">
        <x:v>Koşullu</x:v>
      </x:c>
      <x:c r="R1641" s="14" t="str">
        <x:v>Planlandı</x:v>
      </x:c>
      <x:c r="S1641" s="15" t="str"/>
      <x:c r="T1641" s="14" t="str">
        <x:v>Yanlışlar +1, +7 ve +21 gün aralıklarıyla tekrar edilir; hâlâ yanlışsa konu mastery durumu düşürülür.</x:v>
      </x:c>
    </x:row>
    <x:row r="1642">
      <x:c r="A1642" s="14" t="n">
        <x:v>1641</x:v>
      </x:c>
      <x:c r="B1642" s="15" t="n">
        <x:v>46427</x:v>
      </x:c>
      <x:c r="C1642" s="14" t="str">
        <x:v>Salı</x:v>
      </x:c>
      <x:c r="D1642" s="14" t="str">
        <x:v>Okul Günü</x:v>
      </x:c>
      <x:c r="E1642" s="14" t="str">
        <x:v>16:00 sonrası</x:v>
      </x:c>
      <x:c r="F1642" s="14" t="str">
        <x:v>F2 - LGS Kapsam + Ustalık</x:v>
      </x:c>
      <x:c r="G1642" s="14" t="str">
        <x:v>21:50</x:v>
      </x:c>
      <x:c r="H1642" s="14" t="str">
        <x:v>22:00</x:v>
      </x:c>
      <x:c r="I1642" s="14" t="str">
        <x:v>Genel</x:v>
      </x:c>
      <x:c r="J1642" s="14" t="str">
        <x:v>Uyku Hazırlığı</x:v>
      </x:c>
      <x:c r="K1642" s="14" t="str"/>
      <x:c r="L1642" s="14" t="str">
        <x:v>22:00'de yatakta ve uyku.</x:v>
      </x:c>
      <x:c r="M1642" s="14" t="str"/>
      <x:c r="N1642" s="14" t="str"/>
      <x:c r="O1642" s="14" t="n">
        <x:v>0</x:v>
      </x:c>
      <x:c r="P1642" s="14" t="str">
        <x:v>Hayır</x:v>
      </x:c>
      <x:c r="Q1642" s="14" t="str">
        <x:v>Hayır</x:v>
      </x:c>
      <x:c r="R1642" s="14" t="str">
        <x:v>Planlandı</x:v>
      </x:c>
      <x:c r="S1642" s="15" t="str"/>
      <x:c r="T1642" s="14" t="str"/>
    </x:row>
    <x:row r="1643">
      <x:c r="A1643" s="14" t="n">
        <x:v>1642</x:v>
      </x:c>
      <x:c r="B1643" s="15" t="n">
        <x:v>46428</x:v>
      </x:c>
      <x:c r="C1643" s="14" t="str">
        <x:v>Çarşamba</x:v>
      </x:c>
      <x:c r="D1643" s="14" t="str">
        <x:v>Okul Günü</x:v>
      </x:c>
      <x:c r="E1643" s="14" t="str">
        <x:v>16:00 sonrası</x:v>
      </x:c>
      <x:c r="F1643" s="14" t="str">
        <x:v>F2 - LGS Kapsam + Ustalık</x:v>
      </x:c>
      <x:c r="G1643" s="14" t="str">
        <x:v>16:00</x:v>
      </x:c>
      <x:c r="H1643" s="14" t="str">
        <x:v>16:25</x:v>
      </x:c>
      <x:c r="I1643" s="14" t="str">
        <x:v>Genel</x:v>
      </x:c>
      <x:c r="J1643" s="14" t="str">
        <x:v>Dinlenme</x:v>
      </x:c>
      <x:c r="K1643" s="14" t="str"/>
      <x:c r="L1643" s="14" t="str">
        <x:v>Eve geliş, atıştırma ve dinlenme.</x:v>
      </x:c>
      <x:c r="M1643" s="14" t="str"/>
      <x:c r="N1643" s="14" t="str"/>
      <x:c r="O1643" s="14" t="n">
        <x:v>0</x:v>
      </x:c>
      <x:c r="P1643" s="14" t="str">
        <x:v>Hayır</x:v>
      </x:c>
      <x:c r="Q1643" s="14" t="str">
        <x:v>Hayır</x:v>
      </x:c>
      <x:c r="R1643" s="14" t="str">
        <x:v>Planlandı</x:v>
      </x:c>
      <x:c r="S1643" s="15" t="str"/>
      <x:c r="T1643" s="14" t="str"/>
    </x:row>
    <x:row r="1644">
      <x:c r="A1644" s="14" t="n">
        <x:v>1643</x:v>
      </x:c>
      <x:c r="B1644" s="15" t="n">
        <x:v>46428</x:v>
      </x:c>
      <x:c r="C1644" s="14" t="str">
        <x:v>Çarşamba</x:v>
      </x:c>
      <x:c r="D1644" s="14" t="str">
        <x:v>Okul Günü</x:v>
      </x:c>
      <x:c r="E1644" s="14" t="str">
        <x:v>16:00 sonrası</x:v>
      </x:c>
      <x:c r="F1644" s="14" t="str">
        <x:v>F2 - LGS Kapsam + Ustalık</x:v>
      </x:c>
      <x:c r="G1644" s="14" t="str">
        <x:v>16:25</x:v>
      </x:c>
      <x:c r="H1644" s="14" t="str">
        <x:v>17:05</x:v>
      </x:c>
      <x:c r="I1644" s="14" t="str">
        <x:v>Matematik</x:v>
      </x:c>
      <x:c r="J1644" s="14" t="str">
        <x:v>Konu / Tekrar</x:v>
      </x:c>
      <x:c r="K1644" s="14" t="str">
        <x:v>Kaynak Tamamlama / Zayıf Konu</x:v>
      </x:c>
      <x:c r="L1644" s="14" t="str">
        <x:v>Yeni konu açma. En zayıf/açık konunun ilgili playlist videosunu yalnız gerekiyorsa tekrar izle.</x:v>
      </x:c>
      <x:c r="M1644" s="14" t="str">
        <x:v>Matematik Ana Oynatma Listesi</x:v>
      </x:c>
      <x:c r="N1644" s="14" t="str">
        <x:v>https://www.youtube.com/watch?v=EuJ89QzqrAg&amp;list=PLicNtF7vp6fnfDqrRLH6H7fIbzYT4ct4F&amp;index=11</x:v>
      </x:c>
      <x:c r="O1644" s="14" t="n">
        <x:v>0</x:v>
      </x:c>
      <x:c r="P1644" s="14" t="str">
        <x:v>Hayır</x:v>
      </x:c>
      <x:c r="Q1644" s="14" t="str">
        <x:v>Evet</x:v>
      </x:c>
      <x:c r="R1644" s="14" t="str">
        <x:v>Planlandı</x:v>
      </x:c>
      <x:c r="S1644" s="15" t="str"/>
      <x:c r="T1644" s="14" t="str">
        <x:v>Yeni konu ancak plan sırasıyla açılır; LGS dışı ileri TYT içeriği zorunlu değildir.</x:v>
      </x:c>
    </x:row>
    <x:row r="1645">
      <x:c r="A1645" s="14" t="n">
        <x:v>1644</x:v>
      </x:c>
      <x:c r="B1645" s="15" t="n">
        <x:v>46428</x:v>
      </x:c>
      <x:c r="C1645" s="14" t="str">
        <x:v>Çarşamba</x:v>
      </x:c>
      <x:c r="D1645" s="14" t="str">
        <x:v>Okul Günü</x:v>
      </x:c>
      <x:c r="E1645" s="14" t="str">
        <x:v>16:00 sonrası</x:v>
      </x:c>
      <x:c r="F1645" s="14" t="str">
        <x:v>F2 - LGS Kapsam + Ustalık</x:v>
      </x:c>
      <x:c r="G1645" s="14" t="str">
        <x:v>17:10</x:v>
      </x:c>
      <x:c r="H1645" s="14" t="str">
        <x:v>17:55</x:v>
      </x:c>
      <x:c r="I1645" s="14" t="str">
        <x:v>Matematik</x:v>
      </x:c>
      <x:c r="J1645" s="14" t="str">
        <x:v>Kitap / MEB / Mastery</x:v>
      </x:c>
      <x:c r="K1645" s="14" t="str">
        <x:v>Kaynak Tamamlama / Zayıf Konu</x:v>
      </x:c>
      <x:c r="L1645" s="14" t="str">
        <x:v>13 Nisan %100 tamamlama hedefine göre en geride kalan Matematik soru kaynağını/eksik MEB setini ilerlet; açık yanlışları kapat.</x:v>
      </x:c>
      <x:c r="M1645" s="14" t="str">
        <x:v>MUBA 8. Sınıf Başlangıç Matematik (ISBN 9789756526972) → tamamlandıysa Mozaik 8. Sınıf Matematik; açık MEB/yanlışlar</x:v>
      </x:c>
      <x:c r="N1645" s="14" t="str">
        <x:v>https://odsgm.meb.gov.tr/www/8sinif-calisma-sorulari/icerik/1632</x:v>
      </x:c>
      <x:c r="O1645" s="14" t="n">
        <x:v>30</x:v>
      </x:c>
      <x:c r="P1645" s="14" t="str">
        <x:v>İlk 20 soru</x:v>
      </x:c>
      <x:c r="Q1645" s="14" t="str">
        <x:v>Evet</x:v>
      </x:c>
      <x:c r="R1645" s="14" t="str">
        <x:v>Planlandı</x:v>
      </x:c>
      <x:c r="S1645" s="15" t="str"/>
      <x:c r="T1645" s="14" t="str">
        <x:v>Ayrı/rastgele matematik benchmark yoktur. Süreli ilk 20 soru o gün çalışılan konunun içindedir.</x:v>
      </x:c>
    </x:row>
    <x:row r="1646">
      <x:c r="A1646" s="14" t="n">
        <x:v>1645</x:v>
      </x:c>
      <x:c r="B1646" s="15" t="n">
        <x:v>46428</x:v>
      </x:c>
      <x:c r="C1646" s="14" t="str">
        <x:v>Çarşamba</x:v>
      </x:c>
      <x:c r="D1646" s="14" t="str">
        <x:v>Okul Günü</x:v>
      </x:c>
      <x:c r="E1646" s="14" t="str">
        <x:v>16:00 sonrası</x:v>
      </x:c>
      <x:c r="F1646" s="14" t="str">
        <x:v>F2 - LGS Kapsam + Ustalık</x:v>
      </x:c>
      <x:c r="G1646" s="14" t="str">
        <x:v>17:55</x:v>
      </x:c>
      <x:c r="H1646" s="14" t="str">
        <x:v>18:25</x:v>
      </x:c>
      <x:c r="I1646" s="14" t="str">
        <x:v>Genel</x:v>
      </x:c>
      <x:c r="J1646" s="14" t="str">
        <x:v>Yemek / Serbest Zaman</x:v>
      </x:c>
      <x:c r="K1646" s="14" t="str"/>
      <x:c r="L1646" s="14" t="str">
        <x:v>Yemek, hareket ve dinlenme.</x:v>
      </x:c>
      <x:c r="M1646" s="14" t="str"/>
      <x:c r="N1646" s="14" t="str"/>
      <x:c r="O1646" s="14" t="n">
        <x:v>0</x:v>
      </x:c>
      <x:c r="P1646" s="14" t="str">
        <x:v>Hayır</x:v>
      </x:c>
      <x:c r="Q1646" s="14" t="str">
        <x:v>Hayır</x:v>
      </x:c>
      <x:c r="R1646" s="14" t="str">
        <x:v>Planlandı</x:v>
      </x:c>
      <x:c r="S1646" s="15" t="str"/>
      <x:c r="T1646" s="14" t="str"/>
    </x:row>
    <x:row r="1647">
      <x:c r="A1647" s="14" t="n">
        <x:v>1646</x:v>
      </x:c>
      <x:c r="B1647" s="15" t="n">
        <x:v>46428</x:v>
      </x:c>
      <x:c r="C1647" s="14" t="str">
        <x:v>Çarşamba</x:v>
      </x:c>
      <x:c r="D1647" s="14" t="str">
        <x:v>Okul Günü</x:v>
      </x:c>
      <x:c r="E1647" s="14" t="str">
        <x:v>16:00 sonrası</x:v>
      </x:c>
      <x:c r="F1647" s="14" t="str">
        <x:v>F2 - LGS Kapsam + Ustalık</x:v>
      </x:c>
      <x:c r="G1647" s="14" t="str">
        <x:v>18:25</x:v>
      </x:c>
      <x:c r="H1647" s="14" t="str">
        <x:v>18:55</x:v>
      </x:c>
      <x:c r="I1647" s="14" t="str">
        <x:v>Türkçe</x:v>
      </x:c>
      <x:c r="J1647" s="14" t="str">
        <x:v>Paragraf Rutini</x:v>
      </x:c>
      <x:c r="K1647" s="14" t="str">
        <x:v>Paragraf</x:v>
      </x:c>
      <x:c r="L1647" s="14" t="str">
        <x:v>En az 30 paragraf sorusu çöz; ilk 20 soruyu ileri sayımla ölç, D/Y/B + süre kaydet.</x:v>
      </x:c>
      <x:c r="M1647" s="14" t="str">
        <x:v>Hız 8. Sınıf Türkçe Paragraf (ISBN 9786258394498)</x:v>
      </x:c>
      <x:c r="N1647" s="14" t="str"/>
      <x:c r="O1647" s="14" t="n">
        <x:v>30</x:v>
      </x:c>
      <x:c r="P1647" s="14" t="str">
        <x:v>İlk 20 soru</x:v>
      </x:c>
      <x:c r="Q1647" s="14" t="str">
        <x:v>Evet</x:v>
      </x:c>
      <x:c r="R1647" s="14" t="str">
        <x:v>Planlandı</x:v>
      </x:c>
      <x:c r="S1647" s="15" t="str"/>
      <x:c r="T1647" s="14" t="str">
        <x:v>Geri sayım ve hedef süre yok.</x:v>
      </x:c>
    </x:row>
    <x:row r="1648">
      <x:c r="A1648" s="14" t="n">
        <x:v>1647</x:v>
      </x:c>
      <x:c r="B1648" s="15" t="n">
        <x:v>46428</x:v>
      </x:c>
      <x:c r="C1648" s="14" t="str">
        <x:v>Çarşamba</x:v>
      </x:c>
      <x:c r="D1648" s="14" t="str">
        <x:v>Okul Günü</x:v>
      </x:c>
      <x:c r="E1648" s="14" t="str">
        <x:v>16:00 sonrası</x:v>
      </x:c>
      <x:c r="F1648" s="14" t="str">
        <x:v>F2 - LGS Kapsam + Ustalık</x:v>
      </x:c>
      <x:c r="G1648" s="14" t="str">
        <x:v>19:00</x:v>
      </x:c>
      <x:c r="H1648" s="14" t="str">
        <x:v>19:35</x:v>
      </x:c>
      <x:c r="I1648" s="14" t="str">
        <x:v>Türkçe</x:v>
      </x:c>
      <x:c r="J1648" s="14" t="str">
        <x:v>Konu / Tekrar</x:v>
      </x:c>
      <x:c r="K1648" s="14" t="str">
        <x:v>Kaynak Tamamlama / Zayıf Konu</x:v>
      </x:c>
      <x:c r="L1648" s="14" t="str">
        <x:v>Yeni konu açma. En zayıf/açık konunun ilgili playlist videosunu yalnız gerekiyorsa tekrar izle.</x:v>
      </x:c>
      <x:c r="M1648" s="14" t="str">
        <x:v>Türkçe Ana Oynatma Listesi</x:v>
      </x:c>
      <x:c r="N1648" s="14" t="str">
        <x:v>https://www.youtube.com/watch?v=VYsPntNKVdw&amp;list=PLIBjFaUoJJ91bz7QQEBlxNJNZka5YQRr6</x:v>
      </x:c>
      <x:c r="O1648" s="14" t="n">
        <x:v>0</x:v>
      </x:c>
      <x:c r="P1648" s="14" t="str">
        <x:v>Hayır</x:v>
      </x:c>
      <x:c r="Q1648" s="14" t="str">
        <x:v>Evet</x:v>
      </x:c>
      <x:c r="R1648" s="14" t="str">
        <x:v>Planlandı</x:v>
      </x:c>
      <x:c r="S1648" s="15" t="str"/>
      <x:c r="T1648" s="14" t="str">
        <x:v>TYT etiketli kaynak temelden başlamak için sabittir; LGS dışı gereksiz ayrıntı zorunlu değildir.</x:v>
      </x:c>
    </x:row>
    <x:row r="1649">
      <x:c r="A1649" s="14" t="n">
        <x:v>1648</x:v>
      </x:c>
      <x:c r="B1649" s="15" t="n">
        <x:v>46428</x:v>
      </x:c>
      <x:c r="C1649" s="14" t="str">
        <x:v>Çarşamba</x:v>
      </x:c>
      <x:c r="D1649" s="14" t="str">
        <x:v>Okul Günü</x:v>
      </x:c>
      <x:c r="E1649" s="14" t="str">
        <x:v>16:00 sonrası</x:v>
      </x:c>
      <x:c r="F1649" s="14" t="str">
        <x:v>F2 - LGS Kapsam + Ustalık</x:v>
      </x:c>
      <x:c r="G1649" s="14" t="str">
        <x:v>19:40</x:v>
      </x:c>
      <x:c r="H1649" s="14" t="str">
        <x:v>20:10</x:v>
      </x:c>
      <x:c r="I1649" s="14" t="str">
        <x:v>Türkçe</x:v>
      </x:c>
      <x:c r="J1649" s="14" t="str">
        <x:v>Kitap / MEB / Mastery</x:v>
      </x:c>
      <x:c r="K1649" s="14" t="str">
        <x:v>Kaynak Tamamlama / Zayıf Konu</x:v>
      </x:c>
      <x:c r="L1649" s="14" t="str">
        <x:v>13 Nisan %100 tamamlama hedefine göre en geride kalan Türkçe soru kaynağını/eksik MEB setini ilerlet; açık yanlışları kapat.</x:v>
      </x:c>
      <x:c r="M1649" s="14" t="str">
        <x:v>Ankara 8. Sınıf Dil Bilgisi Güçlendiren + açık MEB/yanlışlar</x:v>
      </x:c>
      <x:c r="N1649" s="14" t="str">
        <x:v>https://odsgm.meb.gov.tr/www/8sinif-calisma-sorulari/icerik/1632</x:v>
      </x:c>
      <x:c r="O1649" s="14" t="n">
        <x:v>15</x:v>
      </x:c>
      <x:c r="P1649" s="14" t="str">
        <x:v>Hayır</x:v>
      </x:c>
      <x:c r="Q1649" s="14" t="str">
        <x:v>Evet</x:v>
      </x:c>
      <x:c r="R1649" s="14" t="str">
        <x:v>Planlandı</x:v>
      </x:c>
      <x:c r="S1649" s="15" t="str"/>
      <x:c r="T1649" s="14" t="str"/>
    </x:row>
    <x:row r="1650">
      <x:c r="A1650" s="14" t="n">
        <x:v>1649</x:v>
      </x:c>
      <x:c r="B1650" s="15" t="n">
        <x:v>46428</x:v>
      </x:c>
      <x:c r="C1650" s="14" t="str">
        <x:v>Çarşamba</x:v>
      </x:c>
      <x:c r="D1650" s="14" t="str">
        <x:v>Okul Günü</x:v>
      </x:c>
      <x:c r="E1650" s="14" t="str">
        <x:v>16:00 sonrası</x:v>
      </x:c>
      <x:c r="F1650" s="14" t="str">
        <x:v>F2 - LGS Kapsam + Ustalık</x:v>
      </x:c>
      <x:c r="G1650" s="14" t="str">
        <x:v>20:15</x:v>
      </x:c>
      <x:c r="H1650" s="14" t="str">
        <x:v>20:50</x:v>
      </x:c>
      <x:c r="I1650" s="14" t="str">
        <x:v>Fen</x:v>
      </x:c>
      <x:c r="J1650" s="14" t="str">
        <x:v>Konu / Tekrar</x:v>
      </x:c>
      <x:c r="K1650" s="14" t="str">
        <x:v>Fotosentez</x:v>
      </x:c>
      <x:c r="L1650" s="14" t="str">
        <x:v>Fotosentez — Fen soru çözüm playlistinden ilgili videoyu izle.</x:v>
      </x:c>
      <x:c r="M1650" s="14" t="str">
        <x:v>Fen Soru Çözüm / Tekrar</x:v>
      </x:c>
      <x:c r="N1650" s="14" t="str">
        <x:v>https://www.youtube.com/watch?v=pQXhWnDZ3vM&amp;list=PLrQm7mt99FRXcBnorCttd31HJEvg0En26&amp;index=23</x:v>
      </x:c>
      <x:c r="O1650" s="14" t="n">
        <x:v>0</x:v>
      </x:c>
      <x:c r="P1650" s="14" t="str">
        <x:v>Hayır</x:v>
      </x:c>
      <x:c r="Q1650" s="14" t="str">
        <x:v>Evet</x:v>
      </x:c>
      <x:c r="R1650" s="14" t="str">
        <x:v>Planlandı</x:v>
      </x:c>
      <x:c r="S1650" s="15" t="str"/>
      <x:c r="T1650" s="14" t="str"/>
    </x:row>
    <x:row r="1651">
      <x:c r="A1651" s="14" t="n">
        <x:v>1650</x:v>
      </x:c>
      <x:c r="B1651" s="15" t="n">
        <x:v>46428</x:v>
      </x:c>
      <x:c r="C1651" s="14" t="str">
        <x:v>Çarşamba</x:v>
      </x:c>
      <x:c r="D1651" s="14" t="str">
        <x:v>Okul Günü</x:v>
      </x:c>
      <x:c r="E1651" s="14" t="str">
        <x:v>16:00 sonrası</x:v>
      </x:c>
      <x:c r="F1651" s="14" t="str">
        <x:v>F2 - LGS Kapsam + Ustalık</x:v>
      </x:c>
      <x:c r="G1651" s="14" t="str">
        <x:v>20:55</x:v>
      </x:c>
      <x:c r="H1651" s="14" t="str">
        <x:v>21:20</x:v>
      </x:c>
      <x:c r="I1651" s="14" t="str">
        <x:v>Fen</x:v>
      </x:c>
      <x:c r="J1651" s="14" t="str">
        <x:v>Kitap / MEB / Mastery</x:v>
      </x:c>
      <x:c r="K1651" s="14" t="str">
        <x:v>Fotosentez</x:v>
      </x:c>
      <x:c r="L1651" s="14" t="str">
        <x:v>Fotosentez ile ilgili soru kitabından en az 20 soru / bugünkü test payını çöz.</x:v>
      </x:c>
      <x:c r="M1651" s="14" t="str">
        <x:v>Hız 8. Sınıf Fen (ISBN 9786257514859); tamamlandıysa Mozaik 8. Sınıf Fen</x:v>
      </x:c>
      <x:c r="N1651" s="14" t="str">
        <x:v>https://www.youtube.com/watch?v=pQXhWnDZ3vM&amp;list=PLrQm7mt99FRXcBnorCttd31HJEvg0En26&amp;index=23</x:v>
      </x:c>
      <x:c r="O1651" s="14" t="n">
        <x:v>20</x:v>
      </x:c>
      <x:c r="P1651" s="14" t="str">
        <x:v>Hayır</x:v>
      </x:c>
      <x:c r="Q1651" s="14" t="str">
        <x:v>Evet</x:v>
      </x:c>
      <x:c r="R1651" s="14" t="str">
        <x:v>Planlandı</x:v>
      </x:c>
      <x:c r="S1651" s="15" t="str"/>
      <x:c r="T1651" s="14" t="str"/>
    </x:row>
    <x:row r="1652">
      <x:c r="A1652" s="14" t="n">
        <x:v>1651</x:v>
      </x:c>
      <x:c r="B1652" s="15" t="n">
        <x:v>46428</x:v>
      </x:c>
      <x:c r="C1652" s="14" t="str">
        <x:v>Çarşamba</x:v>
      </x:c>
      <x:c r="D1652" s="14" t="str">
        <x:v>Okul Günü</x:v>
      </x:c>
      <x:c r="E1652" s="14" t="str">
        <x:v>16:00 sonrası</x:v>
      </x:c>
      <x:c r="F1652" s="14" t="str">
        <x:v>F2 - LGS Kapsam + Ustalık</x:v>
      </x:c>
      <x:c r="G1652" s="14" t="str">
        <x:v>21:20</x:v>
      </x:c>
      <x:c r="H1652" s="14" t="str">
        <x:v>21:35</x:v>
      </x:c>
      <x:c r="I1652" s="14" t="str">
        <x:v>Genel</x:v>
      </x:c>
      <x:c r="J1652" s="14" t="str">
        <x:v>Yanlış / Boş Analizi</x:v>
      </x:c>
      <x:c r="K1652" s="14" t="str">
        <x:v>Günlük</x:v>
      </x:c>
      <x:c r="L1652" s="14" t="str">
        <x:v>Bugünkü yanlış/boşları kaydet; çözümünü öğrenmeden kapatma. Hata türünü sınıflandır.</x:v>
      </x:c>
      <x:c r="M1652" s="14" t="str">
        <x:v>Yanlış Defteri</x:v>
      </x:c>
      <x:c r="N1652" s="14" t="str"/>
      <x:c r="O1652" s="14" t="n">
        <x:v>0</x:v>
      </x:c>
      <x:c r="P1652" s="14" t="str">
        <x:v>Hayır</x:v>
      </x:c>
      <x:c r="Q1652" s="14" t="str">
        <x:v>Evet</x:v>
      </x:c>
      <x:c r="R1652" s="14" t="str">
        <x:v>Planlandı</x:v>
      </x:c>
      <x:c r="S1652" s="15" t="str"/>
      <x:c r="T1652" s="14" t="str"/>
    </x:row>
    <x:row r="1653">
      <x:c r="A1653" s="14" t="n">
        <x:v>1652</x:v>
      </x:c>
      <x:c r="B1653" s="15" t="n">
        <x:v>46428</x:v>
      </x:c>
      <x:c r="C1653" s="14" t="str">
        <x:v>Çarşamba</x:v>
      </x:c>
      <x:c r="D1653" s="14" t="str">
        <x:v>Okul Günü</x:v>
      </x:c>
      <x:c r="E1653" s="14" t="str">
        <x:v>16:00 sonrası</x:v>
      </x:c>
      <x:c r="F1653" s="14" t="str">
        <x:v>F2 - LGS Kapsam + Ustalık</x:v>
      </x:c>
      <x:c r="G1653" s="14" t="str">
        <x:v>21:35</x:v>
      </x:c>
      <x:c r="H1653" s="14" t="str">
        <x:v>21:50</x:v>
      </x:c>
      <x:c r="I1653" s="14" t="str">
        <x:v>Genel</x:v>
      </x:c>
      <x:c r="J1653" s="14" t="str">
        <x:v>Aralıklı Hata Tekrarı</x:v>
      </x:c>
      <x:c r="K1653" s="14" t="str">
        <x:v>+1 / +7 / +21</x:v>
      </x:c>
      <x:c r="L1653" s="14" t="str">
        <x:v>Bugün vadesi gelen yanlış soruları tekrar çöz. Vadesi yoksa bu süre serbest/okuma olabilir.</x:v>
      </x:c>
      <x:c r="M1653" s="14" t="str">
        <x:v>Yanlış Defteri</x:v>
      </x:c>
      <x:c r="N1653" s="14" t="str"/>
      <x:c r="O1653" s="14" t="n">
        <x:v>0</x:v>
      </x:c>
      <x:c r="P1653" s="14" t="str">
        <x:v>Hayır</x:v>
      </x:c>
      <x:c r="Q1653" s="14" t="str">
        <x:v>Koşullu</x:v>
      </x:c>
      <x:c r="R1653" s="14" t="str">
        <x:v>Planlandı</x:v>
      </x:c>
      <x:c r="S1653" s="15" t="str"/>
      <x:c r="T1653" s="14" t="str">
        <x:v>Yanlışlar +1, +7 ve +21 gün aralıklarıyla tekrar edilir; hâlâ yanlışsa konu mastery durumu düşürülür.</x:v>
      </x:c>
    </x:row>
    <x:row r="1654">
      <x:c r="A1654" s="14" t="n">
        <x:v>1653</x:v>
      </x:c>
      <x:c r="B1654" s="15" t="n">
        <x:v>46428</x:v>
      </x:c>
      <x:c r="C1654" s="14" t="str">
        <x:v>Çarşamba</x:v>
      </x:c>
      <x:c r="D1654" s="14" t="str">
        <x:v>Okul Günü</x:v>
      </x:c>
      <x:c r="E1654" s="14" t="str">
        <x:v>16:00 sonrası</x:v>
      </x:c>
      <x:c r="F1654" s="14" t="str">
        <x:v>F2 - LGS Kapsam + Ustalık</x:v>
      </x:c>
      <x:c r="G1654" s="14" t="str">
        <x:v>21:50</x:v>
      </x:c>
      <x:c r="H1654" s="14" t="str">
        <x:v>22:00</x:v>
      </x:c>
      <x:c r="I1654" s="14" t="str">
        <x:v>Genel</x:v>
      </x:c>
      <x:c r="J1654" s="14" t="str">
        <x:v>Uyku Hazırlığı</x:v>
      </x:c>
      <x:c r="K1654" s="14" t="str"/>
      <x:c r="L1654" s="14" t="str">
        <x:v>22:00'de yatakta ve uyku.</x:v>
      </x:c>
      <x:c r="M1654" s="14" t="str"/>
      <x:c r="N1654" s="14" t="str"/>
      <x:c r="O1654" s="14" t="n">
        <x:v>0</x:v>
      </x:c>
      <x:c r="P1654" s="14" t="str">
        <x:v>Hayır</x:v>
      </x:c>
      <x:c r="Q1654" s="14" t="str">
        <x:v>Hayır</x:v>
      </x:c>
      <x:c r="R1654" s="14" t="str">
        <x:v>Planlandı</x:v>
      </x:c>
      <x:c r="S1654" s="15" t="str"/>
      <x:c r="T1654" s="14" t="str"/>
    </x:row>
    <x:row r="1655">
      <x:c r="A1655" s="14" t="n">
        <x:v>1654</x:v>
      </x:c>
      <x:c r="B1655" s="15" t="n">
        <x:v>46429</x:v>
      </x:c>
      <x:c r="C1655" s="14" t="str">
        <x:v>Perşembe</x:v>
      </x:c>
      <x:c r="D1655" s="14" t="str">
        <x:v>Okul Günü</x:v>
      </x:c>
      <x:c r="E1655" s="14" t="str">
        <x:v>16:00 sonrası</x:v>
      </x:c>
      <x:c r="F1655" s="14" t="str">
        <x:v>F2 - LGS Kapsam + Ustalık</x:v>
      </x:c>
      <x:c r="G1655" s="14" t="str">
        <x:v>16:00</x:v>
      </x:c>
      <x:c r="H1655" s="14" t="str">
        <x:v>16:25</x:v>
      </x:c>
      <x:c r="I1655" s="14" t="str">
        <x:v>Genel</x:v>
      </x:c>
      <x:c r="J1655" s="14" t="str">
        <x:v>Dinlenme</x:v>
      </x:c>
      <x:c r="K1655" s="14" t="str"/>
      <x:c r="L1655" s="14" t="str">
        <x:v>Eve geliş, atıştırma ve dinlenme.</x:v>
      </x:c>
      <x:c r="M1655" s="14" t="str"/>
      <x:c r="N1655" s="14" t="str"/>
      <x:c r="O1655" s="14" t="n">
        <x:v>0</x:v>
      </x:c>
      <x:c r="P1655" s="14" t="str">
        <x:v>Hayır</x:v>
      </x:c>
      <x:c r="Q1655" s="14" t="str">
        <x:v>Hayır</x:v>
      </x:c>
      <x:c r="R1655" s="14" t="str">
        <x:v>Planlandı</x:v>
      </x:c>
      <x:c r="S1655" s="15" t="str"/>
      <x:c r="T1655" s="14" t="str"/>
    </x:row>
    <x:row r="1656">
      <x:c r="A1656" s="14" t="n">
        <x:v>1655</x:v>
      </x:c>
      <x:c r="B1656" s="15" t="n">
        <x:v>46429</x:v>
      </x:c>
      <x:c r="C1656" s="14" t="str">
        <x:v>Perşembe</x:v>
      </x:c>
      <x:c r="D1656" s="14" t="str">
        <x:v>Okul Günü</x:v>
      </x:c>
      <x:c r="E1656" s="14" t="str">
        <x:v>16:00 sonrası</x:v>
      </x:c>
      <x:c r="F1656" s="14" t="str">
        <x:v>F2 - LGS Kapsam + Ustalık</x:v>
      </x:c>
      <x:c r="G1656" s="14" t="str">
        <x:v>16:25</x:v>
      </x:c>
      <x:c r="H1656" s="14" t="str">
        <x:v>17:05</x:v>
      </x:c>
      <x:c r="I1656" s="14" t="str">
        <x:v>Matematik</x:v>
      </x:c>
      <x:c r="J1656" s="14" t="str">
        <x:v>Konu / Tekrar</x:v>
      </x:c>
      <x:c r="K1656" s="14" t="str">
        <x:v>Kaynak Tamamlama / Zayıf Konu</x:v>
      </x:c>
      <x:c r="L1656" s="14" t="str">
        <x:v>Yeni konu açma. En zayıf/açık konunun ilgili playlist videosunu yalnız gerekiyorsa tekrar izle.</x:v>
      </x:c>
      <x:c r="M1656" s="14" t="str">
        <x:v>Matematik Ana Oynatma Listesi</x:v>
      </x:c>
      <x:c r="N1656" s="14" t="str">
        <x:v>https://www.youtube.com/watch?v=EuJ89QzqrAg&amp;list=PLicNtF7vp6fnfDqrRLH6H7fIbzYT4ct4F&amp;index=11</x:v>
      </x:c>
      <x:c r="O1656" s="14" t="n">
        <x:v>0</x:v>
      </x:c>
      <x:c r="P1656" s="14" t="str">
        <x:v>Hayır</x:v>
      </x:c>
      <x:c r="Q1656" s="14" t="str">
        <x:v>Evet</x:v>
      </x:c>
      <x:c r="R1656" s="14" t="str">
        <x:v>Planlandı</x:v>
      </x:c>
      <x:c r="S1656" s="15" t="str"/>
      <x:c r="T1656" s="14" t="str">
        <x:v>Yeni konu ancak plan sırasıyla açılır; LGS dışı ileri TYT içeriği zorunlu değildir.</x:v>
      </x:c>
    </x:row>
    <x:row r="1657">
      <x:c r="A1657" s="14" t="n">
        <x:v>1656</x:v>
      </x:c>
      <x:c r="B1657" s="15" t="n">
        <x:v>46429</x:v>
      </x:c>
      <x:c r="C1657" s="14" t="str">
        <x:v>Perşembe</x:v>
      </x:c>
      <x:c r="D1657" s="14" t="str">
        <x:v>Okul Günü</x:v>
      </x:c>
      <x:c r="E1657" s="14" t="str">
        <x:v>16:00 sonrası</x:v>
      </x:c>
      <x:c r="F1657" s="14" t="str">
        <x:v>F2 - LGS Kapsam + Ustalık</x:v>
      </x:c>
      <x:c r="G1657" s="14" t="str">
        <x:v>17:10</x:v>
      </x:c>
      <x:c r="H1657" s="14" t="str">
        <x:v>17:55</x:v>
      </x:c>
      <x:c r="I1657" s="14" t="str">
        <x:v>Matematik</x:v>
      </x:c>
      <x:c r="J1657" s="14" t="str">
        <x:v>Kitap / MEB / Mastery</x:v>
      </x:c>
      <x:c r="K1657" s="14" t="str">
        <x:v>Kaynak Tamamlama / Zayıf Konu</x:v>
      </x:c>
      <x:c r="L1657" s="14" t="str">
        <x:v>13 Nisan %100 tamamlama hedefine göre en geride kalan Matematik soru kaynağını/eksik MEB setini ilerlet; açık yanlışları kapat.</x:v>
      </x:c>
      <x:c r="M1657" s="14" t="str">
        <x:v>MUBA 8. Sınıf Başlangıç Matematik (ISBN 9789756526972) → tamamlandıysa Mozaik 8. Sınıf Matematik; açık MEB/yanlışlar</x:v>
      </x:c>
      <x:c r="N1657" s="14" t="str">
        <x:v>https://odsgm.meb.gov.tr/www/8sinif-calisma-sorulari/icerik/1632</x:v>
      </x:c>
      <x:c r="O1657" s="14" t="n">
        <x:v>30</x:v>
      </x:c>
      <x:c r="P1657" s="14" t="str">
        <x:v>İlk 20 soru</x:v>
      </x:c>
      <x:c r="Q1657" s="14" t="str">
        <x:v>Evet</x:v>
      </x:c>
      <x:c r="R1657" s="14" t="str">
        <x:v>Planlandı</x:v>
      </x:c>
      <x:c r="S1657" s="15" t="str"/>
      <x:c r="T1657" s="14" t="str">
        <x:v>Ayrı/rastgele matematik benchmark yoktur. Süreli ilk 20 soru o gün çalışılan konunun içindedir.</x:v>
      </x:c>
    </x:row>
    <x:row r="1658">
      <x:c r="A1658" s="14" t="n">
        <x:v>1657</x:v>
      </x:c>
      <x:c r="B1658" s="15" t="n">
        <x:v>46429</x:v>
      </x:c>
      <x:c r="C1658" s="14" t="str">
        <x:v>Perşembe</x:v>
      </x:c>
      <x:c r="D1658" s="14" t="str">
        <x:v>Okul Günü</x:v>
      </x:c>
      <x:c r="E1658" s="14" t="str">
        <x:v>16:00 sonrası</x:v>
      </x:c>
      <x:c r="F1658" s="14" t="str">
        <x:v>F2 - LGS Kapsam + Ustalık</x:v>
      </x:c>
      <x:c r="G1658" s="14" t="str">
        <x:v>17:55</x:v>
      </x:c>
      <x:c r="H1658" s="14" t="str">
        <x:v>18:25</x:v>
      </x:c>
      <x:c r="I1658" s="14" t="str">
        <x:v>Genel</x:v>
      </x:c>
      <x:c r="J1658" s="14" t="str">
        <x:v>Yemek / Serbest Zaman</x:v>
      </x:c>
      <x:c r="K1658" s="14" t="str"/>
      <x:c r="L1658" s="14" t="str">
        <x:v>Yemek, hareket ve dinlenme.</x:v>
      </x:c>
      <x:c r="M1658" s="14" t="str"/>
      <x:c r="N1658" s="14" t="str"/>
      <x:c r="O1658" s="14" t="n">
        <x:v>0</x:v>
      </x:c>
      <x:c r="P1658" s="14" t="str">
        <x:v>Hayır</x:v>
      </x:c>
      <x:c r="Q1658" s="14" t="str">
        <x:v>Hayır</x:v>
      </x:c>
      <x:c r="R1658" s="14" t="str">
        <x:v>Planlandı</x:v>
      </x:c>
      <x:c r="S1658" s="15" t="str"/>
      <x:c r="T1658" s="14" t="str"/>
    </x:row>
    <x:row r="1659">
      <x:c r="A1659" s="14" t="n">
        <x:v>1658</x:v>
      </x:c>
      <x:c r="B1659" s="15" t="n">
        <x:v>46429</x:v>
      </x:c>
      <x:c r="C1659" s="14" t="str">
        <x:v>Perşembe</x:v>
      </x:c>
      <x:c r="D1659" s="14" t="str">
        <x:v>Okul Günü</x:v>
      </x:c>
      <x:c r="E1659" s="14" t="str">
        <x:v>16:00 sonrası</x:v>
      </x:c>
      <x:c r="F1659" s="14" t="str">
        <x:v>F2 - LGS Kapsam + Ustalık</x:v>
      </x:c>
      <x:c r="G1659" s="14" t="str">
        <x:v>18:25</x:v>
      </x:c>
      <x:c r="H1659" s="14" t="str">
        <x:v>18:55</x:v>
      </x:c>
      <x:c r="I1659" s="14" t="str">
        <x:v>Türkçe</x:v>
      </x:c>
      <x:c r="J1659" s="14" t="str">
        <x:v>Paragraf Rutini</x:v>
      </x:c>
      <x:c r="K1659" s="14" t="str">
        <x:v>Paragraf</x:v>
      </x:c>
      <x:c r="L1659" s="14" t="str">
        <x:v>En az 30 paragraf sorusu çöz; ilk 20 soruyu ileri sayımla ölç, D/Y/B + süre kaydet.</x:v>
      </x:c>
      <x:c r="M1659" s="14" t="str">
        <x:v>Hız 8. Sınıf Türkçe Paragraf (ISBN 9786258394498)</x:v>
      </x:c>
      <x:c r="N1659" s="14" t="str"/>
      <x:c r="O1659" s="14" t="n">
        <x:v>30</x:v>
      </x:c>
      <x:c r="P1659" s="14" t="str">
        <x:v>İlk 20 soru</x:v>
      </x:c>
      <x:c r="Q1659" s="14" t="str">
        <x:v>Evet</x:v>
      </x:c>
      <x:c r="R1659" s="14" t="str">
        <x:v>Planlandı</x:v>
      </x:c>
      <x:c r="S1659" s="15" t="str"/>
      <x:c r="T1659" s="14" t="str">
        <x:v>Geri sayım ve hedef süre yok.</x:v>
      </x:c>
    </x:row>
    <x:row r="1660">
      <x:c r="A1660" s="14" t="n">
        <x:v>1659</x:v>
      </x:c>
      <x:c r="B1660" s="15" t="n">
        <x:v>46429</x:v>
      </x:c>
      <x:c r="C1660" s="14" t="str">
        <x:v>Perşembe</x:v>
      </x:c>
      <x:c r="D1660" s="14" t="str">
        <x:v>Okul Günü</x:v>
      </x:c>
      <x:c r="E1660" s="14" t="str">
        <x:v>16:00 sonrası</x:v>
      </x:c>
      <x:c r="F1660" s="14" t="str">
        <x:v>F2 - LGS Kapsam + Ustalık</x:v>
      </x:c>
      <x:c r="G1660" s="14" t="str">
        <x:v>19:00</x:v>
      </x:c>
      <x:c r="H1660" s="14" t="str">
        <x:v>19:35</x:v>
      </x:c>
      <x:c r="I1660" s="14" t="str">
        <x:v>Türkçe</x:v>
      </x:c>
      <x:c r="J1660" s="14" t="str">
        <x:v>Konu / Tekrar</x:v>
      </x:c>
      <x:c r="K1660" s="14" t="str">
        <x:v>Kaynak Tamamlama / Zayıf Konu</x:v>
      </x:c>
      <x:c r="L1660" s="14" t="str">
        <x:v>Yeni konu açma. En zayıf/açık konunun ilgili playlist videosunu yalnız gerekiyorsa tekrar izle.</x:v>
      </x:c>
      <x:c r="M1660" s="14" t="str">
        <x:v>Türkçe Ana Oynatma Listesi</x:v>
      </x:c>
      <x:c r="N1660" s="14" t="str">
        <x:v>https://www.youtube.com/watch?v=VYsPntNKVdw&amp;list=PLIBjFaUoJJ91bz7QQEBlxNJNZka5YQRr6</x:v>
      </x:c>
      <x:c r="O1660" s="14" t="n">
        <x:v>0</x:v>
      </x:c>
      <x:c r="P1660" s="14" t="str">
        <x:v>Hayır</x:v>
      </x:c>
      <x:c r="Q1660" s="14" t="str">
        <x:v>Evet</x:v>
      </x:c>
      <x:c r="R1660" s="14" t="str">
        <x:v>Planlandı</x:v>
      </x:c>
      <x:c r="S1660" s="15" t="str"/>
      <x:c r="T1660" s="14" t="str">
        <x:v>TYT etiketli kaynak temelden başlamak için sabittir; LGS dışı gereksiz ayrıntı zorunlu değildir.</x:v>
      </x:c>
    </x:row>
    <x:row r="1661">
      <x:c r="A1661" s="14" t="n">
        <x:v>1660</x:v>
      </x:c>
      <x:c r="B1661" s="15" t="n">
        <x:v>46429</x:v>
      </x:c>
      <x:c r="C1661" s="14" t="str">
        <x:v>Perşembe</x:v>
      </x:c>
      <x:c r="D1661" s="14" t="str">
        <x:v>Okul Günü</x:v>
      </x:c>
      <x:c r="E1661" s="14" t="str">
        <x:v>16:00 sonrası</x:v>
      </x:c>
      <x:c r="F1661" s="14" t="str">
        <x:v>F2 - LGS Kapsam + Ustalık</x:v>
      </x:c>
      <x:c r="G1661" s="14" t="str">
        <x:v>19:40</x:v>
      </x:c>
      <x:c r="H1661" s="14" t="str">
        <x:v>20:10</x:v>
      </x:c>
      <x:c r="I1661" s="14" t="str">
        <x:v>Türkçe</x:v>
      </x:c>
      <x:c r="J1661" s="14" t="str">
        <x:v>Kitap / MEB / Mastery</x:v>
      </x:c>
      <x:c r="K1661" s="14" t="str">
        <x:v>Kaynak Tamamlama / Zayıf Konu</x:v>
      </x:c>
      <x:c r="L1661" s="14" t="str">
        <x:v>13 Nisan %100 tamamlama hedefine göre en geride kalan Türkçe soru kaynağını/eksik MEB setini ilerlet; açık yanlışları kapat.</x:v>
      </x:c>
      <x:c r="M1661" s="14" t="str">
        <x:v>Ankara 8. Sınıf Dil Bilgisi Güçlendiren + açık MEB/yanlışlar</x:v>
      </x:c>
      <x:c r="N1661" s="14" t="str">
        <x:v>https://odsgm.meb.gov.tr/www/8sinif-calisma-sorulari/icerik/1632</x:v>
      </x:c>
      <x:c r="O1661" s="14" t="n">
        <x:v>15</x:v>
      </x:c>
      <x:c r="P1661" s="14" t="str">
        <x:v>Hayır</x:v>
      </x:c>
      <x:c r="Q1661" s="14" t="str">
        <x:v>Evet</x:v>
      </x:c>
      <x:c r="R1661" s="14" t="str">
        <x:v>Planlandı</x:v>
      </x:c>
      <x:c r="S1661" s="15" t="str"/>
      <x:c r="T1661" s="14" t="str"/>
    </x:row>
    <x:row r="1662">
      <x:c r="A1662" s="14" t="n">
        <x:v>1661</x:v>
      </x:c>
      <x:c r="B1662" s="15" t="n">
        <x:v>46429</x:v>
      </x:c>
      <x:c r="C1662" s="14" t="str">
        <x:v>Perşembe</x:v>
      </x:c>
      <x:c r="D1662" s="14" t="str">
        <x:v>Okul Günü</x:v>
      </x:c>
      <x:c r="E1662" s="14" t="str">
        <x:v>16:00 sonrası</x:v>
      </x:c>
      <x:c r="F1662" s="14" t="str">
        <x:v>F2 - LGS Kapsam + Ustalık</x:v>
      </x:c>
      <x:c r="G1662" s="14" t="str">
        <x:v>20:15</x:v>
      </x:c>
      <x:c r="H1662" s="14" t="str">
        <x:v>20:50</x:v>
      </x:c>
      <x:c r="I1662" s="14" t="str">
        <x:v>Din</x:v>
      </x:c>
      <x:c r="J1662" s="14" t="str">
        <x:v>Konu / Tekrar</x:v>
      </x:c>
      <x:c r="K1662" s="14" t="str">
        <x:v>Kaynak Tamamlama / Zayıf Konu</x:v>
      </x:c>
      <x:c r="L1662" s="14" t="str">
        <x:v>Yeni konu açma. En zayıf/açık konunun ilgili playlist videosunu yalnız gerekiyorsa tekrar izle.</x:v>
      </x:c>
      <x:c r="M1662" s="14" t="str">
        <x:v>Din Genel Oynatma Listesi</x:v>
      </x:c>
      <x:c r="N1662" s="14" t="str">
        <x:v>https://www.youtube.com/watch?v=wvdOE_75VnA&amp;list=PLbRoPq-Zu-SWXGUbVt4t4UWo-4VjsMUo-&amp;index=2</x:v>
      </x:c>
      <x:c r="O1662" s="14" t="n">
        <x:v>0</x:v>
      </x:c>
      <x:c r="P1662" s="14" t="str">
        <x:v>Hayır</x:v>
      </x:c>
      <x:c r="Q1662" s="14" t="str">
        <x:v>Evet</x:v>
      </x:c>
      <x:c r="R1662" s="14" t="str">
        <x:v>Planlandı</x:v>
      </x:c>
      <x:c r="S1662" s="15" t="str"/>
      <x:c r="T1662" s="14" t="str"/>
    </x:row>
    <x:row r="1663">
      <x:c r="A1663" s="14" t="n">
        <x:v>1662</x:v>
      </x:c>
      <x:c r="B1663" s="15" t="n">
        <x:v>46429</x:v>
      </x:c>
      <x:c r="C1663" s="14" t="str">
        <x:v>Perşembe</x:v>
      </x:c>
      <x:c r="D1663" s="14" t="str">
        <x:v>Okul Günü</x:v>
      </x:c>
      <x:c r="E1663" s="14" t="str">
        <x:v>16:00 sonrası</x:v>
      </x:c>
      <x:c r="F1663" s="14" t="str">
        <x:v>F2 - LGS Kapsam + Ustalık</x:v>
      </x:c>
      <x:c r="G1663" s="14" t="str">
        <x:v>20:55</x:v>
      </x:c>
      <x:c r="H1663" s="14" t="str">
        <x:v>21:20</x:v>
      </x:c>
      <x:c r="I1663" s="14" t="str">
        <x:v>Din</x:v>
      </x:c>
      <x:c r="J1663" s="14" t="str">
        <x:v>Kitap / MEB / Mastery</x:v>
      </x:c>
      <x:c r="K1663" s="14" t="str">
        <x:v>Kaynak Tamamlama / Zayıf Konu</x:v>
      </x:c>
      <x:c r="L1663" s="14" t="str">
        <x:v>13 Nisan %100 tamamlama hedefine göre en geride kalan Din soru kaynağını/eksik MEB setini ilerlet; açık yanlışları kapat.</x:v>
      </x:c>
      <x:c r="M1663" s="14" t="str">
        <x:v>Hız 8. Sınıf Din Kültürü ve Ahlak Bilgisi + açık MEB/yanlışlar</x:v>
      </x:c>
      <x:c r="N1663" s="14" t="str">
        <x:v>https://odsgm.meb.gov.tr/www/8sinif-calisma-sorulari/icerik/1632</x:v>
      </x:c>
      <x:c r="O1663" s="14" t="n">
        <x:v>20</x:v>
      </x:c>
      <x:c r="P1663" s="14" t="str">
        <x:v>Hayır</x:v>
      </x:c>
      <x:c r="Q1663" s="14" t="str">
        <x:v>Evet</x:v>
      </x:c>
      <x:c r="R1663" s="14" t="str">
        <x:v>Planlandı</x:v>
      </x:c>
      <x:c r="S1663" s="15" t="str"/>
      <x:c r="T1663" s="14" t="str"/>
    </x:row>
    <x:row r="1664">
      <x:c r="A1664" s="14" t="n">
        <x:v>1663</x:v>
      </x:c>
      <x:c r="B1664" s="15" t="n">
        <x:v>46429</x:v>
      </x:c>
      <x:c r="C1664" s="14" t="str">
        <x:v>Perşembe</x:v>
      </x:c>
      <x:c r="D1664" s="14" t="str">
        <x:v>Okul Günü</x:v>
      </x:c>
      <x:c r="E1664" s="14" t="str">
        <x:v>16:00 sonrası</x:v>
      </x:c>
      <x:c r="F1664" s="14" t="str">
        <x:v>F2 - LGS Kapsam + Ustalık</x:v>
      </x:c>
      <x:c r="G1664" s="14" t="str">
        <x:v>21:20</x:v>
      </x:c>
      <x:c r="H1664" s="14" t="str">
        <x:v>21:35</x:v>
      </x:c>
      <x:c r="I1664" s="14" t="str">
        <x:v>Genel</x:v>
      </x:c>
      <x:c r="J1664" s="14" t="str">
        <x:v>Yanlış / Boş Analizi</x:v>
      </x:c>
      <x:c r="K1664" s="14" t="str">
        <x:v>Günlük</x:v>
      </x:c>
      <x:c r="L1664" s="14" t="str">
        <x:v>Bugünkü yanlış/boşları kaydet; çözümünü öğrenmeden kapatma. Hata türünü sınıflandır.</x:v>
      </x:c>
      <x:c r="M1664" s="14" t="str">
        <x:v>Yanlış Defteri</x:v>
      </x:c>
      <x:c r="N1664" s="14" t="str"/>
      <x:c r="O1664" s="14" t="n">
        <x:v>0</x:v>
      </x:c>
      <x:c r="P1664" s="14" t="str">
        <x:v>Hayır</x:v>
      </x:c>
      <x:c r="Q1664" s="14" t="str">
        <x:v>Evet</x:v>
      </x:c>
      <x:c r="R1664" s="14" t="str">
        <x:v>Planlandı</x:v>
      </x:c>
      <x:c r="S1664" s="15" t="str"/>
      <x:c r="T1664" s="14" t="str"/>
    </x:row>
    <x:row r="1665">
      <x:c r="A1665" s="14" t="n">
        <x:v>1664</x:v>
      </x:c>
      <x:c r="B1665" s="15" t="n">
        <x:v>46429</x:v>
      </x:c>
      <x:c r="C1665" s="14" t="str">
        <x:v>Perşembe</x:v>
      </x:c>
      <x:c r="D1665" s="14" t="str">
        <x:v>Okul Günü</x:v>
      </x:c>
      <x:c r="E1665" s="14" t="str">
        <x:v>16:00 sonrası</x:v>
      </x:c>
      <x:c r="F1665" s="14" t="str">
        <x:v>F2 - LGS Kapsam + Ustalık</x:v>
      </x:c>
      <x:c r="G1665" s="14" t="str">
        <x:v>21:35</x:v>
      </x:c>
      <x:c r="H1665" s="14" t="str">
        <x:v>21:50</x:v>
      </x:c>
      <x:c r="I1665" s="14" t="str">
        <x:v>Genel</x:v>
      </x:c>
      <x:c r="J1665" s="14" t="str">
        <x:v>Aralıklı Hata Tekrarı</x:v>
      </x:c>
      <x:c r="K1665" s="14" t="str">
        <x:v>+1 / +7 / +21</x:v>
      </x:c>
      <x:c r="L1665" s="14" t="str">
        <x:v>Bugün vadesi gelen yanlış soruları tekrar çöz. Vadesi yoksa bu süre serbest/okuma olabilir.</x:v>
      </x:c>
      <x:c r="M1665" s="14" t="str">
        <x:v>Yanlış Defteri</x:v>
      </x:c>
      <x:c r="N1665" s="14" t="str"/>
      <x:c r="O1665" s="14" t="n">
        <x:v>0</x:v>
      </x:c>
      <x:c r="P1665" s="14" t="str">
        <x:v>Hayır</x:v>
      </x:c>
      <x:c r="Q1665" s="14" t="str">
        <x:v>Koşullu</x:v>
      </x:c>
      <x:c r="R1665" s="14" t="str">
        <x:v>Planlandı</x:v>
      </x:c>
      <x:c r="S1665" s="15" t="str"/>
      <x:c r="T1665" s="14" t="str">
        <x:v>Yanlışlar +1, +7 ve +21 gün aralıklarıyla tekrar edilir; hâlâ yanlışsa konu mastery durumu düşürülür.</x:v>
      </x:c>
    </x:row>
    <x:row r="1666">
      <x:c r="A1666" s="14" t="n">
        <x:v>1665</x:v>
      </x:c>
      <x:c r="B1666" s="15" t="n">
        <x:v>46429</x:v>
      </x:c>
      <x:c r="C1666" s="14" t="str">
        <x:v>Perşembe</x:v>
      </x:c>
      <x:c r="D1666" s="14" t="str">
        <x:v>Okul Günü</x:v>
      </x:c>
      <x:c r="E1666" s="14" t="str">
        <x:v>16:00 sonrası</x:v>
      </x:c>
      <x:c r="F1666" s="14" t="str">
        <x:v>F2 - LGS Kapsam + Ustalık</x:v>
      </x:c>
      <x:c r="G1666" s="14" t="str">
        <x:v>21:50</x:v>
      </x:c>
      <x:c r="H1666" s="14" t="str">
        <x:v>22:00</x:v>
      </x:c>
      <x:c r="I1666" s="14" t="str">
        <x:v>Genel</x:v>
      </x:c>
      <x:c r="J1666" s="14" t="str">
        <x:v>Uyku Hazırlığı</x:v>
      </x:c>
      <x:c r="K1666" s="14" t="str"/>
      <x:c r="L1666" s="14" t="str">
        <x:v>22:00'de yatakta ve uyku.</x:v>
      </x:c>
      <x:c r="M1666" s="14" t="str"/>
      <x:c r="N1666" s="14" t="str"/>
      <x:c r="O1666" s="14" t="n">
        <x:v>0</x:v>
      </x:c>
      <x:c r="P1666" s="14" t="str">
        <x:v>Hayır</x:v>
      </x:c>
      <x:c r="Q1666" s="14" t="str">
        <x:v>Hayır</x:v>
      </x:c>
      <x:c r="R1666" s="14" t="str">
        <x:v>Planlandı</x:v>
      </x:c>
      <x:c r="S1666" s="15" t="str"/>
      <x:c r="T1666" s="14" t="str"/>
    </x:row>
    <x:row r="1667">
      <x:c r="A1667" s="14" t="n">
        <x:v>1666</x:v>
      </x:c>
      <x:c r="B1667" s="15" t="n">
        <x:v>46430</x:v>
      </x:c>
      <x:c r="C1667" s="14" t="str">
        <x:v>Cuma</x:v>
      </x:c>
      <x:c r="D1667" s="14" t="str">
        <x:v>Okul Günü</x:v>
      </x:c>
      <x:c r="E1667" s="14" t="str">
        <x:v>16:00 sonrası</x:v>
      </x:c>
      <x:c r="F1667" s="14" t="str">
        <x:v>F2 - LGS Kapsam + Ustalık</x:v>
      </x:c>
      <x:c r="G1667" s="14" t="str">
        <x:v>16:00</x:v>
      </x:c>
      <x:c r="H1667" s="14" t="str">
        <x:v>16:25</x:v>
      </x:c>
      <x:c r="I1667" s="14" t="str">
        <x:v>Genel</x:v>
      </x:c>
      <x:c r="J1667" s="14" t="str">
        <x:v>Dinlenme</x:v>
      </x:c>
      <x:c r="K1667" s="14" t="str"/>
      <x:c r="L1667" s="14" t="str">
        <x:v>Eve geliş, atıştırma ve dinlenme.</x:v>
      </x:c>
      <x:c r="M1667" s="14" t="str"/>
      <x:c r="N1667" s="14" t="str"/>
      <x:c r="O1667" s="14" t="n">
        <x:v>0</x:v>
      </x:c>
      <x:c r="P1667" s="14" t="str">
        <x:v>Hayır</x:v>
      </x:c>
      <x:c r="Q1667" s="14" t="str">
        <x:v>Hayır</x:v>
      </x:c>
      <x:c r="R1667" s="14" t="str">
        <x:v>Planlandı</x:v>
      </x:c>
      <x:c r="S1667" s="15" t="str"/>
      <x:c r="T1667" s="14" t="str"/>
    </x:row>
    <x:row r="1668">
      <x:c r="A1668" s="14" t="n">
        <x:v>1667</x:v>
      </x:c>
      <x:c r="B1668" s="15" t="n">
        <x:v>46430</x:v>
      </x:c>
      <x:c r="C1668" s="14" t="str">
        <x:v>Cuma</x:v>
      </x:c>
      <x:c r="D1668" s="14" t="str">
        <x:v>Okul Günü</x:v>
      </x:c>
      <x:c r="E1668" s="14" t="str">
        <x:v>16:00 sonrası</x:v>
      </x:c>
      <x:c r="F1668" s="14" t="str">
        <x:v>F2 - LGS Kapsam + Ustalık</x:v>
      </x:c>
      <x:c r="G1668" s="14" t="str">
        <x:v>16:25</x:v>
      </x:c>
      <x:c r="H1668" s="14" t="str">
        <x:v>17:05</x:v>
      </x:c>
      <x:c r="I1668" s="14" t="str">
        <x:v>Matematik</x:v>
      </x:c>
      <x:c r="J1668" s="14" t="str">
        <x:v>Konu / Tekrar</x:v>
      </x:c>
      <x:c r="K1668" s="14" t="str">
        <x:v>Kaynak Tamamlama / Zayıf Konu</x:v>
      </x:c>
      <x:c r="L1668" s="14" t="str">
        <x:v>Yeni konu açma. En zayıf/açık konunun ilgili playlist videosunu yalnız gerekiyorsa tekrar izle.</x:v>
      </x:c>
      <x:c r="M1668" s="14" t="str">
        <x:v>Matematik Ana Oynatma Listesi</x:v>
      </x:c>
      <x:c r="N1668" s="14" t="str">
        <x:v>https://www.youtube.com/watch?v=EuJ89QzqrAg&amp;list=PLicNtF7vp6fnfDqrRLH6H7fIbzYT4ct4F&amp;index=11</x:v>
      </x:c>
      <x:c r="O1668" s="14" t="n">
        <x:v>0</x:v>
      </x:c>
      <x:c r="P1668" s="14" t="str">
        <x:v>Hayır</x:v>
      </x:c>
      <x:c r="Q1668" s="14" t="str">
        <x:v>Evet</x:v>
      </x:c>
      <x:c r="R1668" s="14" t="str">
        <x:v>Planlandı</x:v>
      </x:c>
      <x:c r="S1668" s="15" t="str"/>
      <x:c r="T1668" s="14" t="str">
        <x:v>Yeni konu ancak plan sırasıyla açılır; LGS dışı ileri TYT içeriği zorunlu değildir.</x:v>
      </x:c>
    </x:row>
    <x:row r="1669">
      <x:c r="A1669" s="14" t="n">
        <x:v>1668</x:v>
      </x:c>
      <x:c r="B1669" s="15" t="n">
        <x:v>46430</x:v>
      </x:c>
      <x:c r="C1669" s="14" t="str">
        <x:v>Cuma</x:v>
      </x:c>
      <x:c r="D1669" s="14" t="str">
        <x:v>Okul Günü</x:v>
      </x:c>
      <x:c r="E1669" s="14" t="str">
        <x:v>16:00 sonrası</x:v>
      </x:c>
      <x:c r="F1669" s="14" t="str">
        <x:v>F2 - LGS Kapsam + Ustalık</x:v>
      </x:c>
      <x:c r="G1669" s="14" t="str">
        <x:v>17:10</x:v>
      </x:c>
      <x:c r="H1669" s="14" t="str">
        <x:v>17:55</x:v>
      </x:c>
      <x:c r="I1669" s="14" t="str">
        <x:v>Matematik</x:v>
      </x:c>
      <x:c r="J1669" s="14" t="str">
        <x:v>Kitap / MEB / Mastery</x:v>
      </x:c>
      <x:c r="K1669" s="14" t="str">
        <x:v>Kaynak Tamamlama / Zayıf Konu</x:v>
      </x:c>
      <x:c r="L1669" s="14" t="str">
        <x:v>13 Nisan %100 tamamlama hedefine göre en geride kalan Matematik soru kaynağını/eksik MEB setini ilerlet; açık yanlışları kapat.</x:v>
      </x:c>
      <x:c r="M1669" s="14" t="str">
        <x:v>MUBA 8. Sınıf Başlangıç Matematik (ISBN 9789756526972) → tamamlandıysa Mozaik 8. Sınıf Matematik; açık MEB/yanlışlar</x:v>
      </x:c>
      <x:c r="N1669" s="14" t="str">
        <x:v>https://odsgm.meb.gov.tr/www/8sinif-calisma-sorulari/icerik/1632</x:v>
      </x:c>
      <x:c r="O1669" s="14" t="n">
        <x:v>30</x:v>
      </x:c>
      <x:c r="P1669" s="14" t="str">
        <x:v>İlk 20 soru</x:v>
      </x:c>
      <x:c r="Q1669" s="14" t="str">
        <x:v>Evet</x:v>
      </x:c>
      <x:c r="R1669" s="14" t="str">
        <x:v>Planlandı</x:v>
      </x:c>
      <x:c r="S1669" s="15" t="str"/>
      <x:c r="T1669" s="14" t="str">
        <x:v>Ayrı/rastgele matematik benchmark yoktur. Süreli ilk 20 soru o gün çalışılan konunun içindedir.</x:v>
      </x:c>
    </x:row>
    <x:row r="1670">
      <x:c r="A1670" s="14" t="n">
        <x:v>1669</x:v>
      </x:c>
      <x:c r="B1670" s="15" t="n">
        <x:v>46430</x:v>
      </x:c>
      <x:c r="C1670" s="14" t="str">
        <x:v>Cuma</x:v>
      </x:c>
      <x:c r="D1670" s="14" t="str">
        <x:v>Okul Günü</x:v>
      </x:c>
      <x:c r="E1670" s="14" t="str">
        <x:v>16:00 sonrası</x:v>
      </x:c>
      <x:c r="F1670" s="14" t="str">
        <x:v>F2 - LGS Kapsam + Ustalık</x:v>
      </x:c>
      <x:c r="G1670" s="14" t="str">
        <x:v>17:55</x:v>
      </x:c>
      <x:c r="H1670" s="14" t="str">
        <x:v>18:25</x:v>
      </x:c>
      <x:c r="I1670" s="14" t="str">
        <x:v>Genel</x:v>
      </x:c>
      <x:c r="J1670" s="14" t="str">
        <x:v>Yemek / Serbest Zaman</x:v>
      </x:c>
      <x:c r="K1670" s="14" t="str"/>
      <x:c r="L1670" s="14" t="str">
        <x:v>Yemek, hareket ve dinlenme.</x:v>
      </x:c>
      <x:c r="M1670" s="14" t="str"/>
      <x:c r="N1670" s="14" t="str"/>
      <x:c r="O1670" s="14" t="n">
        <x:v>0</x:v>
      </x:c>
      <x:c r="P1670" s="14" t="str">
        <x:v>Hayır</x:v>
      </x:c>
      <x:c r="Q1670" s="14" t="str">
        <x:v>Hayır</x:v>
      </x:c>
      <x:c r="R1670" s="14" t="str">
        <x:v>Planlandı</x:v>
      </x:c>
      <x:c r="S1670" s="15" t="str"/>
      <x:c r="T1670" s="14" t="str"/>
    </x:row>
    <x:row r="1671">
      <x:c r="A1671" s="14" t="n">
        <x:v>1670</x:v>
      </x:c>
      <x:c r="B1671" s="15" t="n">
        <x:v>46430</x:v>
      </x:c>
      <x:c r="C1671" s="14" t="str">
        <x:v>Cuma</x:v>
      </x:c>
      <x:c r="D1671" s="14" t="str">
        <x:v>Okul Günü</x:v>
      </x:c>
      <x:c r="E1671" s="14" t="str">
        <x:v>16:00 sonrası</x:v>
      </x:c>
      <x:c r="F1671" s="14" t="str">
        <x:v>F2 - LGS Kapsam + Ustalık</x:v>
      </x:c>
      <x:c r="G1671" s="14" t="str">
        <x:v>18:25</x:v>
      </x:c>
      <x:c r="H1671" s="14" t="str">
        <x:v>18:55</x:v>
      </x:c>
      <x:c r="I1671" s="14" t="str">
        <x:v>Türkçe</x:v>
      </x:c>
      <x:c r="J1671" s="14" t="str">
        <x:v>Paragraf Rutini</x:v>
      </x:c>
      <x:c r="K1671" s="14" t="str">
        <x:v>Paragraf</x:v>
      </x:c>
      <x:c r="L1671" s="14" t="str">
        <x:v>En az 30 paragraf sorusu çöz; ilk 20 soruyu ileri sayımla ölç, D/Y/B + süre kaydet.</x:v>
      </x:c>
      <x:c r="M1671" s="14" t="str">
        <x:v>Hız 8. Sınıf Türkçe Paragraf (ISBN 9786258394498)</x:v>
      </x:c>
      <x:c r="N1671" s="14" t="str"/>
      <x:c r="O1671" s="14" t="n">
        <x:v>30</x:v>
      </x:c>
      <x:c r="P1671" s="14" t="str">
        <x:v>İlk 20 soru</x:v>
      </x:c>
      <x:c r="Q1671" s="14" t="str">
        <x:v>Evet</x:v>
      </x:c>
      <x:c r="R1671" s="14" t="str">
        <x:v>Planlandı</x:v>
      </x:c>
      <x:c r="S1671" s="15" t="str"/>
      <x:c r="T1671" s="14" t="str">
        <x:v>Geri sayım ve hedef süre yok.</x:v>
      </x:c>
    </x:row>
    <x:row r="1672">
      <x:c r="A1672" s="14" t="n">
        <x:v>1671</x:v>
      </x:c>
      <x:c r="B1672" s="15" t="n">
        <x:v>46430</x:v>
      </x:c>
      <x:c r="C1672" s="14" t="str">
        <x:v>Cuma</x:v>
      </x:c>
      <x:c r="D1672" s="14" t="str">
        <x:v>Okul Günü</x:v>
      </x:c>
      <x:c r="E1672" s="14" t="str">
        <x:v>16:00 sonrası</x:v>
      </x:c>
      <x:c r="F1672" s="14" t="str">
        <x:v>F2 - LGS Kapsam + Ustalık</x:v>
      </x:c>
      <x:c r="G1672" s="14" t="str">
        <x:v>19:00</x:v>
      </x:c>
      <x:c r="H1672" s="14" t="str">
        <x:v>19:35</x:v>
      </x:c>
      <x:c r="I1672" s="14" t="str">
        <x:v>Türkçe</x:v>
      </x:c>
      <x:c r="J1672" s="14" t="str">
        <x:v>Konu / Tekrar</x:v>
      </x:c>
      <x:c r="K1672" s="14" t="str">
        <x:v>Kaynak Tamamlama / Zayıf Konu</x:v>
      </x:c>
      <x:c r="L1672" s="14" t="str">
        <x:v>Yeni konu açma. En zayıf/açık konunun ilgili playlist videosunu yalnız gerekiyorsa tekrar izle.</x:v>
      </x:c>
      <x:c r="M1672" s="14" t="str">
        <x:v>Türkçe Ana Oynatma Listesi</x:v>
      </x:c>
      <x:c r="N1672" s="14" t="str">
        <x:v>https://www.youtube.com/watch?v=VYsPntNKVdw&amp;list=PLIBjFaUoJJ91bz7QQEBlxNJNZka5YQRr6</x:v>
      </x:c>
      <x:c r="O1672" s="14" t="n">
        <x:v>0</x:v>
      </x:c>
      <x:c r="P1672" s="14" t="str">
        <x:v>Hayır</x:v>
      </x:c>
      <x:c r="Q1672" s="14" t="str">
        <x:v>Evet</x:v>
      </x:c>
      <x:c r="R1672" s="14" t="str">
        <x:v>Planlandı</x:v>
      </x:c>
      <x:c r="S1672" s="15" t="str"/>
      <x:c r="T1672" s="14" t="str">
        <x:v>TYT etiketli kaynak temelden başlamak için sabittir; LGS dışı gereksiz ayrıntı zorunlu değildir.</x:v>
      </x:c>
    </x:row>
    <x:row r="1673">
      <x:c r="A1673" s="14" t="n">
        <x:v>1672</x:v>
      </x:c>
      <x:c r="B1673" s="15" t="n">
        <x:v>46430</x:v>
      </x:c>
      <x:c r="C1673" s="14" t="str">
        <x:v>Cuma</x:v>
      </x:c>
      <x:c r="D1673" s="14" t="str">
        <x:v>Okul Günü</x:v>
      </x:c>
      <x:c r="E1673" s="14" t="str">
        <x:v>16:00 sonrası</x:v>
      </x:c>
      <x:c r="F1673" s="14" t="str">
        <x:v>F2 - LGS Kapsam + Ustalık</x:v>
      </x:c>
      <x:c r="G1673" s="14" t="str">
        <x:v>19:40</x:v>
      </x:c>
      <x:c r="H1673" s="14" t="str">
        <x:v>20:10</x:v>
      </x:c>
      <x:c r="I1673" s="14" t="str">
        <x:v>Türkçe</x:v>
      </x:c>
      <x:c r="J1673" s="14" t="str">
        <x:v>Kitap / MEB / Mastery</x:v>
      </x:c>
      <x:c r="K1673" s="14" t="str">
        <x:v>Kaynak Tamamlama / Zayıf Konu</x:v>
      </x:c>
      <x:c r="L1673" s="14" t="str">
        <x:v>13 Nisan %100 tamamlama hedefine göre en geride kalan Türkçe soru kaynağını/eksik MEB setini ilerlet; açık yanlışları kapat.</x:v>
      </x:c>
      <x:c r="M1673" s="14" t="str">
        <x:v>Ankara 8. Sınıf Dil Bilgisi Güçlendiren + açık MEB/yanlışlar</x:v>
      </x:c>
      <x:c r="N1673" s="14" t="str">
        <x:v>https://odsgm.meb.gov.tr/www/8sinif-calisma-sorulari/icerik/1632</x:v>
      </x:c>
      <x:c r="O1673" s="14" t="n">
        <x:v>15</x:v>
      </x:c>
      <x:c r="P1673" s="14" t="str">
        <x:v>Hayır</x:v>
      </x:c>
      <x:c r="Q1673" s="14" t="str">
        <x:v>Evet</x:v>
      </x:c>
      <x:c r="R1673" s="14" t="str">
        <x:v>Planlandı</x:v>
      </x:c>
      <x:c r="S1673" s="15" t="str"/>
      <x:c r="T1673" s="14" t="str"/>
    </x:row>
    <x:row r="1674">
      <x:c r="A1674" s="14" t="n">
        <x:v>1673</x:v>
      </x:c>
      <x:c r="B1674" s="15" t="n">
        <x:v>46430</x:v>
      </x:c>
      <x:c r="C1674" s="14" t="str">
        <x:v>Cuma</x:v>
      </x:c>
      <x:c r="D1674" s="14" t="str">
        <x:v>Okul Günü</x:v>
      </x:c>
      <x:c r="E1674" s="14" t="str">
        <x:v>16:00 sonrası</x:v>
      </x:c>
      <x:c r="F1674" s="14" t="str">
        <x:v>F2 - LGS Kapsam + Ustalık</x:v>
      </x:c>
      <x:c r="G1674" s="14" t="str">
        <x:v>20:15</x:v>
      </x:c>
      <x:c r="H1674" s="14" t="str">
        <x:v>20:50</x:v>
      </x:c>
      <x:c r="I1674" s="14" t="str">
        <x:v>İnkılap</x:v>
      </x:c>
      <x:c r="J1674" s="14" t="str">
        <x:v>Konu / Tekrar</x:v>
      </x:c>
      <x:c r="K1674" s="14" t="str">
        <x:v>Demokratikleşme Çabaları</x:v>
      </x:c>
      <x:c r="L1674" s="14" t="str">
        <x:v>Demokratikleşme Çabaları — MEB doğrulaması öncesi 5-10 dk aktif hatırlama; gerekiyorsa ilgili playlist videosuna kısa dönüş yap.</x:v>
      </x:c>
      <x:c r="M1674" s="14" t="str">
        <x:v>İnkılap Genel Oynatma Listesi</x:v>
      </x:c>
      <x:c r="N1674" s="14" t="str">
        <x:v>https://www.youtube.com/watch?v=MltIX0oKpYU&amp;list=PLsAsBPsriHNbXit4Ra3iuBrk1ZHZWxsOR&amp;index=78</x:v>
      </x:c>
      <x:c r="O1674" s="14" t="n">
        <x:v>0</x:v>
      </x:c>
      <x:c r="P1674" s="14" t="str">
        <x:v>Hayır</x:v>
      </x:c>
      <x:c r="Q1674" s="14" t="str">
        <x:v>Evet</x:v>
      </x:c>
      <x:c r="R1674" s="14" t="str">
        <x:v>Planlandı</x:v>
      </x:c>
      <x:c r="S1674" s="15" t="str"/>
      <x:c r="T1674" s="14" t="str">
        <x:v>İnkılapta okul yazılısı videoları zorunlu değildir.</x:v>
      </x:c>
    </x:row>
    <x:row r="1675">
      <x:c r="A1675" s="14" t="n">
        <x:v>1674</x:v>
      </x:c>
      <x:c r="B1675" s="15" t="n">
        <x:v>46430</x:v>
      </x:c>
      <x:c r="C1675" s="14" t="str">
        <x:v>Cuma</x:v>
      </x:c>
      <x:c r="D1675" s="14" t="str">
        <x:v>Okul Günü</x:v>
      </x:c>
      <x:c r="E1675" s="14" t="str">
        <x:v>16:00 sonrası</x:v>
      </x:c>
      <x:c r="F1675" s="14" t="str">
        <x:v>F2 - LGS Kapsam + Ustalık</x:v>
      </x:c>
      <x:c r="G1675" s="14" t="str">
        <x:v>20:55</x:v>
      </x:c>
      <x:c r="H1675" s="14" t="str">
        <x:v>21:20</x:v>
      </x:c>
      <x:c r="I1675" s="14" t="str">
        <x:v>İnkılap</x:v>
      </x:c>
      <x:c r="J1675" s="14" t="str">
        <x:v>Kitap / MEB / Mastery</x:v>
      </x:c>
      <x:c r="K1675" s="14" t="str">
        <x:v>Demokratikleşme Çabaları</x:v>
      </x:c>
      <x:c r="L1675" s="14" t="str">
        <x:v>Demokratikleşme Çabaları için ilgili MEB sorularını TAMAMLA; D/Y/B kaydet. Bu oturum konu mastery gate'idir.</x:v>
      </x:c>
      <x:c r="M1675" s="14" t="str">
        <x:v>MEB 8. Sınıf İnkılap Soruları</x:v>
      </x:c>
      <x:c r="N1675" s="14" t="str">
        <x:v>https://odsgm.meb.gov.tr/www/8sinif-calisma-sorulari/icerik/1632</x:v>
      </x:c>
      <x:c r="O1675" s="14" t="n">
        <x:v>0</x:v>
      </x:c>
      <x:c r="P1675" s="14" t="str">
        <x:v>Hayır</x:v>
      </x:c>
      <x:c r="Q1675" s="14" t="str">
        <x:v>Evet</x:v>
      </x:c>
      <x:c r="R1675" s="14" t="str">
        <x:v>Planlandı</x:v>
      </x:c>
      <x:c r="S1675" s="15" t="str"/>
      <x:c r="T1675" s="14" t="str">
        <x:v>MEB sonucu Konu_Ustaligi sayfasına işlenir.</x:v>
      </x:c>
    </x:row>
    <x:row r="1676">
      <x:c r="A1676" s="14" t="n">
        <x:v>1675</x:v>
      </x:c>
      <x:c r="B1676" s="15" t="n">
        <x:v>46430</x:v>
      </x:c>
      <x:c r="C1676" s="14" t="str">
        <x:v>Cuma</x:v>
      </x:c>
      <x:c r="D1676" s="14" t="str">
        <x:v>Okul Günü</x:v>
      </x:c>
      <x:c r="E1676" s="14" t="str">
        <x:v>16:00 sonrası</x:v>
      </x:c>
      <x:c r="F1676" s="14" t="str">
        <x:v>F2 - LGS Kapsam + Ustalık</x:v>
      </x:c>
      <x:c r="G1676" s="14" t="str">
        <x:v>21:20</x:v>
      </x:c>
      <x:c r="H1676" s="14" t="str">
        <x:v>21:35</x:v>
      </x:c>
      <x:c r="I1676" s="14" t="str">
        <x:v>Genel</x:v>
      </x:c>
      <x:c r="J1676" s="14" t="str">
        <x:v>Yanlış / Boş Analizi</x:v>
      </x:c>
      <x:c r="K1676" s="14" t="str">
        <x:v>Günlük</x:v>
      </x:c>
      <x:c r="L1676" s="14" t="str">
        <x:v>Bugünkü yanlış/boşları kaydet; çözümünü öğrenmeden kapatma. Hata türünü sınıflandır.</x:v>
      </x:c>
      <x:c r="M1676" s="14" t="str">
        <x:v>Yanlış Defteri</x:v>
      </x:c>
      <x:c r="N1676" s="14" t="str"/>
      <x:c r="O1676" s="14" t="n">
        <x:v>0</x:v>
      </x:c>
      <x:c r="P1676" s="14" t="str">
        <x:v>Hayır</x:v>
      </x:c>
      <x:c r="Q1676" s="14" t="str">
        <x:v>Evet</x:v>
      </x:c>
      <x:c r="R1676" s="14" t="str">
        <x:v>Planlandı</x:v>
      </x:c>
      <x:c r="S1676" s="15" t="str"/>
      <x:c r="T1676" s="14" t="str"/>
    </x:row>
    <x:row r="1677">
      <x:c r="A1677" s="14" t="n">
        <x:v>1676</x:v>
      </x:c>
      <x:c r="B1677" s="15" t="n">
        <x:v>46430</x:v>
      </x:c>
      <x:c r="C1677" s="14" t="str">
        <x:v>Cuma</x:v>
      </x:c>
      <x:c r="D1677" s="14" t="str">
        <x:v>Okul Günü</x:v>
      </x:c>
      <x:c r="E1677" s="14" t="str">
        <x:v>16:00 sonrası</x:v>
      </x:c>
      <x:c r="F1677" s="14" t="str">
        <x:v>F2 - LGS Kapsam + Ustalık</x:v>
      </x:c>
      <x:c r="G1677" s="14" t="str">
        <x:v>21:35</x:v>
      </x:c>
      <x:c r="H1677" s="14" t="str">
        <x:v>21:50</x:v>
      </x:c>
      <x:c r="I1677" s="14" t="str">
        <x:v>Genel</x:v>
      </x:c>
      <x:c r="J1677" s="14" t="str">
        <x:v>Aralıklı Hata Tekrarı</x:v>
      </x:c>
      <x:c r="K1677" s="14" t="str">
        <x:v>+1 / +7 / +21</x:v>
      </x:c>
      <x:c r="L1677" s="14" t="str">
        <x:v>Bugün vadesi gelen yanlış soruları tekrar çöz. Vadesi yoksa bu süre serbest/okuma olabilir.</x:v>
      </x:c>
      <x:c r="M1677" s="14" t="str">
        <x:v>Yanlış Defteri</x:v>
      </x:c>
      <x:c r="N1677" s="14" t="str"/>
      <x:c r="O1677" s="14" t="n">
        <x:v>0</x:v>
      </x:c>
      <x:c r="P1677" s="14" t="str">
        <x:v>Hayır</x:v>
      </x:c>
      <x:c r="Q1677" s="14" t="str">
        <x:v>Koşullu</x:v>
      </x:c>
      <x:c r="R1677" s="14" t="str">
        <x:v>Planlandı</x:v>
      </x:c>
      <x:c r="S1677" s="15" t="str"/>
      <x:c r="T1677" s="14" t="str">
        <x:v>Yanlışlar +1, +7 ve +21 gün aralıklarıyla tekrar edilir; hâlâ yanlışsa konu mastery durumu düşürülür.</x:v>
      </x:c>
    </x:row>
    <x:row r="1678">
      <x:c r="A1678" s="14" t="n">
        <x:v>1677</x:v>
      </x:c>
      <x:c r="B1678" s="15" t="n">
        <x:v>46430</x:v>
      </x:c>
      <x:c r="C1678" s="14" t="str">
        <x:v>Cuma</x:v>
      </x:c>
      <x:c r="D1678" s="14" t="str">
        <x:v>Okul Günü</x:v>
      </x:c>
      <x:c r="E1678" s="14" t="str">
        <x:v>16:00 sonrası</x:v>
      </x:c>
      <x:c r="F1678" s="14" t="str">
        <x:v>F2 - LGS Kapsam + Ustalık</x:v>
      </x:c>
      <x:c r="G1678" s="14" t="str">
        <x:v>21:50</x:v>
      </x:c>
      <x:c r="H1678" s="14" t="str">
        <x:v>22:00</x:v>
      </x:c>
      <x:c r="I1678" s="14" t="str">
        <x:v>Genel</x:v>
      </x:c>
      <x:c r="J1678" s="14" t="str">
        <x:v>Uyku Hazırlığı</x:v>
      </x:c>
      <x:c r="K1678" s="14" t="str"/>
      <x:c r="L1678" s="14" t="str">
        <x:v>22:00'de yatakta ve uyku.</x:v>
      </x:c>
      <x:c r="M1678" s="14" t="str"/>
      <x:c r="N1678" s="14" t="str"/>
      <x:c r="O1678" s="14" t="n">
        <x:v>0</x:v>
      </x:c>
      <x:c r="P1678" s="14" t="str">
        <x:v>Hayır</x:v>
      </x:c>
      <x:c r="Q1678" s="14" t="str">
        <x:v>Hayır</x:v>
      </x:c>
      <x:c r="R1678" s="14" t="str">
        <x:v>Planlandı</x:v>
      </x:c>
      <x:c r="S1678" s="15" t="str"/>
      <x:c r="T1678" s="14" t="str"/>
    </x:row>
    <x:row r="1679">
      <x:c r="A1679" s="14" t="n">
        <x:v>1678</x:v>
      </x:c>
      <x:c r="B1679" s="15" t="n">
        <x:v>46431</x:v>
      </x:c>
      <x:c r="C1679" s="14" t="str">
        <x:v>Cumartesi</x:v>
      </x:c>
      <x:c r="D1679" s="14" t="str">
        <x:v>Hafta Sonu</x:v>
      </x:c>
      <x:c r="E1679" s="14" t="str">
        <x:v>Tam gün</x:v>
      </x:c>
      <x:c r="F1679" s="14" t="str">
        <x:v>F2 - LGS Kapsam + Ustalık</x:v>
      </x:c>
      <x:c r="G1679" s="14" t="str">
        <x:v>09:30</x:v>
      </x:c>
      <x:c r="H1679" s="14" t="str">
        <x:v>10:15</x:v>
      </x:c>
      <x:c r="I1679" s="14" t="str">
        <x:v>Matematik</x:v>
      </x:c>
      <x:c r="J1679" s="14" t="str">
        <x:v>Konu / Tekrar</x:v>
      </x:c>
      <x:c r="K1679" s="14" t="str">
        <x:v>Kaynak Tamamlama / Zayıf Konu</x:v>
      </x:c>
      <x:c r="L1679" s="14" t="str">
        <x:v>Yeni konu açma. En zayıf/açık konunun ilgili playlist videosunu yalnız gerekiyorsa tekrar izle.</x:v>
      </x:c>
      <x:c r="M1679" s="14" t="str">
        <x:v>Matematik Ana Oynatma Listesi</x:v>
      </x:c>
      <x:c r="N1679" s="14" t="str">
        <x:v>https://www.youtube.com/watch?v=EuJ89QzqrAg&amp;list=PLicNtF7vp6fnfDqrRLH6H7fIbzYT4ct4F&amp;index=11</x:v>
      </x:c>
      <x:c r="O1679" s="14" t="n">
        <x:v>0</x:v>
      </x:c>
      <x:c r="P1679" s="14" t="str">
        <x:v>Hayır</x:v>
      </x:c>
      <x:c r="Q1679" s="14" t="str">
        <x:v>Evet</x:v>
      </x:c>
      <x:c r="R1679" s="14" t="str">
        <x:v>Planlandı</x:v>
      </x:c>
      <x:c r="S1679" s="15" t="str"/>
      <x:c r="T1679" s="14" t="str">
        <x:v>Yeni konu ancak plan sırasıyla açılır; LGS dışı ileri TYT içeriği zorunlu değildir.</x:v>
      </x:c>
    </x:row>
    <x:row r="1680">
      <x:c r="A1680" s="14" t="n">
        <x:v>1679</x:v>
      </x:c>
      <x:c r="B1680" s="15" t="n">
        <x:v>46431</x:v>
      </x:c>
      <x:c r="C1680" s="14" t="str">
        <x:v>Cumartesi</x:v>
      </x:c>
      <x:c r="D1680" s="14" t="str">
        <x:v>Hafta Sonu</x:v>
      </x:c>
      <x:c r="E1680" s="14" t="str">
        <x:v>Tam gün</x:v>
      </x:c>
      <x:c r="F1680" s="14" t="str">
        <x:v>F2 - LGS Kapsam + Ustalık</x:v>
      </x:c>
      <x:c r="G1680" s="14" t="str">
        <x:v>10:25</x:v>
      </x:c>
      <x:c r="H1680" s="14" t="str">
        <x:v>11:15</x:v>
      </x:c>
      <x:c r="I1680" s="14" t="str">
        <x:v>Matematik</x:v>
      </x:c>
      <x:c r="J1680" s="14" t="str">
        <x:v>Kitap / MEB / Mastery</x:v>
      </x:c>
      <x:c r="K1680" s="14" t="str">
        <x:v>Kaynak Tamamlama / Zayıf Konu</x:v>
      </x:c>
      <x:c r="L1680" s="14" t="str">
        <x:v>13 Nisan %100 tamamlama hedefine göre en geride kalan Matematik soru kaynağını/eksik MEB setini ilerlet; açık yanlışları kapat.</x:v>
      </x:c>
      <x:c r="M1680" s="14" t="str">
        <x:v>MUBA 8. Sınıf Başlangıç Matematik (ISBN 9789756526972) → tamamlandıysa Mozaik 8. Sınıf Matematik; açık MEB/yanlışlar</x:v>
      </x:c>
      <x:c r="N1680" s="14" t="str">
        <x:v>https://odsgm.meb.gov.tr/www/8sinif-calisma-sorulari/icerik/1632</x:v>
      </x:c>
      <x:c r="O1680" s="14" t="n">
        <x:v>30</x:v>
      </x:c>
      <x:c r="P1680" s="14" t="str">
        <x:v>İlk 20 soru</x:v>
      </x:c>
      <x:c r="Q1680" s="14" t="str">
        <x:v>Evet</x:v>
      </x:c>
      <x:c r="R1680" s="14" t="str">
        <x:v>Planlandı</x:v>
      </x:c>
      <x:c r="S1680" s="15" t="str"/>
      <x:c r="T1680" s="14" t="str">
        <x:v>Ayrı/rastgele matematik benchmark yoktur. Süreli ilk 20 soru o gün çalışılan konunun içindedir.</x:v>
      </x:c>
    </x:row>
    <x:row r="1681">
      <x:c r="A1681" s="14" t="n">
        <x:v>1680</x:v>
      </x:c>
      <x:c r="B1681" s="15" t="n">
        <x:v>46431</x:v>
      </x:c>
      <x:c r="C1681" s="14" t="str">
        <x:v>Cumartesi</x:v>
      </x:c>
      <x:c r="D1681" s="14" t="str">
        <x:v>Hafta Sonu</x:v>
      </x:c>
      <x:c r="E1681" s="14" t="str">
        <x:v>Tam gün</x:v>
      </x:c>
      <x:c r="F1681" s="14" t="str">
        <x:v>F2 - LGS Kapsam + Ustalık</x:v>
      </x:c>
      <x:c r="G1681" s="14" t="str">
        <x:v>12:00</x:v>
      </x:c>
      <x:c r="H1681" s="14" t="str">
        <x:v>14:00</x:v>
      </x:c>
      <x:c r="I1681" s="14" t="str">
        <x:v>Genel</x:v>
      </x:c>
      <x:c r="J1681" s="14" t="str">
        <x:v>Yemek / Serbest Zaman</x:v>
      </x:c>
      <x:c r="K1681" s="14" t="str"/>
      <x:c r="L1681" s="14" t="str">
        <x:v>Yemek, hareket ve dinlenme.</x:v>
      </x:c>
      <x:c r="M1681" s="14" t="str"/>
      <x:c r="N1681" s="14" t="str"/>
      <x:c r="O1681" s="14" t="n">
        <x:v>0</x:v>
      </x:c>
      <x:c r="P1681" s="14" t="str">
        <x:v>Hayır</x:v>
      </x:c>
      <x:c r="Q1681" s="14" t="str">
        <x:v>Hayır</x:v>
      </x:c>
      <x:c r="R1681" s="14" t="str">
        <x:v>Planlandı</x:v>
      </x:c>
      <x:c r="S1681" s="15" t="str"/>
      <x:c r="T1681" s="14" t="str"/>
    </x:row>
    <x:row r="1682">
      <x:c r="A1682" s="14" t="n">
        <x:v>1681</x:v>
      </x:c>
      <x:c r="B1682" s="15" t="n">
        <x:v>46431</x:v>
      </x:c>
      <x:c r="C1682" s="14" t="str">
        <x:v>Cumartesi</x:v>
      </x:c>
      <x:c r="D1682" s="14" t="str">
        <x:v>Hafta Sonu</x:v>
      </x:c>
      <x:c r="E1682" s="14" t="str">
        <x:v>Tam gün</x:v>
      </x:c>
      <x:c r="F1682" s="14" t="str">
        <x:v>F2 - LGS Kapsam + Ustalık</x:v>
      </x:c>
      <x:c r="G1682" s="14" t="str">
        <x:v>11:25</x:v>
      </x:c>
      <x:c r="H1682" s="14" t="str">
        <x:v>11:55</x:v>
      </x:c>
      <x:c r="I1682" s="14" t="str">
        <x:v>Türkçe</x:v>
      </x:c>
      <x:c r="J1682" s="14" t="str">
        <x:v>Paragraf Rutini</x:v>
      </x:c>
      <x:c r="K1682" s="14" t="str">
        <x:v>Paragraf</x:v>
      </x:c>
      <x:c r="L1682" s="14" t="str">
        <x:v>En az 30 paragraf sorusu çöz; ilk 20 soruyu ileri sayımla ölç, D/Y/B + süre kaydet.</x:v>
      </x:c>
      <x:c r="M1682" s="14" t="str">
        <x:v>Hız 8. Sınıf Türkçe Paragraf (ISBN 9786258394498)</x:v>
      </x:c>
      <x:c r="N1682" s="14" t="str"/>
      <x:c r="O1682" s="14" t="n">
        <x:v>30</x:v>
      </x:c>
      <x:c r="P1682" s="14" t="str">
        <x:v>İlk 20 soru</x:v>
      </x:c>
      <x:c r="Q1682" s="14" t="str">
        <x:v>Evet</x:v>
      </x:c>
      <x:c r="R1682" s="14" t="str">
        <x:v>Planlandı</x:v>
      </x:c>
      <x:c r="S1682" s="15" t="str"/>
      <x:c r="T1682" s="14" t="str">
        <x:v>Geri sayım ve hedef süre yok.</x:v>
      </x:c>
    </x:row>
    <x:row r="1683">
      <x:c r="A1683" s="14" t="n">
        <x:v>1682</x:v>
      </x:c>
      <x:c r="B1683" s="15" t="n">
        <x:v>46431</x:v>
      </x:c>
      <x:c r="C1683" s="14" t="str">
        <x:v>Cumartesi</x:v>
      </x:c>
      <x:c r="D1683" s="14" t="str">
        <x:v>Hafta Sonu</x:v>
      </x:c>
      <x:c r="E1683" s="14" t="str">
        <x:v>Tam gün</x:v>
      </x:c>
      <x:c r="F1683" s="14" t="str">
        <x:v>F2 - LGS Kapsam + Ustalık</x:v>
      </x:c>
      <x:c r="G1683" s="14" t="str">
        <x:v>14:00</x:v>
      </x:c>
      <x:c r="H1683" s="14" t="str">
        <x:v>14:40</x:v>
      </x:c>
      <x:c r="I1683" s="14" t="str">
        <x:v>Türkçe</x:v>
      </x:c>
      <x:c r="J1683" s="14" t="str">
        <x:v>Konu / Tekrar</x:v>
      </x:c>
      <x:c r="K1683" s="14" t="str">
        <x:v>Kaynak Tamamlama / Zayıf Konu</x:v>
      </x:c>
      <x:c r="L1683" s="14" t="str">
        <x:v>Yeni konu açma. En zayıf/açık konunun ilgili playlist videosunu yalnız gerekiyorsa tekrar izle.</x:v>
      </x:c>
      <x:c r="M1683" s="14" t="str">
        <x:v>Türkçe Ana Oynatma Listesi</x:v>
      </x:c>
      <x:c r="N1683" s="14" t="str">
        <x:v>https://www.youtube.com/watch?v=VYsPntNKVdw&amp;list=PLIBjFaUoJJ91bz7QQEBlxNJNZka5YQRr6</x:v>
      </x:c>
      <x:c r="O1683" s="14" t="n">
        <x:v>0</x:v>
      </x:c>
      <x:c r="P1683" s="14" t="str">
        <x:v>Hayır</x:v>
      </x:c>
      <x:c r="Q1683" s="14" t="str">
        <x:v>Evet</x:v>
      </x:c>
      <x:c r="R1683" s="14" t="str">
        <x:v>Planlandı</x:v>
      </x:c>
      <x:c r="S1683" s="15" t="str"/>
      <x:c r="T1683" s="14" t="str">
        <x:v>TYT etiketli kaynak temelden başlamak için sabittir; LGS dışı gereksiz ayrıntı zorunlu değildir.</x:v>
      </x:c>
    </x:row>
    <x:row r="1684">
      <x:c r="A1684" s="14" t="n">
        <x:v>1683</x:v>
      </x:c>
      <x:c r="B1684" s="15" t="n">
        <x:v>46431</x:v>
      </x:c>
      <x:c r="C1684" s="14" t="str">
        <x:v>Cumartesi</x:v>
      </x:c>
      <x:c r="D1684" s="14" t="str">
        <x:v>Hafta Sonu</x:v>
      </x:c>
      <x:c r="E1684" s="14" t="str">
        <x:v>Tam gün</x:v>
      </x:c>
      <x:c r="F1684" s="14" t="str">
        <x:v>F2 - LGS Kapsam + Ustalık</x:v>
      </x:c>
      <x:c r="G1684" s="14" t="str">
        <x:v>14:50</x:v>
      </x:c>
      <x:c r="H1684" s="14" t="str">
        <x:v>15:30</x:v>
      </x:c>
      <x:c r="I1684" s="14" t="str">
        <x:v>Türkçe</x:v>
      </x:c>
      <x:c r="J1684" s="14" t="str">
        <x:v>Kitap / MEB / Mastery</x:v>
      </x:c>
      <x:c r="K1684" s="14" t="str">
        <x:v>Kaynak Tamamlama / Zayıf Konu</x:v>
      </x:c>
      <x:c r="L1684" s="14" t="str">
        <x:v>13 Nisan %100 tamamlama hedefine göre en geride kalan Türkçe soru kaynağını/eksik MEB setini ilerlet; açık yanlışları kapat.</x:v>
      </x:c>
      <x:c r="M1684" s="14" t="str">
        <x:v>Ankara 8. Sınıf Dil Bilgisi Güçlendiren + açık MEB/yanlışlar</x:v>
      </x:c>
      <x:c r="N1684" s="14" t="str">
        <x:v>https://odsgm.meb.gov.tr/www/8sinif-calisma-sorulari/icerik/1632</x:v>
      </x:c>
      <x:c r="O1684" s="14" t="n">
        <x:v>15</x:v>
      </x:c>
      <x:c r="P1684" s="14" t="str">
        <x:v>Hayır</x:v>
      </x:c>
      <x:c r="Q1684" s="14" t="str">
        <x:v>Evet</x:v>
      </x:c>
      <x:c r="R1684" s="14" t="str">
        <x:v>Planlandı</x:v>
      </x:c>
      <x:c r="S1684" s="15" t="str"/>
      <x:c r="T1684" s="14" t="str"/>
    </x:row>
    <x:row r="1685">
      <x:c r="A1685" s="14" t="n">
        <x:v>1684</x:v>
      </x:c>
      <x:c r="B1685" s="15" t="n">
        <x:v>46431</x:v>
      </x:c>
      <x:c r="C1685" s="14" t="str">
        <x:v>Cumartesi</x:v>
      </x:c>
      <x:c r="D1685" s="14" t="str">
        <x:v>Hafta Sonu</x:v>
      </x:c>
      <x:c r="E1685" s="14" t="str">
        <x:v>Tam gün</x:v>
      </x:c>
      <x:c r="F1685" s="14" t="str">
        <x:v>F2 - LGS Kapsam + Ustalık</x:v>
      </x:c>
      <x:c r="G1685" s="14" t="str">
        <x:v>15:45</x:v>
      </x:c>
      <x:c r="H1685" s="14" t="str">
        <x:v>16:25</x:v>
      </x:c>
      <x:c r="I1685" s="14" t="str">
        <x:v>İngilizce</x:v>
      </x:c>
      <x:c r="J1685" s="14" t="str">
        <x:v>Konu / Tekrar</x:v>
      </x:c>
      <x:c r="K1685" s="14" t="str">
        <x:v>Unit 9 - Science</x:v>
      </x:c>
      <x:c r="L1685" s="14" t="str">
        <x:v>Unit 9 - Science — Reading çalışmasını playlistten yap.</x:v>
      </x:c>
      <x:c r="M1685" s="14" t="str">
        <x:v>İngilizce Genel Oynatma Listesi</x:v>
      </x:c>
      <x:c r="N1685" s="14" t="str">
        <x:v>https://www.youtube.com/watch?v=FaY3dFjZbns&amp;list=PLSgpQDrUSYp94WgE9pzpHiOG5FwxnZBrr</x:v>
      </x:c>
      <x:c r="O1685" s="14" t="n">
        <x:v>0</x:v>
      </x:c>
      <x:c r="P1685" s="14" t="str">
        <x:v>Hayır</x:v>
      </x:c>
      <x:c r="Q1685" s="14" t="str">
        <x:v>Evet</x:v>
      </x:c>
      <x:c r="R1685" s="14" t="str">
        <x:v>Planlandı</x:v>
      </x:c>
      <x:c r="S1685" s="15" t="str"/>
      <x:c r="T1685" s="14" t="str"/>
    </x:row>
    <x:row r="1686">
      <x:c r="A1686" s="14" t="n">
        <x:v>1685</x:v>
      </x:c>
      <x:c r="B1686" s="15" t="n">
        <x:v>46431</x:v>
      </x:c>
      <x:c r="C1686" s="14" t="str">
        <x:v>Cumartesi</x:v>
      </x:c>
      <x:c r="D1686" s="14" t="str">
        <x:v>Hafta Sonu</x:v>
      </x:c>
      <x:c r="E1686" s="14" t="str">
        <x:v>Tam gün</x:v>
      </x:c>
      <x:c r="F1686" s="14" t="str">
        <x:v>F2 - LGS Kapsam + Ustalık</x:v>
      </x:c>
      <x:c r="G1686" s="14" t="str">
        <x:v>16:35</x:v>
      </x:c>
      <x:c r="H1686" s="14" t="str">
        <x:v>17:15</x:v>
      </x:c>
      <x:c r="I1686" s="14" t="str">
        <x:v>İngilizce</x:v>
      </x:c>
      <x:c r="J1686" s="14" t="str">
        <x:v>Kitap / MEB / Mastery</x:v>
      </x:c>
      <x:c r="K1686" s="14" t="str">
        <x:v>Unit 9 - Science</x:v>
      </x:c>
      <x:c r="L1686" s="14" t="str">
        <x:v>Unit 9 - Science ile ilgili soru kitabından en az 20 soru / bugünkü test payını çöz.</x:v>
      </x:c>
      <x:c r="M1686" s="14" t="str">
        <x:v>More &amp; More 8 Worksheets Notebook</x:v>
      </x:c>
      <x:c r="N1686" s="14" t="str">
        <x:v>https://www.youtube.com/watch?v=FaY3dFjZbns&amp;list=PLSgpQDrUSYp94WgE9pzpHiOG5FwxnZBrr</x:v>
      </x:c>
      <x:c r="O1686" s="14" t="n">
        <x:v>20</x:v>
      </x:c>
      <x:c r="P1686" s="14" t="str">
        <x:v>Hayır</x:v>
      </x:c>
      <x:c r="Q1686" s="14" t="str">
        <x:v>Evet</x:v>
      </x:c>
      <x:c r="R1686" s="14" t="str">
        <x:v>Planlandı</x:v>
      </x:c>
      <x:c r="S1686" s="15" t="str"/>
      <x:c r="T1686" s="14" t="str"/>
    </x:row>
    <x:row r="1687">
      <x:c r="A1687" s="14" t="n">
        <x:v>1686</x:v>
      </x:c>
      <x:c r="B1687" s="15" t="n">
        <x:v>46431</x:v>
      </x:c>
      <x:c r="C1687" s="14" t="str">
        <x:v>Cumartesi</x:v>
      </x:c>
      <x:c r="D1687" s="14" t="str">
        <x:v>Hafta Sonu</x:v>
      </x:c>
      <x:c r="E1687" s="14" t="str">
        <x:v>Tam gün</x:v>
      </x:c>
      <x:c r="F1687" s="14" t="str">
        <x:v>F2 - LGS Kapsam + Ustalık</x:v>
      </x:c>
      <x:c r="G1687" s="14" t="str">
        <x:v>17:25</x:v>
      </x:c>
      <x:c r="H1687" s="14" t="str">
        <x:v>17:55</x:v>
      </x:c>
      <x:c r="I1687" s="14" t="str">
        <x:v>Fen</x:v>
      </x:c>
      <x:c r="J1687" s="14" t="str">
        <x:v>Ek Fen Pekiştirme</x:v>
      </x:c>
      <x:c r="K1687" s="14" t="str">
        <x:v>Fotosentez</x:v>
      </x:c>
      <x:c r="L1687" s="14" t="str">
        <x:v>Fotosentez — MEB doğrulaması öncesi 5-10 dk aktif hatırlama; gerekiyorsa ilgili playlist videosuna kısa dönüş yap.</x:v>
      </x:c>
      <x:c r="M1687" s="14" t="str">
        <x:v>Fen Konu/Soru Oynatma Listesi</x:v>
      </x:c>
      <x:c r="N1687" s="14" t="str">
        <x:v>https://www.youtube.com/watch?v=pQXhWnDZ3vM&amp;list=PLrQm7mt99FRXcBnorCttd31HJEvg0En26&amp;index=23</x:v>
      </x:c>
      <x:c r="O1687" s="14" t="n">
        <x:v>0</x:v>
      </x:c>
      <x:c r="P1687" s="14" t="str">
        <x:v>Hayır</x:v>
      </x:c>
      <x:c r="Q1687" s="14" t="str">
        <x:v>Evet</x:v>
      </x:c>
      <x:c r="R1687" s="14" t="str">
        <x:v>Planlandı</x:v>
      </x:c>
      <x:c r="S1687" s="15" t="str"/>
      <x:c r="T1687" s="14" t="str">
        <x:v>Fen haftalık temas sıklığını artırmak için ek Cumartesi oturumu.</x:v>
      </x:c>
    </x:row>
    <x:row r="1688">
      <x:c r="A1688" s="14" t="n">
        <x:v>1687</x:v>
      </x:c>
      <x:c r="B1688" s="15" t="n">
        <x:v>46431</x:v>
      </x:c>
      <x:c r="C1688" s="14" t="str">
        <x:v>Cumartesi</x:v>
      </x:c>
      <x:c r="D1688" s="14" t="str">
        <x:v>Hafta Sonu</x:v>
      </x:c>
      <x:c r="E1688" s="14" t="str">
        <x:v>Tam gün</x:v>
      </x:c>
      <x:c r="F1688" s="14" t="str">
        <x:v>F2 - LGS Kapsam + Ustalık</x:v>
      </x:c>
      <x:c r="G1688" s="14" t="str">
        <x:v>17:55</x:v>
      </x:c>
      <x:c r="H1688" s="14" t="str">
        <x:v>18:25</x:v>
      </x:c>
      <x:c r="I1688" s="14" t="str">
        <x:v>Fen</x:v>
      </x:c>
      <x:c r="J1688" s="14" t="str">
        <x:v>Ek Fen Kitap / MEB</x:v>
      </x:c>
      <x:c r="K1688" s="14" t="str">
        <x:v>Fotosentez</x:v>
      </x:c>
      <x:c r="L1688" s="14" t="str">
        <x:v>Fotosentez için ilgili MEB sorularını TAMAMLA; D/Y/B kaydet. Bu oturum konu mastery gate'idir.</x:v>
      </x:c>
      <x:c r="M1688" s="14" t="str">
        <x:v>MEB 8. Sınıf Fen Soruları</x:v>
      </x:c>
      <x:c r="N1688" s="14" t="str">
        <x:v>https://odsgm.meb.gov.tr/www/8sinif-calisma-sorulari/icerik/1632</x:v>
      </x:c>
      <x:c r="O1688" s="14" t="n">
        <x:v>0</x:v>
      </x:c>
      <x:c r="P1688" s="14" t="str">
        <x:v>Hayır</x:v>
      </x:c>
      <x:c r="Q1688" s="14" t="str">
        <x:v>Evet</x:v>
      </x:c>
      <x:c r="R1688" s="14" t="str">
        <x:v>Planlandı</x:v>
      </x:c>
      <x:c r="S1688" s="15" t="str"/>
      <x:c r="T1688" s="14" t="str">
        <x:v>Fen için Hız → gerekiyorsa Mozaik; MEB doğrulaması konu bitiminde.</x:v>
      </x:c>
    </x:row>
    <x:row r="1689">
      <x:c r="A1689" s="14" t="n">
        <x:v>1688</x:v>
      </x:c>
      <x:c r="B1689" s="15" t="n">
        <x:v>46431</x:v>
      </x:c>
      <x:c r="C1689" s="14" t="str">
        <x:v>Cumartesi</x:v>
      </x:c>
      <x:c r="D1689" s="14" t="str">
        <x:v>Hafta Sonu</x:v>
      </x:c>
      <x:c r="E1689" s="14" t="str">
        <x:v>Tam gün</x:v>
      </x:c>
      <x:c r="F1689" s="14" t="str">
        <x:v>F2 - LGS Kapsam + Ustalık</x:v>
      </x:c>
      <x:c r="G1689" s="14" t="str">
        <x:v>18:25</x:v>
      </x:c>
      <x:c r="H1689" s="14" t="str">
        <x:v>18:45</x:v>
      </x:c>
      <x:c r="I1689" s="14" t="str">
        <x:v>Genel</x:v>
      </x:c>
      <x:c r="J1689" s="14" t="str">
        <x:v>Yanlış / Boş Analizi</x:v>
      </x:c>
      <x:c r="K1689" s="14" t="str">
        <x:v>Günlük</x:v>
      </x:c>
      <x:c r="L1689" s="14" t="str">
        <x:v>Bugünkü yanlış/boşları kaydet; çözümünü öğrenmeden kapatma. Hata türünü sınıflandır.</x:v>
      </x:c>
      <x:c r="M1689" s="14" t="str">
        <x:v>Yanlış Defteri</x:v>
      </x:c>
      <x:c r="N1689" s="14" t="str"/>
      <x:c r="O1689" s="14" t="n">
        <x:v>0</x:v>
      </x:c>
      <x:c r="P1689" s="14" t="str">
        <x:v>Hayır</x:v>
      </x:c>
      <x:c r="Q1689" s="14" t="str">
        <x:v>Evet</x:v>
      </x:c>
      <x:c r="R1689" s="14" t="str">
        <x:v>Planlandı</x:v>
      </x:c>
      <x:c r="S1689" s="15" t="str"/>
      <x:c r="T1689" s="14" t="str"/>
    </x:row>
    <x:row r="1690">
      <x:c r="A1690" s="14" t="n">
        <x:v>1689</x:v>
      </x:c>
      <x:c r="B1690" s="15" t="n">
        <x:v>46431</x:v>
      </x:c>
      <x:c r="C1690" s="14" t="str">
        <x:v>Cumartesi</x:v>
      </x:c>
      <x:c r="D1690" s="14" t="str">
        <x:v>Hafta Sonu</x:v>
      </x:c>
      <x:c r="E1690" s="14" t="str">
        <x:v>Tam gün</x:v>
      </x:c>
      <x:c r="F1690" s="14" t="str">
        <x:v>F2 - LGS Kapsam + Ustalık</x:v>
      </x:c>
      <x:c r="G1690" s="14" t="str">
        <x:v>18:45</x:v>
      </x:c>
      <x:c r="H1690" s="14" t="str">
        <x:v>19:05</x:v>
      </x:c>
      <x:c r="I1690" s="14" t="str">
        <x:v>Genel</x:v>
      </x:c>
      <x:c r="J1690" s="14" t="str">
        <x:v>Aralıklı Hata Tekrarı</x:v>
      </x:c>
      <x:c r="K1690" s="14" t="str">
        <x:v>+1 / +7 / +21</x:v>
      </x:c>
      <x:c r="L1690" s="14" t="str">
        <x:v>Bugün vadesi gelen yanlış soruları tekrar çöz. Vadesi yoksa bu süre serbest/okuma olabilir.</x:v>
      </x:c>
      <x:c r="M1690" s="14" t="str">
        <x:v>Yanlış Defteri</x:v>
      </x:c>
      <x:c r="N1690" s="14" t="str"/>
      <x:c r="O1690" s="14" t="n">
        <x:v>0</x:v>
      </x:c>
      <x:c r="P1690" s="14" t="str">
        <x:v>Hayır</x:v>
      </x:c>
      <x:c r="Q1690" s="14" t="str">
        <x:v>Koşullu</x:v>
      </x:c>
      <x:c r="R1690" s="14" t="str">
        <x:v>Planlandı</x:v>
      </x:c>
      <x:c r="S1690" s="15" t="str"/>
      <x:c r="T1690" s="14" t="str">
        <x:v>Yanlışlar +1, +7 ve +21 gün aralıklarıyla tekrar edilir; hâlâ yanlışsa konu mastery durumu düşürülür.</x:v>
      </x:c>
    </x:row>
    <x:row r="1691">
      <x:c r="A1691" s="14" t="n">
        <x:v>1690</x:v>
      </x:c>
      <x:c r="B1691" s="15" t="n">
        <x:v>46431</x:v>
      </x:c>
      <x:c r="C1691" s="14" t="str">
        <x:v>Cumartesi</x:v>
      </x:c>
      <x:c r="D1691" s="14" t="str">
        <x:v>Hafta Sonu</x:v>
      </x:c>
      <x:c r="E1691" s="14" t="str">
        <x:v>Tam gün</x:v>
      </x:c>
      <x:c r="F1691" s="14" t="str">
        <x:v>F2 - LGS Kapsam + Ustalık</x:v>
      </x:c>
      <x:c r="G1691" s="14" t="str">
        <x:v>20:00</x:v>
      </x:c>
      <x:c r="H1691" s="14" t="str">
        <x:v>20:30</x:v>
      </x:c>
      <x:c r="I1691" s="14" t="str">
        <x:v>Okuma</x:v>
      </x:c>
      <x:c r="J1691" s="14" t="str">
        <x:v>İsteğe Bağlı</x:v>
      </x:c>
      <x:c r="K1691" s="14" t="str">
        <x:v>Serbest Kitap</x:v>
      </x:c>
      <x:c r="L1691" s="14" t="str">
        <x:v>Zorunlu çalışmalar bittiyse isteğe bağlı kitap oku.</x:v>
      </x:c>
      <x:c r="M1691" s="14" t="str">
        <x:v>Serbest Kitap</x:v>
      </x:c>
      <x:c r="N1691" s="14" t="str"/>
      <x:c r="O1691" s="14" t="n">
        <x:v>0</x:v>
      </x:c>
      <x:c r="P1691" s="14" t="str">
        <x:v>İsteğe Bağlı</x:v>
      </x:c>
      <x:c r="Q1691" s="14" t="str">
        <x:v>Hayır</x:v>
      </x:c>
      <x:c r="R1691" s="14" t="str">
        <x:v>Planlandı</x:v>
      </x:c>
      <x:c r="S1691" s="15" t="str"/>
      <x:c r="T1691" s="14" t="str">
        <x:v>Minimum süre yok.</x:v>
      </x:c>
    </x:row>
    <x:row r="1692">
      <x:c r="A1692" s="14" t="n">
        <x:v>1691</x:v>
      </x:c>
      <x:c r="B1692" s="15" t="n">
        <x:v>46431</x:v>
      </x:c>
      <x:c r="C1692" s="14" t="str">
        <x:v>Cumartesi</x:v>
      </x:c>
      <x:c r="D1692" s="14" t="str">
        <x:v>Hafta Sonu</x:v>
      </x:c>
      <x:c r="E1692" s="14" t="str">
        <x:v>Tam gün</x:v>
      </x:c>
      <x:c r="F1692" s="14" t="str">
        <x:v>F2 - LGS Kapsam + Ustalık</x:v>
      </x:c>
      <x:c r="G1692" s="14" t="str">
        <x:v>21:50</x:v>
      </x:c>
      <x:c r="H1692" s="14" t="str">
        <x:v>22:00</x:v>
      </x:c>
      <x:c r="I1692" s="14" t="str">
        <x:v>Genel</x:v>
      </x:c>
      <x:c r="J1692" s="14" t="str">
        <x:v>Uyku Hazırlığı</x:v>
      </x:c>
      <x:c r="K1692" s="14" t="str"/>
      <x:c r="L1692" s="14" t="str">
        <x:v>22:00'de yatakta ve uyku.</x:v>
      </x:c>
      <x:c r="M1692" s="14" t="str"/>
      <x:c r="N1692" s="14" t="str"/>
      <x:c r="O1692" s="14" t="n">
        <x:v>0</x:v>
      </x:c>
      <x:c r="P1692" s="14" t="str">
        <x:v>Hayır</x:v>
      </x:c>
      <x:c r="Q1692" s="14" t="str">
        <x:v>Hayır</x:v>
      </x:c>
      <x:c r="R1692" s="14" t="str">
        <x:v>Planlandı</x:v>
      </x:c>
      <x:c r="S1692" s="15" t="str"/>
      <x:c r="T1692" s="14" t="str"/>
    </x:row>
    <x:row r="1693">
      <x:c r="A1693" s="14" t="n">
        <x:v>1692</x:v>
      </x:c>
      <x:c r="B1693" s="15" t="n">
        <x:v>46432</x:v>
      </x:c>
      <x:c r="C1693" s="14" t="str">
        <x:v>Pazar</x:v>
      </x:c>
      <x:c r="D1693" s="14" t="str">
        <x:v>Hafta Sonu</x:v>
      </x:c>
      <x:c r="E1693" s="14" t="str">
        <x:v>Tam gün</x:v>
      </x:c>
      <x:c r="F1693" s="14" t="str">
        <x:v>F2 - LGS Kapsam + Ustalık</x:v>
      </x:c>
      <x:c r="G1693" s="14" t="str">
        <x:v>09:30</x:v>
      </x:c>
      <x:c r="H1693" s="14" t="str">
        <x:v>10:15</x:v>
      </x:c>
      <x:c r="I1693" s="14" t="str">
        <x:v>Matematik</x:v>
      </x:c>
      <x:c r="J1693" s="14" t="str">
        <x:v>Konu / Tekrar</x:v>
      </x:c>
      <x:c r="K1693" s="14" t="str">
        <x:v>Kaynak Tamamlama / Zayıf Konu</x:v>
      </x:c>
      <x:c r="L1693" s="14" t="str">
        <x:v>Yeni konu açma. En zayıf/açık konunun ilgili playlist videosunu yalnız gerekiyorsa tekrar izle.</x:v>
      </x:c>
      <x:c r="M1693" s="14" t="str">
        <x:v>Matematik Ana Oynatma Listesi</x:v>
      </x:c>
      <x:c r="N1693" s="14" t="str">
        <x:v>https://www.youtube.com/watch?v=EuJ89QzqrAg&amp;list=PLicNtF7vp6fnfDqrRLH6H7fIbzYT4ct4F&amp;index=11</x:v>
      </x:c>
      <x:c r="O1693" s="14" t="n">
        <x:v>0</x:v>
      </x:c>
      <x:c r="P1693" s="14" t="str">
        <x:v>Hayır</x:v>
      </x:c>
      <x:c r="Q1693" s="14" t="str">
        <x:v>Evet</x:v>
      </x:c>
      <x:c r="R1693" s="14" t="str">
        <x:v>Planlandı</x:v>
      </x:c>
      <x:c r="S1693" s="15" t="str"/>
      <x:c r="T1693" s="14" t="str">
        <x:v>Yeni konu ancak plan sırasıyla açılır; LGS dışı ileri TYT içeriği zorunlu değildir.</x:v>
      </x:c>
    </x:row>
    <x:row r="1694">
      <x:c r="A1694" s="14" t="n">
        <x:v>1693</x:v>
      </x:c>
      <x:c r="B1694" s="15" t="n">
        <x:v>46432</x:v>
      </x:c>
      <x:c r="C1694" s="14" t="str">
        <x:v>Pazar</x:v>
      </x:c>
      <x:c r="D1694" s="14" t="str">
        <x:v>Hafta Sonu</x:v>
      </x:c>
      <x:c r="E1694" s="14" t="str">
        <x:v>Tam gün</x:v>
      </x:c>
      <x:c r="F1694" s="14" t="str">
        <x:v>F2 - LGS Kapsam + Ustalık</x:v>
      </x:c>
      <x:c r="G1694" s="14" t="str">
        <x:v>10:25</x:v>
      </x:c>
      <x:c r="H1694" s="14" t="str">
        <x:v>11:15</x:v>
      </x:c>
      <x:c r="I1694" s="14" t="str">
        <x:v>Matematik</x:v>
      </x:c>
      <x:c r="J1694" s="14" t="str">
        <x:v>Kitap / MEB / Mastery</x:v>
      </x:c>
      <x:c r="K1694" s="14" t="str">
        <x:v>Kaynak Tamamlama / Zayıf Konu</x:v>
      </x:c>
      <x:c r="L1694" s="14" t="str">
        <x:v>13 Nisan %100 tamamlama hedefine göre en geride kalan Matematik soru kaynağını/eksik MEB setini ilerlet; açık yanlışları kapat.</x:v>
      </x:c>
      <x:c r="M1694" s="14" t="str">
        <x:v>MUBA 8. Sınıf Başlangıç Matematik (ISBN 9789756526972) → tamamlandıysa Mozaik 8. Sınıf Matematik; açık MEB/yanlışlar</x:v>
      </x:c>
      <x:c r="N1694" s="14" t="str">
        <x:v>https://odsgm.meb.gov.tr/www/8sinif-calisma-sorulari/icerik/1632</x:v>
      </x:c>
      <x:c r="O1694" s="14" t="n">
        <x:v>30</x:v>
      </x:c>
      <x:c r="P1694" s="14" t="str">
        <x:v>İlk 20 soru</x:v>
      </x:c>
      <x:c r="Q1694" s="14" t="str">
        <x:v>Evet</x:v>
      </x:c>
      <x:c r="R1694" s="14" t="str">
        <x:v>Planlandı</x:v>
      </x:c>
      <x:c r="S1694" s="15" t="str"/>
      <x:c r="T1694" s="14" t="str">
        <x:v>Ayrı/rastgele matematik benchmark yoktur. Süreli ilk 20 soru o gün çalışılan konunun içindedir.</x:v>
      </x:c>
    </x:row>
    <x:row r="1695">
      <x:c r="A1695" s="14" t="n">
        <x:v>1694</x:v>
      </x:c>
      <x:c r="B1695" s="15" t="n">
        <x:v>46432</x:v>
      </x:c>
      <x:c r="C1695" s="14" t="str">
        <x:v>Pazar</x:v>
      </x:c>
      <x:c r="D1695" s="14" t="str">
        <x:v>Hafta Sonu</x:v>
      </x:c>
      <x:c r="E1695" s="14" t="str">
        <x:v>Tam gün</x:v>
      </x:c>
      <x:c r="F1695" s="14" t="str">
        <x:v>F2 - LGS Kapsam + Ustalık</x:v>
      </x:c>
      <x:c r="G1695" s="14" t="str">
        <x:v>12:00</x:v>
      </x:c>
      <x:c r="H1695" s="14" t="str">
        <x:v>14:00</x:v>
      </x:c>
      <x:c r="I1695" s="14" t="str">
        <x:v>Genel</x:v>
      </x:c>
      <x:c r="J1695" s="14" t="str">
        <x:v>Yemek / Serbest Zaman</x:v>
      </x:c>
      <x:c r="K1695" s="14" t="str"/>
      <x:c r="L1695" s="14" t="str">
        <x:v>Yemek, hareket ve dinlenme.</x:v>
      </x:c>
      <x:c r="M1695" s="14" t="str"/>
      <x:c r="N1695" s="14" t="str"/>
      <x:c r="O1695" s="14" t="n">
        <x:v>0</x:v>
      </x:c>
      <x:c r="P1695" s="14" t="str">
        <x:v>Hayır</x:v>
      </x:c>
      <x:c r="Q1695" s="14" t="str">
        <x:v>Hayır</x:v>
      </x:c>
      <x:c r="R1695" s="14" t="str">
        <x:v>Planlandı</x:v>
      </x:c>
      <x:c r="S1695" s="15" t="str"/>
      <x:c r="T1695" s="14" t="str"/>
    </x:row>
    <x:row r="1696">
      <x:c r="A1696" s="14" t="n">
        <x:v>1695</x:v>
      </x:c>
      <x:c r="B1696" s="15" t="n">
        <x:v>46432</x:v>
      </x:c>
      <x:c r="C1696" s="14" t="str">
        <x:v>Pazar</x:v>
      </x:c>
      <x:c r="D1696" s="14" t="str">
        <x:v>Hafta Sonu</x:v>
      </x:c>
      <x:c r="E1696" s="14" t="str">
        <x:v>Tam gün</x:v>
      </x:c>
      <x:c r="F1696" s="14" t="str">
        <x:v>F2 - LGS Kapsam + Ustalık</x:v>
      </x:c>
      <x:c r="G1696" s="14" t="str">
        <x:v>11:25</x:v>
      </x:c>
      <x:c r="H1696" s="14" t="str">
        <x:v>11:55</x:v>
      </x:c>
      <x:c r="I1696" s="14" t="str">
        <x:v>Türkçe</x:v>
      </x:c>
      <x:c r="J1696" s="14" t="str">
        <x:v>Paragraf Rutini</x:v>
      </x:c>
      <x:c r="K1696" s="14" t="str">
        <x:v>Paragraf</x:v>
      </x:c>
      <x:c r="L1696" s="14" t="str">
        <x:v>En az 30 paragraf sorusu çöz; ilk 20 soruyu ileri sayımla ölç, D/Y/B + süre kaydet.</x:v>
      </x:c>
      <x:c r="M1696" s="14" t="str">
        <x:v>Hız 8. Sınıf Türkçe Paragraf (ISBN 9786258394498)</x:v>
      </x:c>
      <x:c r="N1696" s="14" t="str"/>
      <x:c r="O1696" s="14" t="n">
        <x:v>30</x:v>
      </x:c>
      <x:c r="P1696" s="14" t="str">
        <x:v>İlk 20 soru</x:v>
      </x:c>
      <x:c r="Q1696" s="14" t="str">
        <x:v>Evet</x:v>
      </x:c>
      <x:c r="R1696" s="14" t="str">
        <x:v>Planlandı</x:v>
      </x:c>
      <x:c r="S1696" s="15" t="str"/>
      <x:c r="T1696" s="14" t="str">
        <x:v>Geri sayım ve hedef süre yok.</x:v>
      </x:c>
    </x:row>
    <x:row r="1697">
      <x:c r="A1697" s="14" t="n">
        <x:v>1696</x:v>
      </x:c>
      <x:c r="B1697" s="15" t="n">
        <x:v>46432</x:v>
      </x:c>
      <x:c r="C1697" s="14" t="str">
        <x:v>Pazar</x:v>
      </x:c>
      <x:c r="D1697" s="14" t="str">
        <x:v>Hafta Sonu</x:v>
      </x:c>
      <x:c r="E1697" s="14" t="str">
        <x:v>Tam gün</x:v>
      </x:c>
      <x:c r="F1697" s="14" t="str">
        <x:v>F2 - LGS Kapsam + Ustalık</x:v>
      </x:c>
      <x:c r="G1697" s="14" t="str">
        <x:v>14:00</x:v>
      </x:c>
      <x:c r="H1697" s="14" t="str">
        <x:v>14:40</x:v>
      </x:c>
      <x:c r="I1697" s="14" t="str">
        <x:v>Türkçe</x:v>
      </x:c>
      <x:c r="J1697" s="14" t="str">
        <x:v>Konu / Tekrar</x:v>
      </x:c>
      <x:c r="K1697" s="14" t="str">
        <x:v>Kaynak Tamamlama / Zayıf Konu</x:v>
      </x:c>
      <x:c r="L1697" s="14" t="str">
        <x:v>Yeni konu açma. En zayıf/açık konunun ilgili playlist videosunu yalnız gerekiyorsa tekrar izle.</x:v>
      </x:c>
      <x:c r="M1697" s="14" t="str">
        <x:v>Türkçe Ana Oynatma Listesi</x:v>
      </x:c>
      <x:c r="N1697" s="14" t="str">
        <x:v>https://www.youtube.com/watch?v=VYsPntNKVdw&amp;list=PLIBjFaUoJJ91bz7QQEBlxNJNZka5YQRr6</x:v>
      </x:c>
      <x:c r="O1697" s="14" t="n">
        <x:v>0</x:v>
      </x:c>
      <x:c r="P1697" s="14" t="str">
        <x:v>Hayır</x:v>
      </x:c>
      <x:c r="Q1697" s="14" t="str">
        <x:v>Evet</x:v>
      </x:c>
      <x:c r="R1697" s="14" t="str">
        <x:v>Planlandı</x:v>
      </x:c>
      <x:c r="S1697" s="15" t="str"/>
      <x:c r="T1697" s="14" t="str">
        <x:v>TYT etiketli kaynak temelden başlamak için sabittir; LGS dışı gereksiz ayrıntı zorunlu değildir.</x:v>
      </x:c>
    </x:row>
    <x:row r="1698">
      <x:c r="A1698" s="14" t="n">
        <x:v>1697</x:v>
      </x:c>
      <x:c r="B1698" s="15" t="n">
        <x:v>46432</x:v>
      </x:c>
      <x:c r="C1698" s="14" t="str">
        <x:v>Pazar</x:v>
      </x:c>
      <x:c r="D1698" s="14" t="str">
        <x:v>Hafta Sonu</x:v>
      </x:c>
      <x:c r="E1698" s="14" t="str">
        <x:v>Tam gün</x:v>
      </x:c>
      <x:c r="F1698" s="14" t="str">
        <x:v>F2 - LGS Kapsam + Ustalık</x:v>
      </x:c>
      <x:c r="G1698" s="14" t="str">
        <x:v>14:50</x:v>
      </x:c>
      <x:c r="H1698" s="14" t="str">
        <x:v>15:30</x:v>
      </x:c>
      <x:c r="I1698" s="14" t="str">
        <x:v>Türkçe</x:v>
      </x:c>
      <x:c r="J1698" s="14" t="str">
        <x:v>Kitap / MEB / Mastery</x:v>
      </x:c>
      <x:c r="K1698" s="14" t="str">
        <x:v>Kaynak Tamamlama / Zayıf Konu</x:v>
      </x:c>
      <x:c r="L1698" s="14" t="str">
        <x:v>13 Nisan %100 tamamlama hedefine göre en geride kalan Türkçe soru kaynağını/eksik MEB setini ilerlet; açık yanlışları kapat.</x:v>
      </x:c>
      <x:c r="M1698" s="14" t="str">
        <x:v>Ankara 8. Sınıf Dil Bilgisi Güçlendiren + açık MEB/yanlışlar</x:v>
      </x:c>
      <x:c r="N1698" s="14" t="str">
        <x:v>https://odsgm.meb.gov.tr/www/8sinif-calisma-sorulari/icerik/1632</x:v>
      </x:c>
      <x:c r="O1698" s="14" t="n">
        <x:v>15</x:v>
      </x:c>
      <x:c r="P1698" s="14" t="str">
        <x:v>Hayır</x:v>
      </x:c>
      <x:c r="Q1698" s="14" t="str">
        <x:v>Evet</x:v>
      </x:c>
      <x:c r="R1698" s="14" t="str">
        <x:v>Planlandı</x:v>
      </x:c>
      <x:c r="S1698" s="15" t="str"/>
      <x:c r="T1698" s="14" t="str"/>
    </x:row>
    <x:row r="1699">
      <x:c r="A1699" s="14" t="n">
        <x:v>1698</x:v>
      </x:c>
      <x:c r="B1699" s="15" t="n">
        <x:v>46432</x:v>
      </x:c>
      <x:c r="C1699" s="14" t="str">
        <x:v>Pazar</x:v>
      </x:c>
      <x:c r="D1699" s="14" t="str">
        <x:v>Hafta Sonu</x:v>
      </x:c>
      <x:c r="E1699" s="14" t="str">
        <x:v>Tam gün</x:v>
      </x:c>
      <x:c r="F1699" s="14" t="str">
        <x:v>F2 - LGS Kapsam + Ustalık</x:v>
      </x:c>
      <x:c r="G1699" s="14" t="str">
        <x:v>15:45</x:v>
      </x:c>
      <x:c r="H1699" s="14" t="str">
        <x:v>16:25</x:v>
      </x:c>
      <x:c r="I1699" s="14" t="str">
        <x:v>Fen</x:v>
      </x:c>
      <x:c r="J1699" s="14" t="str">
        <x:v>Konu / Tekrar</x:v>
      </x:c>
      <x:c r="K1699" s="14" t="str">
        <x:v>Solunum</x:v>
      </x:c>
      <x:c r="L1699" s="14" t="str">
        <x:v>Solunum — Fen konu anlatım playlistinden ilgili videoyu izle.</x:v>
      </x:c>
      <x:c r="M1699" s="14" t="str">
        <x:v>Fen Konu Anlatım</x:v>
      </x:c>
      <x:c r="N1699" s="14" t="str">
        <x:v>https://www.youtube.com/watch?v=AHdk01aR4Ko&amp;list=PLrQm7mt99FRV_Oe9xFavWzFpCIl7_XiWj</x:v>
      </x:c>
      <x:c r="O1699" s="14" t="n">
        <x:v>0</x:v>
      </x:c>
      <x:c r="P1699" s="14" t="str">
        <x:v>Hayır</x:v>
      </x:c>
      <x:c r="Q1699" s="14" t="str">
        <x:v>Evet</x:v>
      </x:c>
      <x:c r="R1699" s="14" t="str">
        <x:v>Planlandı</x:v>
      </x:c>
      <x:c r="S1699" s="15" t="str"/>
      <x:c r="T1699" s="14" t="str"/>
    </x:row>
    <x:row r="1700">
      <x:c r="A1700" s="14" t="n">
        <x:v>1699</x:v>
      </x:c>
      <x:c r="B1700" s="15" t="n">
        <x:v>46432</x:v>
      </x:c>
      <x:c r="C1700" s="14" t="str">
        <x:v>Pazar</x:v>
      </x:c>
      <x:c r="D1700" s="14" t="str">
        <x:v>Hafta Sonu</x:v>
      </x:c>
      <x:c r="E1700" s="14" t="str">
        <x:v>Tam gün</x:v>
      </x:c>
      <x:c r="F1700" s="14" t="str">
        <x:v>F2 - LGS Kapsam + Ustalık</x:v>
      </x:c>
      <x:c r="G1700" s="14" t="str">
        <x:v>16:35</x:v>
      </x:c>
      <x:c r="H1700" s="14" t="str">
        <x:v>17:15</x:v>
      </x:c>
      <x:c r="I1700" s="14" t="str">
        <x:v>Fen</x:v>
      </x:c>
      <x:c r="J1700" s="14" t="str">
        <x:v>Kitap / MEB / Mastery</x:v>
      </x:c>
      <x:c r="K1700" s="14" t="str">
        <x:v>Solunum</x:v>
      </x:c>
      <x:c r="L1700" s="14" t="str">
        <x:v>Solunum ile ilgili soru kitabından en az 20 soru / bugünkü test payını çöz.</x:v>
      </x:c>
      <x:c r="M1700" s="14" t="str">
        <x:v>Hız 8. Sınıf Fen (ISBN 9786257514859); tamamlandıysa Mozaik 8. Sınıf Fen</x:v>
      </x:c>
      <x:c r="N1700" s="14" t="str">
        <x:v>https://www.youtube.com/watch?v=AHdk01aR4Ko&amp;list=PLrQm7mt99FRV_Oe9xFavWzFpCIl7_XiWj</x:v>
      </x:c>
      <x:c r="O1700" s="14" t="n">
        <x:v>20</x:v>
      </x:c>
      <x:c r="P1700" s="14" t="str">
        <x:v>Hayır</x:v>
      </x:c>
      <x:c r="Q1700" s="14" t="str">
        <x:v>Evet</x:v>
      </x:c>
      <x:c r="R1700" s="14" t="str">
        <x:v>Planlandı</x:v>
      </x:c>
      <x:c r="S1700" s="15" t="str"/>
      <x:c r="T1700" s="14" t="str"/>
    </x:row>
    <x:row r="1701">
      <x:c r="A1701" s="14" t="n">
        <x:v>1700</x:v>
      </x:c>
      <x:c r="B1701" s="15" t="n">
        <x:v>46432</x:v>
      </x:c>
      <x:c r="C1701" s="14" t="str">
        <x:v>Pazar</x:v>
      </x:c>
      <x:c r="D1701" s="14" t="str">
        <x:v>Hafta Sonu</x:v>
      </x:c>
      <x:c r="E1701" s="14" t="str">
        <x:v>Tam gün</x:v>
      </x:c>
      <x:c r="F1701" s="14" t="str">
        <x:v>F2 - LGS Kapsam + Ustalık</x:v>
      </x:c>
      <x:c r="G1701" s="14" t="str">
        <x:v>17:25</x:v>
      </x:c>
      <x:c r="H1701" s="14" t="str">
        <x:v>18:25</x:v>
      </x:c>
      <x:c r="I1701" s="14" t="str">
        <x:v>Genel</x:v>
      </x:c>
      <x:c r="J1701" s="14" t="str">
        <x:v>Kaynak Tamamlama</x:v>
      </x:c>
      <x:c r="K1701" s="14" t="str">
        <x:v>En Geride Kalan Kaynak</x:v>
      </x:c>
      <x:c r="L1701" s="14" t="str">
        <x:v>Kaynak_Ilerleme sayfasında hedef yüzdesinin en gerisinde kalan ZORUNLU soru kaynağına 60 dk ayır. Öğrenilmemiş konudan ileri gitme.</x:v>
      </x:c>
      <x:c r="M1701" s="14" t="str">
        <x:v>Kaynak İlerleme</x:v>
      </x:c>
      <x:c r="N1701" s="14" t="str"/>
      <x:c r="O1701" s="14" t="n">
        <x:v>0</x:v>
      </x:c>
      <x:c r="P1701" s="14" t="str">
        <x:v>Hayır</x:v>
      </x:c>
      <x:c r="Q1701" s="14" t="str">
        <x:v>Evet</x:v>
      </x:c>
      <x:c r="R1701" s="14" t="str">
        <x:v>Planlandı</x:v>
      </x:c>
      <x:c r="S1701" s="15" t="str"/>
      <x:c r="T1701" s="14" t="str">
        <x:v>Amaç 13.04.2027'de zorunlu soru kitapları + ilgili MEB setlerini %100 tamamlamak.</x:v>
      </x:c>
    </x:row>
    <x:row r="1702">
      <x:c r="A1702" s="14" t="n">
        <x:v>1701</x:v>
      </x:c>
      <x:c r="B1702" s="15" t="n">
        <x:v>46432</x:v>
      </x:c>
      <x:c r="C1702" s="14" t="str">
        <x:v>Pazar</x:v>
      </x:c>
      <x:c r="D1702" s="14" t="str">
        <x:v>Hafta Sonu</x:v>
      </x:c>
      <x:c r="E1702" s="14" t="str">
        <x:v>Tam gün</x:v>
      </x:c>
      <x:c r="F1702" s="14" t="str">
        <x:v>F2 - LGS Kapsam + Ustalık</x:v>
      </x:c>
      <x:c r="G1702" s="14" t="str">
        <x:v>18:25</x:v>
      </x:c>
      <x:c r="H1702" s="14" t="str">
        <x:v>18:45</x:v>
      </x:c>
      <x:c r="I1702" s="14" t="str">
        <x:v>Genel</x:v>
      </x:c>
      <x:c r="J1702" s="14" t="str">
        <x:v>Yanlış / Boş Analizi</x:v>
      </x:c>
      <x:c r="K1702" s="14" t="str">
        <x:v>Günlük</x:v>
      </x:c>
      <x:c r="L1702" s="14" t="str">
        <x:v>Bugünkü yanlış/boşları kaydet; çözümünü öğrenmeden kapatma. Hata türünü sınıflandır.</x:v>
      </x:c>
      <x:c r="M1702" s="14" t="str">
        <x:v>Yanlış Defteri</x:v>
      </x:c>
      <x:c r="N1702" s="14" t="str"/>
      <x:c r="O1702" s="14" t="n">
        <x:v>0</x:v>
      </x:c>
      <x:c r="P1702" s="14" t="str">
        <x:v>Hayır</x:v>
      </x:c>
      <x:c r="Q1702" s="14" t="str">
        <x:v>Evet</x:v>
      </x:c>
      <x:c r="R1702" s="14" t="str">
        <x:v>Planlandı</x:v>
      </x:c>
      <x:c r="S1702" s="15" t="str"/>
      <x:c r="T1702" s="14" t="str"/>
    </x:row>
    <x:row r="1703">
      <x:c r="A1703" s="14" t="n">
        <x:v>1702</x:v>
      </x:c>
      <x:c r="B1703" s="15" t="n">
        <x:v>46432</x:v>
      </x:c>
      <x:c r="C1703" s="14" t="str">
        <x:v>Pazar</x:v>
      </x:c>
      <x:c r="D1703" s="14" t="str">
        <x:v>Hafta Sonu</x:v>
      </x:c>
      <x:c r="E1703" s="14" t="str">
        <x:v>Tam gün</x:v>
      </x:c>
      <x:c r="F1703" s="14" t="str">
        <x:v>F2 - LGS Kapsam + Ustalık</x:v>
      </x:c>
      <x:c r="G1703" s="14" t="str">
        <x:v>18:45</x:v>
      </x:c>
      <x:c r="H1703" s="14" t="str">
        <x:v>19:05</x:v>
      </x:c>
      <x:c r="I1703" s="14" t="str">
        <x:v>Genel</x:v>
      </x:c>
      <x:c r="J1703" s="14" t="str">
        <x:v>Aralıklı Hata Tekrarı</x:v>
      </x:c>
      <x:c r="K1703" s="14" t="str">
        <x:v>+1 / +7 / +21</x:v>
      </x:c>
      <x:c r="L1703" s="14" t="str">
        <x:v>Bugün vadesi gelen yanlış soruları tekrar çöz. Vadesi yoksa bu süre serbest/okuma olabilir.</x:v>
      </x:c>
      <x:c r="M1703" s="14" t="str">
        <x:v>Yanlış Defteri</x:v>
      </x:c>
      <x:c r="N1703" s="14" t="str"/>
      <x:c r="O1703" s="14" t="n">
        <x:v>0</x:v>
      </x:c>
      <x:c r="P1703" s="14" t="str">
        <x:v>Hayır</x:v>
      </x:c>
      <x:c r="Q1703" s="14" t="str">
        <x:v>Koşullu</x:v>
      </x:c>
      <x:c r="R1703" s="14" t="str">
        <x:v>Planlandı</x:v>
      </x:c>
      <x:c r="S1703" s="15" t="str"/>
      <x:c r="T1703" s="14" t="str">
        <x:v>Yanlışlar +1, +7 ve +21 gün aralıklarıyla tekrar edilir; hâlâ yanlışsa konu mastery durumu düşürülür.</x:v>
      </x:c>
    </x:row>
    <x:row r="1704">
      <x:c r="A1704" s="14" t="n">
        <x:v>1703</x:v>
      </x:c>
      <x:c r="B1704" s="15" t="n">
        <x:v>46432</x:v>
      </x:c>
      <x:c r="C1704" s="14" t="str">
        <x:v>Pazar</x:v>
      </x:c>
      <x:c r="D1704" s="14" t="str">
        <x:v>Hafta Sonu</x:v>
      </x:c>
      <x:c r="E1704" s="14" t="str">
        <x:v>Tam gün</x:v>
      </x:c>
      <x:c r="F1704" s="14" t="str">
        <x:v>F2 - LGS Kapsam + Ustalık</x:v>
      </x:c>
      <x:c r="G1704" s="14" t="str">
        <x:v>20:00</x:v>
      </x:c>
      <x:c r="H1704" s="14" t="str">
        <x:v>20:30</x:v>
      </x:c>
      <x:c r="I1704" s="14" t="str">
        <x:v>Okuma</x:v>
      </x:c>
      <x:c r="J1704" s="14" t="str">
        <x:v>İsteğe Bağlı</x:v>
      </x:c>
      <x:c r="K1704" s="14" t="str">
        <x:v>Serbest Kitap</x:v>
      </x:c>
      <x:c r="L1704" s="14" t="str">
        <x:v>Zorunlu çalışmalar bittiyse isteğe bağlı kitap oku.</x:v>
      </x:c>
      <x:c r="M1704" s="14" t="str">
        <x:v>Serbest Kitap</x:v>
      </x:c>
      <x:c r="N1704" s="14" t="str"/>
      <x:c r="O1704" s="14" t="n">
        <x:v>0</x:v>
      </x:c>
      <x:c r="P1704" s="14" t="str">
        <x:v>İsteğe Bağlı</x:v>
      </x:c>
      <x:c r="Q1704" s="14" t="str">
        <x:v>Hayır</x:v>
      </x:c>
      <x:c r="R1704" s="14" t="str">
        <x:v>Planlandı</x:v>
      </x:c>
      <x:c r="S1704" s="15" t="str"/>
      <x:c r="T1704" s="14" t="str">
        <x:v>Minimum süre yok.</x:v>
      </x:c>
    </x:row>
    <x:row r="1705">
      <x:c r="A1705" s="14" t="n">
        <x:v>1704</x:v>
      </x:c>
      <x:c r="B1705" s="15" t="n">
        <x:v>46432</x:v>
      </x:c>
      <x:c r="C1705" s="14" t="str">
        <x:v>Pazar</x:v>
      </x:c>
      <x:c r="D1705" s="14" t="str">
        <x:v>Hafta Sonu</x:v>
      </x:c>
      <x:c r="E1705" s="14" t="str">
        <x:v>Tam gün</x:v>
      </x:c>
      <x:c r="F1705" s="14" t="str">
        <x:v>F2 - LGS Kapsam + Ustalık</x:v>
      </x:c>
      <x:c r="G1705" s="14" t="str">
        <x:v>21:50</x:v>
      </x:c>
      <x:c r="H1705" s="14" t="str">
        <x:v>22:00</x:v>
      </x:c>
      <x:c r="I1705" s="14" t="str">
        <x:v>Genel</x:v>
      </x:c>
      <x:c r="J1705" s="14" t="str">
        <x:v>Uyku Hazırlığı</x:v>
      </x:c>
      <x:c r="K1705" s="14" t="str"/>
      <x:c r="L1705" s="14" t="str">
        <x:v>22:00'de yatakta ve uyku.</x:v>
      </x:c>
      <x:c r="M1705" s="14" t="str"/>
      <x:c r="N1705" s="14" t="str"/>
      <x:c r="O1705" s="14" t="n">
        <x:v>0</x:v>
      </x:c>
      <x:c r="P1705" s="14" t="str">
        <x:v>Hayır</x:v>
      </x:c>
      <x:c r="Q1705" s="14" t="str">
        <x:v>Hayır</x:v>
      </x:c>
      <x:c r="R1705" s="14" t="str">
        <x:v>Planlandı</x:v>
      </x:c>
      <x:c r="S1705" s="15" t="str"/>
      <x:c r="T1705" s="14" t="str"/>
    </x:row>
    <x:row r="1706">
      <x:c r="A1706" s="14" t="n">
        <x:v>1705</x:v>
      </x:c>
      <x:c r="B1706" s="15" t="n">
        <x:v>46433</x:v>
      </x:c>
      <x:c r="C1706" s="14" t="str">
        <x:v>Pazartesi</x:v>
      </x:c>
      <x:c r="D1706" s="14" t="str">
        <x:v>Okul Günü</x:v>
      </x:c>
      <x:c r="E1706" s="14" t="str">
        <x:v>16:00 sonrası</x:v>
      </x:c>
      <x:c r="F1706" s="14" t="str">
        <x:v>F2 - LGS Kapsam + Ustalık</x:v>
      </x:c>
      <x:c r="G1706" s="14" t="str">
        <x:v>16:00</x:v>
      </x:c>
      <x:c r="H1706" s="14" t="str">
        <x:v>16:25</x:v>
      </x:c>
      <x:c r="I1706" s="14" t="str">
        <x:v>Genel</x:v>
      </x:c>
      <x:c r="J1706" s="14" t="str">
        <x:v>Dinlenme</x:v>
      </x:c>
      <x:c r="K1706" s="14" t="str"/>
      <x:c r="L1706" s="14" t="str">
        <x:v>Eve geliş, atıştırma ve dinlenme.</x:v>
      </x:c>
      <x:c r="M1706" s="14" t="str"/>
      <x:c r="N1706" s="14" t="str"/>
      <x:c r="O1706" s="14" t="n">
        <x:v>0</x:v>
      </x:c>
      <x:c r="P1706" s="14" t="str">
        <x:v>Hayır</x:v>
      </x:c>
      <x:c r="Q1706" s="14" t="str">
        <x:v>Hayır</x:v>
      </x:c>
      <x:c r="R1706" s="14" t="str">
        <x:v>Planlandı</x:v>
      </x:c>
      <x:c r="S1706" s="15" t="str"/>
      <x:c r="T1706" s="14" t="str"/>
    </x:row>
    <x:row r="1707">
      <x:c r="A1707" s="14" t="n">
        <x:v>1706</x:v>
      </x:c>
      <x:c r="B1707" s="15" t="n">
        <x:v>46433</x:v>
      </x:c>
      <x:c r="C1707" s="14" t="str">
        <x:v>Pazartesi</x:v>
      </x:c>
      <x:c r="D1707" s="14" t="str">
        <x:v>Okul Günü</x:v>
      </x:c>
      <x:c r="E1707" s="14" t="str">
        <x:v>16:00 sonrası</x:v>
      </x:c>
      <x:c r="F1707" s="14" t="str">
        <x:v>F2 - LGS Kapsam + Ustalık</x:v>
      </x:c>
      <x:c r="G1707" s="14" t="str">
        <x:v>16:25</x:v>
      </x:c>
      <x:c r="H1707" s="14" t="str">
        <x:v>17:05</x:v>
      </x:c>
      <x:c r="I1707" s="14" t="str">
        <x:v>Matematik</x:v>
      </x:c>
      <x:c r="J1707" s="14" t="str">
        <x:v>Konu / Tekrar</x:v>
      </x:c>
      <x:c r="K1707" s="14" t="str">
        <x:v>Kaynak Tamamlama / Zayıf Konu</x:v>
      </x:c>
      <x:c r="L1707" s="14" t="str">
        <x:v>Yeni konu açma. En zayıf/açık konunun ilgili playlist videosunu yalnız gerekiyorsa tekrar izle.</x:v>
      </x:c>
      <x:c r="M1707" s="14" t="str">
        <x:v>Matematik Ana Oynatma Listesi</x:v>
      </x:c>
      <x:c r="N1707" s="14" t="str">
        <x:v>https://www.youtube.com/watch?v=EuJ89QzqrAg&amp;list=PLicNtF7vp6fnfDqrRLH6H7fIbzYT4ct4F&amp;index=11</x:v>
      </x:c>
      <x:c r="O1707" s="14" t="n">
        <x:v>0</x:v>
      </x:c>
      <x:c r="P1707" s="14" t="str">
        <x:v>Hayır</x:v>
      </x:c>
      <x:c r="Q1707" s="14" t="str">
        <x:v>Evet</x:v>
      </x:c>
      <x:c r="R1707" s="14" t="str">
        <x:v>Planlandı</x:v>
      </x:c>
      <x:c r="S1707" s="15" t="str"/>
      <x:c r="T1707" s="14" t="str">
        <x:v>Yeni konu ancak plan sırasıyla açılır; LGS dışı ileri TYT içeriği zorunlu değildir.</x:v>
      </x:c>
    </x:row>
    <x:row r="1708">
      <x:c r="A1708" s="14" t="n">
        <x:v>1707</x:v>
      </x:c>
      <x:c r="B1708" s="15" t="n">
        <x:v>46433</x:v>
      </x:c>
      <x:c r="C1708" s="14" t="str">
        <x:v>Pazartesi</x:v>
      </x:c>
      <x:c r="D1708" s="14" t="str">
        <x:v>Okul Günü</x:v>
      </x:c>
      <x:c r="E1708" s="14" t="str">
        <x:v>16:00 sonrası</x:v>
      </x:c>
      <x:c r="F1708" s="14" t="str">
        <x:v>F2 - LGS Kapsam + Ustalık</x:v>
      </x:c>
      <x:c r="G1708" s="14" t="str">
        <x:v>17:10</x:v>
      </x:c>
      <x:c r="H1708" s="14" t="str">
        <x:v>17:55</x:v>
      </x:c>
      <x:c r="I1708" s="14" t="str">
        <x:v>Matematik</x:v>
      </x:c>
      <x:c r="J1708" s="14" t="str">
        <x:v>Kitap / MEB / Mastery</x:v>
      </x:c>
      <x:c r="K1708" s="14" t="str">
        <x:v>Kaynak Tamamlama / Zayıf Konu</x:v>
      </x:c>
      <x:c r="L1708" s="14" t="str">
        <x:v>13 Nisan %100 tamamlama hedefine göre en geride kalan Matematik soru kaynağını/eksik MEB setini ilerlet; açık yanlışları kapat.</x:v>
      </x:c>
      <x:c r="M1708" s="14" t="str">
        <x:v>MUBA 8. Sınıf Başlangıç Matematik (ISBN 9789756526972) → tamamlandıysa Mozaik 8. Sınıf Matematik; açık MEB/yanlışlar</x:v>
      </x:c>
      <x:c r="N1708" s="14" t="str">
        <x:v>https://odsgm.meb.gov.tr/www/8sinif-calisma-sorulari/icerik/1632</x:v>
      </x:c>
      <x:c r="O1708" s="14" t="n">
        <x:v>30</x:v>
      </x:c>
      <x:c r="P1708" s="14" t="str">
        <x:v>İlk 20 soru</x:v>
      </x:c>
      <x:c r="Q1708" s="14" t="str">
        <x:v>Evet</x:v>
      </x:c>
      <x:c r="R1708" s="14" t="str">
        <x:v>Planlandı</x:v>
      </x:c>
      <x:c r="S1708" s="15" t="str"/>
      <x:c r="T1708" s="14" t="str">
        <x:v>Ayrı/rastgele matematik benchmark yoktur. Süreli ilk 20 soru o gün çalışılan konunun içindedir.</x:v>
      </x:c>
    </x:row>
    <x:row r="1709">
      <x:c r="A1709" s="14" t="n">
        <x:v>1708</x:v>
      </x:c>
      <x:c r="B1709" s="15" t="n">
        <x:v>46433</x:v>
      </x:c>
      <x:c r="C1709" s="14" t="str">
        <x:v>Pazartesi</x:v>
      </x:c>
      <x:c r="D1709" s="14" t="str">
        <x:v>Okul Günü</x:v>
      </x:c>
      <x:c r="E1709" s="14" t="str">
        <x:v>16:00 sonrası</x:v>
      </x:c>
      <x:c r="F1709" s="14" t="str">
        <x:v>F2 - LGS Kapsam + Ustalık</x:v>
      </x:c>
      <x:c r="G1709" s="14" t="str">
        <x:v>17:55</x:v>
      </x:c>
      <x:c r="H1709" s="14" t="str">
        <x:v>18:25</x:v>
      </x:c>
      <x:c r="I1709" s="14" t="str">
        <x:v>Genel</x:v>
      </x:c>
      <x:c r="J1709" s="14" t="str">
        <x:v>Yemek / Serbest Zaman</x:v>
      </x:c>
      <x:c r="K1709" s="14" t="str"/>
      <x:c r="L1709" s="14" t="str">
        <x:v>Yemek, hareket ve dinlenme.</x:v>
      </x:c>
      <x:c r="M1709" s="14" t="str"/>
      <x:c r="N1709" s="14" t="str"/>
      <x:c r="O1709" s="14" t="n">
        <x:v>0</x:v>
      </x:c>
      <x:c r="P1709" s="14" t="str">
        <x:v>Hayır</x:v>
      </x:c>
      <x:c r="Q1709" s="14" t="str">
        <x:v>Hayır</x:v>
      </x:c>
      <x:c r="R1709" s="14" t="str">
        <x:v>Planlandı</x:v>
      </x:c>
      <x:c r="S1709" s="15" t="str"/>
      <x:c r="T1709" s="14" t="str"/>
    </x:row>
    <x:row r="1710">
      <x:c r="A1710" s="14" t="n">
        <x:v>1709</x:v>
      </x:c>
      <x:c r="B1710" s="15" t="n">
        <x:v>46433</x:v>
      </x:c>
      <x:c r="C1710" s="14" t="str">
        <x:v>Pazartesi</x:v>
      </x:c>
      <x:c r="D1710" s="14" t="str">
        <x:v>Okul Günü</x:v>
      </x:c>
      <x:c r="E1710" s="14" t="str">
        <x:v>16:00 sonrası</x:v>
      </x:c>
      <x:c r="F1710" s="14" t="str">
        <x:v>F2 - LGS Kapsam + Ustalık</x:v>
      </x:c>
      <x:c r="G1710" s="14" t="str">
        <x:v>18:25</x:v>
      </x:c>
      <x:c r="H1710" s="14" t="str">
        <x:v>18:55</x:v>
      </x:c>
      <x:c r="I1710" s="14" t="str">
        <x:v>Türkçe</x:v>
      </x:c>
      <x:c r="J1710" s="14" t="str">
        <x:v>Paragraf Rutini</x:v>
      </x:c>
      <x:c r="K1710" s="14" t="str">
        <x:v>Paragraf</x:v>
      </x:c>
      <x:c r="L1710" s="14" t="str">
        <x:v>En az 30 paragraf sorusu çöz; ilk 20 soruyu ileri sayımla ölç, D/Y/B + süre kaydet.</x:v>
      </x:c>
      <x:c r="M1710" s="14" t="str">
        <x:v>Hız 8. Sınıf Türkçe Paragraf (ISBN 9786258394498)</x:v>
      </x:c>
      <x:c r="N1710" s="14" t="str"/>
      <x:c r="O1710" s="14" t="n">
        <x:v>30</x:v>
      </x:c>
      <x:c r="P1710" s="14" t="str">
        <x:v>İlk 20 soru</x:v>
      </x:c>
      <x:c r="Q1710" s="14" t="str">
        <x:v>Evet</x:v>
      </x:c>
      <x:c r="R1710" s="14" t="str">
        <x:v>Planlandı</x:v>
      </x:c>
      <x:c r="S1710" s="15" t="str"/>
      <x:c r="T1710" s="14" t="str">
        <x:v>Geri sayım ve hedef süre yok.</x:v>
      </x:c>
    </x:row>
    <x:row r="1711">
      <x:c r="A1711" s="14" t="n">
        <x:v>1710</x:v>
      </x:c>
      <x:c r="B1711" s="15" t="n">
        <x:v>46433</x:v>
      </x:c>
      <x:c r="C1711" s="14" t="str">
        <x:v>Pazartesi</x:v>
      </x:c>
      <x:c r="D1711" s="14" t="str">
        <x:v>Okul Günü</x:v>
      </x:c>
      <x:c r="E1711" s="14" t="str">
        <x:v>16:00 sonrası</x:v>
      </x:c>
      <x:c r="F1711" s="14" t="str">
        <x:v>F2 - LGS Kapsam + Ustalık</x:v>
      </x:c>
      <x:c r="G1711" s="14" t="str">
        <x:v>19:00</x:v>
      </x:c>
      <x:c r="H1711" s="14" t="str">
        <x:v>19:35</x:v>
      </x:c>
      <x:c r="I1711" s="14" t="str">
        <x:v>Türkçe</x:v>
      </x:c>
      <x:c r="J1711" s="14" t="str">
        <x:v>Konu / Tekrar</x:v>
      </x:c>
      <x:c r="K1711" s="14" t="str">
        <x:v>Kaynak Tamamlama / Zayıf Konu</x:v>
      </x:c>
      <x:c r="L1711" s="14" t="str">
        <x:v>Yeni konu açma. En zayıf/açık konunun ilgili playlist videosunu yalnız gerekiyorsa tekrar izle.</x:v>
      </x:c>
      <x:c r="M1711" s="14" t="str">
        <x:v>Türkçe Ana Oynatma Listesi</x:v>
      </x:c>
      <x:c r="N1711" s="14" t="str">
        <x:v>https://www.youtube.com/watch?v=VYsPntNKVdw&amp;list=PLIBjFaUoJJ91bz7QQEBlxNJNZka5YQRr6</x:v>
      </x:c>
      <x:c r="O1711" s="14" t="n">
        <x:v>0</x:v>
      </x:c>
      <x:c r="P1711" s="14" t="str">
        <x:v>Hayır</x:v>
      </x:c>
      <x:c r="Q1711" s="14" t="str">
        <x:v>Evet</x:v>
      </x:c>
      <x:c r="R1711" s="14" t="str">
        <x:v>Planlandı</x:v>
      </x:c>
      <x:c r="S1711" s="15" t="str"/>
      <x:c r="T1711" s="14" t="str">
        <x:v>TYT etiketli kaynak temelden başlamak için sabittir; LGS dışı gereksiz ayrıntı zorunlu değildir.</x:v>
      </x:c>
    </x:row>
    <x:row r="1712">
      <x:c r="A1712" s="14" t="n">
        <x:v>1711</x:v>
      </x:c>
      <x:c r="B1712" s="15" t="n">
        <x:v>46433</x:v>
      </x:c>
      <x:c r="C1712" s="14" t="str">
        <x:v>Pazartesi</x:v>
      </x:c>
      <x:c r="D1712" s="14" t="str">
        <x:v>Okul Günü</x:v>
      </x:c>
      <x:c r="E1712" s="14" t="str">
        <x:v>16:00 sonrası</x:v>
      </x:c>
      <x:c r="F1712" s="14" t="str">
        <x:v>F2 - LGS Kapsam + Ustalık</x:v>
      </x:c>
      <x:c r="G1712" s="14" t="str">
        <x:v>19:40</x:v>
      </x:c>
      <x:c r="H1712" s="14" t="str">
        <x:v>20:10</x:v>
      </x:c>
      <x:c r="I1712" s="14" t="str">
        <x:v>Türkçe</x:v>
      </x:c>
      <x:c r="J1712" s="14" t="str">
        <x:v>Kitap / MEB / Mastery</x:v>
      </x:c>
      <x:c r="K1712" s="14" t="str">
        <x:v>Kaynak Tamamlama / Zayıf Konu</x:v>
      </x:c>
      <x:c r="L1712" s="14" t="str">
        <x:v>13 Nisan %100 tamamlama hedefine göre en geride kalan Türkçe soru kaynağını/eksik MEB setini ilerlet; açık yanlışları kapat.</x:v>
      </x:c>
      <x:c r="M1712" s="14" t="str">
        <x:v>Ankara 8. Sınıf Dil Bilgisi Güçlendiren + açık MEB/yanlışlar</x:v>
      </x:c>
      <x:c r="N1712" s="14" t="str">
        <x:v>https://odsgm.meb.gov.tr/www/8sinif-calisma-sorulari/icerik/1632</x:v>
      </x:c>
      <x:c r="O1712" s="14" t="n">
        <x:v>15</x:v>
      </x:c>
      <x:c r="P1712" s="14" t="str">
        <x:v>Hayır</x:v>
      </x:c>
      <x:c r="Q1712" s="14" t="str">
        <x:v>Evet</x:v>
      </x:c>
      <x:c r="R1712" s="14" t="str">
        <x:v>Planlandı</x:v>
      </x:c>
      <x:c r="S1712" s="15" t="str"/>
      <x:c r="T1712" s="14" t="str"/>
    </x:row>
    <x:row r="1713">
      <x:c r="A1713" s="14" t="n">
        <x:v>1712</x:v>
      </x:c>
      <x:c r="B1713" s="15" t="n">
        <x:v>46433</x:v>
      </x:c>
      <x:c r="C1713" s="14" t="str">
        <x:v>Pazartesi</x:v>
      </x:c>
      <x:c r="D1713" s="14" t="str">
        <x:v>Okul Günü</x:v>
      </x:c>
      <x:c r="E1713" s="14" t="str">
        <x:v>16:00 sonrası</x:v>
      </x:c>
      <x:c r="F1713" s="14" t="str">
        <x:v>F2 - LGS Kapsam + Ustalık</x:v>
      </x:c>
      <x:c r="G1713" s="14" t="str">
        <x:v>20:15</x:v>
      </x:c>
      <x:c r="H1713" s="14" t="str">
        <x:v>20:50</x:v>
      </x:c>
      <x:c r="I1713" s="14" t="str">
        <x:v>Din</x:v>
      </x:c>
      <x:c r="J1713" s="14" t="str">
        <x:v>Konu / Tekrar</x:v>
      </x:c>
      <x:c r="K1713" s="14" t="str">
        <x:v>Kaynak Tamamlama / Zayıf Konu</x:v>
      </x:c>
      <x:c r="L1713" s="14" t="str">
        <x:v>Yeni konu açma. En zayıf/açık konunun ilgili playlist videosunu yalnız gerekiyorsa tekrar izle.</x:v>
      </x:c>
      <x:c r="M1713" s="14" t="str">
        <x:v>Din Genel Oynatma Listesi</x:v>
      </x:c>
      <x:c r="N1713" s="14" t="str">
        <x:v>https://www.youtube.com/watch?v=wvdOE_75VnA&amp;list=PLbRoPq-Zu-SWXGUbVt4t4UWo-4VjsMUo-&amp;index=2</x:v>
      </x:c>
      <x:c r="O1713" s="14" t="n">
        <x:v>0</x:v>
      </x:c>
      <x:c r="P1713" s="14" t="str">
        <x:v>Hayır</x:v>
      </x:c>
      <x:c r="Q1713" s="14" t="str">
        <x:v>Evet</x:v>
      </x:c>
      <x:c r="R1713" s="14" t="str">
        <x:v>Planlandı</x:v>
      </x:c>
      <x:c r="S1713" s="15" t="str"/>
      <x:c r="T1713" s="14" t="str"/>
    </x:row>
    <x:row r="1714">
      <x:c r="A1714" s="14" t="n">
        <x:v>1713</x:v>
      </x:c>
      <x:c r="B1714" s="15" t="n">
        <x:v>46433</x:v>
      </x:c>
      <x:c r="C1714" s="14" t="str">
        <x:v>Pazartesi</x:v>
      </x:c>
      <x:c r="D1714" s="14" t="str">
        <x:v>Okul Günü</x:v>
      </x:c>
      <x:c r="E1714" s="14" t="str">
        <x:v>16:00 sonrası</x:v>
      </x:c>
      <x:c r="F1714" s="14" t="str">
        <x:v>F2 - LGS Kapsam + Ustalık</x:v>
      </x:c>
      <x:c r="G1714" s="14" t="str">
        <x:v>20:55</x:v>
      </x:c>
      <x:c r="H1714" s="14" t="str">
        <x:v>21:20</x:v>
      </x:c>
      <x:c r="I1714" s="14" t="str">
        <x:v>Din</x:v>
      </x:c>
      <x:c r="J1714" s="14" t="str">
        <x:v>Kitap / MEB / Mastery</x:v>
      </x:c>
      <x:c r="K1714" s="14" t="str">
        <x:v>Kaynak Tamamlama / Zayıf Konu</x:v>
      </x:c>
      <x:c r="L1714" s="14" t="str">
        <x:v>13 Nisan %100 tamamlama hedefine göre en geride kalan Din soru kaynağını/eksik MEB setini ilerlet; açık yanlışları kapat.</x:v>
      </x:c>
      <x:c r="M1714" s="14" t="str">
        <x:v>Hız 8. Sınıf Din Kültürü ve Ahlak Bilgisi + açık MEB/yanlışlar</x:v>
      </x:c>
      <x:c r="N1714" s="14" t="str">
        <x:v>https://odsgm.meb.gov.tr/www/8sinif-calisma-sorulari/icerik/1632</x:v>
      </x:c>
      <x:c r="O1714" s="14" t="n">
        <x:v>20</x:v>
      </x:c>
      <x:c r="P1714" s="14" t="str">
        <x:v>Hayır</x:v>
      </x:c>
      <x:c r="Q1714" s="14" t="str">
        <x:v>Evet</x:v>
      </x:c>
      <x:c r="R1714" s="14" t="str">
        <x:v>Planlandı</x:v>
      </x:c>
      <x:c r="S1714" s="15" t="str"/>
      <x:c r="T1714" s="14" t="str"/>
    </x:row>
    <x:row r="1715">
      <x:c r="A1715" s="14" t="n">
        <x:v>1714</x:v>
      </x:c>
      <x:c r="B1715" s="15" t="n">
        <x:v>46433</x:v>
      </x:c>
      <x:c r="C1715" s="14" t="str">
        <x:v>Pazartesi</x:v>
      </x:c>
      <x:c r="D1715" s="14" t="str">
        <x:v>Okul Günü</x:v>
      </x:c>
      <x:c r="E1715" s="14" t="str">
        <x:v>16:00 sonrası</x:v>
      </x:c>
      <x:c r="F1715" s="14" t="str">
        <x:v>F2 - LGS Kapsam + Ustalık</x:v>
      </x:c>
      <x:c r="G1715" s="14" t="str">
        <x:v>21:20</x:v>
      </x:c>
      <x:c r="H1715" s="14" t="str">
        <x:v>21:35</x:v>
      </x:c>
      <x:c r="I1715" s="14" t="str">
        <x:v>Genel</x:v>
      </x:c>
      <x:c r="J1715" s="14" t="str">
        <x:v>Yanlış / Boş Analizi</x:v>
      </x:c>
      <x:c r="K1715" s="14" t="str">
        <x:v>Günlük</x:v>
      </x:c>
      <x:c r="L1715" s="14" t="str">
        <x:v>Bugünkü yanlış/boşları kaydet; çözümünü öğrenmeden kapatma. Hata türünü sınıflandır.</x:v>
      </x:c>
      <x:c r="M1715" s="14" t="str">
        <x:v>Yanlış Defteri</x:v>
      </x:c>
      <x:c r="N1715" s="14" t="str"/>
      <x:c r="O1715" s="14" t="n">
        <x:v>0</x:v>
      </x:c>
      <x:c r="P1715" s="14" t="str">
        <x:v>Hayır</x:v>
      </x:c>
      <x:c r="Q1715" s="14" t="str">
        <x:v>Evet</x:v>
      </x:c>
      <x:c r="R1715" s="14" t="str">
        <x:v>Planlandı</x:v>
      </x:c>
      <x:c r="S1715" s="15" t="str"/>
      <x:c r="T1715" s="14" t="str"/>
    </x:row>
    <x:row r="1716">
      <x:c r="A1716" s="14" t="n">
        <x:v>1715</x:v>
      </x:c>
      <x:c r="B1716" s="15" t="n">
        <x:v>46433</x:v>
      </x:c>
      <x:c r="C1716" s="14" t="str">
        <x:v>Pazartesi</x:v>
      </x:c>
      <x:c r="D1716" s="14" t="str">
        <x:v>Okul Günü</x:v>
      </x:c>
      <x:c r="E1716" s="14" t="str">
        <x:v>16:00 sonrası</x:v>
      </x:c>
      <x:c r="F1716" s="14" t="str">
        <x:v>F2 - LGS Kapsam + Ustalık</x:v>
      </x:c>
      <x:c r="G1716" s="14" t="str">
        <x:v>21:35</x:v>
      </x:c>
      <x:c r="H1716" s="14" t="str">
        <x:v>21:50</x:v>
      </x:c>
      <x:c r="I1716" s="14" t="str">
        <x:v>Genel</x:v>
      </x:c>
      <x:c r="J1716" s="14" t="str">
        <x:v>Aralıklı Hata Tekrarı</x:v>
      </x:c>
      <x:c r="K1716" s="14" t="str">
        <x:v>+1 / +7 / +21</x:v>
      </x:c>
      <x:c r="L1716" s="14" t="str">
        <x:v>Bugün vadesi gelen yanlış soruları tekrar çöz. Vadesi yoksa bu süre serbest/okuma olabilir.</x:v>
      </x:c>
      <x:c r="M1716" s="14" t="str">
        <x:v>Yanlış Defteri</x:v>
      </x:c>
      <x:c r="N1716" s="14" t="str"/>
      <x:c r="O1716" s="14" t="n">
        <x:v>0</x:v>
      </x:c>
      <x:c r="P1716" s="14" t="str">
        <x:v>Hayır</x:v>
      </x:c>
      <x:c r="Q1716" s="14" t="str">
        <x:v>Koşullu</x:v>
      </x:c>
      <x:c r="R1716" s="14" t="str">
        <x:v>Planlandı</x:v>
      </x:c>
      <x:c r="S1716" s="15" t="str"/>
      <x:c r="T1716" s="14" t="str">
        <x:v>Yanlışlar +1, +7 ve +21 gün aralıklarıyla tekrar edilir; hâlâ yanlışsa konu mastery durumu düşürülür.</x:v>
      </x:c>
    </x:row>
    <x:row r="1717">
      <x:c r="A1717" s="14" t="n">
        <x:v>1716</x:v>
      </x:c>
      <x:c r="B1717" s="15" t="n">
        <x:v>46433</x:v>
      </x:c>
      <x:c r="C1717" s="14" t="str">
        <x:v>Pazartesi</x:v>
      </x:c>
      <x:c r="D1717" s="14" t="str">
        <x:v>Okul Günü</x:v>
      </x:c>
      <x:c r="E1717" s="14" t="str">
        <x:v>16:00 sonrası</x:v>
      </x:c>
      <x:c r="F1717" s="14" t="str">
        <x:v>F2 - LGS Kapsam + Ustalık</x:v>
      </x:c>
      <x:c r="G1717" s="14" t="str">
        <x:v>21:50</x:v>
      </x:c>
      <x:c r="H1717" s="14" t="str">
        <x:v>22:00</x:v>
      </x:c>
      <x:c r="I1717" s="14" t="str">
        <x:v>Genel</x:v>
      </x:c>
      <x:c r="J1717" s="14" t="str">
        <x:v>Uyku Hazırlığı</x:v>
      </x:c>
      <x:c r="K1717" s="14" t="str"/>
      <x:c r="L1717" s="14" t="str">
        <x:v>22:00'de yatakta ve uyku.</x:v>
      </x:c>
      <x:c r="M1717" s="14" t="str"/>
      <x:c r="N1717" s="14" t="str"/>
      <x:c r="O1717" s="14" t="n">
        <x:v>0</x:v>
      </x:c>
      <x:c r="P1717" s="14" t="str">
        <x:v>Hayır</x:v>
      </x:c>
      <x:c r="Q1717" s="14" t="str">
        <x:v>Hayır</x:v>
      </x:c>
      <x:c r="R1717" s="14" t="str">
        <x:v>Planlandı</x:v>
      </x:c>
      <x:c r="S1717" s="15" t="str"/>
      <x:c r="T1717" s="14" t="str"/>
    </x:row>
    <x:row r="1718">
      <x:c r="A1718" s="14" t="n">
        <x:v>1717</x:v>
      </x:c>
      <x:c r="B1718" s="15" t="n">
        <x:v>46434</x:v>
      </x:c>
      <x:c r="C1718" s="14" t="str">
        <x:v>Salı</x:v>
      </x:c>
      <x:c r="D1718" s="14" t="str">
        <x:v>Okul Günü</x:v>
      </x:c>
      <x:c r="E1718" s="14" t="str">
        <x:v>16:00 sonrası</x:v>
      </x:c>
      <x:c r="F1718" s="14" t="str">
        <x:v>F2 - LGS Kapsam + Ustalık</x:v>
      </x:c>
      <x:c r="G1718" s="14" t="str">
        <x:v>16:00</x:v>
      </x:c>
      <x:c r="H1718" s="14" t="str">
        <x:v>16:25</x:v>
      </x:c>
      <x:c r="I1718" s="14" t="str">
        <x:v>Genel</x:v>
      </x:c>
      <x:c r="J1718" s="14" t="str">
        <x:v>Dinlenme</x:v>
      </x:c>
      <x:c r="K1718" s="14" t="str"/>
      <x:c r="L1718" s="14" t="str">
        <x:v>Eve geliş, atıştırma ve dinlenme.</x:v>
      </x:c>
      <x:c r="M1718" s="14" t="str"/>
      <x:c r="N1718" s="14" t="str"/>
      <x:c r="O1718" s="14" t="n">
        <x:v>0</x:v>
      </x:c>
      <x:c r="P1718" s="14" t="str">
        <x:v>Hayır</x:v>
      </x:c>
      <x:c r="Q1718" s="14" t="str">
        <x:v>Hayır</x:v>
      </x:c>
      <x:c r="R1718" s="14" t="str">
        <x:v>Planlandı</x:v>
      </x:c>
      <x:c r="S1718" s="15" t="str"/>
      <x:c r="T1718" s="14" t="str"/>
    </x:row>
    <x:row r="1719">
      <x:c r="A1719" s="14" t="n">
        <x:v>1718</x:v>
      </x:c>
      <x:c r="B1719" s="15" t="n">
        <x:v>46434</x:v>
      </x:c>
      <x:c r="C1719" s="14" t="str">
        <x:v>Salı</x:v>
      </x:c>
      <x:c r="D1719" s="14" t="str">
        <x:v>Okul Günü</x:v>
      </x:c>
      <x:c r="E1719" s="14" t="str">
        <x:v>16:00 sonrası</x:v>
      </x:c>
      <x:c r="F1719" s="14" t="str">
        <x:v>F2 - LGS Kapsam + Ustalık</x:v>
      </x:c>
      <x:c r="G1719" s="14" t="str">
        <x:v>16:25</x:v>
      </x:c>
      <x:c r="H1719" s="14" t="str">
        <x:v>17:05</x:v>
      </x:c>
      <x:c r="I1719" s="14" t="str">
        <x:v>Matematik</x:v>
      </x:c>
      <x:c r="J1719" s="14" t="str">
        <x:v>Konu / Tekrar</x:v>
      </x:c>
      <x:c r="K1719" s="14" t="str">
        <x:v>Kaynak Tamamlama / Zayıf Konu</x:v>
      </x:c>
      <x:c r="L1719" s="14" t="str">
        <x:v>Yeni konu açma. En zayıf/açık konunun ilgili playlist videosunu yalnız gerekiyorsa tekrar izle.</x:v>
      </x:c>
      <x:c r="M1719" s="14" t="str">
        <x:v>Matematik Ana Oynatma Listesi</x:v>
      </x:c>
      <x:c r="N1719" s="14" t="str">
        <x:v>https://www.youtube.com/watch?v=EuJ89QzqrAg&amp;list=PLicNtF7vp6fnfDqrRLH6H7fIbzYT4ct4F&amp;index=11</x:v>
      </x:c>
      <x:c r="O1719" s="14" t="n">
        <x:v>0</x:v>
      </x:c>
      <x:c r="P1719" s="14" t="str">
        <x:v>Hayır</x:v>
      </x:c>
      <x:c r="Q1719" s="14" t="str">
        <x:v>Evet</x:v>
      </x:c>
      <x:c r="R1719" s="14" t="str">
        <x:v>Planlandı</x:v>
      </x:c>
      <x:c r="S1719" s="15" t="str"/>
      <x:c r="T1719" s="14" t="str">
        <x:v>Yeni konu ancak plan sırasıyla açılır; LGS dışı ileri TYT içeriği zorunlu değildir.</x:v>
      </x:c>
    </x:row>
    <x:row r="1720">
      <x:c r="A1720" s="14" t="n">
        <x:v>1719</x:v>
      </x:c>
      <x:c r="B1720" s="15" t="n">
        <x:v>46434</x:v>
      </x:c>
      <x:c r="C1720" s="14" t="str">
        <x:v>Salı</x:v>
      </x:c>
      <x:c r="D1720" s="14" t="str">
        <x:v>Okul Günü</x:v>
      </x:c>
      <x:c r="E1720" s="14" t="str">
        <x:v>16:00 sonrası</x:v>
      </x:c>
      <x:c r="F1720" s="14" t="str">
        <x:v>F2 - LGS Kapsam + Ustalık</x:v>
      </x:c>
      <x:c r="G1720" s="14" t="str">
        <x:v>17:10</x:v>
      </x:c>
      <x:c r="H1720" s="14" t="str">
        <x:v>17:55</x:v>
      </x:c>
      <x:c r="I1720" s="14" t="str">
        <x:v>Matematik</x:v>
      </x:c>
      <x:c r="J1720" s="14" t="str">
        <x:v>Kitap / MEB / Mastery</x:v>
      </x:c>
      <x:c r="K1720" s="14" t="str">
        <x:v>Kaynak Tamamlama / Zayıf Konu</x:v>
      </x:c>
      <x:c r="L1720" s="14" t="str">
        <x:v>13 Nisan %100 tamamlama hedefine göre en geride kalan Matematik soru kaynağını/eksik MEB setini ilerlet; açık yanlışları kapat.</x:v>
      </x:c>
      <x:c r="M1720" s="14" t="str">
        <x:v>MUBA 8. Sınıf Başlangıç Matematik (ISBN 9789756526972) → tamamlandıysa Mozaik 8. Sınıf Matematik; açık MEB/yanlışlar</x:v>
      </x:c>
      <x:c r="N1720" s="14" t="str">
        <x:v>https://odsgm.meb.gov.tr/www/8sinif-calisma-sorulari/icerik/1632</x:v>
      </x:c>
      <x:c r="O1720" s="14" t="n">
        <x:v>30</x:v>
      </x:c>
      <x:c r="P1720" s="14" t="str">
        <x:v>İlk 20 soru</x:v>
      </x:c>
      <x:c r="Q1720" s="14" t="str">
        <x:v>Evet</x:v>
      </x:c>
      <x:c r="R1720" s="14" t="str">
        <x:v>Planlandı</x:v>
      </x:c>
      <x:c r="S1720" s="15" t="str"/>
      <x:c r="T1720" s="14" t="str">
        <x:v>Ayrı/rastgele matematik benchmark yoktur. Süreli ilk 20 soru o gün çalışılan konunun içindedir.</x:v>
      </x:c>
    </x:row>
    <x:row r="1721">
      <x:c r="A1721" s="14" t="n">
        <x:v>1720</x:v>
      </x:c>
      <x:c r="B1721" s="15" t="n">
        <x:v>46434</x:v>
      </x:c>
      <x:c r="C1721" s="14" t="str">
        <x:v>Salı</x:v>
      </x:c>
      <x:c r="D1721" s="14" t="str">
        <x:v>Okul Günü</x:v>
      </x:c>
      <x:c r="E1721" s="14" t="str">
        <x:v>16:00 sonrası</x:v>
      </x:c>
      <x:c r="F1721" s="14" t="str">
        <x:v>F2 - LGS Kapsam + Ustalık</x:v>
      </x:c>
      <x:c r="G1721" s="14" t="str">
        <x:v>17:55</x:v>
      </x:c>
      <x:c r="H1721" s="14" t="str">
        <x:v>18:25</x:v>
      </x:c>
      <x:c r="I1721" s="14" t="str">
        <x:v>Genel</x:v>
      </x:c>
      <x:c r="J1721" s="14" t="str">
        <x:v>Yemek / Serbest Zaman</x:v>
      </x:c>
      <x:c r="K1721" s="14" t="str"/>
      <x:c r="L1721" s="14" t="str">
        <x:v>Yemek, hareket ve dinlenme.</x:v>
      </x:c>
      <x:c r="M1721" s="14" t="str"/>
      <x:c r="N1721" s="14" t="str"/>
      <x:c r="O1721" s="14" t="n">
        <x:v>0</x:v>
      </x:c>
      <x:c r="P1721" s="14" t="str">
        <x:v>Hayır</x:v>
      </x:c>
      <x:c r="Q1721" s="14" t="str">
        <x:v>Hayır</x:v>
      </x:c>
      <x:c r="R1721" s="14" t="str">
        <x:v>Planlandı</x:v>
      </x:c>
      <x:c r="S1721" s="15" t="str"/>
      <x:c r="T1721" s="14" t="str"/>
    </x:row>
    <x:row r="1722">
      <x:c r="A1722" s="14" t="n">
        <x:v>1721</x:v>
      </x:c>
      <x:c r="B1722" s="15" t="n">
        <x:v>46434</x:v>
      </x:c>
      <x:c r="C1722" s="14" t="str">
        <x:v>Salı</x:v>
      </x:c>
      <x:c r="D1722" s="14" t="str">
        <x:v>Okul Günü</x:v>
      </x:c>
      <x:c r="E1722" s="14" t="str">
        <x:v>16:00 sonrası</x:v>
      </x:c>
      <x:c r="F1722" s="14" t="str">
        <x:v>F2 - LGS Kapsam + Ustalık</x:v>
      </x:c>
      <x:c r="G1722" s="14" t="str">
        <x:v>18:25</x:v>
      </x:c>
      <x:c r="H1722" s="14" t="str">
        <x:v>18:55</x:v>
      </x:c>
      <x:c r="I1722" s="14" t="str">
        <x:v>Türkçe</x:v>
      </x:c>
      <x:c r="J1722" s="14" t="str">
        <x:v>Paragraf Rutini</x:v>
      </x:c>
      <x:c r="K1722" s="14" t="str">
        <x:v>Paragraf</x:v>
      </x:c>
      <x:c r="L1722" s="14" t="str">
        <x:v>En az 30 paragraf sorusu çöz; ilk 20 soruyu ileri sayımla ölç, D/Y/B + süre kaydet.</x:v>
      </x:c>
      <x:c r="M1722" s="14" t="str">
        <x:v>Hız 8. Sınıf Türkçe Paragraf (ISBN 9786258394498)</x:v>
      </x:c>
      <x:c r="N1722" s="14" t="str"/>
      <x:c r="O1722" s="14" t="n">
        <x:v>30</x:v>
      </x:c>
      <x:c r="P1722" s="14" t="str">
        <x:v>İlk 20 soru</x:v>
      </x:c>
      <x:c r="Q1722" s="14" t="str">
        <x:v>Evet</x:v>
      </x:c>
      <x:c r="R1722" s="14" t="str">
        <x:v>Planlandı</x:v>
      </x:c>
      <x:c r="S1722" s="15" t="str"/>
      <x:c r="T1722" s="14" t="str">
        <x:v>Geri sayım ve hedef süre yok.</x:v>
      </x:c>
    </x:row>
    <x:row r="1723">
      <x:c r="A1723" s="14" t="n">
        <x:v>1722</x:v>
      </x:c>
      <x:c r="B1723" s="15" t="n">
        <x:v>46434</x:v>
      </x:c>
      <x:c r="C1723" s="14" t="str">
        <x:v>Salı</x:v>
      </x:c>
      <x:c r="D1723" s="14" t="str">
        <x:v>Okul Günü</x:v>
      </x:c>
      <x:c r="E1723" s="14" t="str">
        <x:v>16:00 sonrası</x:v>
      </x:c>
      <x:c r="F1723" s="14" t="str">
        <x:v>F2 - LGS Kapsam + Ustalık</x:v>
      </x:c>
      <x:c r="G1723" s="14" t="str">
        <x:v>19:00</x:v>
      </x:c>
      <x:c r="H1723" s="14" t="str">
        <x:v>19:35</x:v>
      </x:c>
      <x:c r="I1723" s="14" t="str">
        <x:v>Türkçe</x:v>
      </x:c>
      <x:c r="J1723" s="14" t="str">
        <x:v>Konu / Tekrar</x:v>
      </x:c>
      <x:c r="K1723" s="14" t="str">
        <x:v>Kaynak Tamamlama / Zayıf Konu</x:v>
      </x:c>
      <x:c r="L1723" s="14" t="str">
        <x:v>Yeni konu açma. En zayıf/açık konunun ilgili playlist videosunu yalnız gerekiyorsa tekrar izle.</x:v>
      </x:c>
      <x:c r="M1723" s="14" t="str">
        <x:v>Türkçe Ana Oynatma Listesi</x:v>
      </x:c>
      <x:c r="N1723" s="14" t="str">
        <x:v>https://www.youtube.com/watch?v=VYsPntNKVdw&amp;list=PLIBjFaUoJJ91bz7QQEBlxNJNZka5YQRr6</x:v>
      </x:c>
      <x:c r="O1723" s="14" t="n">
        <x:v>0</x:v>
      </x:c>
      <x:c r="P1723" s="14" t="str">
        <x:v>Hayır</x:v>
      </x:c>
      <x:c r="Q1723" s="14" t="str">
        <x:v>Evet</x:v>
      </x:c>
      <x:c r="R1723" s="14" t="str">
        <x:v>Planlandı</x:v>
      </x:c>
      <x:c r="S1723" s="15" t="str"/>
      <x:c r="T1723" s="14" t="str">
        <x:v>TYT etiketli kaynak temelden başlamak için sabittir; LGS dışı gereksiz ayrıntı zorunlu değildir.</x:v>
      </x:c>
    </x:row>
    <x:row r="1724">
      <x:c r="A1724" s="14" t="n">
        <x:v>1723</x:v>
      </x:c>
      <x:c r="B1724" s="15" t="n">
        <x:v>46434</x:v>
      </x:c>
      <x:c r="C1724" s="14" t="str">
        <x:v>Salı</x:v>
      </x:c>
      <x:c r="D1724" s="14" t="str">
        <x:v>Okul Günü</x:v>
      </x:c>
      <x:c r="E1724" s="14" t="str">
        <x:v>16:00 sonrası</x:v>
      </x:c>
      <x:c r="F1724" s="14" t="str">
        <x:v>F2 - LGS Kapsam + Ustalık</x:v>
      </x:c>
      <x:c r="G1724" s="14" t="str">
        <x:v>19:40</x:v>
      </x:c>
      <x:c r="H1724" s="14" t="str">
        <x:v>20:10</x:v>
      </x:c>
      <x:c r="I1724" s="14" t="str">
        <x:v>Türkçe</x:v>
      </x:c>
      <x:c r="J1724" s="14" t="str">
        <x:v>Kitap / MEB / Mastery</x:v>
      </x:c>
      <x:c r="K1724" s="14" t="str">
        <x:v>Kaynak Tamamlama / Zayıf Konu</x:v>
      </x:c>
      <x:c r="L1724" s="14" t="str">
        <x:v>13 Nisan %100 tamamlama hedefine göre en geride kalan Türkçe soru kaynağını/eksik MEB setini ilerlet; açık yanlışları kapat.</x:v>
      </x:c>
      <x:c r="M1724" s="14" t="str">
        <x:v>Ankara 8. Sınıf Dil Bilgisi Güçlendiren + açık MEB/yanlışlar</x:v>
      </x:c>
      <x:c r="N1724" s="14" t="str">
        <x:v>https://odsgm.meb.gov.tr/www/8sinif-calisma-sorulari/icerik/1632</x:v>
      </x:c>
      <x:c r="O1724" s="14" t="n">
        <x:v>15</x:v>
      </x:c>
      <x:c r="P1724" s="14" t="str">
        <x:v>Hayır</x:v>
      </x:c>
      <x:c r="Q1724" s="14" t="str">
        <x:v>Evet</x:v>
      </x:c>
      <x:c r="R1724" s="14" t="str">
        <x:v>Planlandı</x:v>
      </x:c>
      <x:c r="S1724" s="15" t="str"/>
      <x:c r="T1724" s="14" t="str"/>
    </x:row>
    <x:row r="1725">
      <x:c r="A1725" s="14" t="n">
        <x:v>1724</x:v>
      </x:c>
      <x:c r="B1725" s="15" t="n">
        <x:v>46434</x:v>
      </x:c>
      <x:c r="C1725" s="14" t="str">
        <x:v>Salı</x:v>
      </x:c>
      <x:c r="D1725" s="14" t="str">
        <x:v>Okul Günü</x:v>
      </x:c>
      <x:c r="E1725" s="14" t="str">
        <x:v>16:00 sonrası</x:v>
      </x:c>
      <x:c r="F1725" s="14" t="str">
        <x:v>F2 - LGS Kapsam + Ustalık</x:v>
      </x:c>
      <x:c r="G1725" s="14" t="str">
        <x:v>20:15</x:v>
      </x:c>
      <x:c r="H1725" s="14" t="str">
        <x:v>20:50</x:v>
      </x:c>
      <x:c r="I1725" s="14" t="str">
        <x:v>İnkılap</x:v>
      </x:c>
      <x:c r="J1725" s="14" t="str">
        <x:v>Konu / Tekrar</x:v>
      </x:c>
      <x:c r="K1725" s="14" t="str">
        <x:v>Atatürk Dönemi Türk Dış Politikası</x:v>
      </x:c>
      <x:c r="L1725" s="14" t="str">
        <x:v>Atatürk Dönemi Türk Dış Politikası — genel oynatma listesinden ilgili konu/soru çalışmasını yap.</x:v>
      </x:c>
      <x:c r="M1725" s="14" t="str">
        <x:v>İnkılap Genel Oynatma Listesi</x:v>
      </x:c>
      <x:c r="N1725" s="14" t="str">
        <x:v>https://www.youtube.com/watch?v=MltIX0oKpYU&amp;list=PLsAsBPsriHNbXit4Ra3iuBrk1ZHZWxsOR&amp;index=78</x:v>
      </x:c>
      <x:c r="O1725" s="14" t="n">
        <x:v>0</x:v>
      </x:c>
      <x:c r="P1725" s="14" t="str">
        <x:v>Hayır</x:v>
      </x:c>
      <x:c r="Q1725" s="14" t="str">
        <x:v>Evet</x:v>
      </x:c>
      <x:c r="R1725" s="14" t="str">
        <x:v>Planlandı</x:v>
      </x:c>
      <x:c r="S1725" s="15" t="str"/>
      <x:c r="T1725" s="14" t="str">
        <x:v>İnkılapta okul yazılısı videoları zorunlu değildir.</x:v>
      </x:c>
    </x:row>
    <x:row r="1726">
      <x:c r="A1726" s="14" t="n">
        <x:v>1725</x:v>
      </x:c>
      <x:c r="B1726" s="15" t="n">
        <x:v>46434</x:v>
      </x:c>
      <x:c r="C1726" s="14" t="str">
        <x:v>Salı</x:v>
      </x:c>
      <x:c r="D1726" s="14" t="str">
        <x:v>Okul Günü</x:v>
      </x:c>
      <x:c r="E1726" s="14" t="str">
        <x:v>16:00 sonrası</x:v>
      </x:c>
      <x:c r="F1726" s="14" t="str">
        <x:v>F2 - LGS Kapsam + Ustalık</x:v>
      </x:c>
      <x:c r="G1726" s="14" t="str">
        <x:v>20:55</x:v>
      </x:c>
      <x:c r="H1726" s="14" t="str">
        <x:v>21:20</x:v>
      </x:c>
      <x:c r="I1726" s="14" t="str">
        <x:v>İnkılap</x:v>
      </x:c>
      <x:c r="J1726" s="14" t="str">
        <x:v>Kitap / MEB / Mastery</x:v>
      </x:c>
      <x:c r="K1726" s="14" t="str">
        <x:v>Atatürk Dönemi Türk Dış Politikası</x:v>
      </x:c>
      <x:c r="L1726" s="14" t="str">
        <x:v>Atatürk Dönemi Türk Dış Politikası ile ilgili soru kitabından en az 20 soru / bugünkü test payını çöz.</x:v>
      </x:c>
      <x:c r="M1726" s="14" t="str">
        <x:v>Hız 8. Sınıf T.C. İnkılap Tarihi ve Atatürkçülük</x:v>
      </x:c>
      <x:c r="N1726" s="14" t="str">
        <x:v>https://www.youtube.com/watch?v=MltIX0oKpYU&amp;list=PLsAsBPsriHNbXit4Ra3iuBrk1ZHZWxsOR&amp;index=78</x:v>
      </x:c>
      <x:c r="O1726" s="14" t="n">
        <x:v>20</x:v>
      </x:c>
      <x:c r="P1726" s="14" t="str">
        <x:v>Hayır</x:v>
      </x:c>
      <x:c r="Q1726" s="14" t="str">
        <x:v>Evet</x:v>
      </x:c>
      <x:c r="R1726" s="14" t="str">
        <x:v>Planlandı</x:v>
      </x:c>
      <x:c r="S1726" s="15" t="str"/>
      <x:c r="T1726" s="14" t="str"/>
    </x:row>
    <x:row r="1727">
      <x:c r="A1727" s="14" t="n">
        <x:v>1726</x:v>
      </x:c>
      <x:c r="B1727" s="15" t="n">
        <x:v>46434</x:v>
      </x:c>
      <x:c r="C1727" s="14" t="str">
        <x:v>Salı</x:v>
      </x:c>
      <x:c r="D1727" s="14" t="str">
        <x:v>Okul Günü</x:v>
      </x:c>
      <x:c r="E1727" s="14" t="str">
        <x:v>16:00 sonrası</x:v>
      </x:c>
      <x:c r="F1727" s="14" t="str">
        <x:v>F2 - LGS Kapsam + Ustalık</x:v>
      </x:c>
      <x:c r="G1727" s="14" t="str">
        <x:v>21:20</x:v>
      </x:c>
      <x:c r="H1727" s="14" t="str">
        <x:v>21:35</x:v>
      </x:c>
      <x:c r="I1727" s="14" t="str">
        <x:v>Genel</x:v>
      </x:c>
      <x:c r="J1727" s="14" t="str">
        <x:v>Yanlış / Boş Analizi</x:v>
      </x:c>
      <x:c r="K1727" s="14" t="str">
        <x:v>Günlük</x:v>
      </x:c>
      <x:c r="L1727" s="14" t="str">
        <x:v>Bugünkü yanlış/boşları kaydet; çözümünü öğrenmeden kapatma. Hata türünü sınıflandır.</x:v>
      </x:c>
      <x:c r="M1727" s="14" t="str">
        <x:v>Yanlış Defteri</x:v>
      </x:c>
      <x:c r="N1727" s="14" t="str"/>
      <x:c r="O1727" s="14" t="n">
        <x:v>0</x:v>
      </x:c>
      <x:c r="P1727" s="14" t="str">
        <x:v>Hayır</x:v>
      </x:c>
      <x:c r="Q1727" s="14" t="str">
        <x:v>Evet</x:v>
      </x:c>
      <x:c r="R1727" s="14" t="str">
        <x:v>Planlandı</x:v>
      </x:c>
      <x:c r="S1727" s="15" t="str"/>
      <x:c r="T1727" s="14" t="str"/>
    </x:row>
    <x:row r="1728">
      <x:c r="A1728" s="14" t="n">
        <x:v>1727</x:v>
      </x:c>
      <x:c r="B1728" s="15" t="n">
        <x:v>46434</x:v>
      </x:c>
      <x:c r="C1728" s="14" t="str">
        <x:v>Salı</x:v>
      </x:c>
      <x:c r="D1728" s="14" t="str">
        <x:v>Okul Günü</x:v>
      </x:c>
      <x:c r="E1728" s="14" t="str">
        <x:v>16:00 sonrası</x:v>
      </x:c>
      <x:c r="F1728" s="14" t="str">
        <x:v>F2 - LGS Kapsam + Ustalık</x:v>
      </x:c>
      <x:c r="G1728" s="14" t="str">
        <x:v>21:35</x:v>
      </x:c>
      <x:c r="H1728" s="14" t="str">
        <x:v>21:50</x:v>
      </x:c>
      <x:c r="I1728" s="14" t="str">
        <x:v>Genel</x:v>
      </x:c>
      <x:c r="J1728" s="14" t="str">
        <x:v>Aralıklı Hata Tekrarı</x:v>
      </x:c>
      <x:c r="K1728" s="14" t="str">
        <x:v>+1 / +7 / +21</x:v>
      </x:c>
      <x:c r="L1728" s="14" t="str">
        <x:v>Bugün vadesi gelen yanlış soruları tekrar çöz. Vadesi yoksa bu süre serbest/okuma olabilir.</x:v>
      </x:c>
      <x:c r="M1728" s="14" t="str">
        <x:v>Yanlış Defteri</x:v>
      </x:c>
      <x:c r="N1728" s="14" t="str"/>
      <x:c r="O1728" s="14" t="n">
        <x:v>0</x:v>
      </x:c>
      <x:c r="P1728" s="14" t="str">
        <x:v>Hayır</x:v>
      </x:c>
      <x:c r="Q1728" s="14" t="str">
        <x:v>Koşullu</x:v>
      </x:c>
      <x:c r="R1728" s="14" t="str">
        <x:v>Planlandı</x:v>
      </x:c>
      <x:c r="S1728" s="15" t="str"/>
      <x:c r="T1728" s="14" t="str">
        <x:v>Yanlışlar +1, +7 ve +21 gün aralıklarıyla tekrar edilir; hâlâ yanlışsa konu mastery durumu düşürülür.</x:v>
      </x:c>
    </x:row>
    <x:row r="1729">
      <x:c r="A1729" s="14" t="n">
        <x:v>1728</x:v>
      </x:c>
      <x:c r="B1729" s="15" t="n">
        <x:v>46434</x:v>
      </x:c>
      <x:c r="C1729" s="14" t="str">
        <x:v>Salı</x:v>
      </x:c>
      <x:c r="D1729" s="14" t="str">
        <x:v>Okul Günü</x:v>
      </x:c>
      <x:c r="E1729" s="14" t="str">
        <x:v>16:00 sonrası</x:v>
      </x:c>
      <x:c r="F1729" s="14" t="str">
        <x:v>F2 - LGS Kapsam + Ustalık</x:v>
      </x:c>
      <x:c r="G1729" s="14" t="str">
        <x:v>21:50</x:v>
      </x:c>
      <x:c r="H1729" s="14" t="str">
        <x:v>22:00</x:v>
      </x:c>
      <x:c r="I1729" s="14" t="str">
        <x:v>Genel</x:v>
      </x:c>
      <x:c r="J1729" s="14" t="str">
        <x:v>Uyku Hazırlığı</x:v>
      </x:c>
      <x:c r="K1729" s="14" t="str"/>
      <x:c r="L1729" s="14" t="str">
        <x:v>22:00'de yatakta ve uyku.</x:v>
      </x:c>
      <x:c r="M1729" s="14" t="str"/>
      <x:c r="N1729" s="14" t="str"/>
      <x:c r="O1729" s="14" t="n">
        <x:v>0</x:v>
      </x:c>
      <x:c r="P1729" s="14" t="str">
        <x:v>Hayır</x:v>
      </x:c>
      <x:c r="Q1729" s="14" t="str">
        <x:v>Hayır</x:v>
      </x:c>
      <x:c r="R1729" s="14" t="str">
        <x:v>Planlandı</x:v>
      </x:c>
      <x:c r="S1729" s="15" t="str"/>
      <x:c r="T1729" s="14" t="str"/>
    </x:row>
    <x:row r="1730">
      <x:c r="A1730" s="14" t="n">
        <x:v>1729</x:v>
      </x:c>
      <x:c r="B1730" s="15" t="n">
        <x:v>46435</x:v>
      </x:c>
      <x:c r="C1730" s="14" t="str">
        <x:v>Çarşamba</x:v>
      </x:c>
      <x:c r="D1730" s="14" t="str">
        <x:v>Okul Günü</x:v>
      </x:c>
      <x:c r="E1730" s="14" t="str">
        <x:v>16:00 sonrası</x:v>
      </x:c>
      <x:c r="F1730" s="14" t="str">
        <x:v>F2 - LGS Kapsam + Ustalık</x:v>
      </x:c>
      <x:c r="G1730" s="14" t="str">
        <x:v>16:00</x:v>
      </x:c>
      <x:c r="H1730" s="14" t="str">
        <x:v>16:25</x:v>
      </x:c>
      <x:c r="I1730" s="14" t="str">
        <x:v>Genel</x:v>
      </x:c>
      <x:c r="J1730" s="14" t="str">
        <x:v>Dinlenme</x:v>
      </x:c>
      <x:c r="K1730" s="14" t="str"/>
      <x:c r="L1730" s="14" t="str">
        <x:v>Eve geliş, atıştırma ve dinlenme.</x:v>
      </x:c>
      <x:c r="M1730" s="14" t="str"/>
      <x:c r="N1730" s="14" t="str"/>
      <x:c r="O1730" s="14" t="n">
        <x:v>0</x:v>
      </x:c>
      <x:c r="P1730" s="14" t="str">
        <x:v>Hayır</x:v>
      </x:c>
      <x:c r="Q1730" s="14" t="str">
        <x:v>Hayır</x:v>
      </x:c>
      <x:c r="R1730" s="14" t="str">
        <x:v>Planlandı</x:v>
      </x:c>
      <x:c r="S1730" s="15" t="str"/>
      <x:c r="T1730" s="14" t="str"/>
    </x:row>
    <x:row r="1731">
      <x:c r="A1731" s="14" t="n">
        <x:v>1730</x:v>
      </x:c>
      <x:c r="B1731" s="15" t="n">
        <x:v>46435</x:v>
      </x:c>
      <x:c r="C1731" s="14" t="str">
        <x:v>Çarşamba</x:v>
      </x:c>
      <x:c r="D1731" s="14" t="str">
        <x:v>Okul Günü</x:v>
      </x:c>
      <x:c r="E1731" s="14" t="str">
        <x:v>16:00 sonrası</x:v>
      </x:c>
      <x:c r="F1731" s="14" t="str">
        <x:v>F2 - LGS Kapsam + Ustalık</x:v>
      </x:c>
      <x:c r="G1731" s="14" t="str">
        <x:v>16:25</x:v>
      </x:c>
      <x:c r="H1731" s="14" t="str">
        <x:v>17:05</x:v>
      </x:c>
      <x:c r="I1731" s="14" t="str">
        <x:v>Matematik</x:v>
      </x:c>
      <x:c r="J1731" s="14" t="str">
        <x:v>Konu / Tekrar</x:v>
      </x:c>
      <x:c r="K1731" s="14" t="str">
        <x:v>Kaynak Tamamlama / Zayıf Konu</x:v>
      </x:c>
      <x:c r="L1731" s="14" t="str">
        <x:v>Yeni konu açma. En zayıf/açık konunun ilgili playlist videosunu yalnız gerekiyorsa tekrar izle.</x:v>
      </x:c>
      <x:c r="M1731" s="14" t="str">
        <x:v>Matematik Ana Oynatma Listesi</x:v>
      </x:c>
      <x:c r="N1731" s="14" t="str">
        <x:v>https://www.youtube.com/watch?v=EuJ89QzqrAg&amp;list=PLicNtF7vp6fnfDqrRLH6H7fIbzYT4ct4F&amp;index=11</x:v>
      </x:c>
      <x:c r="O1731" s="14" t="n">
        <x:v>0</x:v>
      </x:c>
      <x:c r="P1731" s="14" t="str">
        <x:v>Hayır</x:v>
      </x:c>
      <x:c r="Q1731" s="14" t="str">
        <x:v>Evet</x:v>
      </x:c>
      <x:c r="R1731" s="14" t="str">
        <x:v>Planlandı</x:v>
      </x:c>
      <x:c r="S1731" s="15" t="str"/>
      <x:c r="T1731" s="14" t="str">
        <x:v>Yeni konu ancak plan sırasıyla açılır; LGS dışı ileri TYT içeriği zorunlu değildir.</x:v>
      </x:c>
    </x:row>
    <x:row r="1732">
      <x:c r="A1732" s="14" t="n">
        <x:v>1731</x:v>
      </x:c>
      <x:c r="B1732" s="15" t="n">
        <x:v>46435</x:v>
      </x:c>
      <x:c r="C1732" s="14" t="str">
        <x:v>Çarşamba</x:v>
      </x:c>
      <x:c r="D1732" s="14" t="str">
        <x:v>Okul Günü</x:v>
      </x:c>
      <x:c r="E1732" s="14" t="str">
        <x:v>16:00 sonrası</x:v>
      </x:c>
      <x:c r="F1732" s="14" t="str">
        <x:v>F2 - LGS Kapsam + Ustalık</x:v>
      </x:c>
      <x:c r="G1732" s="14" t="str">
        <x:v>17:10</x:v>
      </x:c>
      <x:c r="H1732" s="14" t="str">
        <x:v>17:55</x:v>
      </x:c>
      <x:c r="I1732" s="14" t="str">
        <x:v>Matematik</x:v>
      </x:c>
      <x:c r="J1732" s="14" t="str">
        <x:v>Kitap / MEB / Mastery</x:v>
      </x:c>
      <x:c r="K1732" s="14" t="str">
        <x:v>Kaynak Tamamlama / Zayıf Konu</x:v>
      </x:c>
      <x:c r="L1732" s="14" t="str">
        <x:v>13 Nisan %100 tamamlama hedefine göre en geride kalan Matematik soru kaynağını/eksik MEB setini ilerlet; açık yanlışları kapat.</x:v>
      </x:c>
      <x:c r="M1732" s="14" t="str">
        <x:v>MUBA 8. Sınıf Başlangıç Matematik (ISBN 9789756526972) → tamamlandıysa Mozaik 8. Sınıf Matematik; açık MEB/yanlışlar</x:v>
      </x:c>
      <x:c r="N1732" s="14" t="str">
        <x:v>https://odsgm.meb.gov.tr/www/8sinif-calisma-sorulari/icerik/1632</x:v>
      </x:c>
      <x:c r="O1732" s="14" t="n">
        <x:v>30</x:v>
      </x:c>
      <x:c r="P1732" s="14" t="str">
        <x:v>İlk 20 soru</x:v>
      </x:c>
      <x:c r="Q1732" s="14" t="str">
        <x:v>Evet</x:v>
      </x:c>
      <x:c r="R1732" s="14" t="str">
        <x:v>Planlandı</x:v>
      </x:c>
      <x:c r="S1732" s="15" t="str"/>
      <x:c r="T1732" s="14" t="str">
        <x:v>Ayrı/rastgele matematik benchmark yoktur. Süreli ilk 20 soru o gün çalışılan konunun içindedir.</x:v>
      </x:c>
    </x:row>
    <x:row r="1733">
      <x:c r="A1733" s="14" t="n">
        <x:v>1732</x:v>
      </x:c>
      <x:c r="B1733" s="15" t="n">
        <x:v>46435</x:v>
      </x:c>
      <x:c r="C1733" s="14" t="str">
        <x:v>Çarşamba</x:v>
      </x:c>
      <x:c r="D1733" s="14" t="str">
        <x:v>Okul Günü</x:v>
      </x:c>
      <x:c r="E1733" s="14" t="str">
        <x:v>16:00 sonrası</x:v>
      </x:c>
      <x:c r="F1733" s="14" t="str">
        <x:v>F2 - LGS Kapsam + Ustalık</x:v>
      </x:c>
      <x:c r="G1733" s="14" t="str">
        <x:v>17:55</x:v>
      </x:c>
      <x:c r="H1733" s="14" t="str">
        <x:v>18:25</x:v>
      </x:c>
      <x:c r="I1733" s="14" t="str">
        <x:v>Genel</x:v>
      </x:c>
      <x:c r="J1733" s="14" t="str">
        <x:v>Yemek / Serbest Zaman</x:v>
      </x:c>
      <x:c r="K1733" s="14" t="str"/>
      <x:c r="L1733" s="14" t="str">
        <x:v>Yemek, hareket ve dinlenme.</x:v>
      </x:c>
      <x:c r="M1733" s="14" t="str"/>
      <x:c r="N1733" s="14" t="str"/>
      <x:c r="O1733" s="14" t="n">
        <x:v>0</x:v>
      </x:c>
      <x:c r="P1733" s="14" t="str">
        <x:v>Hayır</x:v>
      </x:c>
      <x:c r="Q1733" s="14" t="str">
        <x:v>Hayır</x:v>
      </x:c>
      <x:c r="R1733" s="14" t="str">
        <x:v>Planlandı</x:v>
      </x:c>
      <x:c r="S1733" s="15" t="str"/>
      <x:c r="T1733" s="14" t="str"/>
    </x:row>
    <x:row r="1734">
      <x:c r="A1734" s="14" t="n">
        <x:v>1733</x:v>
      </x:c>
      <x:c r="B1734" s="15" t="n">
        <x:v>46435</x:v>
      </x:c>
      <x:c r="C1734" s="14" t="str">
        <x:v>Çarşamba</x:v>
      </x:c>
      <x:c r="D1734" s="14" t="str">
        <x:v>Okul Günü</x:v>
      </x:c>
      <x:c r="E1734" s="14" t="str">
        <x:v>16:00 sonrası</x:v>
      </x:c>
      <x:c r="F1734" s="14" t="str">
        <x:v>F2 - LGS Kapsam + Ustalık</x:v>
      </x:c>
      <x:c r="G1734" s="14" t="str">
        <x:v>18:25</x:v>
      </x:c>
      <x:c r="H1734" s="14" t="str">
        <x:v>18:55</x:v>
      </x:c>
      <x:c r="I1734" s="14" t="str">
        <x:v>Türkçe</x:v>
      </x:c>
      <x:c r="J1734" s="14" t="str">
        <x:v>Paragraf Rutini</x:v>
      </x:c>
      <x:c r="K1734" s="14" t="str">
        <x:v>Paragraf</x:v>
      </x:c>
      <x:c r="L1734" s="14" t="str">
        <x:v>En az 30 paragraf sorusu çöz; ilk 20 soruyu ileri sayımla ölç, D/Y/B + süre kaydet.</x:v>
      </x:c>
      <x:c r="M1734" s="14" t="str">
        <x:v>Hız 8. Sınıf Türkçe Paragraf (ISBN 9786258394498)</x:v>
      </x:c>
      <x:c r="N1734" s="14" t="str"/>
      <x:c r="O1734" s="14" t="n">
        <x:v>30</x:v>
      </x:c>
      <x:c r="P1734" s="14" t="str">
        <x:v>İlk 20 soru</x:v>
      </x:c>
      <x:c r="Q1734" s="14" t="str">
        <x:v>Evet</x:v>
      </x:c>
      <x:c r="R1734" s="14" t="str">
        <x:v>Planlandı</x:v>
      </x:c>
      <x:c r="S1734" s="15" t="str"/>
      <x:c r="T1734" s="14" t="str">
        <x:v>Geri sayım ve hedef süre yok.</x:v>
      </x:c>
    </x:row>
    <x:row r="1735">
      <x:c r="A1735" s="14" t="n">
        <x:v>1734</x:v>
      </x:c>
      <x:c r="B1735" s="15" t="n">
        <x:v>46435</x:v>
      </x:c>
      <x:c r="C1735" s="14" t="str">
        <x:v>Çarşamba</x:v>
      </x:c>
      <x:c r="D1735" s="14" t="str">
        <x:v>Okul Günü</x:v>
      </x:c>
      <x:c r="E1735" s="14" t="str">
        <x:v>16:00 sonrası</x:v>
      </x:c>
      <x:c r="F1735" s="14" t="str">
        <x:v>F2 - LGS Kapsam + Ustalık</x:v>
      </x:c>
      <x:c r="G1735" s="14" t="str">
        <x:v>19:00</x:v>
      </x:c>
      <x:c r="H1735" s="14" t="str">
        <x:v>19:35</x:v>
      </x:c>
      <x:c r="I1735" s="14" t="str">
        <x:v>Türkçe</x:v>
      </x:c>
      <x:c r="J1735" s="14" t="str">
        <x:v>Konu / Tekrar</x:v>
      </x:c>
      <x:c r="K1735" s="14" t="str">
        <x:v>Kaynak Tamamlama / Zayıf Konu</x:v>
      </x:c>
      <x:c r="L1735" s="14" t="str">
        <x:v>Yeni konu açma. En zayıf/açık konunun ilgili playlist videosunu yalnız gerekiyorsa tekrar izle.</x:v>
      </x:c>
      <x:c r="M1735" s="14" t="str">
        <x:v>Türkçe Ana Oynatma Listesi</x:v>
      </x:c>
      <x:c r="N1735" s="14" t="str">
        <x:v>https://www.youtube.com/watch?v=VYsPntNKVdw&amp;list=PLIBjFaUoJJ91bz7QQEBlxNJNZka5YQRr6</x:v>
      </x:c>
      <x:c r="O1735" s="14" t="n">
        <x:v>0</x:v>
      </x:c>
      <x:c r="P1735" s="14" t="str">
        <x:v>Hayır</x:v>
      </x:c>
      <x:c r="Q1735" s="14" t="str">
        <x:v>Evet</x:v>
      </x:c>
      <x:c r="R1735" s="14" t="str">
        <x:v>Planlandı</x:v>
      </x:c>
      <x:c r="S1735" s="15" t="str"/>
      <x:c r="T1735" s="14" t="str">
        <x:v>TYT etiketli kaynak temelden başlamak için sabittir; LGS dışı gereksiz ayrıntı zorunlu değildir.</x:v>
      </x:c>
    </x:row>
    <x:row r="1736">
      <x:c r="A1736" s="14" t="n">
        <x:v>1735</x:v>
      </x:c>
      <x:c r="B1736" s="15" t="n">
        <x:v>46435</x:v>
      </x:c>
      <x:c r="C1736" s="14" t="str">
        <x:v>Çarşamba</x:v>
      </x:c>
      <x:c r="D1736" s="14" t="str">
        <x:v>Okul Günü</x:v>
      </x:c>
      <x:c r="E1736" s="14" t="str">
        <x:v>16:00 sonrası</x:v>
      </x:c>
      <x:c r="F1736" s="14" t="str">
        <x:v>F2 - LGS Kapsam + Ustalık</x:v>
      </x:c>
      <x:c r="G1736" s="14" t="str">
        <x:v>19:40</x:v>
      </x:c>
      <x:c r="H1736" s="14" t="str">
        <x:v>20:10</x:v>
      </x:c>
      <x:c r="I1736" s="14" t="str">
        <x:v>Türkçe</x:v>
      </x:c>
      <x:c r="J1736" s="14" t="str">
        <x:v>Kitap / MEB / Mastery</x:v>
      </x:c>
      <x:c r="K1736" s="14" t="str">
        <x:v>Kaynak Tamamlama / Zayıf Konu</x:v>
      </x:c>
      <x:c r="L1736" s="14" t="str">
        <x:v>13 Nisan %100 tamamlama hedefine göre en geride kalan Türkçe soru kaynağını/eksik MEB setini ilerlet; açık yanlışları kapat.</x:v>
      </x:c>
      <x:c r="M1736" s="14" t="str">
        <x:v>Ankara 8. Sınıf Dil Bilgisi Güçlendiren + açık MEB/yanlışlar</x:v>
      </x:c>
      <x:c r="N1736" s="14" t="str">
        <x:v>https://odsgm.meb.gov.tr/www/8sinif-calisma-sorulari/icerik/1632</x:v>
      </x:c>
      <x:c r="O1736" s="14" t="n">
        <x:v>15</x:v>
      </x:c>
      <x:c r="P1736" s="14" t="str">
        <x:v>Hayır</x:v>
      </x:c>
      <x:c r="Q1736" s="14" t="str">
        <x:v>Evet</x:v>
      </x:c>
      <x:c r="R1736" s="14" t="str">
        <x:v>Planlandı</x:v>
      </x:c>
      <x:c r="S1736" s="15" t="str"/>
      <x:c r="T1736" s="14" t="str"/>
    </x:row>
    <x:row r="1737">
      <x:c r="A1737" s="14" t="n">
        <x:v>1736</x:v>
      </x:c>
      <x:c r="B1737" s="15" t="n">
        <x:v>46435</x:v>
      </x:c>
      <x:c r="C1737" s="14" t="str">
        <x:v>Çarşamba</x:v>
      </x:c>
      <x:c r="D1737" s="14" t="str">
        <x:v>Okul Günü</x:v>
      </x:c>
      <x:c r="E1737" s="14" t="str">
        <x:v>16:00 sonrası</x:v>
      </x:c>
      <x:c r="F1737" s="14" t="str">
        <x:v>F2 - LGS Kapsam + Ustalık</x:v>
      </x:c>
      <x:c r="G1737" s="14" t="str">
        <x:v>20:15</x:v>
      </x:c>
      <x:c r="H1737" s="14" t="str">
        <x:v>20:50</x:v>
      </x:c>
      <x:c r="I1737" s="14" t="str">
        <x:v>İngilizce</x:v>
      </x:c>
      <x:c r="J1737" s="14" t="str">
        <x:v>Konu / Tekrar</x:v>
      </x:c>
      <x:c r="K1737" s="14" t="str">
        <x:v>Unit 9 - Science</x:v>
      </x:c>
      <x:c r="L1737" s="14" t="str">
        <x:v>Unit 9 - Science — Worksheet çalışmasını playlistten yap.</x:v>
      </x:c>
      <x:c r="M1737" s="14" t="str">
        <x:v>İngilizce Genel Oynatma Listesi</x:v>
      </x:c>
      <x:c r="N1737" s="14" t="str">
        <x:v>https://www.youtube.com/watch?v=FaY3dFjZbns&amp;list=PLSgpQDrUSYp94WgE9pzpHiOG5FwxnZBrr</x:v>
      </x:c>
      <x:c r="O1737" s="14" t="n">
        <x:v>0</x:v>
      </x:c>
      <x:c r="P1737" s="14" t="str">
        <x:v>Hayır</x:v>
      </x:c>
      <x:c r="Q1737" s="14" t="str">
        <x:v>Evet</x:v>
      </x:c>
      <x:c r="R1737" s="14" t="str">
        <x:v>Planlandı</x:v>
      </x:c>
      <x:c r="S1737" s="15" t="str"/>
      <x:c r="T1737" s="14" t="str"/>
    </x:row>
    <x:row r="1738">
      <x:c r="A1738" s="14" t="n">
        <x:v>1737</x:v>
      </x:c>
      <x:c r="B1738" s="15" t="n">
        <x:v>46435</x:v>
      </x:c>
      <x:c r="C1738" s="14" t="str">
        <x:v>Çarşamba</x:v>
      </x:c>
      <x:c r="D1738" s="14" t="str">
        <x:v>Okul Günü</x:v>
      </x:c>
      <x:c r="E1738" s="14" t="str">
        <x:v>16:00 sonrası</x:v>
      </x:c>
      <x:c r="F1738" s="14" t="str">
        <x:v>F2 - LGS Kapsam + Ustalık</x:v>
      </x:c>
      <x:c r="G1738" s="14" t="str">
        <x:v>20:55</x:v>
      </x:c>
      <x:c r="H1738" s="14" t="str">
        <x:v>21:20</x:v>
      </x:c>
      <x:c r="I1738" s="14" t="str">
        <x:v>İngilizce</x:v>
      </x:c>
      <x:c r="J1738" s="14" t="str">
        <x:v>Kitap / MEB / Mastery</x:v>
      </x:c>
      <x:c r="K1738" s="14" t="str">
        <x:v>Unit 9 - Science</x:v>
      </x:c>
      <x:c r="L1738" s="14" t="str">
        <x:v>Unit 9 - Science ile ilgili soru kitabından en az 20 soru / bugünkü test payını çöz.</x:v>
      </x:c>
      <x:c r="M1738" s="14" t="str">
        <x:v>More &amp; More 8 Worksheets Notebook</x:v>
      </x:c>
      <x:c r="N1738" s="14" t="str">
        <x:v>https://www.youtube.com/watch?v=FaY3dFjZbns&amp;list=PLSgpQDrUSYp94WgE9pzpHiOG5FwxnZBrr</x:v>
      </x:c>
      <x:c r="O1738" s="14" t="n">
        <x:v>20</x:v>
      </x:c>
      <x:c r="P1738" s="14" t="str">
        <x:v>Hayır</x:v>
      </x:c>
      <x:c r="Q1738" s="14" t="str">
        <x:v>Evet</x:v>
      </x:c>
      <x:c r="R1738" s="14" t="str">
        <x:v>Planlandı</x:v>
      </x:c>
      <x:c r="S1738" s="15" t="str"/>
      <x:c r="T1738" s="14" t="str"/>
    </x:row>
    <x:row r="1739">
      <x:c r="A1739" s="14" t="n">
        <x:v>1738</x:v>
      </x:c>
      <x:c r="B1739" s="15" t="n">
        <x:v>46435</x:v>
      </x:c>
      <x:c r="C1739" s="14" t="str">
        <x:v>Çarşamba</x:v>
      </x:c>
      <x:c r="D1739" s="14" t="str">
        <x:v>Okul Günü</x:v>
      </x:c>
      <x:c r="E1739" s="14" t="str">
        <x:v>16:00 sonrası</x:v>
      </x:c>
      <x:c r="F1739" s="14" t="str">
        <x:v>F2 - LGS Kapsam + Ustalık</x:v>
      </x:c>
      <x:c r="G1739" s="14" t="str">
        <x:v>21:20</x:v>
      </x:c>
      <x:c r="H1739" s="14" t="str">
        <x:v>21:35</x:v>
      </x:c>
      <x:c r="I1739" s="14" t="str">
        <x:v>Genel</x:v>
      </x:c>
      <x:c r="J1739" s="14" t="str">
        <x:v>Yanlış / Boş Analizi</x:v>
      </x:c>
      <x:c r="K1739" s="14" t="str">
        <x:v>Günlük</x:v>
      </x:c>
      <x:c r="L1739" s="14" t="str">
        <x:v>Bugünkü yanlış/boşları kaydet; çözümünü öğrenmeden kapatma. Hata türünü sınıflandır.</x:v>
      </x:c>
      <x:c r="M1739" s="14" t="str">
        <x:v>Yanlış Defteri</x:v>
      </x:c>
      <x:c r="N1739" s="14" t="str"/>
      <x:c r="O1739" s="14" t="n">
        <x:v>0</x:v>
      </x:c>
      <x:c r="P1739" s="14" t="str">
        <x:v>Hayır</x:v>
      </x:c>
      <x:c r="Q1739" s="14" t="str">
        <x:v>Evet</x:v>
      </x:c>
      <x:c r="R1739" s="14" t="str">
        <x:v>Planlandı</x:v>
      </x:c>
      <x:c r="S1739" s="15" t="str"/>
      <x:c r="T1739" s="14" t="str"/>
    </x:row>
    <x:row r="1740">
      <x:c r="A1740" s="14" t="n">
        <x:v>1739</x:v>
      </x:c>
      <x:c r="B1740" s="15" t="n">
        <x:v>46435</x:v>
      </x:c>
      <x:c r="C1740" s="14" t="str">
        <x:v>Çarşamba</x:v>
      </x:c>
      <x:c r="D1740" s="14" t="str">
        <x:v>Okul Günü</x:v>
      </x:c>
      <x:c r="E1740" s="14" t="str">
        <x:v>16:00 sonrası</x:v>
      </x:c>
      <x:c r="F1740" s="14" t="str">
        <x:v>F2 - LGS Kapsam + Ustalık</x:v>
      </x:c>
      <x:c r="G1740" s="14" t="str">
        <x:v>21:35</x:v>
      </x:c>
      <x:c r="H1740" s="14" t="str">
        <x:v>21:50</x:v>
      </x:c>
      <x:c r="I1740" s="14" t="str">
        <x:v>Genel</x:v>
      </x:c>
      <x:c r="J1740" s="14" t="str">
        <x:v>Aralıklı Hata Tekrarı</x:v>
      </x:c>
      <x:c r="K1740" s="14" t="str">
        <x:v>+1 / +7 / +21</x:v>
      </x:c>
      <x:c r="L1740" s="14" t="str">
        <x:v>Bugün vadesi gelen yanlış soruları tekrar çöz. Vadesi yoksa bu süre serbest/okuma olabilir.</x:v>
      </x:c>
      <x:c r="M1740" s="14" t="str">
        <x:v>Yanlış Defteri</x:v>
      </x:c>
      <x:c r="N1740" s="14" t="str"/>
      <x:c r="O1740" s="14" t="n">
        <x:v>0</x:v>
      </x:c>
      <x:c r="P1740" s="14" t="str">
        <x:v>Hayır</x:v>
      </x:c>
      <x:c r="Q1740" s="14" t="str">
        <x:v>Koşullu</x:v>
      </x:c>
      <x:c r="R1740" s="14" t="str">
        <x:v>Planlandı</x:v>
      </x:c>
      <x:c r="S1740" s="15" t="str"/>
      <x:c r="T1740" s="14" t="str">
        <x:v>Yanlışlar +1, +7 ve +21 gün aralıklarıyla tekrar edilir; hâlâ yanlışsa konu mastery durumu düşürülür.</x:v>
      </x:c>
    </x:row>
    <x:row r="1741">
      <x:c r="A1741" s="14" t="n">
        <x:v>1740</x:v>
      </x:c>
      <x:c r="B1741" s="15" t="n">
        <x:v>46435</x:v>
      </x:c>
      <x:c r="C1741" s="14" t="str">
        <x:v>Çarşamba</x:v>
      </x:c>
      <x:c r="D1741" s="14" t="str">
        <x:v>Okul Günü</x:v>
      </x:c>
      <x:c r="E1741" s="14" t="str">
        <x:v>16:00 sonrası</x:v>
      </x:c>
      <x:c r="F1741" s="14" t="str">
        <x:v>F2 - LGS Kapsam + Ustalık</x:v>
      </x:c>
      <x:c r="G1741" s="14" t="str">
        <x:v>21:50</x:v>
      </x:c>
      <x:c r="H1741" s="14" t="str">
        <x:v>22:00</x:v>
      </x:c>
      <x:c r="I1741" s="14" t="str">
        <x:v>Genel</x:v>
      </x:c>
      <x:c r="J1741" s="14" t="str">
        <x:v>Uyku Hazırlığı</x:v>
      </x:c>
      <x:c r="K1741" s="14" t="str"/>
      <x:c r="L1741" s="14" t="str">
        <x:v>22:00'de yatakta ve uyku.</x:v>
      </x:c>
      <x:c r="M1741" s="14" t="str"/>
      <x:c r="N1741" s="14" t="str"/>
      <x:c r="O1741" s="14" t="n">
        <x:v>0</x:v>
      </x:c>
      <x:c r="P1741" s="14" t="str">
        <x:v>Hayır</x:v>
      </x:c>
      <x:c r="Q1741" s="14" t="str">
        <x:v>Hayır</x:v>
      </x:c>
      <x:c r="R1741" s="14" t="str">
        <x:v>Planlandı</x:v>
      </x:c>
      <x:c r="S1741" s="15" t="str"/>
      <x:c r="T1741" s="14" t="str"/>
    </x:row>
    <x:row r="1742">
      <x:c r="A1742" s="14" t="n">
        <x:v>1741</x:v>
      </x:c>
      <x:c r="B1742" s="15" t="n">
        <x:v>46436</x:v>
      </x:c>
      <x:c r="C1742" s="14" t="str">
        <x:v>Perşembe</x:v>
      </x:c>
      <x:c r="D1742" s="14" t="str">
        <x:v>Okul Günü</x:v>
      </x:c>
      <x:c r="E1742" s="14" t="str">
        <x:v>16:00 sonrası</x:v>
      </x:c>
      <x:c r="F1742" s="14" t="str">
        <x:v>F2 - LGS Kapsam + Ustalık</x:v>
      </x:c>
      <x:c r="G1742" s="14" t="str">
        <x:v>16:00</x:v>
      </x:c>
      <x:c r="H1742" s="14" t="str">
        <x:v>16:25</x:v>
      </x:c>
      <x:c r="I1742" s="14" t="str">
        <x:v>Genel</x:v>
      </x:c>
      <x:c r="J1742" s="14" t="str">
        <x:v>Dinlenme</x:v>
      </x:c>
      <x:c r="K1742" s="14" t="str"/>
      <x:c r="L1742" s="14" t="str">
        <x:v>Eve geliş, atıştırma ve dinlenme.</x:v>
      </x:c>
      <x:c r="M1742" s="14" t="str"/>
      <x:c r="N1742" s="14" t="str"/>
      <x:c r="O1742" s="14" t="n">
        <x:v>0</x:v>
      </x:c>
      <x:c r="P1742" s="14" t="str">
        <x:v>Hayır</x:v>
      </x:c>
      <x:c r="Q1742" s="14" t="str">
        <x:v>Hayır</x:v>
      </x:c>
      <x:c r="R1742" s="14" t="str">
        <x:v>Planlandı</x:v>
      </x:c>
      <x:c r="S1742" s="15" t="str"/>
      <x:c r="T1742" s="14" t="str"/>
    </x:row>
    <x:row r="1743">
      <x:c r="A1743" s="14" t="n">
        <x:v>1742</x:v>
      </x:c>
      <x:c r="B1743" s="15" t="n">
        <x:v>46436</x:v>
      </x:c>
      <x:c r="C1743" s="14" t="str">
        <x:v>Perşembe</x:v>
      </x:c>
      <x:c r="D1743" s="14" t="str">
        <x:v>Okul Günü</x:v>
      </x:c>
      <x:c r="E1743" s="14" t="str">
        <x:v>16:00 sonrası</x:v>
      </x:c>
      <x:c r="F1743" s="14" t="str">
        <x:v>F2 - LGS Kapsam + Ustalık</x:v>
      </x:c>
      <x:c r="G1743" s="14" t="str">
        <x:v>16:25</x:v>
      </x:c>
      <x:c r="H1743" s="14" t="str">
        <x:v>17:05</x:v>
      </x:c>
      <x:c r="I1743" s="14" t="str">
        <x:v>Matematik</x:v>
      </x:c>
      <x:c r="J1743" s="14" t="str">
        <x:v>Konu / Tekrar</x:v>
      </x:c>
      <x:c r="K1743" s="14" t="str">
        <x:v>Kaynak Tamamlama / Zayıf Konu</x:v>
      </x:c>
      <x:c r="L1743" s="14" t="str">
        <x:v>Yeni konu açma. En zayıf/açık konunun ilgili playlist videosunu yalnız gerekiyorsa tekrar izle.</x:v>
      </x:c>
      <x:c r="M1743" s="14" t="str">
        <x:v>Matematik Ana Oynatma Listesi</x:v>
      </x:c>
      <x:c r="N1743" s="14" t="str">
        <x:v>https://www.youtube.com/watch?v=EuJ89QzqrAg&amp;list=PLicNtF7vp6fnfDqrRLH6H7fIbzYT4ct4F&amp;index=11</x:v>
      </x:c>
      <x:c r="O1743" s="14" t="n">
        <x:v>0</x:v>
      </x:c>
      <x:c r="P1743" s="14" t="str">
        <x:v>Hayır</x:v>
      </x:c>
      <x:c r="Q1743" s="14" t="str">
        <x:v>Evet</x:v>
      </x:c>
      <x:c r="R1743" s="14" t="str">
        <x:v>Planlandı</x:v>
      </x:c>
      <x:c r="S1743" s="15" t="str"/>
      <x:c r="T1743" s="14" t="str">
        <x:v>Yeni konu ancak plan sırasıyla açılır; LGS dışı ileri TYT içeriği zorunlu değildir.</x:v>
      </x:c>
    </x:row>
    <x:row r="1744">
      <x:c r="A1744" s="14" t="n">
        <x:v>1743</x:v>
      </x:c>
      <x:c r="B1744" s="15" t="n">
        <x:v>46436</x:v>
      </x:c>
      <x:c r="C1744" s="14" t="str">
        <x:v>Perşembe</x:v>
      </x:c>
      <x:c r="D1744" s="14" t="str">
        <x:v>Okul Günü</x:v>
      </x:c>
      <x:c r="E1744" s="14" t="str">
        <x:v>16:00 sonrası</x:v>
      </x:c>
      <x:c r="F1744" s="14" t="str">
        <x:v>F2 - LGS Kapsam + Ustalık</x:v>
      </x:c>
      <x:c r="G1744" s="14" t="str">
        <x:v>17:10</x:v>
      </x:c>
      <x:c r="H1744" s="14" t="str">
        <x:v>17:55</x:v>
      </x:c>
      <x:c r="I1744" s="14" t="str">
        <x:v>Matematik</x:v>
      </x:c>
      <x:c r="J1744" s="14" t="str">
        <x:v>Kitap / MEB / Mastery</x:v>
      </x:c>
      <x:c r="K1744" s="14" t="str">
        <x:v>Kaynak Tamamlama / Zayıf Konu</x:v>
      </x:c>
      <x:c r="L1744" s="14" t="str">
        <x:v>13 Nisan %100 tamamlama hedefine göre en geride kalan Matematik soru kaynağını/eksik MEB setini ilerlet; açık yanlışları kapat.</x:v>
      </x:c>
      <x:c r="M1744" s="14" t="str">
        <x:v>MUBA 8. Sınıf Başlangıç Matematik (ISBN 9789756526972) → tamamlandıysa Mozaik 8. Sınıf Matematik; açık MEB/yanlışlar</x:v>
      </x:c>
      <x:c r="N1744" s="14" t="str">
        <x:v>https://odsgm.meb.gov.tr/www/8sinif-calisma-sorulari/icerik/1632</x:v>
      </x:c>
      <x:c r="O1744" s="14" t="n">
        <x:v>30</x:v>
      </x:c>
      <x:c r="P1744" s="14" t="str">
        <x:v>İlk 20 soru</x:v>
      </x:c>
      <x:c r="Q1744" s="14" t="str">
        <x:v>Evet</x:v>
      </x:c>
      <x:c r="R1744" s="14" t="str">
        <x:v>Planlandı</x:v>
      </x:c>
      <x:c r="S1744" s="15" t="str"/>
      <x:c r="T1744" s="14" t="str">
        <x:v>Ayrı/rastgele matematik benchmark yoktur. Süreli ilk 20 soru o gün çalışılan konunun içindedir.</x:v>
      </x:c>
    </x:row>
    <x:row r="1745">
      <x:c r="A1745" s="14" t="n">
        <x:v>1744</x:v>
      </x:c>
      <x:c r="B1745" s="15" t="n">
        <x:v>46436</x:v>
      </x:c>
      <x:c r="C1745" s="14" t="str">
        <x:v>Perşembe</x:v>
      </x:c>
      <x:c r="D1745" s="14" t="str">
        <x:v>Okul Günü</x:v>
      </x:c>
      <x:c r="E1745" s="14" t="str">
        <x:v>16:00 sonrası</x:v>
      </x:c>
      <x:c r="F1745" s="14" t="str">
        <x:v>F2 - LGS Kapsam + Ustalık</x:v>
      </x:c>
      <x:c r="G1745" s="14" t="str">
        <x:v>17:55</x:v>
      </x:c>
      <x:c r="H1745" s="14" t="str">
        <x:v>18:25</x:v>
      </x:c>
      <x:c r="I1745" s="14" t="str">
        <x:v>Genel</x:v>
      </x:c>
      <x:c r="J1745" s="14" t="str">
        <x:v>Yemek / Serbest Zaman</x:v>
      </x:c>
      <x:c r="K1745" s="14" t="str"/>
      <x:c r="L1745" s="14" t="str">
        <x:v>Yemek, hareket ve dinlenme.</x:v>
      </x:c>
      <x:c r="M1745" s="14" t="str"/>
      <x:c r="N1745" s="14" t="str"/>
      <x:c r="O1745" s="14" t="n">
        <x:v>0</x:v>
      </x:c>
      <x:c r="P1745" s="14" t="str">
        <x:v>Hayır</x:v>
      </x:c>
      <x:c r="Q1745" s="14" t="str">
        <x:v>Hayır</x:v>
      </x:c>
      <x:c r="R1745" s="14" t="str">
        <x:v>Planlandı</x:v>
      </x:c>
      <x:c r="S1745" s="15" t="str"/>
      <x:c r="T1745" s="14" t="str"/>
    </x:row>
    <x:row r="1746">
      <x:c r="A1746" s="14" t="n">
        <x:v>1745</x:v>
      </x:c>
      <x:c r="B1746" s="15" t="n">
        <x:v>46436</x:v>
      </x:c>
      <x:c r="C1746" s="14" t="str">
        <x:v>Perşembe</x:v>
      </x:c>
      <x:c r="D1746" s="14" t="str">
        <x:v>Okul Günü</x:v>
      </x:c>
      <x:c r="E1746" s="14" t="str">
        <x:v>16:00 sonrası</x:v>
      </x:c>
      <x:c r="F1746" s="14" t="str">
        <x:v>F2 - LGS Kapsam + Ustalık</x:v>
      </x:c>
      <x:c r="G1746" s="14" t="str">
        <x:v>18:25</x:v>
      </x:c>
      <x:c r="H1746" s="14" t="str">
        <x:v>18:55</x:v>
      </x:c>
      <x:c r="I1746" s="14" t="str">
        <x:v>Türkçe</x:v>
      </x:c>
      <x:c r="J1746" s="14" t="str">
        <x:v>Paragraf Rutini</x:v>
      </x:c>
      <x:c r="K1746" s="14" t="str">
        <x:v>Paragraf</x:v>
      </x:c>
      <x:c r="L1746" s="14" t="str">
        <x:v>En az 30 paragraf sorusu çöz; ilk 20 soruyu ileri sayımla ölç, D/Y/B + süre kaydet.</x:v>
      </x:c>
      <x:c r="M1746" s="14" t="str">
        <x:v>Hız 8. Sınıf Türkçe Paragraf (ISBN 9786258394498)</x:v>
      </x:c>
      <x:c r="N1746" s="14" t="str"/>
      <x:c r="O1746" s="14" t="n">
        <x:v>30</x:v>
      </x:c>
      <x:c r="P1746" s="14" t="str">
        <x:v>İlk 20 soru</x:v>
      </x:c>
      <x:c r="Q1746" s="14" t="str">
        <x:v>Evet</x:v>
      </x:c>
      <x:c r="R1746" s="14" t="str">
        <x:v>Planlandı</x:v>
      </x:c>
      <x:c r="S1746" s="15" t="str"/>
      <x:c r="T1746" s="14" t="str">
        <x:v>Geri sayım ve hedef süre yok.</x:v>
      </x:c>
    </x:row>
    <x:row r="1747">
      <x:c r="A1747" s="14" t="n">
        <x:v>1746</x:v>
      </x:c>
      <x:c r="B1747" s="15" t="n">
        <x:v>46436</x:v>
      </x:c>
      <x:c r="C1747" s="14" t="str">
        <x:v>Perşembe</x:v>
      </x:c>
      <x:c r="D1747" s="14" t="str">
        <x:v>Okul Günü</x:v>
      </x:c>
      <x:c r="E1747" s="14" t="str">
        <x:v>16:00 sonrası</x:v>
      </x:c>
      <x:c r="F1747" s="14" t="str">
        <x:v>F2 - LGS Kapsam + Ustalık</x:v>
      </x:c>
      <x:c r="G1747" s="14" t="str">
        <x:v>19:00</x:v>
      </x:c>
      <x:c r="H1747" s="14" t="str">
        <x:v>19:35</x:v>
      </x:c>
      <x:c r="I1747" s="14" t="str">
        <x:v>Türkçe</x:v>
      </x:c>
      <x:c r="J1747" s="14" t="str">
        <x:v>Konu / Tekrar</x:v>
      </x:c>
      <x:c r="K1747" s="14" t="str">
        <x:v>Kaynak Tamamlama / Zayıf Konu</x:v>
      </x:c>
      <x:c r="L1747" s="14" t="str">
        <x:v>Yeni konu açma. En zayıf/açık konunun ilgili playlist videosunu yalnız gerekiyorsa tekrar izle.</x:v>
      </x:c>
      <x:c r="M1747" s="14" t="str">
        <x:v>Türkçe Ana Oynatma Listesi</x:v>
      </x:c>
      <x:c r="N1747" s="14" t="str">
        <x:v>https://www.youtube.com/watch?v=VYsPntNKVdw&amp;list=PLIBjFaUoJJ91bz7QQEBlxNJNZka5YQRr6</x:v>
      </x:c>
      <x:c r="O1747" s="14" t="n">
        <x:v>0</x:v>
      </x:c>
      <x:c r="P1747" s="14" t="str">
        <x:v>Hayır</x:v>
      </x:c>
      <x:c r="Q1747" s="14" t="str">
        <x:v>Evet</x:v>
      </x:c>
      <x:c r="R1747" s="14" t="str">
        <x:v>Planlandı</x:v>
      </x:c>
      <x:c r="S1747" s="15" t="str"/>
      <x:c r="T1747" s="14" t="str">
        <x:v>TYT etiketli kaynak temelden başlamak için sabittir; LGS dışı gereksiz ayrıntı zorunlu değildir.</x:v>
      </x:c>
    </x:row>
    <x:row r="1748">
      <x:c r="A1748" s="14" t="n">
        <x:v>1747</x:v>
      </x:c>
      <x:c r="B1748" s="15" t="n">
        <x:v>46436</x:v>
      </x:c>
      <x:c r="C1748" s="14" t="str">
        <x:v>Perşembe</x:v>
      </x:c>
      <x:c r="D1748" s="14" t="str">
        <x:v>Okul Günü</x:v>
      </x:c>
      <x:c r="E1748" s="14" t="str">
        <x:v>16:00 sonrası</x:v>
      </x:c>
      <x:c r="F1748" s="14" t="str">
        <x:v>F2 - LGS Kapsam + Ustalık</x:v>
      </x:c>
      <x:c r="G1748" s="14" t="str">
        <x:v>19:40</x:v>
      </x:c>
      <x:c r="H1748" s="14" t="str">
        <x:v>20:10</x:v>
      </x:c>
      <x:c r="I1748" s="14" t="str">
        <x:v>Türkçe</x:v>
      </x:c>
      <x:c r="J1748" s="14" t="str">
        <x:v>Kitap / MEB / Mastery</x:v>
      </x:c>
      <x:c r="K1748" s="14" t="str">
        <x:v>Kaynak Tamamlama / Zayıf Konu</x:v>
      </x:c>
      <x:c r="L1748" s="14" t="str">
        <x:v>13 Nisan %100 tamamlama hedefine göre en geride kalan Türkçe soru kaynağını/eksik MEB setini ilerlet; açık yanlışları kapat.</x:v>
      </x:c>
      <x:c r="M1748" s="14" t="str">
        <x:v>Ankara 8. Sınıf Dil Bilgisi Güçlendiren + açık MEB/yanlışlar</x:v>
      </x:c>
      <x:c r="N1748" s="14" t="str">
        <x:v>https://odsgm.meb.gov.tr/www/8sinif-calisma-sorulari/icerik/1632</x:v>
      </x:c>
      <x:c r="O1748" s="14" t="n">
        <x:v>15</x:v>
      </x:c>
      <x:c r="P1748" s="14" t="str">
        <x:v>Hayır</x:v>
      </x:c>
      <x:c r="Q1748" s="14" t="str">
        <x:v>Evet</x:v>
      </x:c>
      <x:c r="R1748" s="14" t="str">
        <x:v>Planlandı</x:v>
      </x:c>
      <x:c r="S1748" s="15" t="str"/>
      <x:c r="T1748" s="14" t="str"/>
    </x:row>
    <x:row r="1749">
      <x:c r="A1749" s="14" t="n">
        <x:v>1748</x:v>
      </x:c>
      <x:c r="B1749" s="15" t="n">
        <x:v>46436</x:v>
      </x:c>
      <x:c r="C1749" s="14" t="str">
        <x:v>Perşembe</x:v>
      </x:c>
      <x:c r="D1749" s="14" t="str">
        <x:v>Okul Günü</x:v>
      </x:c>
      <x:c r="E1749" s="14" t="str">
        <x:v>16:00 sonrası</x:v>
      </x:c>
      <x:c r="F1749" s="14" t="str">
        <x:v>F2 - LGS Kapsam + Ustalık</x:v>
      </x:c>
      <x:c r="G1749" s="14" t="str">
        <x:v>20:15</x:v>
      </x:c>
      <x:c r="H1749" s="14" t="str">
        <x:v>20:50</x:v>
      </x:c>
      <x:c r="I1749" s="14" t="str">
        <x:v>Fen</x:v>
      </x:c>
      <x:c r="J1749" s="14" t="str">
        <x:v>Konu / Tekrar</x:v>
      </x:c>
      <x:c r="K1749" s="14" t="str">
        <x:v>Solunum</x:v>
      </x:c>
      <x:c r="L1749" s="14" t="str">
        <x:v>Solunum — Fen soru çözüm playlistinden ilgili videoyu izle.</x:v>
      </x:c>
      <x:c r="M1749" s="14" t="str">
        <x:v>Fen Soru Çözüm / Tekrar</x:v>
      </x:c>
      <x:c r="N1749" s="14" t="str">
        <x:v>https://www.youtube.com/watch?v=pQXhWnDZ3vM&amp;list=PLrQm7mt99FRXcBnorCttd31HJEvg0En26&amp;index=23</x:v>
      </x:c>
      <x:c r="O1749" s="14" t="n">
        <x:v>0</x:v>
      </x:c>
      <x:c r="P1749" s="14" t="str">
        <x:v>Hayır</x:v>
      </x:c>
      <x:c r="Q1749" s="14" t="str">
        <x:v>Evet</x:v>
      </x:c>
      <x:c r="R1749" s="14" t="str">
        <x:v>Planlandı</x:v>
      </x:c>
      <x:c r="S1749" s="15" t="str"/>
      <x:c r="T1749" s="14" t="str"/>
    </x:row>
    <x:row r="1750">
      <x:c r="A1750" s="14" t="n">
        <x:v>1749</x:v>
      </x:c>
      <x:c r="B1750" s="15" t="n">
        <x:v>46436</x:v>
      </x:c>
      <x:c r="C1750" s="14" t="str">
        <x:v>Perşembe</x:v>
      </x:c>
      <x:c r="D1750" s="14" t="str">
        <x:v>Okul Günü</x:v>
      </x:c>
      <x:c r="E1750" s="14" t="str">
        <x:v>16:00 sonrası</x:v>
      </x:c>
      <x:c r="F1750" s="14" t="str">
        <x:v>F2 - LGS Kapsam + Ustalık</x:v>
      </x:c>
      <x:c r="G1750" s="14" t="str">
        <x:v>20:55</x:v>
      </x:c>
      <x:c r="H1750" s="14" t="str">
        <x:v>21:20</x:v>
      </x:c>
      <x:c r="I1750" s="14" t="str">
        <x:v>Fen</x:v>
      </x:c>
      <x:c r="J1750" s="14" t="str">
        <x:v>Kitap / MEB / Mastery</x:v>
      </x:c>
      <x:c r="K1750" s="14" t="str">
        <x:v>Solunum</x:v>
      </x:c>
      <x:c r="L1750" s="14" t="str">
        <x:v>Solunum ile ilgili soru kitabından en az 20 soru / bugünkü test payını çöz.</x:v>
      </x:c>
      <x:c r="M1750" s="14" t="str">
        <x:v>Hız 8. Sınıf Fen (ISBN 9786257514859); tamamlandıysa Mozaik 8. Sınıf Fen</x:v>
      </x:c>
      <x:c r="N1750" s="14" t="str">
        <x:v>https://www.youtube.com/watch?v=pQXhWnDZ3vM&amp;list=PLrQm7mt99FRXcBnorCttd31HJEvg0En26&amp;index=23</x:v>
      </x:c>
      <x:c r="O1750" s="14" t="n">
        <x:v>20</x:v>
      </x:c>
      <x:c r="P1750" s="14" t="str">
        <x:v>Hayır</x:v>
      </x:c>
      <x:c r="Q1750" s="14" t="str">
        <x:v>Evet</x:v>
      </x:c>
      <x:c r="R1750" s="14" t="str">
        <x:v>Planlandı</x:v>
      </x:c>
      <x:c r="S1750" s="15" t="str"/>
      <x:c r="T1750" s="14" t="str"/>
    </x:row>
    <x:row r="1751">
      <x:c r="A1751" s="14" t="n">
        <x:v>1750</x:v>
      </x:c>
      <x:c r="B1751" s="15" t="n">
        <x:v>46436</x:v>
      </x:c>
      <x:c r="C1751" s="14" t="str">
        <x:v>Perşembe</x:v>
      </x:c>
      <x:c r="D1751" s="14" t="str">
        <x:v>Okul Günü</x:v>
      </x:c>
      <x:c r="E1751" s="14" t="str">
        <x:v>16:00 sonrası</x:v>
      </x:c>
      <x:c r="F1751" s="14" t="str">
        <x:v>F2 - LGS Kapsam + Ustalık</x:v>
      </x:c>
      <x:c r="G1751" s="14" t="str">
        <x:v>21:20</x:v>
      </x:c>
      <x:c r="H1751" s="14" t="str">
        <x:v>21:35</x:v>
      </x:c>
      <x:c r="I1751" s="14" t="str">
        <x:v>Genel</x:v>
      </x:c>
      <x:c r="J1751" s="14" t="str">
        <x:v>Yanlış / Boş Analizi</x:v>
      </x:c>
      <x:c r="K1751" s="14" t="str">
        <x:v>Günlük</x:v>
      </x:c>
      <x:c r="L1751" s="14" t="str">
        <x:v>Bugünkü yanlış/boşları kaydet; çözümünü öğrenmeden kapatma. Hata türünü sınıflandır.</x:v>
      </x:c>
      <x:c r="M1751" s="14" t="str">
        <x:v>Yanlış Defteri</x:v>
      </x:c>
      <x:c r="N1751" s="14" t="str"/>
      <x:c r="O1751" s="14" t="n">
        <x:v>0</x:v>
      </x:c>
      <x:c r="P1751" s="14" t="str">
        <x:v>Hayır</x:v>
      </x:c>
      <x:c r="Q1751" s="14" t="str">
        <x:v>Evet</x:v>
      </x:c>
      <x:c r="R1751" s="14" t="str">
        <x:v>Planlandı</x:v>
      </x:c>
      <x:c r="S1751" s="15" t="str"/>
      <x:c r="T1751" s="14" t="str"/>
    </x:row>
    <x:row r="1752">
      <x:c r="A1752" s="14" t="n">
        <x:v>1751</x:v>
      </x:c>
      <x:c r="B1752" s="15" t="n">
        <x:v>46436</x:v>
      </x:c>
      <x:c r="C1752" s="14" t="str">
        <x:v>Perşembe</x:v>
      </x:c>
      <x:c r="D1752" s="14" t="str">
        <x:v>Okul Günü</x:v>
      </x:c>
      <x:c r="E1752" s="14" t="str">
        <x:v>16:00 sonrası</x:v>
      </x:c>
      <x:c r="F1752" s="14" t="str">
        <x:v>F2 - LGS Kapsam + Ustalık</x:v>
      </x:c>
      <x:c r="G1752" s="14" t="str">
        <x:v>21:35</x:v>
      </x:c>
      <x:c r="H1752" s="14" t="str">
        <x:v>21:50</x:v>
      </x:c>
      <x:c r="I1752" s="14" t="str">
        <x:v>Genel</x:v>
      </x:c>
      <x:c r="J1752" s="14" t="str">
        <x:v>Aralıklı Hata Tekrarı</x:v>
      </x:c>
      <x:c r="K1752" s="14" t="str">
        <x:v>+1 / +7 / +21</x:v>
      </x:c>
      <x:c r="L1752" s="14" t="str">
        <x:v>Bugün vadesi gelen yanlış soruları tekrar çöz. Vadesi yoksa bu süre serbest/okuma olabilir.</x:v>
      </x:c>
      <x:c r="M1752" s="14" t="str">
        <x:v>Yanlış Defteri</x:v>
      </x:c>
      <x:c r="N1752" s="14" t="str"/>
      <x:c r="O1752" s="14" t="n">
        <x:v>0</x:v>
      </x:c>
      <x:c r="P1752" s="14" t="str">
        <x:v>Hayır</x:v>
      </x:c>
      <x:c r="Q1752" s="14" t="str">
        <x:v>Koşullu</x:v>
      </x:c>
      <x:c r="R1752" s="14" t="str">
        <x:v>Planlandı</x:v>
      </x:c>
      <x:c r="S1752" s="15" t="str"/>
      <x:c r="T1752" s="14" t="str">
        <x:v>Yanlışlar +1, +7 ve +21 gün aralıklarıyla tekrar edilir; hâlâ yanlışsa konu mastery durumu düşürülür.</x:v>
      </x:c>
    </x:row>
    <x:row r="1753">
      <x:c r="A1753" s="14" t="n">
        <x:v>1752</x:v>
      </x:c>
      <x:c r="B1753" s="15" t="n">
        <x:v>46436</x:v>
      </x:c>
      <x:c r="C1753" s="14" t="str">
        <x:v>Perşembe</x:v>
      </x:c>
      <x:c r="D1753" s="14" t="str">
        <x:v>Okul Günü</x:v>
      </x:c>
      <x:c r="E1753" s="14" t="str">
        <x:v>16:00 sonrası</x:v>
      </x:c>
      <x:c r="F1753" s="14" t="str">
        <x:v>F2 - LGS Kapsam + Ustalık</x:v>
      </x:c>
      <x:c r="G1753" s="14" t="str">
        <x:v>21:50</x:v>
      </x:c>
      <x:c r="H1753" s="14" t="str">
        <x:v>22:00</x:v>
      </x:c>
      <x:c r="I1753" s="14" t="str">
        <x:v>Genel</x:v>
      </x:c>
      <x:c r="J1753" s="14" t="str">
        <x:v>Uyku Hazırlığı</x:v>
      </x:c>
      <x:c r="K1753" s="14" t="str"/>
      <x:c r="L1753" s="14" t="str">
        <x:v>22:00'de yatakta ve uyku.</x:v>
      </x:c>
      <x:c r="M1753" s="14" t="str"/>
      <x:c r="N1753" s="14" t="str"/>
      <x:c r="O1753" s="14" t="n">
        <x:v>0</x:v>
      </x:c>
      <x:c r="P1753" s="14" t="str">
        <x:v>Hayır</x:v>
      </x:c>
      <x:c r="Q1753" s="14" t="str">
        <x:v>Hayır</x:v>
      </x:c>
      <x:c r="R1753" s="14" t="str">
        <x:v>Planlandı</x:v>
      </x:c>
      <x:c r="S1753" s="15" t="str"/>
      <x:c r="T1753" s="14" t="str"/>
    </x:row>
    <x:row r="1754">
      <x:c r="A1754" s="14" t="n">
        <x:v>1753</x:v>
      </x:c>
      <x:c r="B1754" s="15" t="n">
        <x:v>46437</x:v>
      </x:c>
      <x:c r="C1754" s="14" t="str">
        <x:v>Cuma</x:v>
      </x:c>
      <x:c r="D1754" s="14" t="str">
        <x:v>Okul Günü</x:v>
      </x:c>
      <x:c r="E1754" s="14" t="str">
        <x:v>16:00 sonrası</x:v>
      </x:c>
      <x:c r="F1754" s="14" t="str">
        <x:v>F2 - LGS Kapsam + Ustalık</x:v>
      </x:c>
      <x:c r="G1754" s="14" t="str">
        <x:v>16:00</x:v>
      </x:c>
      <x:c r="H1754" s="14" t="str">
        <x:v>16:25</x:v>
      </x:c>
      <x:c r="I1754" s="14" t="str">
        <x:v>Genel</x:v>
      </x:c>
      <x:c r="J1754" s="14" t="str">
        <x:v>Dinlenme</x:v>
      </x:c>
      <x:c r="K1754" s="14" t="str"/>
      <x:c r="L1754" s="14" t="str">
        <x:v>Eve geliş, atıştırma ve dinlenme.</x:v>
      </x:c>
      <x:c r="M1754" s="14" t="str"/>
      <x:c r="N1754" s="14" t="str"/>
      <x:c r="O1754" s="14" t="n">
        <x:v>0</x:v>
      </x:c>
      <x:c r="P1754" s="14" t="str">
        <x:v>Hayır</x:v>
      </x:c>
      <x:c r="Q1754" s="14" t="str">
        <x:v>Hayır</x:v>
      </x:c>
      <x:c r="R1754" s="14" t="str">
        <x:v>Planlandı</x:v>
      </x:c>
      <x:c r="S1754" s="15" t="str"/>
      <x:c r="T1754" s="14" t="str"/>
    </x:row>
    <x:row r="1755">
      <x:c r="A1755" s="14" t="n">
        <x:v>1754</x:v>
      </x:c>
      <x:c r="B1755" s="15" t="n">
        <x:v>46437</x:v>
      </x:c>
      <x:c r="C1755" s="14" t="str">
        <x:v>Cuma</x:v>
      </x:c>
      <x:c r="D1755" s="14" t="str">
        <x:v>Okul Günü</x:v>
      </x:c>
      <x:c r="E1755" s="14" t="str">
        <x:v>16:00 sonrası</x:v>
      </x:c>
      <x:c r="F1755" s="14" t="str">
        <x:v>F2 - LGS Kapsam + Ustalık</x:v>
      </x:c>
      <x:c r="G1755" s="14" t="str">
        <x:v>16:25</x:v>
      </x:c>
      <x:c r="H1755" s="14" t="str">
        <x:v>17:05</x:v>
      </x:c>
      <x:c r="I1755" s="14" t="str">
        <x:v>Matematik</x:v>
      </x:c>
      <x:c r="J1755" s="14" t="str">
        <x:v>Konu / Tekrar</x:v>
      </x:c>
      <x:c r="K1755" s="14" t="str">
        <x:v>Kaynak Tamamlama / Zayıf Konu</x:v>
      </x:c>
      <x:c r="L1755" s="14" t="str">
        <x:v>Yeni konu açma. En zayıf/açık konunun ilgili playlist videosunu yalnız gerekiyorsa tekrar izle.</x:v>
      </x:c>
      <x:c r="M1755" s="14" t="str">
        <x:v>Matematik Ana Oynatma Listesi</x:v>
      </x:c>
      <x:c r="N1755" s="14" t="str">
        <x:v>https://www.youtube.com/watch?v=EuJ89QzqrAg&amp;list=PLicNtF7vp6fnfDqrRLH6H7fIbzYT4ct4F&amp;index=11</x:v>
      </x:c>
      <x:c r="O1755" s="14" t="n">
        <x:v>0</x:v>
      </x:c>
      <x:c r="P1755" s="14" t="str">
        <x:v>Hayır</x:v>
      </x:c>
      <x:c r="Q1755" s="14" t="str">
        <x:v>Evet</x:v>
      </x:c>
      <x:c r="R1755" s="14" t="str">
        <x:v>Planlandı</x:v>
      </x:c>
      <x:c r="S1755" s="15" t="str"/>
      <x:c r="T1755" s="14" t="str">
        <x:v>Yeni konu ancak plan sırasıyla açılır; LGS dışı ileri TYT içeriği zorunlu değildir.</x:v>
      </x:c>
    </x:row>
    <x:row r="1756">
      <x:c r="A1756" s="14" t="n">
        <x:v>1755</x:v>
      </x:c>
      <x:c r="B1756" s="15" t="n">
        <x:v>46437</x:v>
      </x:c>
      <x:c r="C1756" s="14" t="str">
        <x:v>Cuma</x:v>
      </x:c>
      <x:c r="D1756" s="14" t="str">
        <x:v>Okul Günü</x:v>
      </x:c>
      <x:c r="E1756" s="14" t="str">
        <x:v>16:00 sonrası</x:v>
      </x:c>
      <x:c r="F1756" s="14" t="str">
        <x:v>F2 - LGS Kapsam + Ustalık</x:v>
      </x:c>
      <x:c r="G1756" s="14" t="str">
        <x:v>17:10</x:v>
      </x:c>
      <x:c r="H1756" s="14" t="str">
        <x:v>17:55</x:v>
      </x:c>
      <x:c r="I1756" s="14" t="str">
        <x:v>Matematik</x:v>
      </x:c>
      <x:c r="J1756" s="14" t="str">
        <x:v>Kitap / MEB / Mastery</x:v>
      </x:c>
      <x:c r="K1756" s="14" t="str">
        <x:v>Kaynak Tamamlama / Zayıf Konu</x:v>
      </x:c>
      <x:c r="L1756" s="14" t="str">
        <x:v>13 Nisan %100 tamamlama hedefine göre en geride kalan Matematik soru kaynağını/eksik MEB setini ilerlet; açık yanlışları kapat.</x:v>
      </x:c>
      <x:c r="M1756" s="14" t="str">
        <x:v>MUBA 8. Sınıf Başlangıç Matematik (ISBN 9789756526972) → tamamlandıysa Mozaik 8. Sınıf Matematik; açık MEB/yanlışlar</x:v>
      </x:c>
      <x:c r="N1756" s="14" t="str">
        <x:v>https://odsgm.meb.gov.tr/www/8sinif-calisma-sorulari/icerik/1632</x:v>
      </x:c>
      <x:c r="O1756" s="14" t="n">
        <x:v>30</x:v>
      </x:c>
      <x:c r="P1756" s="14" t="str">
        <x:v>İlk 20 soru</x:v>
      </x:c>
      <x:c r="Q1756" s="14" t="str">
        <x:v>Evet</x:v>
      </x:c>
      <x:c r="R1756" s="14" t="str">
        <x:v>Planlandı</x:v>
      </x:c>
      <x:c r="S1756" s="15" t="str"/>
      <x:c r="T1756" s="14" t="str">
        <x:v>Ayrı/rastgele matematik benchmark yoktur. Süreli ilk 20 soru o gün çalışılan konunun içindedir.</x:v>
      </x:c>
    </x:row>
    <x:row r="1757">
      <x:c r="A1757" s="14" t="n">
        <x:v>1756</x:v>
      </x:c>
      <x:c r="B1757" s="15" t="n">
        <x:v>46437</x:v>
      </x:c>
      <x:c r="C1757" s="14" t="str">
        <x:v>Cuma</x:v>
      </x:c>
      <x:c r="D1757" s="14" t="str">
        <x:v>Okul Günü</x:v>
      </x:c>
      <x:c r="E1757" s="14" t="str">
        <x:v>16:00 sonrası</x:v>
      </x:c>
      <x:c r="F1757" s="14" t="str">
        <x:v>F2 - LGS Kapsam + Ustalık</x:v>
      </x:c>
      <x:c r="G1757" s="14" t="str">
        <x:v>17:55</x:v>
      </x:c>
      <x:c r="H1757" s="14" t="str">
        <x:v>18:25</x:v>
      </x:c>
      <x:c r="I1757" s="14" t="str">
        <x:v>Genel</x:v>
      </x:c>
      <x:c r="J1757" s="14" t="str">
        <x:v>Yemek / Serbest Zaman</x:v>
      </x:c>
      <x:c r="K1757" s="14" t="str"/>
      <x:c r="L1757" s="14" t="str">
        <x:v>Yemek, hareket ve dinlenme.</x:v>
      </x:c>
      <x:c r="M1757" s="14" t="str"/>
      <x:c r="N1757" s="14" t="str"/>
      <x:c r="O1757" s="14" t="n">
        <x:v>0</x:v>
      </x:c>
      <x:c r="P1757" s="14" t="str">
        <x:v>Hayır</x:v>
      </x:c>
      <x:c r="Q1757" s="14" t="str">
        <x:v>Hayır</x:v>
      </x:c>
      <x:c r="R1757" s="14" t="str">
        <x:v>Planlandı</x:v>
      </x:c>
      <x:c r="S1757" s="15" t="str"/>
      <x:c r="T1757" s="14" t="str"/>
    </x:row>
    <x:row r="1758">
      <x:c r="A1758" s="14" t="n">
        <x:v>1757</x:v>
      </x:c>
      <x:c r="B1758" s="15" t="n">
        <x:v>46437</x:v>
      </x:c>
      <x:c r="C1758" s="14" t="str">
        <x:v>Cuma</x:v>
      </x:c>
      <x:c r="D1758" s="14" t="str">
        <x:v>Okul Günü</x:v>
      </x:c>
      <x:c r="E1758" s="14" t="str">
        <x:v>16:00 sonrası</x:v>
      </x:c>
      <x:c r="F1758" s="14" t="str">
        <x:v>F2 - LGS Kapsam + Ustalık</x:v>
      </x:c>
      <x:c r="G1758" s="14" t="str">
        <x:v>18:25</x:v>
      </x:c>
      <x:c r="H1758" s="14" t="str">
        <x:v>18:55</x:v>
      </x:c>
      <x:c r="I1758" s="14" t="str">
        <x:v>Türkçe</x:v>
      </x:c>
      <x:c r="J1758" s="14" t="str">
        <x:v>Paragraf Rutini</x:v>
      </x:c>
      <x:c r="K1758" s="14" t="str">
        <x:v>Paragraf</x:v>
      </x:c>
      <x:c r="L1758" s="14" t="str">
        <x:v>En az 30 paragraf sorusu çöz; ilk 20 soruyu ileri sayımla ölç, D/Y/B + süre kaydet.</x:v>
      </x:c>
      <x:c r="M1758" s="14" t="str">
        <x:v>Hız 8. Sınıf Türkçe Paragraf (ISBN 9786258394498)</x:v>
      </x:c>
      <x:c r="N1758" s="14" t="str"/>
      <x:c r="O1758" s="14" t="n">
        <x:v>30</x:v>
      </x:c>
      <x:c r="P1758" s="14" t="str">
        <x:v>İlk 20 soru</x:v>
      </x:c>
      <x:c r="Q1758" s="14" t="str">
        <x:v>Evet</x:v>
      </x:c>
      <x:c r="R1758" s="14" t="str">
        <x:v>Planlandı</x:v>
      </x:c>
      <x:c r="S1758" s="15" t="str"/>
      <x:c r="T1758" s="14" t="str">
        <x:v>Geri sayım ve hedef süre yok.</x:v>
      </x:c>
    </x:row>
    <x:row r="1759">
      <x:c r="A1759" s="14" t="n">
        <x:v>1758</x:v>
      </x:c>
      <x:c r="B1759" s="15" t="n">
        <x:v>46437</x:v>
      </x:c>
      <x:c r="C1759" s="14" t="str">
        <x:v>Cuma</x:v>
      </x:c>
      <x:c r="D1759" s="14" t="str">
        <x:v>Okul Günü</x:v>
      </x:c>
      <x:c r="E1759" s="14" t="str">
        <x:v>16:00 sonrası</x:v>
      </x:c>
      <x:c r="F1759" s="14" t="str">
        <x:v>F2 - LGS Kapsam + Ustalık</x:v>
      </x:c>
      <x:c r="G1759" s="14" t="str">
        <x:v>19:00</x:v>
      </x:c>
      <x:c r="H1759" s="14" t="str">
        <x:v>19:35</x:v>
      </x:c>
      <x:c r="I1759" s="14" t="str">
        <x:v>Türkçe</x:v>
      </x:c>
      <x:c r="J1759" s="14" t="str">
        <x:v>Konu / Tekrar</x:v>
      </x:c>
      <x:c r="K1759" s="14" t="str">
        <x:v>Kaynak Tamamlama / Zayıf Konu</x:v>
      </x:c>
      <x:c r="L1759" s="14" t="str">
        <x:v>Yeni konu açma. En zayıf/açık konunun ilgili playlist videosunu yalnız gerekiyorsa tekrar izle.</x:v>
      </x:c>
      <x:c r="M1759" s="14" t="str">
        <x:v>Türkçe Ana Oynatma Listesi</x:v>
      </x:c>
      <x:c r="N1759" s="14" t="str">
        <x:v>https://www.youtube.com/watch?v=VYsPntNKVdw&amp;list=PLIBjFaUoJJ91bz7QQEBlxNJNZka5YQRr6</x:v>
      </x:c>
      <x:c r="O1759" s="14" t="n">
        <x:v>0</x:v>
      </x:c>
      <x:c r="P1759" s="14" t="str">
        <x:v>Hayır</x:v>
      </x:c>
      <x:c r="Q1759" s="14" t="str">
        <x:v>Evet</x:v>
      </x:c>
      <x:c r="R1759" s="14" t="str">
        <x:v>Planlandı</x:v>
      </x:c>
      <x:c r="S1759" s="15" t="str"/>
      <x:c r="T1759" s="14" t="str">
        <x:v>TYT etiketli kaynak temelden başlamak için sabittir; LGS dışı gereksiz ayrıntı zorunlu değildir.</x:v>
      </x:c>
    </x:row>
    <x:row r="1760">
      <x:c r="A1760" s="14" t="n">
        <x:v>1759</x:v>
      </x:c>
      <x:c r="B1760" s="15" t="n">
        <x:v>46437</x:v>
      </x:c>
      <x:c r="C1760" s="14" t="str">
        <x:v>Cuma</x:v>
      </x:c>
      <x:c r="D1760" s="14" t="str">
        <x:v>Okul Günü</x:v>
      </x:c>
      <x:c r="E1760" s="14" t="str">
        <x:v>16:00 sonrası</x:v>
      </x:c>
      <x:c r="F1760" s="14" t="str">
        <x:v>F2 - LGS Kapsam + Ustalık</x:v>
      </x:c>
      <x:c r="G1760" s="14" t="str">
        <x:v>19:40</x:v>
      </x:c>
      <x:c r="H1760" s="14" t="str">
        <x:v>20:10</x:v>
      </x:c>
      <x:c r="I1760" s="14" t="str">
        <x:v>Türkçe</x:v>
      </x:c>
      <x:c r="J1760" s="14" t="str">
        <x:v>Kitap / MEB / Mastery</x:v>
      </x:c>
      <x:c r="K1760" s="14" t="str">
        <x:v>Kaynak Tamamlama / Zayıf Konu</x:v>
      </x:c>
      <x:c r="L1760" s="14" t="str">
        <x:v>13 Nisan %100 tamamlama hedefine göre en geride kalan Türkçe soru kaynağını/eksik MEB setini ilerlet; açık yanlışları kapat.</x:v>
      </x:c>
      <x:c r="M1760" s="14" t="str">
        <x:v>Ankara 8. Sınıf Dil Bilgisi Güçlendiren + açık MEB/yanlışlar</x:v>
      </x:c>
      <x:c r="N1760" s="14" t="str">
        <x:v>https://odsgm.meb.gov.tr/www/8sinif-calisma-sorulari/icerik/1632</x:v>
      </x:c>
      <x:c r="O1760" s="14" t="n">
        <x:v>15</x:v>
      </x:c>
      <x:c r="P1760" s="14" t="str">
        <x:v>Hayır</x:v>
      </x:c>
      <x:c r="Q1760" s="14" t="str">
        <x:v>Evet</x:v>
      </x:c>
      <x:c r="R1760" s="14" t="str">
        <x:v>Planlandı</x:v>
      </x:c>
      <x:c r="S1760" s="15" t="str"/>
      <x:c r="T1760" s="14" t="str"/>
    </x:row>
    <x:row r="1761">
      <x:c r="A1761" s="14" t="n">
        <x:v>1760</x:v>
      </x:c>
      <x:c r="B1761" s="15" t="n">
        <x:v>46437</x:v>
      </x:c>
      <x:c r="C1761" s="14" t="str">
        <x:v>Cuma</x:v>
      </x:c>
      <x:c r="D1761" s="14" t="str">
        <x:v>Okul Günü</x:v>
      </x:c>
      <x:c r="E1761" s="14" t="str">
        <x:v>16:00 sonrası</x:v>
      </x:c>
      <x:c r="F1761" s="14" t="str">
        <x:v>F2 - LGS Kapsam + Ustalık</x:v>
      </x:c>
      <x:c r="G1761" s="14" t="str">
        <x:v>20:15</x:v>
      </x:c>
      <x:c r="H1761" s="14" t="str">
        <x:v>20:50</x:v>
      </x:c>
      <x:c r="I1761" s="14" t="str">
        <x:v>Din</x:v>
      </x:c>
      <x:c r="J1761" s="14" t="str">
        <x:v>Konu / Tekrar</x:v>
      </x:c>
      <x:c r="K1761" s="14" t="str">
        <x:v>Kaynak Tamamlama / Zayıf Konu</x:v>
      </x:c>
      <x:c r="L1761" s="14" t="str">
        <x:v>Yeni konu açma. En zayıf/açık konunun ilgili playlist videosunu yalnız gerekiyorsa tekrar izle.</x:v>
      </x:c>
      <x:c r="M1761" s="14" t="str">
        <x:v>Din Genel Oynatma Listesi</x:v>
      </x:c>
      <x:c r="N1761" s="14" t="str">
        <x:v>https://www.youtube.com/watch?v=wvdOE_75VnA&amp;list=PLbRoPq-Zu-SWXGUbVt4t4UWo-4VjsMUo-&amp;index=2</x:v>
      </x:c>
      <x:c r="O1761" s="14" t="n">
        <x:v>0</x:v>
      </x:c>
      <x:c r="P1761" s="14" t="str">
        <x:v>Hayır</x:v>
      </x:c>
      <x:c r="Q1761" s="14" t="str">
        <x:v>Evet</x:v>
      </x:c>
      <x:c r="R1761" s="14" t="str">
        <x:v>Planlandı</x:v>
      </x:c>
      <x:c r="S1761" s="15" t="str"/>
      <x:c r="T1761" s="14" t="str"/>
    </x:row>
    <x:row r="1762">
      <x:c r="A1762" s="14" t="n">
        <x:v>1761</x:v>
      </x:c>
      <x:c r="B1762" s="15" t="n">
        <x:v>46437</x:v>
      </x:c>
      <x:c r="C1762" s="14" t="str">
        <x:v>Cuma</x:v>
      </x:c>
      <x:c r="D1762" s="14" t="str">
        <x:v>Okul Günü</x:v>
      </x:c>
      <x:c r="E1762" s="14" t="str">
        <x:v>16:00 sonrası</x:v>
      </x:c>
      <x:c r="F1762" s="14" t="str">
        <x:v>F2 - LGS Kapsam + Ustalık</x:v>
      </x:c>
      <x:c r="G1762" s="14" t="str">
        <x:v>20:55</x:v>
      </x:c>
      <x:c r="H1762" s="14" t="str">
        <x:v>21:20</x:v>
      </x:c>
      <x:c r="I1762" s="14" t="str">
        <x:v>Din</x:v>
      </x:c>
      <x:c r="J1762" s="14" t="str">
        <x:v>Kitap / MEB / Mastery</x:v>
      </x:c>
      <x:c r="K1762" s="14" t="str">
        <x:v>Kaynak Tamamlama / Zayıf Konu</x:v>
      </x:c>
      <x:c r="L1762" s="14" t="str">
        <x:v>13 Nisan %100 tamamlama hedefine göre en geride kalan Din soru kaynağını/eksik MEB setini ilerlet; açık yanlışları kapat.</x:v>
      </x:c>
      <x:c r="M1762" s="14" t="str">
        <x:v>Hız 8. Sınıf Din Kültürü ve Ahlak Bilgisi + açık MEB/yanlışlar</x:v>
      </x:c>
      <x:c r="N1762" s="14" t="str">
        <x:v>https://odsgm.meb.gov.tr/www/8sinif-calisma-sorulari/icerik/1632</x:v>
      </x:c>
      <x:c r="O1762" s="14" t="n">
        <x:v>20</x:v>
      </x:c>
      <x:c r="P1762" s="14" t="str">
        <x:v>Hayır</x:v>
      </x:c>
      <x:c r="Q1762" s="14" t="str">
        <x:v>Evet</x:v>
      </x:c>
      <x:c r="R1762" s="14" t="str">
        <x:v>Planlandı</x:v>
      </x:c>
      <x:c r="S1762" s="15" t="str"/>
      <x:c r="T1762" s="14" t="str"/>
    </x:row>
    <x:row r="1763">
      <x:c r="A1763" s="14" t="n">
        <x:v>1762</x:v>
      </x:c>
      <x:c r="B1763" s="15" t="n">
        <x:v>46437</x:v>
      </x:c>
      <x:c r="C1763" s="14" t="str">
        <x:v>Cuma</x:v>
      </x:c>
      <x:c r="D1763" s="14" t="str">
        <x:v>Okul Günü</x:v>
      </x:c>
      <x:c r="E1763" s="14" t="str">
        <x:v>16:00 sonrası</x:v>
      </x:c>
      <x:c r="F1763" s="14" t="str">
        <x:v>F2 - LGS Kapsam + Ustalık</x:v>
      </x:c>
      <x:c r="G1763" s="14" t="str">
        <x:v>21:20</x:v>
      </x:c>
      <x:c r="H1763" s="14" t="str">
        <x:v>21:35</x:v>
      </x:c>
      <x:c r="I1763" s="14" t="str">
        <x:v>Genel</x:v>
      </x:c>
      <x:c r="J1763" s="14" t="str">
        <x:v>Yanlış / Boş Analizi</x:v>
      </x:c>
      <x:c r="K1763" s="14" t="str">
        <x:v>Günlük</x:v>
      </x:c>
      <x:c r="L1763" s="14" t="str">
        <x:v>Bugünkü yanlış/boşları kaydet; çözümünü öğrenmeden kapatma. Hata türünü sınıflandır.</x:v>
      </x:c>
      <x:c r="M1763" s="14" t="str">
        <x:v>Yanlış Defteri</x:v>
      </x:c>
      <x:c r="N1763" s="14" t="str"/>
      <x:c r="O1763" s="14" t="n">
        <x:v>0</x:v>
      </x:c>
      <x:c r="P1763" s="14" t="str">
        <x:v>Hayır</x:v>
      </x:c>
      <x:c r="Q1763" s="14" t="str">
        <x:v>Evet</x:v>
      </x:c>
      <x:c r="R1763" s="14" t="str">
        <x:v>Planlandı</x:v>
      </x:c>
      <x:c r="S1763" s="15" t="str"/>
      <x:c r="T1763" s="14" t="str"/>
    </x:row>
    <x:row r="1764">
      <x:c r="A1764" s="14" t="n">
        <x:v>1763</x:v>
      </x:c>
      <x:c r="B1764" s="15" t="n">
        <x:v>46437</x:v>
      </x:c>
      <x:c r="C1764" s="14" t="str">
        <x:v>Cuma</x:v>
      </x:c>
      <x:c r="D1764" s="14" t="str">
        <x:v>Okul Günü</x:v>
      </x:c>
      <x:c r="E1764" s="14" t="str">
        <x:v>16:00 sonrası</x:v>
      </x:c>
      <x:c r="F1764" s="14" t="str">
        <x:v>F2 - LGS Kapsam + Ustalık</x:v>
      </x:c>
      <x:c r="G1764" s="14" t="str">
        <x:v>21:35</x:v>
      </x:c>
      <x:c r="H1764" s="14" t="str">
        <x:v>21:50</x:v>
      </x:c>
      <x:c r="I1764" s="14" t="str">
        <x:v>Genel</x:v>
      </x:c>
      <x:c r="J1764" s="14" t="str">
        <x:v>Aralıklı Hata Tekrarı</x:v>
      </x:c>
      <x:c r="K1764" s="14" t="str">
        <x:v>+1 / +7 / +21</x:v>
      </x:c>
      <x:c r="L1764" s="14" t="str">
        <x:v>Bugün vadesi gelen yanlış soruları tekrar çöz. Vadesi yoksa bu süre serbest/okuma olabilir.</x:v>
      </x:c>
      <x:c r="M1764" s="14" t="str">
        <x:v>Yanlış Defteri</x:v>
      </x:c>
      <x:c r="N1764" s="14" t="str"/>
      <x:c r="O1764" s="14" t="n">
        <x:v>0</x:v>
      </x:c>
      <x:c r="P1764" s="14" t="str">
        <x:v>Hayır</x:v>
      </x:c>
      <x:c r="Q1764" s="14" t="str">
        <x:v>Koşullu</x:v>
      </x:c>
      <x:c r="R1764" s="14" t="str">
        <x:v>Planlandı</x:v>
      </x:c>
      <x:c r="S1764" s="15" t="str"/>
      <x:c r="T1764" s="14" t="str">
        <x:v>Yanlışlar +1, +7 ve +21 gün aralıklarıyla tekrar edilir; hâlâ yanlışsa konu mastery durumu düşürülür.</x:v>
      </x:c>
    </x:row>
    <x:row r="1765">
      <x:c r="A1765" s="14" t="n">
        <x:v>1764</x:v>
      </x:c>
      <x:c r="B1765" s="15" t="n">
        <x:v>46437</x:v>
      </x:c>
      <x:c r="C1765" s="14" t="str">
        <x:v>Cuma</x:v>
      </x:c>
      <x:c r="D1765" s="14" t="str">
        <x:v>Okul Günü</x:v>
      </x:c>
      <x:c r="E1765" s="14" t="str">
        <x:v>16:00 sonrası</x:v>
      </x:c>
      <x:c r="F1765" s="14" t="str">
        <x:v>F2 - LGS Kapsam + Ustalık</x:v>
      </x:c>
      <x:c r="G1765" s="14" t="str">
        <x:v>21:50</x:v>
      </x:c>
      <x:c r="H1765" s="14" t="str">
        <x:v>22:00</x:v>
      </x:c>
      <x:c r="I1765" s="14" t="str">
        <x:v>Genel</x:v>
      </x:c>
      <x:c r="J1765" s="14" t="str">
        <x:v>Uyku Hazırlığı</x:v>
      </x:c>
      <x:c r="K1765" s="14" t="str"/>
      <x:c r="L1765" s="14" t="str">
        <x:v>22:00'de yatakta ve uyku.</x:v>
      </x:c>
      <x:c r="M1765" s="14" t="str"/>
      <x:c r="N1765" s="14" t="str"/>
      <x:c r="O1765" s="14" t="n">
        <x:v>0</x:v>
      </x:c>
      <x:c r="P1765" s="14" t="str">
        <x:v>Hayır</x:v>
      </x:c>
      <x:c r="Q1765" s="14" t="str">
        <x:v>Hayır</x:v>
      </x:c>
      <x:c r="R1765" s="14" t="str">
        <x:v>Planlandı</x:v>
      </x:c>
      <x:c r="S1765" s="15" t="str"/>
      <x:c r="T1765" s="14" t="str"/>
    </x:row>
    <x:row r="1766">
      <x:c r="A1766" s="14" t="n">
        <x:v>1765</x:v>
      </x:c>
      <x:c r="B1766" s="15" t="n">
        <x:v>46438</x:v>
      </x:c>
      <x:c r="C1766" s="14" t="str">
        <x:v>Cumartesi</x:v>
      </x:c>
      <x:c r="D1766" s="14" t="str">
        <x:v>Hafta Sonu</x:v>
      </x:c>
      <x:c r="E1766" s="14" t="str">
        <x:v>Tam gün</x:v>
      </x:c>
      <x:c r="F1766" s="14" t="str">
        <x:v>F2 - LGS Kapsam + Ustalık</x:v>
      </x:c>
      <x:c r="G1766" s="14" t="str">
        <x:v>09:30</x:v>
      </x:c>
      <x:c r="H1766" s="14" t="str">
        <x:v>10:15</x:v>
      </x:c>
      <x:c r="I1766" s="14" t="str">
        <x:v>Matematik</x:v>
      </x:c>
      <x:c r="J1766" s="14" t="str">
        <x:v>Konu / Tekrar</x:v>
      </x:c>
      <x:c r="K1766" s="14" t="str">
        <x:v>Kaynak Tamamlama / Zayıf Konu</x:v>
      </x:c>
      <x:c r="L1766" s="14" t="str">
        <x:v>Yeni konu açma. En zayıf/açık konunun ilgili playlist videosunu yalnız gerekiyorsa tekrar izle.</x:v>
      </x:c>
      <x:c r="M1766" s="14" t="str">
        <x:v>Matematik Ana Oynatma Listesi</x:v>
      </x:c>
      <x:c r="N1766" s="14" t="str">
        <x:v>https://www.youtube.com/watch?v=EuJ89QzqrAg&amp;list=PLicNtF7vp6fnfDqrRLH6H7fIbzYT4ct4F&amp;index=11</x:v>
      </x:c>
      <x:c r="O1766" s="14" t="n">
        <x:v>0</x:v>
      </x:c>
      <x:c r="P1766" s="14" t="str">
        <x:v>Hayır</x:v>
      </x:c>
      <x:c r="Q1766" s="14" t="str">
        <x:v>Evet</x:v>
      </x:c>
      <x:c r="R1766" s="14" t="str">
        <x:v>Planlandı</x:v>
      </x:c>
      <x:c r="S1766" s="15" t="str"/>
      <x:c r="T1766" s="14" t="str">
        <x:v>Yeni konu ancak plan sırasıyla açılır; LGS dışı ileri TYT içeriği zorunlu değildir.</x:v>
      </x:c>
    </x:row>
    <x:row r="1767">
      <x:c r="A1767" s="14" t="n">
        <x:v>1766</x:v>
      </x:c>
      <x:c r="B1767" s="15" t="n">
        <x:v>46438</x:v>
      </x:c>
      <x:c r="C1767" s="14" t="str">
        <x:v>Cumartesi</x:v>
      </x:c>
      <x:c r="D1767" s="14" t="str">
        <x:v>Hafta Sonu</x:v>
      </x:c>
      <x:c r="E1767" s="14" t="str">
        <x:v>Tam gün</x:v>
      </x:c>
      <x:c r="F1767" s="14" t="str">
        <x:v>F2 - LGS Kapsam + Ustalık</x:v>
      </x:c>
      <x:c r="G1767" s="14" t="str">
        <x:v>10:25</x:v>
      </x:c>
      <x:c r="H1767" s="14" t="str">
        <x:v>11:15</x:v>
      </x:c>
      <x:c r="I1767" s="14" t="str">
        <x:v>Matematik</x:v>
      </x:c>
      <x:c r="J1767" s="14" t="str">
        <x:v>Kitap / MEB / Mastery</x:v>
      </x:c>
      <x:c r="K1767" s="14" t="str">
        <x:v>Kaynak Tamamlama / Zayıf Konu</x:v>
      </x:c>
      <x:c r="L1767" s="14" t="str">
        <x:v>13 Nisan %100 tamamlama hedefine göre en geride kalan Matematik soru kaynağını/eksik MEB setini ilerlet; açık yanlışları kapat.</x:v>
      </x:c>
      <x:c r="M1767" s="14" t="str">
        <x:v>MUBA 8. Sınıf Başlangıç Matematik (ISBN 9789756526972) → tamamlandıysa Mozaik 8. Sınıf Matematik; açık MEB/yanlışlar</x:v>
      </x:c>
      <x:c r="N1767" s="14" t="str">
        <x:v>https://odsgm.meb.gov.tr/www/8sinif-calisma-sorulari/icerik/1632</x:v>
      </x:c>
      <x:c r="O1767" s="14" t="n">
        <x:v>30</x:v>
      </x:c>
      <x:c r="P1767" s="14" t="str">
        <x:v>İlk 20 soru</x:v>
      </x:c>
      <x:c r="Q1767" s="14" t="str">
        <x:v>Evet</x:v>
      </x:c>
      <x:c r="R1767" s="14" t="str">
        <x:v>Planlandı</x:v>
      </x:c>
      <x:c r="S1767" s="15" t="str"/>
      <x:c r="T1767" s="14" t="str">
        <x:v>Ayrı/rastgele matematik benchmark yoktur. Süreli ilk 20 soru o gün çalışılan konunun içindedir.</x:v>
      </x:c>
    </x:row>
    <x:row r="1768">
      <x:c r="A1768" s="14" t="n">
        <x:v>1767</x:v>
      </x:c>
      <x:c r="B1768" s="15" t="n">
        <x:v>46438</x:v>
      </x:c>
      <x:c r="C1768" s="14" t="str">
        <x:v>Cumartesi</x:v>
      </x:c>
      <x:c r="D1768" s="14" t="str">
        <x:v>Hafta Sonu</x:v>
      </x:c>
      <x:c r="E1768" s="14" t="str">
        <x:v>Tam gün</x:v>
      </x:c>
      <x:c r="F1768" s="14" t="str">
        <x:v>F2 - LGS Kapsam + Ustalık</x:v>
      </x:c>
      <x:c r="G1768" s="14" t="str">
        <x:v>12:00</x:v>
      </x:c>
      <x:c r="H1768" s="14" t="str">
        <x:v>14:00</x:v>
      </x:c>
      <x:c r="I1768" s="14" t="str">
        <x:v>Genel</x:v>
      </x:c>
      <x:c r="J1768" s="14" t="str">
        <x:v>Yemek / Serbest Zaman</x:v>
      </x:c>
      <x:c r="K1768" s="14" t="str"/>
      <x:c r="L1768" s="14" t="str">
        <x:v>Yemek, hareket ve dinlenme.</x:v>
      </x:c>
      <x:c r="M1768" s="14" t="str"/>
      <x:c r="N1768" s="14" t="str"/>
      <x:c r="O1768" s="14" t="n">
        <x:v>0</x:v>
      </x:c>
      <x:c r="P1768" s="14" t="str">
        <x:v>Hayır</x:v>
      </x:c>
      <x:c r="Q1768" s="14" t="str">
        <x:v>Hayır</x:v>
      </x:c>
      <x:c r="R1768" s="14" t="str">
        <x:v>Planlandı</x:v>
      </x:c>
      <x:c r="S1768" s="15" t="str"/>
      <x:c r="T1768" s="14" t="str"/>
    </x:row>
    <x:row r="1769">
      <x:c r="A1769" s="14" t="n">
        <x:v>1768</x:v>
      </x:c>
      <x:c r="B1769" s="15" t="n">
        <x:v>46438</x:v>
      </x:c>
      <x:c r="C1769" s="14" t="str">
        <x:v>Cumartesi</x:v>
      </x:c>
      <x:c r="D1769" s="14" t="str">
        <x:v>Hafta Sonu</x:v>
      </x:c>
      <x:c r="E1769" s="14" t="str">
        <x:v>Tam gün</x:v>
      </x:c>
      <x:c r="F1769" s="14" t="str">
        <x:v>F2 - LGS Kapsam + Ustalık</x:v>
      </x:c>
      <x:c r="G1769" s="14" t="str">
        <x:v>11:25</x:v>
      </x:c>
      <x:c r="H1769" s="14" t="str">
        <x:v>11:55</x:v>
      </x:c>
      <x:c r="I1769" s="14" t="str">
        <x:v>Türkçe</x:v>
      </x:c>
      <x:c r="J1769" s="14" t="str">
        <x:v>Paragraf Rutini</x:v>
      </x:c>
      <x:c r="K1769" s="14" t="str">
        <x:v>Paragraf</x:v>
      </x:c>
      <x:c r="L1769" s="14" t="str">
        <x:v>En az 30 paragraf sorusu çöz; ilk 20 soruyu ileri sayımla ölç, D/Y/B + süre kaydet.</x:v>
      </x:c>
      <x:c r="M1769" s="14" t="str">
        <x:v>Hız 8. Sınıf Türkçe Paragraf (ISBN 9786258394498)</x:v>
      </x:c>
      <x:c r="N1769" s="14" t="str"/>
      <x:c r="O1769" s="14" t="n">
        <x:v>30</x:v>
      </x:c>
      <x:c r="P1769" s="14" t="str">
        <x:v>İlk 20 soru</x:v>
      </x:c>
      <x:c r="Q1769" s="14" t="str">
        <x:v>Evet</x:v>
      </x:c>
      <x:c r="R1769" s="14" t="str">
        <x:v>Planlandı</x:v>
      </x:c>
      <x:c r="S1769" s="15" t="str"/>
      <x:c r="T1769" s="14" t="str">
        <x:v>Geri sayım ve hedef süre yok.</x:v>
      </x:c>
    </x:row>
    <x:row r="1770">
      <x:c r="A1770" s="14" t="n">
        <x:v>1769</x:v>
      </x:c>
      <x:c r="B1770" s="15" t="n">
        <x:v>46438</x:v>
      </x:c>
      <x:c r="C1770" s="14" t="str">
        <x:v>Cumartesi</x:v>
      </x:c>
      <x:c r="D1770" s="14" t="str">
        <x:v>Hafta Sonu</x:v>
      </x:c>
      <x:c r="E1770" s="14" t="str">
        <x:v>Tam gün</x:v>
      </x:c>
      <x:c r="F1770" s="14" t="str">
        <x:v>F2 - LGS Kapsam + Ustalık</x:v>
      </x:c>
      <x:c r="G1770" s="14" t="str">
        <x:v>14:00</x:v>
      </x:c>
      <x:c r="H1770" s="14" t="str">
        <x:v>14:40</x:v>
      </x:c>
      <x:c r="I1770" s="14" t="str">
        <x:v>Türkçe</x:v>
      </x:c>
      <x:c r="J1770" s="14" t="str">
        <x:v>Konu / Tekrar</x:v>
      </x:c>
      <x:c r="K1770" s="14" t="str">
        <x:v>Kaynak Tamamlama / Zayıf Konu</x:v>
      </x:c>
      <x:c r="L1770" s="14" t="str">
        <x:v>Yeni konu açma. En zayıf/açık konunun ilgili playlist videosunu yalnız gerekiyorsa tekrar izle.</x:v>
      </x:c>
      <x:c r="M1770" s="14" t="str">
        <x:v>Türkçe Ana Oynatma Listesi</x:v>
      </x:c>
      <x:c r="N1770" s="14" t="str">
        <x:v>https://www.youtube.com/watch?v=VYsPntNKVdw&amp;list=PLIBjFaUoJJ91bz7QQEBlxNJNZka5YQRr6</x:v>
      </x:c>
      <x:c r="O1770" s="14" t="n">
        <x:v>0</x:v>
      </x:c>
      <x:c r="P1770" s="14" t="str">
        <x:v>Hayır</x:v>
      </x:c>
      <x:c r="Q1770" s="14" t="str">
        <x:v>Evet</x:v>
      </x:c>
      <x:c r="R1770" s="14" t="str">
        <x:v>Planlandı</x:v>
      </x:c>
      <x:c r="S1770" s="15" t="str"/>
      <x:c r="T1770" s="14" t="str">
        <x:v>TYT etiketli kaynak temelden başlamak için sabittir; LGS dışı gereksiz ayrıntı zorunlu değildir.</x:v>
      </x:c>
    </x:row>
    <x:row r="1771">
      <x:c r="A1771" s="14" t="n">
        <x:v>1770</x:v>
      </x:c>
      <x:c r="B1771" s="15" t="n">
        <x:v>46438</x:v>
      </x:c>
      <x:c r="C1771" s="14" t="str">
        <x:v>Cumartesi</x:v>
      </x:c>
      <x:c r="D1771" s="14" t="str">
        <x:v>Hafta Sonu</x:v>
      </x:c>
      <x:c r="E1771" s="14" t="str">
        <x:v>Tam gün</x:v>
      </x:c>
      <x:c r="F1771" s="14" t="str">
        <x:v>F2 - LGS Kapsam + Ustalık</x:v>
      </x:c>
      <x:c r="G1771" s="14" t="str">
        <x:v>14:50</x:v>
      </x:c>
      <x:c r="H1771" s="14" t="str">
        <x:v>15:30</x:v>
      </x:c>
      <x:c r="I1771" s="14" t="str">
        <x:v>Türkçe</x:v>
      </x:c>
      <x:c r="J1771" s="14" t="str">
        <x:v>Kitap / MEB / Mastery</x:v>
      </x:c>
      <x:c r="K1771" s="14" t="str">
        <x:v>Kaynak Tamamlama / Zayıf Konu</x:v>
      </x:c>
      <x:c r="L1771" s="14" t="str">
        <x:v>13 Nisan %100 tamamlama hedefine göre en geride kalan Türkçe soru kaynağını/eksik MEB setini ilerlet; açık yanlışları kapat.</x:v>
      </x:c>
      <x:c r="M1771" s="14" t="str">
        <x:v>Ankara 8. Sınıf Dil Bilgisi Güçlendiren + açık MEB/yanlışlar</x:v>
      </x:c>
      <x:c r="N1771" s="14" t="str">
        <x:v>https://odsgm.meb.gov.tr/www/8sinif-calisma-sorulari/icerik/1632</x:v>
      </x:c>
      <x:c r="O1771" s="14" t="n">
        <x:v>15</x:v>
      </x:c>
      <x:c r="P1771" s="14" t="str">
        <x:v>Hayır</x:v>
      </x:c>
      <x:c r="Q1771" s="14" t="str">
        <x:v>Evet</x:v>
      </x:c>
      <x:c r="R1771" s="14" t="str">
        <x:v>Planlandı</x:v>
      </x:c>
      <x:c r="S1771" s="15" t="str"/>
      <x:c r="T1771" s="14" t="str"/>
    </x:row>
    <x:row r="1772">
      <x:c r="A1772" s="14" t="n">
        <x:v>1771</x:v>
      </x:c>
      <x:c r="B1772" s="15" t="n">
        <x:v>46438</x:v>
      </x:c>
      <x:c r="C1772" s="14" t="str">
        <x:v>Cumartesi</x:v>
      </x:c>
      <x:c r="D1772" s="14" t="str">
        <x:v>Hafta Sonu</x:v>
      </x:c>
      <x:c r="E1772" s="14" t="str">
        <x:v>Tam gün</x:v>
      </x:c>
      <x:c r="F1772" s="14" t="str">
        <x:v>F2 - LGS Kapsam + Ustalık</x:v>
      </x:c>
      <x:c r="G1772" s="14" t="str">
        <x:v>15:45</x:v>
      </x:c>
      <x:c r="H1772" s="14" t="str">
        <x:v>16:25</x:v>
      </x:c>
      <x:c r="I1772" s="14" t="str">
        <x:v>İnkılap</x:v>
      </x:c>
      <x:c r="J1772" s="14" t="str">
        <x:v>Konu / Tekrar</x:v>
      </x:c>
      <x:c r="K1772" s="14" t="str">
        <x:v>Atatürk Dönemi Türk Dış Politikası</x:v>
      </x:c>
      <x:c r="L1772" s="14" t="str">
        <x:v>Atatürk Dönemi Türk Dış Politikası — genel oynatma listesinden ilgili konu/soru çalışmasını yap.</x:v>
      </x:c>
      <x:c r="M1772" s="14" t="str">
        <x:v>İnkılap Genel Oynatma Listesi</x:v>
      </x:c>
      <x:c r="N1772" s="14" t="str">
        <x:v>https://www.youtube.com/watch?v=MltIX0oKpYU&amp;list=PLsAsBPsriHNbXit4Ra3iuBrk1ZHZWxsOR&amp;index=78</x:v>
      </x:c>
      <x:c r="O1772" s="14" t="n">
        <x:v>0</x:v>
      </x:c>
      <x:c r="P1772" s="14" t="str">
        <x:v>Hayır</x:v>
      </x:c>
      <x:c r="Q1772" s="14" t="str">
        <x:v>Evet</x:v>
      </x:c>
      <x:c r="R1772" s="14" t="str">
        <x:v>Planlandı</x:v>
      </x:c>
      <x:c r="S1772" s="15" t="str"/>
      <x:c r="T1772" s="14" t="str">
        <x:v>İnkılapta okul yazılısı videoları zorunlu değildir.</x:v>
      </x:c>
    </x:row>
    <x:row r="1773">
      <x:c r="A1773" s="14" t="n">
        <x:v>1772</x:v>
      </x:c>
      <x:c r="B1773" s="15" t="n">
        <x:v>46438</x:v>
      </x:c>
      <x:c r="C1773" s="14" t="str">
        <x:v>Cumartesi</x:v>
      </x:c>
      <x:c r="D1773" s="14" t="str">
        <x:v>Hafta Sonu</x:v>
      </x:c>
      <x:c r="E1773" s="14" t="str">
        <x:v>Tam gün</x:v>
      </x:c>
      <x:c r="F1773" s="14" t="str">
        <x:v>F2 - LGS Kapsam + Ustalık</x:v>
      </x:c>
      <x:c r="G1773" s="14" t="str">
        <x:v>16:35</x:v>
      </x:c>
      <x:c r="H1773" s="14" t="str">
        <x:v>17:15</x:v>
      </x:c>
      <x:c r="I1773" s="14" t="str">
        <x:v>İnkılap</x:v>
      </x:c>
      <x:c r="J1773" s="14" t="str">
        <x:v>Kitap / MEB / Mastery</x:v>
      </x:c>
      <x:c r="K1773" s="14" t="str">
        <x:v>Atatürk Dönemi Türk Dış Politikası</x:v>
      </x:c>
      <x:c r="L1773" s="14" t="str">
        <x:v>Atatürk Dönemi Türk Dış Politikası ile ilgili soru kitabından en az 20 soru / bugünkü test payını çöz.</x:v>
      </x:c>
      <x:c r="M1773" s="14" t="str">
        <x:v>Hız 8. Sınıf T.C. İnkılap Tarihi ve Atatürkçülük</x:v>
      </x:c>
      <x:c r="N1773" s="14" t="str">
        <x:v>https://www.youtube.com/watch?v=MltIX0oKpYU&amp;list=PLsAsBPsriHNbXit4Ra3iuBrk1ZHZWxsOR&amp;index=78</x:v>
      </x:c>
      <x:c r="O1773" s="14" t="n">
        <x:v>20</x:v>
      </x:c>
      <x:c r="P1773" s="14" t="str">
        <x:v>Hayır</x:v>
      </x:c>
      <x:c r="Q1773" s="14" t="str">
        <x:v>Evet</x:v>
      </x:c>
      <x:c r="R1773" s="14" t="str">
        <x:v>Planlandı</x:v>
      </x:c>
      <x:c r="S1773" s="15" t="str"/>
      <x:c r="T1773" s="14" t="str"/>
    </x:row>
    <x:row r="1774">
      <x:c r="A1774" s="14" t="n">
        <x:v>1773</x:v>
      </x:c>
      <x:c r="B1774" s="15" t="n">
        <x:v>46438</x:v>
      </x:c>
      <x:c r="C1774" s="14" t="str">
        <x:v>Cumartesi</x:v>
      </x:c>
      <x:c r="D1774" s="14" t="str">
        <x:v>Hafta Sonu</x:v>
      </x:c>
      <x:c r="E1774" s="14" t="str">
        <x:v>Tam gün</x:v>
      </x:c>
      <x:c r="F1774" s="14" t="str">
        <x:v>F2 - LGS Kapsam + Ustalık</x:v>
      </x:c>
      <x:c r="G1774" s="14" t="str">
        <x:v>17:25</x:v>
      </x:c>
      <x:c r="H1774" s="14" t="str">
        <x:v>17:55</x:v>
      </x:c>
      <x:c r="I1774" s="14" t="str">
        <x:v>Fen</x:v>
      </x:c>
      <x:c r="J1774" s="14" t="str">
        <x:v>Ek Fen Pekiştirme</x:v>
      </x:c>
      <x:c r="K1774" s="14" t="str">
        <x:v>Solunum</x:v>
      </x:c>
      <x:c r="L1774" s="14" t="str">
        <x:v>Solunum — MEB doğrulaması öncesi 5-10 dk aktif hatırlama; gerekiyorsa ilgili playlist videosuna kısa dönüş yap.</x:v>
      </x:c>
      <x:c r="M1774" s="14" t="str">
        <x:v>Fen Konu/Soru Oynatma Listesi</x:v>
      </x:c>
      <x:c r="N1774" s="14" t="str">
        <x:v>https://www.youtube.com/watch?v=pQXhWnDZ3vM&amp;list=PLrQm7mt99FRXcBnorCttd31HJEvg0En26&amp;index=23</x:v>
      </x:c>
      <x:c r="O1774" s="14" t="n">
        <x:v>0</x:v>
      </x:c>
      <x:c r="P1774" s="14" t="str">
        <x:v>Hayır</x:v>
      </x:c>
      <x:c r="Q1774" s="14" t="str">
        <x:v>Evet</x:v>
      </x:c>
      <x:c r="R1774" s="14" t="str">
        <x:v>Planlandı</x:v>
      </x:c>
      <x:c r="S1774" s="15" t="str"/>
      <x:c r="T1774" s="14" t="str">
        <x:v>Fen haftalık temas sıklığını artırmak için ek Cumartesi oturumu.</x:v>
      </x:c>
    </x:row>
    <x:row r="1775">
      <x:c r="A1775" s="14" t="n">
        <x:v>1774</x:v>
      </x:c>
      <x:c r="B1775" s="15" t="n">
        <x:v>46438</x:v>
      </x:c>
      <x:c r="C1775" s="14" t="str">
        <x:v>Cumartesi</x:v>
      </x:c>
      <x:c r="D1775" s="14" t="str">
        <x:v>Hafta Sonu</x:v>
      </x:c>
      <x:c r="E1775" s="14" t="str">
        <x:v>Tam gün</x:v>
      </x:c>
      <x:c r="F1775" s="14" t="str">
        <x:v>F2 - LGS Kapsam + Ustalık</x:v>
      </x:c>
      <x:c r="G1775" s="14" t="str">
        <x:v>17:55</x:v>
      </x:c>
      <x:c r="H1775" s="14" t="str">
        <x:v>18:25</x:v>
      </x:c>
      <x:c r="I1775" s="14" t="str">
        <x:v>Fen</x:v>
      </x:c>
      <x:c r="J1775" s="14" t="str">
        <x:v>Ek Fen Kitap / MEB</x:v>
      </x:c>
      <x:c r="K1775" s="14" t="str">
        <x:v>Solunum</x:v>
      </x:c>
      <x:c r="L1775" s="14" t="str">
        <x:v>Solunum için ilgili MEB sorularını TAMAMLA; D/Y/B kaydet. Bu oturum konu mastery gate'idir.</x:v>
      </x:c>
      <x:c r="M1775" s="14" t="str">
        <x:v>MEB 8. Sınıf Fen Soruları</x:v>
      </x:c>
      <x:c r="N1775" s="14" t="str">
        <x:v>https://odsgm.meb.gov.tr/www/8sinif-calisma-sorulari/icerik/1632</x:v>
      </x:c>
      <x:c r="O1775" s="14" t="n">
        <x:v>0</x:v>
      </x:c>
      <x:c r="P1775" s="14" t="str">
        <x:v>Hayır</x:v>
      </x:c>
      <x:c r="Q1775" s="14" t="str">
        <x:v>Evet</x:v>
      </x:c>
      <x:c r="R1775" s="14" t="str">
        <x:v>Planlandı</x:v>
      </x:c>
      <x:c r="S1775" s="15" t="str"/>
      <x:c r="T1775" s="14" t="str">
        <x:v>Fen için Hız → gerekiyorsa Mozaik; MEB doğrulaması konu bitiminde.</x:v>
      </x:c>
    </x:row>
    <x:row r="1776">
      <x:c r="A1776" s="14" t="n">
        <x:v>1775</x:v>
      </x:c>
      <x:c r="B1776" s="15" t="n">
        <x:v>46438</x:v>
      </x:c>
      <x:c r="C1776" s="14" t="str">
        <x:v>Cumartesi</x:v>
      </x:c>
      <x:c r="D1776" s="14" t="str">
        <x:v>Hafta Sonu</x:v>
      </x:c>
      <x:c r="E1776" s="14" t="str">
        <x:v>Tam gün</x:v>
      </x:c>
      <x:c r="F1776" s="14" t="str">
        <x:v>F2 - LGS Kapsam + Ustalık</x:v>
      </x:c>
      <x:c r="G1776" s="14" t="str">
        <x:v>18:25</x:v>
      </x:c>
      <x:c r="H1776" s="14" t="str">
        <x:v>18:45</x:v>
      </x:c>
      <x:c r="I1776" s="14" t="str">
        <x:v>Genel</x:v>
      </x:c>
      <x:c r="J1776" s="14" t="str">
        <x:v>Yanlış / Boş Analizi</x:v>
      </x:c>
      <x:c r="K1776" s="14" t="str">
        <x:v>Günlük</x:v>
      </x:c>
      <x:c r="L1776" s="14" t="str">
        <x:v>Bugünkü yanlış/boşları kaydet; çözümünü öğrenmeden kapatma. Hata türünü sınıflandır.</x:v>
      </x:c>
      <x:c r="M1776" s="14" t="str">
        <x:v>Yanlış Defteri</x:v>
      </x:c>
      <x:c r="N1776" s="14" t="str"/>
      <x:c r="O1776" s="14" t="n">
        <x:v>0</x:v>
      </x:c>
      <x:c r="P1776" s="14" t="str">
        <x:v>Hayır</x:v>
      </x:c>
      <x:c r="Q1776" s="14" t="str">
        <x:v>Evet</x:v>
      </x:c>
      <x:c r="R1776" s="14" t="str">
        <x:v>Planlandı</x:v>
      </x:c>
      <x:c r="S1776" s="15" t="str"/>
      <x:c r="T1776" s="14" t="str"/>
    </x:row>
    <x:row r="1777">
      <x:c r="A1777" s="14" t="n">
        <x:v>1776</x:v>
      </x:c>
      <x:c r="B1777" s="15" t="n">
        <x:v>46438</x:v>
      </x:c>
      <x:c r="C1777" s="14" t="str">
        <x:v>Cumartesi</x:v>
      </x:c>
      <x:c r="D1777" s="14" t="str">
        <x:v>Hafta Sonu</x:v>
      </x:c>
      <x:c r="E1777" s="14" t="str">
        <x:v>Tam gün</x:v>
      </x:c>
      <x:c r="F1777" s="14" t="str">
        <x:v>F2 - LGS Kapsam + Ustalık</x:v>
      </x:c>
      <x:c r="G1777" s="14" t="str">
        <x:v>18:45</x:v>
      </x:c>
      <x:c r="H1777" s="14" t="str">
        <x:v>19:05</x:v>
      </x:c>
      <x:c r="I1777" s="14" t="str">
        <x:v>Genel</x:v>
      </x:c>
      <x:c r="J1777" s="14" t="str">
        <x:v>Aralıklı Hata Tekrarı</x:v>
      </x:c>
      <x:c r="K1777" s="14" t="str">
        <x:v>+1 / +7 / +21</x:v>
      </x:c>
      <x:c r="L1777" s="14" t="str">
        <x:v>Bugün vadesi gelen yanlış soruları tekrar çöz. Vadesi yoksa bu süre serbest/okuma olabilir.</x:v>
      </x:c>
      <x:c r="M1777" s="14" t="str">
        <x:v>Yanlış Defteri</x:v>
      </x:c>
      <x:c r="N1777" s="14" t="str"/>
      <x:c r="O1777" s="14" t="n">
        <x:v>0</x:v>
      </x:c>
      <x:c r="P1777" s="14" t="str">
        <x:v>Hayır</x:v>
      </x:c>
      <x:c r="Q1777" s="14" t="str">
        <x:v>Koşullu</x:v>
      </x:c>
      <x:c r="R1777" s="14" t="str">
        <x:v>Planlandı</x:v>
      </x:c>
      <x:c r="S1777" s="15" t="str"/>
      <x:c r="T1777" s="14" t="str">
        <x:v>Yanlışlar +1, +7 ve +21 gün aralıklarıyla tekrar edilir; hâlâ yanlışsa konu mastery durumu düşürülür.</x:v>
      </x:c>
    </x:row>
    <x:row r="1778">
      <x:c r="A1778" s="14" t="n">
        <x:v>1777</x:v>
      </x:c>
      <x:c r="B1778" s="15" t="n">
        <x:v>46438</x:v>
      </x:c>
      <x:c r="C1778" s="14" t="str">
        <x:v>Cumartesi</x:v>
      </x:c>
      <x:c r="D1778" s="14" t="str">
        <x:v>Hafta Sonu</x:v>
      </x:c>
      <x:c r="E1778" s="14" t="str">
        <x:v>Tam gün</x:v>
      </x:c>
      <x:c r="F1778" s="14" t="str">
        <x:v>F2 - LGS Kapsam + Ustalık</x:v>
      </x:c>
      <x:c r="G1778" s="14" t="str">
        <x:v>20:00</x:v>
      </x:c>
      <x:c r="H1778" s="14" t="str">
        <x:v>20:30</x:v>
      </x:c>
      <x:c r="I1778" s="14" t="str">
        <x:v>Okuma</x:v>
      </x:c>
      <x:c r="J1778" s="14" t="str">
        <x:v>İsteğe Bağlı</x:v>
      </x:c>
      <x:c r="K1778" s="14" t="str">
        <x:v>Serbest Kitap</x:v>
      </x:c>
      <x:c r="L1778" s="14" t="str">
        <x:v>Zorunlu çalışmalar bittiyse isteğe bağlı kitap oku.</x:v>
      </x:c>
      <x:c r="M1778" s="14" t="str">
        <x:v>Serbest Kitap</x:v>
      </x:c>
      <x:c r="N1778" s="14" t="str"/>
      <x:c r="O1778" s="14" t="n">
        <x:v>0</x:v>
      </x:c>
      <x:c r="P1778" s="14" t="str">
        <x:v>İsteğe Bağlı</x:v>
      </x:c>
      <x:c r="Q1778" s="14" t="str">
        <x:v>Hayır</x:v>
      </x:c>
      <x:c r="R1778" s="14" t="str">
        <x:v>Planlandı</x:v>
      </x:c>
      <x:c r="S1778" s="15" t="str"/>
      <x:c r="T1778" s="14" t="str">
        <x:v>Minimum süre yok.</x:v>
      </x:c>
    </x:row>
    <x:row r="1779">
      <x:c r="A1779" s="14" t="n">
        <x:v>1778</x:v>
      </x:c>
      <x:c r="B1779" s="15" t="n">
        <x:v>46438</x:v>
      </x:c>
      <x:c r="C1779" s="14" t="str">
        <x:v>Cumartesi</x:v>
      </x:c>
      <x:c r="D1779" s="14" t="str">
        <x:v>Hafta Sonu</x:v>
      </x:c>
      <x:c r="E1779" s="14" t="str">
        <x:v>Tam gün</x:v>
      </x:c>
      <x:c r="F1779" s="14" t="str">
        <x:v>F2 - LGS Kapsam + Ustalık</x:v>
      </x:c>
      <x:c r="G1779" s="14" t="str">
        <x:v>21:50</x:v>
      </x:c>
      <x:c r="H1779" s="14" t="str">
        <x:v>22:00</x:v>
      </x:c>
      <x:c r="I1779" s="14" t="str">
        <x:v>Genel</x:v>
      </x:c>
      <x:c r="J1779" s="14" t="str">
        <x:v>Uyku Hazırlığı</x:v>
      </x:c>
      <x:c r="K1779" s="14" t="str"/>
      <x:c r="L1779" s="14" t="str">
        <x:v>22:00'de yatakta ve uyku.</x:v>
      </x:c>
      <x:c r="M1779" s="14" t="str"/>
      <x:c r="N1779" s="14" t="str"/>
      <x:c r="O1779" s="14" t="n">
        <x:v>0</x:v>
      </x:c>
      <x:c r="P1779" s="14" t="str">
        <x:v>Hayır</x:v>
      </x:c>
      <x:c r="Q1779" s="14" t="str">
        <x:v>Hayır</x:v>
      </x:c>
      <x:c r="R1779" s="14" t="str">
        <x:v>Planlandı</x:v>
      </x:c>
      <x:c r="S1779" s="15" t="str"/>
      <x:c r="T1779" s="14" t="str"/>
    </x:row>
    <x:row r="1780">
      <x:c r="A1780" s="14" t="n">
        <x:v>1779</x:v>
      </x:c>
      <x:c r="B1780" s="15" t="n">
        <x:v>46439</x:v>
      </x:c>
      <x:c r="C1780" s="14" t="str">
        <x:v>Pazar</x:v>
      </x:c>
      <x:c r="D1780" s="14" t="str">
        <x:v>Hafta Sonu</x:v>
      </x:c>
      <x:c r="E1780" s="14" t="str">
        <x:v>Tam gün</x:v>
      </x:c>
      <x:c r="F1780" s="14" t="str">
        <x:v>F2 - LGS Kapsam + Ustalık</x:v>
      </x:c>
      <x:c r="G1780" s="14" t="str">
        <x:v>09:30</x:v>
      </x:c>
      <x:c r="H1780" s="14" t="str">
        <x:v>10:15</x:v>
      </x:c>
      <x:c r="I1780" s="14" t="str">
        <x:v>Matematik</x:v>
      </x:c>
      <x:c r="J1780" s="14" t="str">
        <x:v>Konu / Tekrar</x:v>
      </x:c>
      <x:c r="K1780" s="14" t="str">
        <x:v>Kaynak Tamamlama / Zayıf Konu</x:v>
      </x:c>
      <x:c r="L1780" s="14" t="str">
        <x:v>Yeni konu açma. En zayıf/açık konunun ilgili playlist videosunu yalnız gerekiyorsa tekrar izle.</x:v>
      </x:c>
      <x:c r="M1780" s="14" t="str">
        <x:v>Matematik Ana Oynatma Listesi</x:v>
      </x:c>
      <x:c r="N1780" s="14" t="str">
        <x:v>https://www.youtube.com/watch?v=EuJ89QzqrAg&amp;list=PLicNtF7vp6fnfDqrRLH6H7fIbzYT4ct4F&amp;index=11</x:v>
      </x:c>
      <x:c r="O1780" s="14" t="n">
        <x:v>0</x:v>
      </x:c>
      <x:c r="P1780" s="14" t="str">
        <x:v>Hayır</x:v>
      </x:c>
      <x:c r="Q1780" s="14" t="str">
        <x:v>Evet</x:v>
      </x:c>
      <x:c r="R1780" s="14" t="str">
        <x:v>Planlandı</x:v>
      </x:c>
      <x:c r="S1780" s="15" t="str"/>
      <x:c r="T1780" s="14" t="str">
        <x:v>Yeni konu ancak plan sırasıyla açılır; LGS dışı ileri TYT içeriği zorunlu değildir.</x:v>
      </x:c>
    </x:row>
    <x:row r="1781">
      <x:c r="A1781" s="14" t="n">
        <x:v>1780</x:v>
      </x:c>
      <x:c r="B1781" s="15" t="n">
        <x:v>46439</x:v>
      </x:c>
      <x:c r="C1781" s="14" t="str">
        <x:v>Pazar</x:v>
      </x:c>
      <x:c r="D1781" s="14" t="str">
        <x:v>Hafta Sonu</x:v>
      </x:c>
      <x:c r="E1781" s="14" t="str">
        <x:v>Tam gün</x:v>
      </x:c>
      <x:c r="F1781" s="14" t="str">
        <x:v>F2 - LGS Kapsam + Ustalık</x:v>
      </x:c>
      <x:c r="G1781" s="14" t="str">
        <x:v>10:25</x:v>
      </x:c>
      <x:c r="H1781" s="14" t="str">
        <x:v>11:15</x:v>
      </x:c>
      <x:c r="I1781" s="14" t="str">
        <x:v>Matematik</x:v>
      </x:c>
      <x:c r="J1781" s="14" t="str">
        <x:v>Kitap / MEB / Mastery</x:v>
      </x:c>
      <x:c r="K1781" s="14" t="str">
        <x:v>Kaynak Tamamlama / Zayıf Konu</x:v>
      </x:c>
      <x:c r="L1781" s="14" t="str">
        <x:v>13 Nisan %100 tamamlama hedefine göre en geride kalan Matematik soru kaynağını/eksik MEB setini ilerlet; açık yanlışları kapat.</x:v>
      </x:c>
      <x:c r="M1781" s="14" t="str">
        <x:v>MUBA 8. Sınıf Başlangıç Matematik (ISBN 9789756526972) → tamamlandıysa Mozaik 8. Sınıf Matematik; açık MEB/yanlışlar</x:v>
      </x:c>
      <x:c r="N1781" s="14" t="str">
        <x:v>https://odsgm.meb.gov.tr/www/8sinif-calisma-sorulari/icerik/1632</x:v>
      </x:c>
      <x:c r="O1781" s="14" t="n">
        <x:v>30</x:v>
      </x:c>
      <x:c r="P1781" s="14" t="str">
        <x:v>İlk 20 soru</x:v>
      </x:c>
      <x:c r="Q1781" s="14" t="str">
        <x:v>Evet</x:v>
      </x:c>
      <x:c r="R1781" s="14" t="str">
        <x:v>Planlandı</x:v>
      </x:c>
      <x:c r="S1781" s="15" t="str"/>
      <x:c r="T1781" s="14" t="str">
        <x:v>Ayrı/rastgele matematik benchmark yoktur. Süreli ilk 20 soru o gün çalışılan konunun içindedir.</x:v>
      </x:c>
    </x:row>
    <x:row r="1782">
      <x:c r="A1782" s="14" t="n">
        <x:v>1781</x:v>
      </x:c>
      <x:c r="B1782" s="15" t="n">
        <x:v>46439</x:v>
      </x:c>
      <x:c r="C1782" s="14" t="str">
        <x:v>Pazar</x:v>
      </x:c>
      <x:c r="D1782" s="14" t="str">
        <x:v>Hafta Sonu</x:v>
      </x:c>
      <x:c r="E1782" s="14" t="str">
        <x:v>Tam gün</x:v>
      </x:c>
      <x:c r="F1782" s="14" t="str">
        <x:v>F2 - LGS Kapsam + Ustalık</x:v>
      </x:c>
      <x:c r="G1782" s="14" t="str">
        <x:v>12:00</x:v>
      </x:c>
      <x:c r="H1782" s="14" t="str">
        <x:v>14:00</x:v>
      </x:c>
      <x:c r="I1782" s="14" t="str">
        <x:v>Genel</x:v>
      </x:c>
      <x:c r="J1782" s="14" t="str">
        <x:v>Yemek / Serbest Zaman</x:v>
      </x:c>
      <x:c r="K1782" s="14" t="str"/>
      <x:c r="L1782" s="14" t="str">
        <x:v>Yemek, hareket ve dinlenme.</x:v>
      </x:c>
      <x:c r="M1782" s="14" t="str"/>
      <x:c r="N1782" s="14" t="str"/>
      <x:c r="O1782" s="14" t="n">
        <x:v>0</x:v>
      </x:c>
      <x:c r="P1782" s="14" t="str">
        <x:v>Hayır</x:v>
      </x:c>
      <x:c r="Q1782" s="14" t="str">
        <x:v>Hayır</x:v>
      </x:c>
      <x:c r="R1782" s="14" t="str">
        <x:v>Planlandı</x:v>
      </x:c>
      <x:c r="S1782" s="15" t="str"/>
      <x:c r="T1782" s="14" t="str"/>
    </x:row>
    <x:row r="1783">
      <x:c r="A1783" s="14" t="n">
        <x:v>1782</x:v>
      </x:c>
      <x:c r="B1783" s="15" t="n">
        <x:v>46439</x:v>
      </x:c>
      <x:c r="C1783" s="14" t="str">
        <x:v>Pazar</x:v>
      </x:c>
      <x:c r="D1783" s="14" t="str">
        <x:v>Hafta Sonu</x:v>
      </x:c>
      <x:c r="E1783" s="14" t="str">
        <x:v>Tam gün</x:v>
      </x:c>
      <x:c r="F1783" s="14" t="str">
        <x:v>F2 - LGS Kapsam + Ustalık</x:v>
      </x:c>
      <x:c r="G1783" s="14" t="str">
        <x:v>11:25</x:v>
      </x:c>
      <x:c r="H1783" s="14" t="str">
        <x:v>11:55</x:v>
      </x:c>
      <x:c r="I1783" s="14" t="str">
        <x:v>Türkçe</x:v>
      </x:c>
      <x:c r="J1783" s="14" t="str">
        <x:v>Paragraf Rutini</x:v>
      </x:c>
      <x:c r="K1783" s="14" t="str">
        <x:v>Paragraf</x:v>
      </x:c>
      <x:c r="L1783" s="14" t="str">
        <x:v>En az 30 paragraf sorusu çöz; ilk 20 soruyu ileri sayımla ölç, D/Y/B + süre kaydet.</x:v>
      </x:c>
      <x:c r="M1783" s="14" t="str">
        <x:v>Hız 8. Sınıf Türkçe Paragraf (ISBN 9786258394498)</x:v>
      </x:c>
      <x:c r="N1783" s="14" t="str"/>
      <x:c r="O1783" s="14" t="n">
        <x:v>30</x:v>
      </x:c>
      <x:c r="P1783" s="14" t="str">
        <x:v>İlk 20 soru</x:v>
      </x:c>
      <x:c r="Q1783" s="14" t="str">
        <x:v>Evet</x:v>
      </x:c>
      <x:c r="R1783" s="14" t="str">
        <x:v>Planlandı</x:v>
      </x:c>
      <x:c r="S1783" s="15" t="str"/>
      <x:c r="T1783" s="14" t="str">
        <x:v>Geri sayım ve hedef süre yok.</x:v>
      </x:c>
    </x:row>
    <x:row r="1784">
      <x:c r="A1784" s="14" t="n">
        <x:v>1783</x:v>
      </x:c>
      <x:c r="B1784" s="15" t="n">
        <x:v>46439</x:v>
      </x:c>
      <x:c r="C1784" s="14" t="str">
        <x:v>Pazar</x:v>
      </x:c>
      <x:c r="D1784" s="14" t="str">
        <x:v>Hafta Sonu</x:v>
      </x:c>
      <x:c r="E1784" s="14" t="str">
        <x:v>Tam gün</x:v>
      </x:c>
      <x:c r="F1784" s="14" t="str">
        <x:v>F2 - LGS Kapsam + Ustalık</x:v>
      </x:c>
      <x:c r="G1784" s="14" t="str">
        <x:v>14:00</x:v>
      </x:c>
      <x:c r="H1784" s="14" t="str">
        <x:v>14:40</x:v>
      </x:c>
      <x:c r="I1784" s="14" t="str">
        <x:v>Türkçe</x:v>
      </x:c>
      <x:c r="J1784" s="14" t="str">
        <x:v>Konu / Tekrar</x:v>
      </x:c>
      <x:c r="K1784" s="14" t="str">
        <x:v>Kaynak Tamamlama / Zayıf Konu</x:v>
      </x:c>
      <x:c r="L1784" s="14" t="str">
        <x:v>Yeni konu açma. En zayıf/açık konunun ilgili playlist videosunu yalnız gerekiyorsa tekrar izle.</x:v>
      </x:c>
      <x:c r="M1784" s="14" t="str">
        <x:v>Türkçe Ana Oynatma Listesi</x:v>
      </x:c>
      <x:c r="N1784" s="14" t="str">
        <x:v>https://www.youtube.com/watch?v=VYsPntNKVdw&amp;list=PLIBjFaUoJJ91bz7QQEBlxNJNZka5YQRr6</x:v>
      </x:c>
      <x:c r="O1784" s="14" t="n">
        <x:v>0</x:v>
      </x:c>
      <x:c r="P1784" s="14" t="str">
        <x:v>Hayır</x:v>
      </x:c>
      <x:c r="Q1784" s="14" t="str">
        <x:v>Evet</x:v>
      </x:c>
      <x:c r="R1784" s="14" t="str">
        <x:v>Planlandı</x:v>
      </x:c>
      <x:c r="S1784" s="15" t="str"/>
      <x:c r="T1784" s="14" t="str">
        <x:v>TYT etiketli kaynak temelden başlamak için sabittir; LGS dışı gereksiz ayrıntı zorunlu değildir.</x:v>
      </x:c>
    </x:row>
    <x:row r="1785">
      <x:c r="A1785" s="14" t="n">
        <x:v>1784</x:v>
      </x:c>
      <x:c r="B1785" s="15" t="n">
        <x:v>46439</x:v>
      </x:c>
      <x:c r="C1785" s="14" t="str">
        <x:v>Pazar</x:v>
      </x:c>
      <x:c r="D1785" s="14" t="str">
        <x:v>Hafta Sonu</x:v>
      </x:c>
      <x:c r="E1785" s="14" t="str">
        <x:v>Tam gün</x:v>
      </x:c>
      <x:c r="F1785" s="14" t="str">
        <x:v>F2 - LGS Kapsam + Ustalık</x:v>
      </x:c>
      <x:c r="G1785" s="14" t="str">
        <x:v>14:50</x:v>
      </x:c>
      <x:c r="H1785" s="14" t="str">
        <x:v>15:30</x:v>
      </x:c>
      <x:c r="I1785" s="14" t="str">
        <x:v>Türkçe</x:v>
      </x:c>
      <x:c r="J1785" s="14" t="str">
        <x:v>Kitap / MEB / Mastery</x:v>
      </x:c>
      <x:c r="K1785" s="14" t="str">
        <x:v>Kaynak Tamamlama / Zayıf Konu</x:v>
      </x:c>
      <x:c r="L1785" s="14" t="str">
        <x:v>13 Nisan %100 tamamlama hedefine göre en geride kalan Türkçe soru kaynağını/eksik MEB setini ilerlet; açık yanlışları kapat.</x:v>
      </x:c>
      <x:c r="M1785" s="14" t="str">
        <x:v>Ankara 8. Sınıf Dil Bilgisi Güçlendiren + açık MEB/yanlışlar</x:v>
      </x:c>
      <x:c r="N1785" s="14" t="str">
        <x:v>https://odsgm.meb.gov.tr/www/8sinif-calisma-sorulari/icerik/1632</x:v>
      </x:c>
      <x:c r="O1785" s="14" t="n">
        <x:v>15</x:v>
      </x:c>
      <x:c r="P1785" s="14" t="str">
        <x:v>Hayır</x:v>
      </x:c>
      <x:c r="Q1785" s="14" t="str">
        <x:v>Evet</x:v>
      </x:c>
      <x:c r="R1785" s="14" t="str">
        <x:v>Planlandı</x:v>
      </x:c>
      <x:c r="S1785" s="15" t="str"/>
      <x:c r="T1785" s="14" t="str"/>
    </x:row>
    <x:row r="1786">
      <x:c r="A1786" s="14" t="n">
        <x:v>1785</x:v>
      </x:c>
      <x:c r="B1786" s="15" t="n">
        <x:v>46439</x:v>
      </x:c>
      <x:c r="C1786" s="14" t="str">
        <x:v>Pazar</x:v>
      </x:c>
      <x:c r="D1786" s="14" t="str">
        <x:v>Hafta Sonu</x:v>
      </x:c>
      <x:c r="E1786" s="14" t="str">
        <x:v>Tam gün</x:v>
      </x:c>
      <x:c r="F1786" s="14" t="str">
        <x:v>F2 - LGS Kapsam + Ustalık</x:v>
      </x:c>
      <x:c r="G1786" s="14" t="str">
        <x:v>15:45</x:v>
      </x:c>
      <x:c r="H1786" s="14" t="str">
        <x:v>16:25</x:v>
      </x:c>
      <x:c r="I1786" s="14" t="str">
        <x:v>İngilizce</x:v>
      </x:c>
      <x:c r="J1786" s="14" t="str">
        <x:v>Konu / Tekrar</x:v>
      </x:c>
      <x:c r="K1786" s="14" t="str">
        <x:v>Unit 9 - Science</x:v>
      </x:c>
      <x:c r="L1786" s="14" t="str">
        <x:v>Unit 9 - Science — MEB doğrulaması öncesi 5-10 dk aktif hatırlama; gerekiyorsa ilgili playlist videosuna kısa dönüş yap.</x:v>
      </x:c>
      <x:c r="M1786" s="14" t="str">
        <x:v>İngilizce Genel Oynatma Listesi</x:v>
      </x:c>
      <x:c r="N1786" s="14" t="str">
        <x:v>https://www.youtube.com/watch?v=FaY3dFjZbns&amp;list=PLSgpQDrUSYp94WgE9pzpHiOG5FwxnZBrr</x:v>
      </x:c>
      <x:c r="O1786" s="14" t="n">
        <x:v>0</x:v>
      </x:c>
      <x:c r="P1786" s="14" t="str">
        <x:v>Hayır</x:v>
      </x:c>
      <x:c r="Q1786" s="14" t="str">
        <x:v>Evet</x:v>
      </x:c>
      <x:c r="R1786" s="14" t="str">
        <x:v>Planlandı</x:v>
      </x:c>
      <x:c r="S1786" s="15" t="str"/>
      <x:c r="T1786" s="14" t="str"/>
    </x:row>
    <x:row r="1787">
      <x:c r="A1787" s="14" t="n">
        <x:v>1786</x:v>
      </x:c>
      <x:c r="B1787" s="15" t="n">
        <x:v>46439</x:v>
      </x:c>
      <x:c r="C1787" s="14" t="str">
        <x:v>Pazar</x:v>
      </x:c>
      <x:c r="D1787" s="14" t="str">
        <x:v>Hafta Sonu</x:v>
      </x:c>
      <x:c r="E1787" s="14" t="str">
        <x:v>Tam gün</x:v>
      </x:c>
      <x:c r="F1787" s="14" t="str">
        <x:v>F2 - LGS Kapsam + Ustalık</x:v>
      </x:c>
      <x:c r="G1787" s="14" t="str">
        <x:v>16:35</x:v>
      </x:c>
      <x:c r="H1787" s="14" t="str">
        <x:v>17:15</x:v>
      </x:c>
      <x:c r="I1787" s="14" t="str">
        <x:v>İngilizce</x:v>
      </x:c>
      <x:c r="J1787" s="14" t="str">
        <x:v>Kitap / MEB / Mastery</x:v>
      </x:c>
      <x:c r="K1787" s="14" t="str">
        <x:v>Unit 9 - Science</x:v>
      </x:c>
      <x:c r="L1787" s="14" t="str">
        <x:v>Unit 9 - Science için ilgili MEB sorularını TAMAMLA; D/Y/B kaydet. Bu oturum konu mastery gate'idir.</x:v>
      </x:c>
      <x:c r="M1787" s="14" t="str">
        <x:v>MEB 8. Sınıf İngilizce Soruları</x:v>
      </x:c>
      <x:c r="N1787" s="14" t="str">
        <x:v>https://odsgm.meb.gov.tr/www/8sinif-calisma-sorulari/icerik/1632</x:v>
      </x:c>
      <x:c r="O1787" s="14" t="n">
        <x:v>0</x:v>
      </x:c>
      <x:c r="P1787" s="14" t="str">
        <x:v>Hayır</x:v>
      </x:c>
      <x:c r="Q1787" s="14" t="str">
        <x:v>Evet</x:v>
      </x:c>
      <x:c r="R1787" s="14" t="str">
        <x:v>Planlandı</x:v>
      </x:c>
      <x:c r="S1787" s="15" t="str"/>
      <x:c r="T1787" s="14" t="str">
        <x:v>MEB sonucu Konu_Ustaligi sayfasına işlenir.</x:v>
      </x:c>
    </x:row>
    <x:row r="1788">
      <x:c r="A1788" s="14" t="n">
        <x:v>1787</x:v>
      </x:c>
      <x:c r="B1788" s="15" t="n">
        <x:v>46439</x:v>
      </x:c>
      <x:c r="C1788" s="14" t="str">
        <x:v>Pazar</x:v>
      </x:c>
      <x:c r="D1788" s="14" t="str">
        <x:v>Hafta Sonu</x:v>
      </x:c>
      <x:c r="E1788" s="14" t="str">
        <x:v>Tam gün</x:v>
      </x:c>
      <x:c r="F1788" s="14" t="str">
        <x:v>F2 - LGS Kapsam + Ustalık</x:v>
      </x:c>
      <x:c r="G1788" s="14" t="str">
        <x:v>17:25</x:v>
      </x:c>
      <x:c r="H1788" s="14" t="str">
        <x:v>18:25</x:v>
      </x:c>
      <x:c r="I1788" s="14" t="str">
        <x:v>Genel</x:v>
      </x:c>
      <x:c r="J1788" s="14" t="str">
        <x:v>Kaynak Tamamlama</x:v>
      </x:c>
      <x:c r="K1788" s="14" t="str">
        <x:v>En Geride Kalan Kaynak</x:v>
      </x:c>
      <x:c r="L1788" s="14" t="str">
        <x:v>Kaynak_Ilerleme sayfasında hedef yüzdesinin en gerisinde kalan ZORUNLU soru kaynağına 60 dk ayır. Öğrenilmemiş konudan ileri gitme.</x:v>
      </x:c>
      <x:c r="M1788" s="14" t="str">
        <x:v>Kaynak İlerleme</x:v>
      </x:c>
      <x:c r="N1788" s="14" t="str"/>
      <x:c r="O1788" s="14" t="n">
        <x:v>0</x:v>
      </x:c>
      <x:c r="P1788" s="14" t="str">
        <x:v>Hayır</x:v>
      </x:c>
      <x:c r="Q1788" s="14" t="str">
        <x:v>Evet</x:v>
      </x:c>
      <x:c r="R1788" s="14" t="str">
        <x:v>Planlandı</x:v>
      </x:c>
      <x:c r="S1788" s="15" t="str"/>
      <x:c r="T1788" s="14" t="str">
        <x:v>Amaç 13.04.2027'de zorunlu soru kitapları + ilgili MEB setlerini %100 tamamlamak.</x:v>
      </x:c>
    </x:row>
    <x:row r="1789">
      <x:c r="A1789" s="14" t="n">
        <x:v>1788</x:v>
      </x:c>
      <x:c r="B1789" s="15" t="n">
        <x:v>46439</x:v>
      </x:c>
      <x:c r="C1789" s="14" t="str">
        <x:v>Pazar</x:v>
      </x:c>
      <x:c r="D1789" s="14" t="str">
        <x:v>Hafta Sonu</x:v>
      </x:c>
      <x:c r="E1789" s="14" t="str">
        <x:v>Tam gün</x:v>
      </x:c>
      <x:c r="F1789" s="14" t="str">
        <x:v>F2 - LGS Kapsam + Ustalık</x:v>
      </x:c>
      <x:c r="G1789" s="14" t="str">
        <x:v>18:25</x:v>
      </x:c>
      <x:c r="H1789" s="14" t="str">
        <x:v>18:45</x:v>
      </x:c>
      <x:c r="I1789" s="14" t="str">
        <x:v>Genel</x:v>
      </x:c>
      <x:c r="J1789" s="14" t="str">
        <x:v>Yanlış / Boş Analizi</x:v>
      </x:c>
      <x:c r="K1789" s="14" t="str">
        <x:v>Günlük</x:v>
      </x:c>
      <x:c r="L1789" s="14" t="str">
        <x:v>Bugünkü yanlış/boşları kaydet; çözümünü öğrenmeden kapatma. Hata türünü sınıflandır.</x:v>
      </x:c>
      <x:c r="M1789" s="14" t="str">
        <x:v>Yanlış Defteri</x:v>
      </x:c>
      <x:c r="N1789" s="14" t="str"/>
      <x:c r="O1789" s="14" t="n">
        <x:v>0</x:v>
      </x:c>
      <x:c r="P1789" s="14" t="str">
        <x:v>Hayır</x:v>
      </x:c>
      <x:c r="Q1789" s="14" t="str">
        <x:v>Evet</x:v>
      </x:c>
      <x:c r="R1789" s="14" t="str">
        <x:v>Planlandı</x:v>
      </x:c>
      <x:c r="S1789" s="15" t="str"/>
      <x:c r="T1789" s="14" t="str"/>
    </x:row>
    <x:row r="1790">
      <x:c r="A1790" s="14" t="n">
        <x:v>1789</x:v>
      </x:c>
      <x:c r="B1790" s="15" t="n">
        <x:v>46439</x:v>
      </x:c>
      <x:c r="C1790" s="14" t="str">
        <x:v>Pazar</x:v>
      </x:c>
      <x:c r="D1790" s="14" t="str">
        <x:v>Hafta Sonu</x:v>
      </x:c>
      <x:c r="E1790" s="14" t="str">
        <x:v>Tam gün</x:v>
      </x:c>
      <x:c r="F1790" s="14" t="str">
        <x:v>F2 - LGS Kapsam + Ustalık</x:v>
      </x:c>
      <x:c r="G1790" s="14" t="str">
        <x:v>18:45</x:v>
      </x:c>
      <x:c r="H1790" s="14" t="str">
        <x:v>19:05</x:v>
      </x:c>
      <x:c r="I1790" s="14" t="str">
        <x:v>Genel</x:v>
      </x:c>
      <x:c r="J1790" s="14" t="str">
        <x:v>Aralıklı Hata Tekrarı</x:v>
      </x:c>
      <x:c r="K1790" s="14" t="str">
        <x:v>+1 / +7 / +21</x:v>
      </x:c>
      <x:c r="L1790" s="14" t="str">
        <x:v>Bugün vadesi gelen yanlış soruları tekrar çöz. Vadesi yoksa bu süre serbest/okuma olabilir.</x:v>
      </x:c>
      <x:c r="M1790" s="14" t="str">
        <x:v>Yanlış Defteri</x:v>
      </x:c>
      <x:c r="N1790" s="14" t="str"/>
      <x:c r="O1790" s="14" t="n">
        <x:v>0</x:v>
      </x:c>
      <x:c r="P1790" s="14" t="str">
        <x:v>Hayır</x:v>
      </x:c>
      <x:c r="Q1790" s="14" t="str">
        <x:v>Koşullu</x:v>
      </x:c>
      <x:c r="R1790" s="14" t="str">
        <x:v>Planlandı</x:v>
      </x:c>
      <x:c r="S1790" s="15" t="str"/>
      <x:c r="T1790" s="14" t="str">
        <x:v>Yanlışlar +1, +7 ve +21 gün aralıklarıyla tekrar edilir; hâlâ yanlışsa konu mastery durumu düşürülür.</x:v>
      </x:c>
    </x:row>
    <x:row r="1791">
      <x:c r="A1791" s="14" t="n">
        <x:v>1790</x:v>
      </x:c>
      <x:c r="B1791" s="15" t="n">
        <x:v>46439</x:v>
      </x:c>
      <x:c r="C1791" s="14" t="str">
        <x:v>Pazar</x:v>
      </x:c>
      <x:c r="D1791" s="14" t="str">
        <x:v>Hafta Sonu</x:v>
      </x:c>
      <x:c r="E1791" s="14" t="str">
        <x:v>Tam gün</x:v>
      </x:c>
      <x:c r="F1791" s="14" t="str">
        <x:v>F2 - LGS Kapsam + Ustalık</x:v>
      </x:c>
      <x:c r="G1791" s="14" t="str">
        <x:v>20:00</x:v>
      </x:c>
      <x:c r="H1791" s="14" t="str">
        <x:v>20:30</x:v>
      </x:c>
      <x:c r="I1791" s="14" t="str">
        <x:v>Okuma</x:v>
      </x:c>
      <x:c r="J1791" s="14" t="str">
        <x:v>İsteğe Bağlı</x:v>
      </x:c>
      <x:c r="K1791" s="14" t="str">
        <x:v>Serbest Kitap</x:v>
      </x:c>
      <x:c r="L1791" s="14" t="str">
        <x:v>Zorunlu çalışmalar bittiyse isteğe bağlı kitap oku.</x:v>
      </x:c>
      <x:c r="M1791" s="14" t="str">
        <x:v>Serbest Kitap</x:v>
      </x:c>
      <x:c r="N1791" s="14" t="str"/>
      <x:c r="O1791" s="14" t="n">
        <x:v>0</x:v>
      </x:c>
      <x:c r="P1791" s="14" t="str">
        <x:v>İsteğe Bağlı</x:v>
      </x:c>
      <x:c r="Q1791" s="14" t="str">
        <x:v>Hayır</x:v>
      </x:c>
      <x:c r="R1791" s="14" t="str">
        <x:v>Planlandı</x:v>
      </x:c>
      <x:c r="S1791" s="15" t="str"/>
      <x:c r="T1791" s="14" t="str">
        <x:v>Minimum süre yok.</x:v>
      </x:c>
    </x:row>
    <x:row r="1792">
      <x:c r="A1792" s="14" t="n">
        <x:v>1791</x:v>
      </x:c>
      <x:c r="B1792" s="15" t="n">
        <x:v>46439</x:v>
      </x:c>
      <x:c r="C1792" s="14" t="str">
        <x:v>Pazar</x:v>
      </x:c>
      <x:c r="D1792" s="14" t="str">
        <x:v>Hafta Sonu</x:v>
      </x:c>
      <x:c r="E1792" s="14" t="str">
        <x:v>Tam gün</x:v>
      </x:c>
      <x:c r="F1792" s="14" t="str">
        <x:v>F2 - LGS Kapsam + Ustalık</x:v>
      </x:c>
      <x:c r="G1792" s="14" t="str">
        <x:v>21:50</x:v>
      </x:c>
      <x:c r="H1792" s="14" t="str">
        <x:v>22:00</x:v>
      </x:c>
      <x:c r="I1792" s="14" t="str">
        <x:v>Genel</x:v>
      </x:c>
      <x:c r="J1792" s="14" t="str">
        <x:v>Uyku Hazırlığı</x:v>
      </x:c>
      <x:c r="K1792" s="14" t="str"/>
      <x:c r="L1792" s="14" t="str">
        <x:v>22:00'de yatakta ve uyku.</x:v>
      </x:c>
      <x:c r="M1792" s="14" t="str"/>
      <x:c r="N1792" s="14" t="str"/>
      <x:c r="O1792" s="14" t="n">
        <x:v>0</x:v>
      </x:c>
      <x:c r="P1792" s="14" t="str">
        <x:v>Hayır</x:v>
      </x:c>
      <x:c r="Q1792" s="14" t="str">
        <x:v>Hayır</x:v>
      </x:c>
      <x:c r="R1792" s="14" t="str">
        <x:v>Planlandı</x:v>
      </x:c>
      <x:c r="S1792" s="15" t="str"/>
      <x:c r="T1792" s="14" t="str"/>
    </x:row>
    <x:row r="1793">
      <x:c r="A1793" s="14" t="n">
        <x:v>1792</x:v>
      </x:c>
      <x:c r="B1793" s="15" t="n">
        <x:v>46440</x:v>
      </x:c>
      <x:c r="C1793" s="14" t="str">
        <x:v>Pazartesi</x:v>
      </x:c>
      <x:c r="D1793" s="14" t="str">
        <x:v>Okul Günü</x:v>
      </x:c>
      <x:c r="E1793" s="14" t="str">
        <x:v>16:00 sonrası</x:v>
      </x:c>
      <x:c r="F1793" s="14" t="str">
        <x:v>F2 - LGS Kapsam + Ustalık</x:v>
      </x:c>
      <x:c r="G1793" s="14" t="str">
        <x:v>16:00</x:v>
      </x:c>
      <x:c r="H1793" s="14" t="str">
        <x:v>16:25</x:v>
      </x:c>
      <x:c r="I1793" s="14" t="str">
        <x:v>Genel</x:v>
      </x:c>
      <x:c r="J1793" s="14" t="str">
        <x:v>Dinlenme</x:v>
      </x:c>
      <x:c r="K1793" s="14" t="str"/>
      <x:c r="L1793" s="14" t="str">
        <x:v>Eve geliş, atıştırma ve dinlenme.</x:v>
      </x:c>
      <x:c r="M1793" s="14" t="str"/>
      <x:c r="N1793" s="14" t="str"/>
      <x:c r="O1793" s="14" t="n">
        <x:v>0</x:v>
      </x:c>
      <x:c r="P1793" s="14" t="str">
        <x:v>Hayır</x:v>
      </x:c>
      <x:c r="Q1793" s="14" t="str">
        <x:v>Hayır</x:v>
      </x:c>
      <x:c r="R1793" s="14" t="str">
        <x:v>Planlandı</x:v>
      </x:c>
      <x:c r="S1793" s="15" t="str"/>
      <x:c r="T1793" s="14" t="str"/>
    </x:row>
    <x:row r="1794">
      <x:c r="A1794" s="14" t="n">
        <x:v>1793</x:v>
      </x:c>
      <x:c r="B1794" s="15" t="n">
        <x:v>46440</x:v>
      </x:c>
      <x:c r="C1794" s="14" t="str">
        <x:v>Pazartesi</x:v>
      </x:c>
      <x:c r="D1794" s="14" t="str">
        <x:v>Okul Günü</x:v>
      </x:c>
      <x:c r="E1794" s="14" t="str">
        <x:v>16:00 sonrası</x:v>
      </x:c>
      <x:c r="F1794" s="14" t="str">
        <x:v>F2 - LGS Kapsam + Ustalık</x:v>
      </x:c>
      <x:c r="G1794" s="14" t="str">
        <x:v>16:25</x:v>
      </x:c>
      <x:c r="H1794" s="14" t="str">
        <x:v>17:05</x:v>
      </x:c>
      <x:c r="I1794" s="14" t="str">
        <x:v>Matematik</x:v>
      </x:c>
      <x:c r="J1794" s="14" t="str">
        <x:v>Konu / Tekrar</x:v>
      </x:c>
      <x:c r="K1794" s="14" t="str">
        <x:v>Kaynak Tamamlama / Zayıf Konu</x:v>
      </x:c>
      <x:c r="L1794" s="14" t="str">
        <x:v>Yeni konu açma. En zayıf/açık konunun ilgili playlist videosunu yalnız gerekiyorsa tekrar izle.</x:v>
      </x:c>
      <x:c r="M1794" s="14" t="str">
        <x:v>Matematik Ana Oynatma Listesi</x:v>
      </x:c>
      <x:c r="N1794" s="14" t="str">
        <x:v>https://www.youtube.com/watch?v=EuJ89QzqrAg&amp;list=PLicNtF7vp6fnfDqrRLH6H7fIbzYT4ct4F&amp;index=11</x:v>
      </x:c>
      <x:c r="O1794" s="14" t="n">
        <x:v>0</x:v>
      </x:c>
      <x:c r="P1794" s="14" t="str">
        <x:v>Hayır</x:v>
      </x:c>
      <x:c r="Q1794" s="14" t="str">
        <x:v>Evet</x:v>
      </x:c>
      <x:c r="R1794" s="14" t="str">
        <x:v>Planlandı</x:v>
      </x:c>
      <x:c r="S1794" s="15" t="str"/>
      <x:c r="T1794" s="14" t="str">
        <x:v>Yeni konu ancak plan sırasıyla açılır; LGS dışı ileri TYT içeriği zorunlu değildir.</x:v>
      </x:c>
    </x:row>
    <x:row r="1795">
      <x:c r="A1795" s="14" t="n">
        <x:v>1794</x:v>
      </x:c>
      <x:c r="B1795" s="15" t="n">
        <x:v>46440</x:v>
      </x:c>
      <x:c r="C1795" s="14" t="str">
        <x:v>Pazartesi</x:v>
      </x:c>
      <x:c r="D1795" s="14" t="str">
        <x:v>Okul Günü</x:v>
      </x:c>
      <x:c r="E1795" s="14" t="str">
        <x:v>16:00 sonrası</x:v>
      </x:c>
      <x:c r="F1795" s="14" t="str">
        <x:v>F2 - LGS Kapsam + Ustalık</x:v>
      </x:c>
      <x:c r="G1795" s="14" t="str">
        <x:v>17:10</x:v>
      </x:c>
      <x:c r="H1795" s="14" t="str">
        <x:v>17:55</x:v>
      </x:c>
      <x:c r="I1795" s="14" t="str">
        <x:v>Matematik</x:v>
      </x:c>
      <x:c r="J1795" s="14" t="str">
        <x:v>Kitap / MEB / Mastery</x:v>
      </x:c>
      <x:c r="K1795" s="14" t="str">
        <x:v>Kaynak Tamamlama / Zayıf Konu</x:v>
      </x:c>
      <x:c r="L1795" s="14" t="str">
        <x:v>13 Nisan %100 tamamlama hedefine göre en geride kalan Matematik soru kaynağını/eksik MEB setini ilerlet; açık yanlışları kapat.</x:v>
      </x:c>
      <x:c r="M1795" s="14" t="str">
        <x:v>MUBA 8. Sınıf Başlangıç Matematik (ISBN 9789756526972) → tamamlandıysa Mozaik 8. Sınıf Matematik; açık MEB/yanlışlar</x:v>
      </x:c>
      <x:c r="N1795" s="14" t="str">
        <x:v>https://odsgm.meb.gov.tr/www/8sinif-calisma-sorulari/icerik/1632</x:v>
      </x:c>
      <x:c r="O1795" s="14" t="n">
        <x:v>30</x:v>
      </x:c>
      <x:c r="P1795" s="14" t="str">
        <x:v>İlk 20 soru</x:v>
      </x:c>
      <x:c r="Q1795" s="14" t="str">
        <x:v>Evet</x:v>
      </x:c>
      <x:c r="R1795" s="14" t="str">
        <x:v>Planlandı</x:v>
      </x:c>
      <x:c r="S1795" s="15" t="str"/>
      <x:c r="T1795" s="14" t="str">
        <x:v>Ayrı/rastgele matematik benchmark yoktur. Süreli ilk 20 soru o gün çalışılan konunun içindedir.</x:v>
      </x:c>
    </x:row>
    <x:row r="1796">
      <x:c r="A1796" s="14" t="n">
        <x:v>1795</x:v>
      </x:c>
      <x:c r="B1796" s="15" t="n">
        <x:v>46440</x:v>
      </x:c>
      <x:c r="C1796" s="14" t="str">
        <x:v>Pazartesi</x:v>
      </x:c>
      <x:c r="D1796" s="14" t="str">
        <x:v>Okul Günü</x:v>
      </x:c>
      <x:c r="E1796" s="14" t="str">
        <x:v>16:00 sonrası</x:v>
      </x:c>
      <x:c r="F1796" s="14" t="str">
        <x:v>F2 - LGS Kapsam + Ustalık</x:v>
      </x:c>
      <x:c r="G1796" s="14" t="str">
        <x:v>17:55</x:v>
      </x:c>
      <x:c r="H1796" s="14" t="str">
        <x:v>18:25</x:v>
      </x:c>
      <x:c r="I1796" s="14" t="str">
        <x:v>Genel</x:v>
      </x:c>
      <x:c r="J1796" s="14" t="str">
        <x:v>Yemek / Serbest Zaman</x:v>
      </x:c>
      <x:c r="K1796" s="14" t="str"/>
      <x:c r="L1796" s="14" t="str">
        <x:v>Yemek, hareket ve dinlenme.</x:v>
      </x:c>
      <x:c r="M1796" s="14" t="str"/>
      <x:c r="N1796" s="14" t="str"/>
      <x:c r="O1796" s="14" t="n">
        <x:v>0</x:v>
      </x:c>
      <x:c r="P1796" s="14" t="str">
        <x:v>Hayır</x:v>
      </x:c>
      <x:c r="Q1796" s="14" t="str">
        <x:v>Hayır</x:v>
      </x:c>
      <x:c r="R1796" s="14" t="str">
        <x:v>Planlandı</x:v>
      </x:c>
      <x:c r="S1796" s="15" t="str"/>
      <x:c r="T1796" s="14" t="str"/>
    </x:row>
    <x:row r="1797">
      <x:c r="A1797" s="14" t="n">
        <x:v>1796</x:v>
      </x:c>
      <x:c r="B1797" s="15" t="n">
        <x:v>46440</x:v>
      </x:c>
      <x:c r="C1797" s="14" t="str">
        <x:v>Pazartesi</x:v>
      </x:c>
      <x:c r="D1797" s="14" t="str">
        <x:v>Okul Günü</x:v>
      </x:c>
      <x:c r="E1797" s="14" t="str">
        <x:v>16:00 sonrası</x:v>
      </x:c>
      <x:c r="F1797" s="14" t="str">
        <x:v>F2 - LGS Kapsam + Ustalık</x:v>
      </x:c>
      <x:c r="G1797" s="14" t="str">
        <x:v>18:25</x:v>
      </x:c>
      <x:c r="H1797" s="14" t="str">
        <x:v>18:55</x:v>
      </x:c>
      <x:c r="I1797" s="14" t="str">
        <x:v>Türkçe</x:v>
      </x:c>
      <x:c r="J1797" s="14" t="str">
        <x:v>Paragraf Rutini</x:v>
      </x:c>
      <x:c r="K1797" s="14" t="str">
        <x:v>Paragraf</x:v>
      </x:c>
      <x:c r="L1797" s="14" t="str">
        <x:v>En az 30 paragraf sorusu çöz; ilk 20 soruyu ileri sayımla ölç, D/Y/B + süre kaydet.</x:v>
      </x:c>
      <x:c r="M1797" s="14" t="str">
        <x:v>Hız 8. Sınıf Türkçe Paragraf (ISBN 9786258394498)</x:v>
      </x:c>
      <x:c r="N1797" s="14" t="str"/>
      <x:c r="O1797" s="14" t="n">
        <x:v>30</x:v>
      </x:c>
      <x:c r="P1797" s="14" t="str">
        <x:v>İlk 20 soru</x:v>
      </x:c>
      <x:c r="Q1797" s="14" t="str">
        <x:v>Evet</x:v>
      </x:c>
      <x:c r="R1797" s="14" t="str">
        <x:v>Planlandı</x:v>
      </x:c>
      <x:c r="S1797" s="15" t="str"/>
      <x:c r="T1797" s="14" t="str">
        <x:v>Geri sayım ve hedef süre yok.</x:v>
      </x:c>
    </x:row>
    <x:row r="1798">
      <x:c r="A1798" s="14" t="n">
        <x:v>1797</x:v>
      </x:c>
      <x:c r="B1798" s="15" t="n">
        <x:v>46440</x:v>
      </x:c>
      <x:c r="C1798" s="14" t="str">
        <x:v>Pazartesi</x:v>
      </x:c>
      <x:c r="D1798" s="14" t="str">
        <x:v>Okul Günü</x:v>
      </x:c>
      <x:c r="E1798" s="14" t="str">
        <x:v>16:00 sonrası</x:v>
      </x:c>
      <x:c r="F1798" s="14" t="str">
        <x:v>F2 - LGS Kapsam + Ustalık</x:v>
      </x:c>
      <x:c r="G1798" s="14" t="str">
        <x:v>19:00</x:v>
      </x:c>
      <x:c r="H1798" s="14" t="str">
        <x:v>19:35</x:v>
      </x:c>
      <x:c r="I1798" s="14" t="str">
        <x:v>Türkçe</x:v>
      </x:c>
      <x:c r="J1798" s="14" t="str">
        <x:v>Konu / Tekrar</x:v>
      </x:c>
      <x:c r="K1798" s="14" t="str">
        <x:v>Kaynak Tamamlama / Zayıf Konu</x:v>
      </x:c>
      <x:c r="L1798" s="14" t="str">
        <x:v>Yeni konu açma. En zayıf/açık konunun ilgili playlist videosunu yalnız gerekiyorsa tekrar izle.</x:v>
      </x:c>
      <x:c r="M1798" s="14" t="str">
        <x:v>Türkçe Ana Oynatma Listesi</x:v>
      </x:c>
      <x:c r="N1798" s="14" t="str">
        <x:v>https://www.youtube.com/watch?v=VYsPntNKVdw&amp;list=PLIBjFaUoJJ91bz7QQEBlxNJNZka5YQRr6</x:v>
      </x:c>
      <x:c r="O1798" s="14" t="n">
        <x:v>0</x:v>
      </x:c>
      <x:c r="P1798" s="14" t="str">
        <x:v>Hayır</x:v>
      </x:c>
      <x:c r="Q1798" s="14" t="str">
        <x:v>Evet</x:v>
      </x:c>
      <x:c r="R1798" s="14" t="str">
        <x:v>Planlandı</x:v>
      </x:c>
      <x:c r="S1798" s="15" t="str"/>
      <x:c r="T1798" s="14" t="str">
        <x:v>TYT etiketli kaynak temelden başlamak için sabittir; LGS dışı gereksiz ayrıntı zorunlu değildir.</x:v>
      </x:c>
    </x:row>
    <x:row r="1799">
      <x:c r="A1799" s="14" t="n">
        <x:v>1798</x:v>
      </x:c>
      <x:c r="B1799" s="15" t="n">
        <x:v>46440</x:v>
      </x:c>
      <x:c r="C1799" s="14" t="str">
        <x:v>Pazartesi</x:v>
      </x:c>
      <x:c r="D1799" s="14" t="str">
        <x:v>Okul Günü</x:v>
      </x:c>
      <x:c r="E1799" s="14" t="str">
        <x:v>16:00 sonrası</x:v>
      </x:c>
      <x:c r="F1799" s="14" t="str">
        <x:v>F2 - LGS Kapsam + Ustalık</x:v>
      </x:c>
      <x:c r="G1799" s="14" t="str">
        <x:v>19:40</x:v>
      </x:c>
      <x:c r="H1799" s="14" t="str">
        <x:v>20:10</x:v>
      </x:c>
      <x:c r="I1799" s="14" t="str">
        <x:v>Türkçe</x:v>
      </x:c>
      <x:c r="J1799" s="14" t="str">
        <x:v>Kitap / MEB / Mastery</x:v>
      </x:c>
      <x:c r="K1799" s="14" t="str">
        <x:v>Kaynak Tamamlama / Zayıf Konu</x:v>
      </x:c>
      <x:c r="L1799" s="14" t="str">
        <x:v>13 Nisan %100 tamamlama hedefine göre en geride kalan Türkçe soru kaynağını/eksik MEB setini ilerlet; açık yanlışları kapat.</x:v>
      </x:c>
      <x:c r="M1799" s="14" t="str">
        <x:v>Ankara 8. Sınıf Dil Bilgisi Güçlendiren + açık MEB/yanlışlar</x:v>
      </x:c>
      <x:c r="N1799" s="14" t="str">
        <x:v>https://odsgm.meb.gov.tr/www/8sinif-calisma-sorulari/icerik/1632</x:v>
      </x:c>
      <x:c r="O1799" s="14" t="n">
        <x:v>15</x:v>
      </x:c>
      <x:c r="P1799" s="14" t="str">
        <x:v>Hayır</x:v>
      </x:c>
      <x:c r="Q1799" s="14" t="str">
        <x:v>Evet</x:v>
      </x:c>
      <x:c r="R1799" s="14" t="str">
        <x:v>Planlandı</x:v>
      </x:c>
      <x:c r="S1799" s="15" t="str"/>
      <x:c r="T1799" s="14" t="str"/>
    </x:row>
    <x:row r="1800">
      <x:c r="A1800" s="14" t="n">
        <x:v>1799</x:v>
      </x:c>
      <x:c r="B1800" s="15" t="n">
        <x:v>46440</x:v>
      </x:c>
      <x:c r="C1800" s="14" t="str">
        <x:v>Pazartesi</x:v>
      </x:c>
      <x:c r="D1800" s="14" t="str">
        <x:v>Okul Günü</x:v>
      </x:c>
      <x:c r="E1800" s="14" t="str">
        <x:v>16:00 sonrası</x:v>
      </x:c>
      <x:c r="F1800" s="14" t="str">
        <x:v>F2 - LGS Kapsam + Ustalık</x:v>
      </x:c>
      <x:c r="G1800" s="14" t="str">
        <x:v>20:15</x:v>
      </x:c>
      <x:c r="H1800" s="14" t="str">
        <x:v>20:50</x:v>
      </x:c>
      <x:c r="I1800" s="14" t="str">
        <x:v>Fen</x:v>
      </x:c>
      <x:c r="J1800" s="14" t="str">
        <x:v>Konu / Tekrar</x:v>
      </x:c>
      <x:c r="K1800" s="14" t="str">
        <x:v>Madde Döngüleri ve Sürdürülebilir Kalkınma</x:v>
      </x:c>
      <x:c r="L1800" s="14" t="str">
        <x:v>Madde Döngüleri ve Sürdürülebilir Kalkınma — Fen konu anlatım playlistinden ilgili videoyu izle.</x:v>
      </x:c>
      <x:c r="M1800" s="14" t="str">
        <x:v>Fen Konu Anlatım</x:v>
      </x:c>
      <x:c r="N1800" s="14" t="str">
        <x:v>https://www.youtube.com/watch?v=AHdk01aR4Ko&amp;list=PLrQm7mt99FRV_Oe9xFavWzFpCIl7_XiWj</x:v>
      </x:c>
      <x:c r="O1800" s="14" t="n">
        <x:v>0</x:v>
      </x:c>
      <x:c r="P1800" s="14" t="str">
        <x:v>Hayır</x:v>
      </x:c>
      <x:c r="Q1800" s="14" t="str">
        <x:v>Evet</x:v>
      </x:c>
      <x:c r="R1800" s="14" t="str">
        <x:v>Planlandı</x:v>
      </x:c>
      <x:c r="S1800" s="15" t="str"/>
      <x:c r="T1800" s="14" t="str"/>
    </x:row>
    <x:row r="1801">
      <x:c r="A1801" s="14" t="n">
        <x:v>1800</x:v>
      </x:c>
      <x:c r="B1801" s="15" t="n">
        <x:v>46440</x:v>
      </x:c>
      <x:c r="C1801" s="14" t="str">
        <x:v>Pazartesi</x:v>
      </x:c>
      <x:c r="D1801" s="14" t="str">
        <x:v>Okul Günü</x:v>
      </x:c>
      <x:c r="E1801" s="14" t="str">
        <x:v>16:00 sonrası</x:v>
      </x:c>
      <x:c r="F1801" s="14" t="str">
        <x:v>F2 - LGS Kapsam + Ustalık</x:v>
      </x:c>
      <x:c r="G1801" s="14" t="str">
        <x:v>20:55</x:v>
      </x:c>
      <x:c r="H1801" s="14" t="str">
        <x:v>21:20</x:v>
      </x:c>
      <x:c r="I1801" s="14" t="str">
        <x:v>Fen</x:v>
      </x:c>
      <x:c r="J1801" s="14" t="str">
        <x:v>Kitap / MEB / Mastery</x:v>
      </x:c>
      <x:c r="K1801" s="14" t="str">
        <x:v>Madde Döngüleri ve Sürdürülebilir Kalkınma</x:v>
      </x:c>
      <x:c r="L1801" s="14" t="str">
        <x:v>Madde Döngüleri ve Sürdürülebilir Kalkınma ile ilgili soru kitabından en az 20 soru / bugünkü test payını çöz.</x:v>
      </x:c>
      <x:c r="M1801" s="14" t="str">
        <x:v>Hız 8. Sınıf Fen (ISBN 9786257514859); tamamlandıysa Mozaik 8. Sınıf Fen</x:v>
      </x:c>
      <x:c r="N1801" s="14" t="str">
        <x:v>https://www.youtube.com/watch?v=AHdk01aR4Ko&amp;list=PLrQm7mt99FRV_Oe9xFavWzFpCIl7_XiWj</x:v>
      </x:c>
      <x:c r="O1801" s="14" t="n">
        <x:v>20</x:v>
      </x:c>
      <x:c r="P1801" s="14" t="str">
        <x:v>Hayır</x:v>
      </x:c>
      <x:c r="Q1801" s="14" t="str">
        <x:v>Evet</x:v>
      </x:c>
      <x:c r="R1801" s="14" t="str">
        <x:v>Planlandı</x:v>
      </x:c>
      <x:c r="S1801" s="15" t="str"/>
      <x:c r="T1801" s="14" t="str"/>
    </x:row>
    <x:row r="1802">
      <x:c r="A1802" s="14" t="n">
        <x:v>1801</x:v>
      </x:c>
      <x:c r="B1802" s="15" t="n">
        <x:v>46440</x:v>
      </x:c>
      <x:c r="C1802" s="14" t="str">
        <x:v>Pazartesi</x:v>
      </x:c>
      <x:c r="D1802" s="14" t="str">
        <x:v>Okul Günü</x:v>
      </x:c>
      <x:c r="E1802" s="14" t="str">
        <x:v>16:00 sonrası</x:v>
      </x:c>
      <x:c r="F1802" s="14" t="str">
        <x:v>F2 - LGS Kapsam + Ustalık</x:v>
      </x:c>
      <x:c r="G1802" s="14" t="str">
        <x:v>21:20</x:v>
      </x:c>
      <x:c r="H1802" s="14" t="str">
        <x:v>21:35</x:v>
      </x:c>
      <x:c r="I1802" s="14" t="str">
        <x:v>Genel</x:v>
      </x:c>
      <x:c r="J1802" s="14" t="str">
        <x:v>Yanlış / Boş Analizi</x:v>
      </x:c>
      <x:c r="K1802" s="14" t="str">
        <x:v>Günlük</x:v>
      </x:c>
      <x:c r="L1802" s="14" t="str">
        <x:v>Bugünkü yanlış/boşları kaydet; çözümünü öğrenmeden kapatma. Hata türünü sınıflandır.</x:v>
      </x:c>
      <x:c r="M1802" s="14" t="str">
        <x:v>Yanlış Defteri</x:v>
      </x:c>
      <x:c r="N1802" s="14" t="str"/>
      <x:c r="O1802" s="14" t="n">
        <x:v>0</x:v>
      </x:c>
      <x:c r="P1802" s="14" t="str">
        <x:v>Hayır</x:v>
      </x:c>
      <x:c r="Q1802" s="14" t="str">
        <x:v>Evet</x:v>
      </x:c>
      <x:c r="R1802" s="14" t="str">
        <x:v>Planlandı</x:v>
      </x:c>
      <x:c r="S1802" s="15" t="str"/>
      <x:c r="T1802" s="14" t="str"/>
    </x:row>
    <x:row r="1803">
      <x:c r="A1803" s="14" t="n">
        <x:v>1802</x:v>
      </x:c>
      <x:c r="B1803" s="15" t="n">
        <x:v>46440</x:v>
      </x:c>
      <x:c r="C1803" s="14" t="str">
        <x:v>Pazartesi</x:v>
      </x:c>
      <x:c r="D1803" s="14" t="str">
        <x:v>Okul Günü</x:v>
      </x:c>
      <x:c r="E1803" s="14" t="str">
        <x:v>16:00 sonrası</x:v>
      </x:c>
      <x:c r="F1803" s="14" t="str">
        <x:v>F2 - LGS Kapsam + Ustalık</x:v>
      </x:c>
      <x:c r="G1803" s="14" t="str">
        <x:v>21:35</x:v>
      </x:c>
      <x:c r="H1803" s="14" t="str">
        <x:v>21:50</x:v>
      </x:c>
      <x:c r="I1803" s="14" t="str">
        <x:v>Genel</x:v>
      </x:c>
      <x:c r="J1803" s="14" t="str">
        <x:v>Aralıklı Hata Tekrarı</x:v>
      </x:c>
      <x:c r="K1803" s="14" t="str">
        <x:v>+1 / +7 / +21</x:v>
      </x:c>
      <x:c r="L1803" s="14" t="str">
        <x:v>Bugün vadesi gelen yanlış soruları tekrar çöz. Vadesi yoksa bu süre serbest/okuma olabilir.</x:v>
      </x:c>
      <x:c r="M1803" s="14" t="str">
        <x:v>Yanlış Defteri</x:v>
      </x:c>
      <x:c r="N1803" s="14" t="str"/>
      <x:c r="O1803" s="14" t="n">
        <x:v>0</x:v>
      </x:c>
      <x:c r="P1803" s="14" t="str">
        <x:v>Hayır</x:v>
      </x:c>
      <x:c r="Q1803" s="14" t="str">
        <x:v>Koşullu</x:v>
      </x:c>
      <x:c r="R1803" s="14" t="str">
        <x:v>Planlandı</x:v>
      </x:c>
      <x:c r="S1803" s="15" t="str"/>
      <x:c r="T1803" s="14" t="str">
        <x:v>Yanlışlar +1, +7 ve +21 gün aralıklarıyla tekrar edilir; hâlâ yanlışsa konu mastery durumu düşürülür.</x:v>
      </x:c>
    </x:row>
    <x:row r="1804">
      <x:c r="A1804" s="14" t="n">
        <x:v>1803</x:v>
      </x:c>
      <x:c r="B1804" s="15" t="n">
        <x:v>46440</x:v>
      </x:c>
      <x:c r="C1804" s="14" t="str">
        <x:v>Pazartesi</x:v>
      </x:c>
      <x:c r="D1804" s="14" t="str">
        <x:v>Okul Günü</x:v>
      </x:c>
      <x:c r="E1804" s="14" t="str">
        <x:v>16:00 sonrası</x:v>
      </x:c>
      <x:c r="F1804" s="14" t="str">
        <x:v>F2 - LGS Kapsam + Ustalık</x:v>
      </x:c>
      <x:c r="G1804" s="14" t="str">
        <x:v>21:50</x:v>
      </x:c>
      <x:c r="H1804" s="14" t="str">
        <x:v>22:00</x:v>
      </x:c>
      <x:c r="I1804" s="14" t="str">
        <x:v>Genel</x:v>
      </x:c>
      <x:c r="J1804" s="14" t="str">
        <x:v>Uyku Hazırlığı</x:v>
      </x:c>
      <x:c r="K1804" s="14" t="str"/>
      <x:c r="L1804" s="14" t="str">
        <x:v>22:00'de yatakta ve uyku.</x:v>
      </x:c>
      <x:c r="M1804" s="14" t="str"/>
      <x:c r="N1804" s="14" t="str"/>
      <x:c r="O1804" s="14" t="n">
        <x:v>0</x:v>
      </x:c>
      <x:c r="P1804" s="14" t="str">
        <x:v>Hayır</x:v>
      </x:c>
      <x:c r="Q1804" s="14" t="str">
        <x:v>Hayır</x:v>
      </x:c>
      <x:c r="R1804" s="14" t="str">
        <x:v>Planlandı</x:v>
      </x:c>
      <x:c r="S1804" s="15" t="str"/>
      <x:c r="T1804" s="14" t="str"/>
    </x:row>
    <x:row r="1805">
      <x:c r="A1805" s="14" t="n">
        <x:v>1804</x:v>
      </x:c>
      <x:c r="B1805" s="15" t="n">
        <x:v>46441</x:v>
      </x:c>
      <x:c r="C1805" s="14" t="str">
        <x:v>Salı</x:v>
      </x:c>
      <x:c r="D1805" s="14" t="str">
        <x:v>Okul Günü</x:v>
      </x:c>
      <x:c r="E1805" s="14" t="str">
        <x:v>16:00 sonrası</x:v>
      </x:c>
      <x:c r="F1805" s="14" t="str">
        <x:v>F2 - LGS Kapsam + Ustalık</x:v>
      </x:c>
      <x:c r="G1805" s="14" t="str">
        <x:v>16:00</x:v>
      </x:c>
      <x:c r="H1805" s="14" t="str">
        <x:v>16:25</x:v>
      </x:c>
      <x:c r="I1805" s="14" t="str">
        <x:v>Genel</x:v>
      </x:c>
      <x:c r="J1805" s="14" t="str">
        <x:v>Dinlenme</x:v>
      </x:c>
      <x:c r="K1805" s="14" t="str"/>
      <x:c r="L1805" s="14" t="str">
        <x:v>Eve geliş, atıştırma ve dinlenme.</x:v>
      </x:c>
      <x:c r="M1805" s="14" t="str"/>
      <x:c r="N1805" s="14" t="str"/>
      <x:c r="O1805" s="14" t="n">
        <x:v>0</x:v>
      </x:c>
      <x:c r="P1805" s="14" t="str">
        <x:v>Hayır</x:v>
      </x:c>
      <x:c r="Q1805" s="14" t="str">
        <x:v>Hayır</x:v>
      </x:c>
      <x:c r="R1805" s="14" t="str">
        <x:v>Planlandı</x:v>
      </x:c>
      <x:c r="S1805" s="15" t="str"/>
      <x:c r="T1805" s="14" t="str"/>
    </x:row>
    <x:row r="1806">
      <x:c r="A1806" s="14" t="n">
        <x:v>1805</x:v>
      </x:c>
      <x:c r="B1806" s="15" t="n">
        <x:v>46441</x:v>
      </x:c>
      <x:c r="C1806" s="14" t="str">
        <x:v>Salı</x:v>
      </x:c>
      <x:c r="D1806" s="14" t="str">
        <x:v>Okul Günü</x:v>
      </x:c>
      <x:c r="E1806" s="14" t="str">
        <x:v>16:00 sonrası</x:v>
      </x:c>
      <x:c r="F1806" s="14" t="str">
        <x:v>F2 - LGS Kapsam + Ustalık</x:v>
      </x:c>
      <x:c r="G1806" s="14" t="str">
        <x:v>16:25</x:v>
      </x:c>
      <x:c r="H1806" s="14" t="str">
        <x:v>17:05</x:v>
      </x:c>
      <x:c r="I1806" s="14" t="str">
        <x:v>Matematik</x:v>
      </x:c>
      <x:c r="J1806" s="14" t="str">
        <x:v>Konu / Tekrar</x:v>
      </x:c>
      <x:c r="K1806" s="14" t="str">
        <x:v>Kaynak Tamamlama / Zayıf Konu</x:v>
      </x:c>
      <x:c r="L1806" s="14" t="str">
        <x:v>Yeni konu açma. En zayıf/açık konunun ilgili playlist videosunu yalnız gerekiyorsa tekrar izle.</x:v>
      </x:c>
      <x:c r="M1806" s="14" t="str">
        <x:v>Matematik Ana Oynatma Listesi</x:v>
      </x:c>
      <x:c r="N1806" s="14" t="str">
        <x:v>https://www.youtube.com/watch?v=EuJ89QzqrAg&amp;list=PLicNtF7vp6fnfDqrRLH6H7fIbzYT4ct4F&amp;index=11</x:v>
      </x:c>
      <x:c r="O1806" s="14" t="n">
        <x:v>0</x:v>
      </x:c>
      <x:c r="P1806" s="14" t="str">
        <x:v>Hayır</x:v>
      </x:c>
      <x:c r="Q1806" s="14" t="str">
        <x:v>Evet</x:v>
      </x:c>
      <x:c r="R1806" s="14" t="str">
        <x:v>Planlandı</x:v>
      </x:c>
      <x:c r="S1806" s="15" t="str"/>
      <x:c r="T1806" s="14" t="str">
        <x:v>Yeni konu ancak plan sırasıyla açılır; LGS dışı ileri TYT içeriği zorunlu değildir.</x:v>
      </x:c>
    </x:row>
    <x:row r="1807">
      <x:c r="A1807" s="14" t="n">
        <x:v>1806</x:v>
      </x:c>
      <x:c r="B1807" s="15" t="n">
        <x:v>46441</x:v>
      </x:c>
      <x:c r="C1807" s="14" t="str">
        <x:v>Salı</x:v>
      </x:c>
      <x:c r="D1807" s="14" t="str">
        <x:v>Okul Günü</x:v>
      </x:c>
      <x:c r="E1807" s="14" t="str">
        <x:v>16:00 sonrası</x:v>
      </x:c>
      <x:c r="F1807" s="14" t="str">
        <x:v>F2 - LGS Kapsam + Ustalık</x:v>
      </x:c>
      <x:c r="G1807" s="14" t="str">
        <x:v>17:10</x:v>
      </x:c>
      <x:c r="H1807" s="14" t="str">
        <x:v>17:55</x:v>
      </x:c>
      <x:c r="I1807" s="14" t="str">
        <x:v>Matematik</x:v>
      </x:c>
      <x:c r="J1807" s="14" t="str">
        <x:v>Kitap / MEB / Mastery</x:v>
      </x:c>
      <x:c r="K1807" s="14" t="str">
        <x:v>Kaynak Tamamlama / Zayıf Konu</x:v>
      </x:c>
      <x:c r="L1807" s="14" t="str">
        <x:v>13 Nisan %100 tamamlama hedefine göre en geride kalan Matematik soru kaynağını/eksik MEB setini ilerlet; açık yanlışları kapat.</x:v>
      </x:c>
      <x:c r="M1807" s="14" t="str">
        <x:v>MUBA 8. Sınıf Başlangıç Matematik (ISBN 9789756526972) → tamamlandıysa Mozaik 8. Sınıf Matematik; açık MEB/yanlışlar</x:v>
      </x:c>
      <x:c r="N1807" s="14" t="str">
        <x:v>https://odsgm.meb.gov.tr/www/8sinif-calisma-sorulari/icerik/1632</x:v>
      </x:c>
      <x:c r="O1807" s="14" t="n">
        <x:v>30</x:v>
      </x:c>
      <x:c r="P1807" s="14" t="str">
        <x:v>İlk 20 soru</x:v>
      </x:c>
      <x:c r="Q1807" s="14" t="str">
        <x:v>Evet</x:v>
      </x:c>
      <x:c r="R1807" s="14" t="str">
        <x:v>Planlandı</x:v>
      </x:c>
      <x:c r="S1807" s="15" t="str"/>
      <x:c r="T1807" s="14" t="str">
        <x:v>Ayrı/rastgele matematik benchmark yoktur. Süreli ilk 20 soru o gün çalışılan konunun içindedir.</x:v>
      </x:c>
    </x:row>
    <x:row r="1808">
      <x:c r="A1808" s="14" t="n">
        <x:v>1807</x:v>
      </x:c>
      <x:c r="B1808" s="15" t="n">
        <x:v>46441</x:v>
      </x:c>
      <x:c r="C1808" s="14" t="str">
        <x:v>Salı</x:v>
      </x:c>
      <x:c r="D1808" s="14" t="str">
        <x:v>Okul Günü</x:v>
      </x:c>
      <x:c r="E1808" s="14" t="str">
        <x:v>16:00 sonrası</x:v>
      </x:c>
      <x:c r="F1808" s="14" t="str">
        <x:v>F2 - LGS Kapsam + Ustalık</x:v>
      </x:c>
      <x:c r="G1808" s="14" t="str">
        <x:v>17:55</x:v>
      </x:c>
      <x:c r="H1808" s="14" t="str">
        <x:v>18:25</x:v>
      </x:c>
      <x:c r="I1808" s="14" t="str">
        <x:v>Genel</x:v>
      </x:c>
      <x:c r="J1808" s="14" t="str">
        <x:v>Yemek / Serbest Zaman</x:v>
      </x:c>
      <x:c r="K1808" s="14" t="str"/>
      <x:c r="L1808" s="14" t="str">
        <x:v>Yemek, hareket ve dinlenme.</x:v>
      </x:c>
      <x:c r="M1808" s="14" t="str"/>
      <x:c r="N1808" s="14" t="str"/>
      <x:c r="O1808" s="14" t="n">
        <x:v>0</x:v>
      </x:c>
      <x:c r="P1808" s="14" t="str">
        <x:v>Hayır</x:v>
      </x:c>
      <x:c r="Q1808" s="14" t="str">
        <x:v>Hayır</x:v>
      </x:c>
      <x:c r="R1808" s="14" t="str">
        <x:v>Planlandı</x:v>
      </x:c>
      <x:c r="S1808" s="15" t="str"/>
      <x:c r="T1808" s="14" t="str"/>
    </x:row>
    <x:row r="1809">
      <x:c r="A1809" s="14" t="n">
        <x:v>1808</x:v>
      </x:c>
      <x:c r="B1809" s="15" t="n">
        <x:v>46441</x:v>
      </x:c>
      <x:c r="C1809" s="14" t="str">
        <x:v>Salı</x:v>
      </x:c>
      <x:c r="D1809" s="14" t="str">
        <x:v>Okul Günü</x:v>
      </x:c>
      <x:c r="E1809" s="14" t="str">
        <x:v>16:00 sonrası</x:v>
      </x:c>
      <x:c r="F1809" s="14" t="str">
        <x:v>F2 - LGS Kapsam + Ustalık</x:v>
      </x:c>
      <x:c r="G1809" s="14" t="str">
        <x:v>18:25</x:v>
      </x:c>
      <x:c r="H1809" s="14" t="str">
        <x:v>18:55</x:v>
      </x:c>
      <x:c r="I1809" s="14" t="str">
        <x:v>Türkçe</x:v>
      </x:c>
      <x:c r="J1809" s="14" t="str">
        <x:v>Paragraf Rutini</x:v>
      </x:c>
      <x:c r="K1809" s="14" t="str">
        <x:v>Paragraf</x:v>
      </x:c>
      <x:c r="L1809" s="14" t="str">
        <x:v>En az 30 paragraf sorusu çöz; ilk 20 soruyu ileri sayımla ölç, D/Y/B + süre kaydet.</x:v>
      </x:c>
      <x:c r="M1809" s="14" t="str">
        <x:v>Hız 8. Sınıf Türkçe Paragraf (ISBN 9786258394498)</x:v>
      </x:c>
      <x:c r="N1809" s="14" t="str"/>
      <x:c r="O1809" s="14" t="n">
        <x:v>30</x:v>
      </x:c>
      <x:c r="P1809" s="14" t="str">
        <x:v>İlk 20 soru</x:v>
      </x:c>
      <x:c r="Q1809" s="14" t="str">
        <x:v>Evet</x:v>
      </x:c>
      <x:c r="R1809" s="14" t="str">
        <x:v>Planlandı</x:v>
      </x:c>
      <x:c r="S1809" s="15" t="str"/>
      <x:c r="T1809" s="14" t="str">
        <x:v>Geri sayım ve hedef süre yok.</x:v>
      </x:c>
    </x:row>
    <x:row r="1810">
      <x:c r="A1810" s="14" t="n">
        <x:v>1809</x:v>
      </x:c>
      <x:c r="B1810" s="15" t="n">
        <x:v>46441</x:v>
      </x:c>
      <x:c r="C1810" s="14" t="str">
        <x:v>Salı</x:v>
      </x:c>
      <x:c r="D1810" s="14" t="str">
        <x:v>Okul Günü</x:v>
      </x:c>
      <x:c r="E1810" s="14" t="str">
        <x:v>16:00 sonrası</x:v>
      </x:c>
      <x:c r="F1810" s="14" t="str">
        <x:v>F2 - LGS Kapsam + Ustalık</x:v>
      </x:c>
      <x:c r="G1810" s="14" t="str">
        <x:v>19:00</x:v>
      </x:c>
      <x:c r="H1810" s="14" t="str">
        <x:v>19:35</x:v>
      </x:c>
      <x:c r="I1810" s="14" t="str">
        <x:v>Türkçe</x:v>
      </x:c>
      <x:c r="J1810" s="14" t="str">
        <x:v>Konu / Tekrar</x:v>
      </x:c>
      <x:c r="K1810" s="14" t="str">
        <x:v>Kaynak Tamamlama / Zayıf Konu</x:v>
      </x:c>
      <x:c r="L1810" s="14" t="str">
        <x:v>Yeni konu açma. En zayıf/açık konunun ilgili playlist videosunu yalnız gerekiyorsa tekrar izle.</x:v>
      </x:c>
      <x:c r="M1810" s="14" t="str">
        <x:v>Türkçe Ana Oynatma Listesi</x:v>
      </x:c>
      <x:c r="N1810" s="14" t="str">
        <x:v>https://www.youtube.com/watch?v=VYsPntNKVdw&amp;list=PLIBjFaUoJJ91bz7QQEBlxNJNZka5YQRr6</x:v>
      </x:c>
      <x:c r="O1810" s="14" t="n">
        <x:v>0</x:v>
      </x:c>
      <x:c r="P1810" s="14" t="str">
        <x:v>Hayır</x:v>
      </x:c>
      <x:c r="Q1810" s="14" t="str">
        <x:v>Evet</x:v>
      </x:c>
      <x:c r="R1810" s="14" t="str">
        <x:v>Planlandı</x:v>
      </x:c>
      <x:c r="S1810" s="15" t="str"/>
      <x:c r="T1810" s="14" t="str">
        <x:v>TYT etiketli kaynak temelden başlamak için sabittir; LGS dışı gereksiz ayrıntı zorunlu değildir.</x:v>
      </x:c>
    </x:row>
    <x:row r="1811">
      <x:c r="A1811" s="14" t="n">
        <x:v>1810</x:v>
      </x:c>
      <x:c r="B1811" s="15" t="n">
        <x:v>46441</x:v>
      </x:c>
      <x:c r="C1811" s="14" t="str">
        <x:v>Salı</x:v>
      </x:c>
      <x:c r="D1811" s="14" t="str">
        <x:v>Okul Günü</x:v>
      </x:c>
      <x:c r="E1811" s="14" t="str">
        <x:v>16:00 sonrası</x:v>
      </x:c>
      <x:c r="F1811" s="14" t="str">
        <x:v>F2 - LGS Kapsam + Ustalık</x:v>
      </x:c>
      <x:c r="G1811" s="14" t="str">
        <x:v>19:40</x:v>
      </x:c>
      <x:c r="H1811" s="14" t="str">
        <x:v>20:10</x:v>
      </x:c>
      <x:c r="I1811" s="14" t="str">
        <x:v>Türkçe</x:v>
      </x:c>
      <x:c r="J1811" s="14" t="str">
        <x:v>Kitap / MEB / Mastery</x:v>
      </x:c>
      <x:c r="K1811" s="14" t="str">
        <x:v>Kaynak Tamamlama / Zayıf Konu</x:v>
      </x:c>
      <x:c r="L1811" s="14" t="str">
        <x:v>13 Nisan %100 tamamlama hedefine göre en geride kalan Türkçe soru kaynağını/eksik MEB setini ilerlet; açık yanlışları kapat.</x:v>
      </x:c>
      <x:c r="M1811" s="14" t="str">
        <x:v>Ankara 8. Sınıf Dil Bilgisi Güçlendiren + açık MEB/yanlışlar</x:v>
      </x:c>
      <x:c r="N1811" s="14" t="str">
        <x:v>https://odsgm.meb.gov.tr/www/8sinif-calisma-sorulari/icerik/1632</x:v>
      </x:c>
      <x:c r="O1811" s="14" t="n">
        <x:v>15</x:v>
      </x:c>
      <x:c r="P1811" s="14" t="str">
        <x:v>Hayır</x:v>
      </x:c>
      <x:c r="Q1811" s="14" t="str">
        <x:v>Evet</x:v>
      </x:c>
      <x:c r="R1811" s="14" t="str">
        <x:v>Planlandı</x:v>
      </x:c>
      <x:c r="S1811" s="15" t="str"/>
      <x:c r="T1811" s="14" t="str"/>
    </x:row>
    <x:row r="1812">
      <x:c r="A1812" s="14" t="n">
        <x:v>1811</x:v>
      </x:c>
      <x:c r="B1812" s="15" t="n">
        <x:v>46441</x:v>
      </x:c>
      <x:c r="C1812" s="14" t="str">
        <x:v>Salı</x:v>
      </x:c>
      <x:c r="D1812" s="14" t="str">
        <x:v>Okul Günü</x:v>
      </x:c>
      <x:c r="E1812" s="14" t="str">
        <x:v>16:00 sonrası</x:v>
      </x:c>
      <x:c r="F1812" s="14" t="str">
        <x:v>F2 - LGS Kapsam + Ustalık</x:v>
      </x:c>
      <x:c r="G1812" s="14" t="str">
        <x:v>20:15</x:v>
      </x:c>
      <x:c r="H1812" s="14" t="str">
        <x:v>20:50</x:v>
      </x:c>
      <x:c r="I1812" s="14" t="str">
        <x:v>Din</x:v>
      </x:c>
      <x:c r="J1812" s="14" t="str">
        <x:v>Konu / Tekrar</x:v>
      </x:c>
      <x:c r="K1812" s="14" t="str">
        <x:v>Kaynak Tamamlama / Zayıf Konu</x:v>
      </x:c>
      <x:c r="L1812" s="14" t="str">
        <x:v>Yeni konu açma. En zayıf/açık konunun ilgili playlist videosunu yalnız gerekiyorsa tekrar izle.</x:v>
      </x:c>
      <x:c r="M1812" s="14" t="str">
        <x:v>Din Genel Oynatma Listesi</x:v>
      </x:c>
      <x:c r="N1812" s="14" t="str">
        <x:v>https://www.youtube.com/watch?v=wvdOE_75VnA&amp;list=PLbRoPq-Zu-SWXGUbVt4t4UWo-4VjsMUo-&amp;index=2</x:v>
      </x:c>
      <x:c r="O1812" s="14" t="n">
        <x:v>0</x:v>
      </x:c>
      <x:c r="P1812" s="14" t="str">
        <x:v>Hayır</x:v>
      </x:c>
      <x:c r="Q1812" s="14" t="str">
        <x:v>Evet</x:v>
      </x:c>
      <x:c r="R1812" s="14" t="str">
        <x:v>Planlandı</x:v>
      </x:c>
      <x:c r="S1812" s="15" t="str"/>
      <x:c r="T1812" s="14" t="str"/>
    </x:row>
    <x:row r="1813">
      <x:c r="A1813" s="14" t="n">
        <x:v>1812</x:v>
      </x:c>
      <x:c r="B1813" s="15" t="n">
        <x:v>46441</x:v>
      </x:c>
      <x:c r="C1813" s="14" t="str">
        <x:v>Salı</x:v>
      </x:c>
      <x:c r="D1813" s="14" t="str">
        <x:v>Okul Günü</x:v>
      </x:c>
      <x:c r="E1813" s="14" t="str">
        <x:v>16:00 sonrası</x:v>
      </x:c>
      <x:c r="F1813" s="14" t="str">
        <x:v>F2 - LGS Kapsam + Ustalık</x:v>
      </x:c>
      <x:c r="G1813" s="14" t="str">
        <x:v>20:55</x:v>
      </x:c>
      <x:c r="H1813" s="14" t="str">
        <x:v>21:20</x:v>
      </x:c>
      <x:c r="I1813" s="14" t="str">
        <x:v>Din</x:v>
      </x:c>
      <x:c r="J1813" s="14" t="str">
        <x:v>Kitap / MEB / Mastery</x:v>
      </x:c>
      <x:c r="K1813" s="14" t="str">
        <x:v>Kaynak Tamamlama / Zayıf Konu</x:v>
      </x:c>
      <x:c r="L1813" s="14" t="str">
        <x:v>13 Nisan %100 tamamlama hedefine göre en geride kalan Din soru kaynağını/eksik MEB setini ilerlet; açık yanlışları kapat.</x:v>
      </x:c>
      <x:c r="M1813" s="14" t="str">
        <x:v>Hız 8. Sınıf Din Kültürü ve Ahlak Bilgisi + açık MEB/yanlışlar</x:v>
      </x:c>
      <x:c r="N1813" s="14" t="str">
        <x:v>https://odsgm.meb.gov.tr/www/8sinif-calisma-sorulari/icerik/1632</x:v>
      </x:c>
      <x:c r="O1813" s="14" t="n">
        <x:v>20</x:v>
      </x:c>
      <x:c r="P1813" s="14" t="str">
        <x:v>Hayır</x:v>
      </x:c>
      <x:c r="Q1813" s="14" t="str">
        <x:v>Evet</x:v>
      </x:c>
      <x:c r="R1813" s="14" t="str">
        <x:v>Planlandı</x:v>
      </x:c>
      <x:c r="S1813" s="15" t="str"/>
      <x:c r="T1813" s="14" t="str"/>
    </x:row>
    <x:row r="1814">
      <x:c r="A1814" s="14" t="n">
        <x:v>1813</x:v>
      </x:c>
      <x:c r="B1814" s="15" t="n">
        <x:v>46441</x:v>
      </x:c>
      <x:c r="C1814" s="14" t="str">
        <x:v>Salı</x:v>
      </x:c>
      <x:c r="D1814" s="14" t="str">
        <x:v>Okul Günü</x:v>
      </x:c>
      <x:c r="E1814" s="14" t="str">
        <x:v>16:00 sonrası</x:v>
      </x:c>
      <x:c r="F1814" s="14" t="str">
        <x:v>F2 - LGS Kapsam + Ustalık</x:v>
      </x:c>
      <x:c r="G1814" s="14" t="str">
        <x:v>21:20</x:v>
      </x:c>
      <x:c r="H1814" s="14" t="str">
        <x:v>21:35</x:v>
      </x:c>
      <x:c r="I1814" s="14" t="str">
        <x:v>Genel</x:v>
      </x:c>
      <x:c r="J1814" s="14" t="str">
        <x:v>Yanlış / Boş Analizi</x:v>
      </x:c>
      <x:c r="K1814" s="14" t="str">
        <x:v>Günlük</x:v>
      </x:c>
      <x:c r="L1814" s="14" t="str">
        <x:v>Bugünkü yanlış/boşları kaydet; çözümünü öğrenmeden kapatma. Hata türünü sınıflandır.</x:v>
      </x:c>
      <x:c r="M1814" s="14" t="str">
        <x:v>Yanlış Defteri</x:v>
      </x:c>
      <x:c r="N1814" s="14" t="str"/>
      <x:c r="O1814" s="14" t="n">
        <x:v>0</x:v>
      </x:c>
      <x:c r="P1814" s="14" t="str">
        <x:v>Hayır</x:v>
      </x:c>
      <x:c r="Q1814" s="14" t="str">
        <x:v>Evet</x:v>
      </x:c>
      <x:c r="R1814" s="14" t="str">
        <x:v>Planlandı</x:v>
      </x:c>
      <x:c r="S1814" s="15" t="str"/>
      <x:c r="T1814" s="14" t="str"/>
    </x:row>
    <x:row r="1815">
      <x:c r="A1815" s="14" t="n">
        <x:v>1814</x:v>
      </x:c>
      <x:c r="B1815" s="15" t="n">
        <x:v>46441</x:v>
      </x:c>
      <x:c r="C1815" s="14" t="str">
        <x:v>Salı</x:v>
      </x:c>
      <x:c r="D1815" s="14" t="str">
        <x:v>Okul Günü</x:v>
      </x:c>
      <x:c r="E1815" s="14" t="str">
        <x:v>16:00 sonrası</x:v>
      </x:c>
      <x:c r="F1815" s="14" t="str">
        <x:v>F2 - LGS Kapsam + Ustalık</x:v>
      </x:c>
      <x:c r="G1815" s="14" t="str">
        <x:v>21:35</x:v>
      </x:c>
      <x:c r="H1815" s="14" t="str">
        <x:v>21:50</x:v>
      </x:c>
      <x:c r="I1815" s="14" t="str">
        <x:v>Genel</x:v>
      </x:c>
      <x:c r="J1815" s="14" t="str">
        <x:v>Aralıklı Hata Tekrarı</x:v>
      </x:c>
      <x:c r="K1815" s="14" t="str">
        <x:v>+1 / +7 / +21</x:v>
      </x:c>
      <x:c r="L1815" s="14" t="str">
        <x:v>Bugün vadesi gelen yanlış soruları tekrar çöz. Vadesi yoksa bu süre serbest/okuma olabilir.</x:v>
      </x:c>
      <x:c r="M1815" s="14" t="str">
        <x:v>Yanlış Defteri</x:v>
      </x:c>
      <x:c r="N1815" s="14" t="str"/>
      <x:c r="O1815" s="14" t="n">
        <x:v>0</x:v>
      </x:c>
      <x:c r="P1815" s="14" t="str">
        <x:v>Hayır</x:v>
      </x:c>
      <x:c r="Q1815" s="14" t="str">
        <x:v>Koşullu</x:v>
      </x:c>
      <x:c r="R1815" s="14" t="str">
        <x:v>Planlandı</x:v>
      </x:c>
      <x:c r="S1815" s="15" t="str"/>
      <x:c r="T1815" s="14" t="str">
        <x:v>Yanlışlar +1, +7 ve +21 gün aralıklarıyla tekrar edilir; hâlâ yanlışsa konu mastery durumu düşürülür.</x:v>
      </x:c>
    </x:row>
    <x:row r="1816">
      <x:c r="A1816" s="14" t="n">
        <x:v>1815</x:v>
      </x:c>
      <x:c r="B1816" s="15" t="n">
        <x:v>46441</x:v>
      </x:c>
      <x:c r="C1816" s="14" t="str">
        <x:v>Salı</x:v>
      </x:c>
      <x:c r="D1816" s="14" t="str">
        <x:v>Okul Günü</x:v>
      </x:c>
      <x:c r="E1816" s="14" t="str">
        <x:v>16:00 sonrası</x:v>
      </x:c>
      <x:c r="F1816" s="14" t="str">
        <x:v>F2 - LGS Kapsam + Ustalık</x:v>
      </x:c>
      <x:c r="G1816" s="14" t="str">
        <x:v>21:50</x:v>
      </x:c>
      <x:c r="H1816" s="14" t="str">
        <x:v>22:00</x:v>
      </x:c>
      <x:c r="I1816" s="14" t="str">
        <x:v>Genel</x:v>
      </x:c>
      <x:c r="J1816" s="14" t="str">
        <x:v>Uyku Hazırlığı</x:v>
      </x:c>
      <x:c r="K1816" s="14" t="str"/>
      <x:c r="L1816" s="14" t="str">
        <x:v>22:00'de yatakta ve uyku.</x:v>
      </x:c>
      <x:c r="M1816" s="14" t="str"/>
      <x:c r="N1816" s="14" t="str"/>
      <x:c r="O1816" s="14" t="n">
        <x:v>0</x:v>
      </x:c>
      <x:c r="P1816" s="14" t="str">
        <x:v>Hayır</x:v>
      </x:c>
      <x:c r="Q1816" s="14" t="str">
        <x:v>Hayır</x:v>
      </x:c>
      <x:c r="R1816" s="14" t="str">
        <x:v>Planlandı</x:v>
      </x:c>
      <x:c r="S1816" s="15" t="str"/>
      <x:c r="T1816" s="14" t="str"/>
    </x:row>
    <x:row r="1817">
      <x:c r="A1817" s="14" t="n">
        <x:v>1816</x:v>
      </x:c>
      <x:c r="B1817" s="15" t="n">
        <x:v>46442</x:v>
      </x:c>
      <x:c r="C1817" s="14" t="str">
        <x:v>Çarşamba</x:v>
      </x:c>
      <x:c r="D1817" s="14" t="str">
        <x:v>Okul Günü</x:v>
      </x:c>
      <x:c r="E1817" s="14" t="str">
        <x:v>16:00 sonrası</x:v>
      </x:c>
      <x:c r="F1817" s="14" t="str">
        <x:v>F2 - LGS Kapsam + Ustalık</x:v>
      </x:c>
      <x:c r="G1817" s="14" t="str">
        <x:v>16:00</x:v>
      </x:c>
      <x:c r="H1817" s="14" t="str">
        <x:v>16:25</x:v>
      </x:c>
      <x:c r="I1817" s="14" t="str">
        <x:v>Genel</x:v>
      </x:c>
      <x:c r="J1817" s="14" t="str">
        <x:v>Dinlenme</x:v>
      </x:c>
      <x:c r="K1817" s="14" t="str"/>
      <x:c r="L1817" s="14" t="str">
        <x:v>Eve geliş, atıştırma ve dinlenme.</x:v>
      </x:c>
      <x:c r="M1817" s="14" t="str"/>
      <x:c r="N1817" s="14" t="str"/>
      <x:c r="O1817" s="14" t="n">
        <x:v>0</x:v>
      </x:c>
      <x:c r="P1817" s="14" t="str">
        <x:v>Hayır</x:v>
      </x:c>
      <x:c r="Q1817" s="14" t="str">
        <x:v>Hayır</x:v>
      </x:c>
      <x:c r="R1817" s="14" t="str">
        <x:v>Planlandı</x:v>
      </x:c>
      <x:c r="S1817" s="15" t="str"/>
      <x:c r="T1817" s="14" t="str"/>
    </x:row>
    <x:row r="1818">
      <x:c r="A1818" s="14" t="n">
        <x:v>1817</x:v>
      </x:c>
      <x:c r="B1818" s="15" t="n">
        <x:v>46442</x:v>
      </x:c>
      <x:c r="C1818" s="14" t="str">
        <x:v>Çarşamba</x:v>
      </x:c>
      <x:c r="D1818" s="14" t="str">
        <x:v>Okul Günü</x:v>
      </x:c>
      <x:c r="E1818" s="14" t="str">
        <x:v>16:00 sonrası</x:v>
      </x:c>
      <x:c r="F1818" s="14" t="str">
        <x:v>F2 - LGS Kapsam + Ustalık</x:v>
      </x:c>
      <x:c r="G1818" s="14" t="str">
        <x:v>16:25</x:v>
      </x:c>
      <x:c r="H1818" s="14" t="str">
        <x:v>17:05</x:v>
      </x:c>
      <x:c r="I1818" s="14" t="str">
        <x:v>Matematik</x:v>
      </x:c>
      <x:c r="J1818" s="14" t="str">
        <x:v>Konu / Tekrar</x:v>
      </x:c>
      <x:c r="K1818" s="14" t="str">
        <x:v>Kaynak Tamamlama / Zayıf Konu</x:v>
      </x:c>
      <x:c r="L1818" s="14" t="str">
        <x:v>Yeni konu açma. En zayıf/açık konunun ilgili playlist videosunu yalnız gerekiyorsa tekrar izle.</x:v>
      </x:c>
      <x:c r="M1818" s="14" t="str">
        <x:v>Matematik Ana Oynatma Listesi</x:v>
      </x:c>
      <x:c r="N1818" s="14" t="str">
        <x:v>https://www.youtube.com/watch?v=EuJ89QzqrAg&amp;list=PLicNtF7vp6fnfDqrRLH6H7fIbzYT4ct4F&amp;index=11</x:v>
      </x:c>
      <x:c r="O1818" s="14" t="n">
        <x:v>0</x:v>
      </x:c>
      <x:c r="P1818" s="14" t="str">
        <x:v>Hayır</x:v>
      </x:c>
      <x:c r="Q1818" s="14" t="str">
        <x:v>Evet</x:v>
      </x:c>
      <x:c r="R1818" s="14" t="str">
        <x:v>Planlandı</x:v>
      </x:c>
      <x:c r="S1818" s="15" t="str"/>
      <x:c r="T1818" s="14" t="str">
        <x:v>Yeni konu ancak plan sırasıyla açılır; LGS dışı ileri TYT içeriği zorunlu değildir.</x:v>
      </x:c>
    </x:row>
    <x:row r="1819">
      <x:c r="A1819" s="14" t="n">
        <x:v>1818</x:v>
      </x:c>
      <x:c r="B1819" s="15" t="n">
        <x:v>46442</x:v>
      </x:c>
      <x:c r="C1819" s="14" t="str">
        <x:v>Çarşamba</x:v>
      </x:c>
      <x:c r="D1819" s="14" t="str">
        <x:v>Okul Günü</x:v>
      </x:c>
      <x:c r="E1819" s="14" t="str">
        <x:v>16:00 sonrası</x:v>
      </x:c>
      <x:c r="F1819" s="14" t="str">
        <x:v>F2 - LGS Kapsam + Ustalık</x:v>
      </x:c>
      <x:c r="G1819" s="14" t="str">
        <x:v>17:10</x:v>
      </x:c>
      <x:c r="H1819" s="14" t="str">
        <x:v>17:55</x:v>
      </x:c>
      <x:c r="I1819" s="14" t="str">
        <x:v>Matematik</x:v>
      </x:c>
      <x:c r="J1819" s="14" t="str">
        <x:v>Kitap / MEB / Mastery</x:v>
      </x:c>
      <x:c r="K1819" s="14" t="str">
        <x:v>Kaynak Tamamlama / Zayıf Konu</x:v>
      </x:c>
      <x:c r="L1819" s="14" t="str">
        <x:v>13 Nisan %100 tamamlama hedefine göre en geride kalan Matematik soru kaynağını/eksik MEB setini ilerlet; açık yanlışları kapat.</x:v>
      </x:c>
      <x:c r="M1819" s="14" t="str">
        <x:v>MUBA 8. Sınıf Başlangıç Matematik (ISBN 9789756526972) → tamamlandıysa Mozaik 8. Sınıf Matematik; açık MEB/yanlışlar</x:v>
      </x:c>
      <x:c r="N1819" s="14" t="str">
        <x:v>https://odsgm.meb.gov.tr/www/8sinif-calisma-sorulari/icerik/1632</x:v>
      </x:c>
      <x:c r="O1819" s="14" t="n">
        <x:v>30</x:v>
      </x:c>
      <x:c r="P1819" s="14" t="str">
        <x:v>İlk 20 soru</x:v>
      </x:c>
      <x:c r="Q1819" s="14" t="str">
        <x:v>Evet</x:v>
      </x:c>
      <x:c r="R1819" s="14" t="str">
        <x:v>Planlandı</x:v>
      </x:c>
      <x:c r="S1819" s="15" t="str"/>
      <x:c r="T1819" s="14" t="str">
        <x:v>Ayrı/rastgele matematik benchmark yoktur. Süreli ilk 20 soru o gün çalışılan konunun içindedir.</x:v>
      </x:c>
    </x:row>
    <x:row r="1820">
      <x:c r="A1820" s="14" t="n">
        <x:v>1819</x:v>
      </x:c>
      <x:c r="B1820" s="15" t="n">
        <x:v>46442</x:v>
      </x:c>
      <x:c r="C1820" s="14" t="str">
        <x:v>Çarşamba</x:v>
      </x:c>
      <x:c r="D1820" s="14" t="str">
        <x:v>Okul Günü</x:v>
      </x:c>
      <x:c r="E1820" s="14" t="str">
        <x:v>16:00 sonrası</x:v>
      </x:c>
      <x:c r="F1820" s="14" t="str">
        <x:v>F2 - LGS Kapsam + Ustalık</x:v>
      </x:c>
      <x:c r="G1820" s="14" t="str">
        <x:v>17:55</x:v>
      </x:c>
      <x:c r="H1820" s="14" t="str">
        <x:v>18:25</x:v>
      </x:c>
      <x:c r="I1820" s="14" t="str">
        <x:v>Genel</x:v>
      </x:c>
      <x:c r="J1820" s="14" t="str">
        <x:v>Yemek / Serbest Zaman</x:v>
      </x:c>
      <x:c r="K1820" s="14" t="str"/>
      <x:c r="L1820" s="14" t="str">
        <x:v>Yemek, hareket ve dinlenme.</x:v>
      </x:c>
      <x:c r="M1820" s="14" t="str"/>
      <x:c r="N1820" s="14" t="str"/>
      <x:c r="O1820" s="14" t="n">
        <x:v>0</x:v>
      </x:c>
      <x:c r="P1820" s="14" t="str">
        <x:v>Hayır</x:v>
      </x:c>
      <x:c r="Q1820" s="14" t="str">
        <x:v>Hayır</x:v>
      </x:c>
      <x:c r="R1820" s="14" t="str">
        <x:v>Planlandı</x:v>
      </x:c>
      <x:c r="S1820" s="15" t="str"/>
      <x:c r="T1820" s="14" t="str"/>
    </x:row>
    <x:row r="1821">
      <x:c r="A1821" s="14" t="n">
        <x:v>1820</x:v>
      </x:c>
      <x:c r="B1821" s="15" t="n">
        <x:v>46442</x:v>
      </x:c>
      <x:c r="C1821" s="14" t="str">
        <x:v>Çarşamba</x:v>
      </x:c>
      <x:c r="D1821" s="14" t="str">
        <x:v>Okul Günü</x:v>
      </x:c>
      <x:c r="E1821" s="14" t="str">
        <x:v>16:00 sonrası</x:v>
      </x:c>
      <x:c r="F1821" s="14" t="str">
        <x:v>F2 - LGS Kapsam + Ustalık</x:v>
      </x:c>
      <x:c r="G1821" s="14" t="str">
        <x:v>18:25</x:v>
      </x:c>
      <x:c r="H1821" s="14" t="str">
        <x:v>18:55</x:v>
      </x:c>
      <x:c r="I1821" s="14" t="str">
        <x:v>Türkçe</x:v>
      </x:c>
      <x:c r="J1821" s="14" t="str">
        <x:v>Paragraf Rutini</x:v>
      </x:c>
      <x:c r="K1821" s="14" t="str">
        <x:v>Paragraf</x:v>
      </x:c>
      <x:c r="L1821" s="14" t="str">
        <x:v>En az 30 paragraf sorusu çöz; ilk 20 soruyu ileri sayımla ölç, D/Y/B + süre kaydet.</x:v>
      </x:c>
      <x:c r="M1821" s="14" t="str">
        <x:v>Hız 8. Sınıf Türkçe Paragraf (ISBN 9786258394498)</x:v>
      </x:c>
      <x:c r="N1821" s="14" t="str"/>
      <x:c r="O1821" s="14" t="n">
        <x:v>30</x:v>
      </x:c>
      <x:c r="P1821" s="14" t="str">
        <x:v>İlk 20 soru</x:v>
      </x:c>
      <x:c r="Q1821" s="14" t="str">
        <x:v>Evet</x:v>
      </x:c>
      <x:c r="R1821" s="14" t="str">
        <x:v>Planlandı</x:v>
      </x:c>
      <x:c r="S1821" s="15" t="str"/>
      <x:c r="T1821" s="14" t="str">
        <x:v>Geri sayım ve hedef süre yok.</x:v>
      </x:c>
    </x:row>
    <x:row r="1822">
      <x:c r="A1822" s="14" t="n">
        <x:v>1821</x:v>
      </x:c>
      <x:c r="B1822" s="15" t="n">
        <x:v>46442</x:v>
      </x:c>
      <x:c r="C1822" s="14" t="str">
        <x:v>Çarşamba</x:v>
      </x:c>
      <x:c r="D1822" s="14" t="str">
        <x:v>Okul Günü</x:v>
      </x:c>
      <x:c r="E1822" s="14" t="str">
        <x:v>16:00 sonrası</x:v>
      </x:c>
      <x:c r="F1822" s="14" t="str">
        <x:v>F2 - LGS Kapsam + Ustalık</x:v>
      </x:c>
      <x:c r="G1822" s="14" t="str">
        <x:v>19:00</x:v>
      </x:c>
      <x:c r="H1822" s="14" t="str">
        <x:v>19:35</x:v>
      </x:c>
      <x:c r="I1822" s="14" t="str">
        <x:v>Türkçe</x:v>
      </x:c>
      <x:c r="J1822" s="14" t="str">
        <x:v>Konu / Tekrar</x:v>
      </x:c>
      <x:c r="K1822" s="14" t="str">
        <x:v>Kaynak Tamamlama / Zayıf Konu</x:v>
      </x:c>
      <x:c r="L1822" s="14" t="str">
        <x:v>Yeni konu açma. En zayıf/açık konunun ilgili playlist videosunu yalnız gerekiyorsa tekrar izle.</x:v>
      </x:c>
      <x:c r="M1822" s="14" t="str">
        <x:v>Türkçe Ana Oynatma Listesi</x:v>
      </x:c>
      <x:c r="N1822" s="14" t="str">
        <x:v>https://www.youtube.com/watch?v=VYsPntNKVdw&amp;list=PLIBjFaUoJJ91bz7QQEBlxNJNZka5YQRr6</x:v>
      </x:c>
      <x:c r="O1822" s="14" t="n">
        <x:v>0</x:v>
      </x:c>
      <x:c r="P1822" s="14" t="str">
        <x:v>Hayır</x:v>
      </x:c>
      <x:c r="Q1822" s="14" t="str">
        <x:v>Evet</x:v>
      </x:c>
      <x:c r="R1822" s="14" t="str">
        <x:v>Planlandı</x:v>
      </x:c>
      <x:c r="S1822" s="15" t="str"/>
      <x:c r="T1822" s="14" t="str">
        <x:v>TYT etiketli kaynak temelden başlamak için sabittir; LGS dışı gereksiz ayrıntı zorunlu değildir.</x:v>
      </x:c>
    </x:row>
    <x:row r="1823">
      <x:c r="A1823" s="14" t="n">
        <x:v>1822</x:v>
      </x:c>
      <x:c r="B1823" s="15" t="n">
        <x:v>46442</x:v>
      </x:c>
      <x:c r="C1823" s="14" t="str">
        <x:v>Çarşamba</x:v>
      </x:c>
      <x:c r="D1823" s="14" t="str">
        <x:v>Okul Günü</x:v>
      </x:c>
      <x:c r="E1823" s="14" t="str">
        <x:v>16:00 sonrası</x:v>
      </x:c>
      <x:c r="F1823" s="14" t="str">
        <x:v>F2 - LGS Kapsam + Ustalık</x:v>
      </x:c>
      <x:c r="G1823" s="14" t="str">
        <x:v>19:40</x:v>
      </x:c>
      <x:c r="H1823" s="14" t="str">
        <x:v>20:10</x:v>
      </x:c>
      <x:c r="I1823" s="14" t="str">
        <x:v>Türkçe</x:v>
      </x:c>
      <x:c r="J1823" s="14" t="str">
        <x:v>Kitap / MEB / Mastery</x:v>
      </x:c>
      <x:c r="K1823" s="14" t="str">
        <x:v>Kaynak Tamamlama / Zayıf Konu</x:v>
      </x:c>
      <x:c r="L1823" s="14" t="str">
        <x:v>13 Nisan %100 tamamlama hedefine göre en geride kalan Türkçe soru kaynağını/eksik MEB setini ilerlet; açık yanlışları kapat.</x:v>
      </x:c>
      <x:c r="M1823" s="14" t="str">
        <x:v>Ankara 8. Sınıf Dil Bilgisi Güçlendiren + açık MEB/yanlışlar</x:v>
      </x:c>
      <x:c r="N1823" s="14" t="str">
        <x:v>https://odsgm.meb.gov.tr/www/8sinif-calisma-sorulari/icerik/1632</x:v>
      </x:c>
      <x:c r="O1823" s="14" t="n">
        <x:v>15</x:v>
      </x:c>
      <x:c r="P1823" s="14" t="str">
        <x:v>Hayır</x:v>
      </x:c>
      <x:c r="Q1823" s="14" t="str">
        <x:v>Evet</x:v>
      </x:c>
      <x:c r="R1823" s="14" t="str">
        <x:v>Planlandı</x:v>
      </x:c>
      <x:c r="S1823" s="15" t="str"/>
      <x:c r="T1823" s="14" t="str"/>
    </x:row>
    <x:row r="1824">
      <x:c r="A1824" s="14" t="n">
        <x:v>1823</x:v>
      </x:c>
      <x:c r="B1824" s="15" t="n">
        <x:v>46442</x:v>
      </x:c>
      <x:c r="C1824" s="14" t="str">
        <x:v>Çarşamba</x:v>
      </x:c>
      <x:c r="D1824" s="14" t="str">
        <x:v>Okul Günü</x:v>
      </x:c>
      <x:c r="E1824" s="14" t="str">
        <x:v>16:00 sonrası</x:v>
      </x:c>
      <x:c r="F1824" s="14" t="str">
        <x:v>F2 - LGS Kapsam + Ustalık</x:v>
      </x:c>
      <x:c r="G1824" s="14" t="str">
        <x:v>20:15</x:v>
      </x:c>
      <x:c r="H1824" s="14" t="str">
        <x:v>20:50</x:v>
      </x:c>
      <x:c r="I1824" s="14" t="str">
        <x:v>İnkılap</x:v>
      </x:c>
      <x:c r="J1824" s="14" t="str">
        <x:v>Konu / Tekrar</x:v>
      </x:c>
      <x:c r="K1824" s="14" t="str">
        <x:v>Atatürk Dönemi Türk Dış Politikası</x:v>
      </x:c>
      <x:c r="L1824" s="14" t="str">
        <x:v>Atatürk Dönemi Türk Dış Politikası — MEB doğrulaması öncesi 5-10 dk aktif hatırlama; gerekiyorsa ilgili playlist videosuna kısa dönüş yap.</x:v>
      </x:c>
      <x:c r="M1824" s="14" t="str">
        <x:v>İnkılap Genel Oynatma Listesi</x:v>
      </x:c>
      <x:c r="N1824" s="14" t="str">
        <x:v>https://www.youtube.com/watch?v=MltIX0oKpYU&amp;list=PLsAsBPsriHNbXit4Ra3iuBrk1ZHZWxsOR&amp;index=78</x:v>
      </x:c>
      <x:c r="O1824" s="14" t="n">
        <x:v>0</x:v>
      </x:c>
      <x:c r="P1824" s="14" t="str">
        <x:v>Hayır</x:v>
      </x:c>
      <x:c r="Q1824" s="14" t="str">
        <x:v>Evet</x:v>
      </x:c>
      <x:c r="R1824" s="14" t="str">
        <x:v>Planlandı</x:v>
      </x:c>
      <x:c r="S1824" s="15" t="str"/>
      <x:c r="T1824" s="14" t="str">
        <x:v>İnkılapta okul yazılısı videoları zorunlu değildir.</x:v>
      </x:c>
    </x:row>
    <x:row r="1825">
      <x:c r="A1825" s="14" t="n">
        <x:v>1824</x:v>
      </x:c>
      <x:c r="B1825" s="15" t="n">
        <x:v>46442</x:v>
      </x:c>
      <x:c r="C1825" s="14" t="str">
        <x:v>Çarşamba</x:v>
      </x:c>
      <x:c r="D1825" s="14" t="str">
        <x:v>Okul Günü</x:v>
      </x:c>
      <x:c r="E1825" s="14" t="str">
        <x:v>16:00 sonrası</x:v>
      </x:c>
      <x:c r="F1825" s="14" t="str">
        <x:v>F2 - LGS Kapsam + Ustalık</x:v>
      </x:c>
      <x:c r="G1825" s="14" t="str">
        <x:v>20:55</x:v>
      </x:c>
      <x:c r="H1825" s="14" t="str">
        <x:v>21:20</x:v>
      </x:c>
      <x:c r="I1825" s="14" t="str">
        <x:v>İnkılap</x:v>
      </x:c>
      <x:c r="J1825" s="14" t="str">
        <x:v>Kitap / MEB / Mastery</x:v>
      </x:c>
      <x:c r="K1825" s="14" t="str">
        <x:v>Atatürk Dönemi Türk Dış Politikası</x:v>
      </x:c>
      <x:c r="L1825" s="14" t="str">
        <x:v>Atatürk Dönemi Türk Dış Politikası için ilgili MEB sorularını TAMAMLA; D/Y/B kaydet. Bu oturum konu mastery gate'idir.</x:v>
      </x:c>
      <x:c r="M1825" s="14" t="str">
        <x:v>MEB 8. Sınıf İnkılap Soruları</x:v>
      </x:c>
      <x:c r="N1825" s="14" t="str">
        <x:v>https://odsgm.meb.gov.tr/www/8sinif-calisma-sorulari/icerik/1632</x:v>
      </x:c>
      <x:c r="O1825" s="14" t="n">
        <x:v>0</x:v>
      </x:c>
      <x:c r="P1825" s="14" t="str">
        <x:v>Hayır</x:v>
      </x:c>
      <x:c r="Q1825" s="14" t="str">
        <x:v>Evet</x:v>
      </x:c>
      <x:c r="R1825" s="14" t="str">
        <x:v>Planlandı</x:v>
      </x:c>
      <x:c r="S1825" s="15" t="str"/>
      <x:c r="T1825" s="14" t="str">
        <x:v>MEB sonucu Konu_Ustaligi sayfasına işlenir.</x:v>
      </x:c>
    </x:row>
    <x:row r="1826">
      <x:c r="A1826" s="14" t="n">
        <x:v>1825</x:v>
      </x:c>
      <x:c r="B1826" s="15" t="n">
        <x:v>46442</x:v>
      </x:c>
      <x:c r="C1826" s="14" t="str">
        <x:v>Çarşamba</x:v>
      </x:c>
      <x:c r="D1826" s="14" t="str">
        <x:v>Okul Günü</x:v>
      </x:c>
      <x:c r="E1826" s="14" t="str">
        <x:v>16:00 sonrası</x:v>
      </x:c>
      <x:c r="F1826" s="14" t="str">
        <x:v>F2 - LGS Kapsam + Ustalık</x:v>
      </x:c>
      <x:c r="G1826" s="14" t="str">
        <x:v>21:20</x:v>
      </x:c>
      <x:c r="H1826" s="14" t="str">
        <x:v>21:35</x:v>
      </x:c>
      <x:c r="I1826" s="14" t="str">
        <x:v>Genel</x:v>
      </x:c>
      <x:c r="J1826" s="14" t="str">
        <x:v>Yanlış / Boş Analizi</x:v>
      </x:c>
      <x:c r="K1826" s="14" t="str">
        <x:v>Günlük</x:v>
      </x:c>
      <x:c r="L1826" s="14" t="str">
        <x:v>Bugünkü yanlış/boşları kaydet; çözümünü öğrenmeden kapatma. Hata türünü sınıflandır.</x:v>
      </x:c>
      <x:c r="M1826" s="14" t="str">
        <x:v>Yanlış Defteri</x:v>
      </x:c>
      <x:c r="N1826" s="14" t="str"/>
      <x:c r="O1826" s="14" t="n">
        <x:v>0</x:v>
      </x:c>
      <x:c r="P1826" s="14" t="str">
        <x:v>Hayır</x:v>
      </x:c>
      <x:c r="Q1826" s="14" t="str">
        <x:v>Evet</x:v>
      </x:c>
      <x:c r="R1826" s="14" t="str">
        <x:v>Planlandı</x:v>
      </x:c>
      <x:c r="S1826" s="15" t="str"/>
      <x:c r="T1826" s="14" t="str"/>
    </x:row>
    <x:row r="1827">
      <x:c r="A1827" s="14" t="n">
        <x:v>1826</x:v>
      </x:c>
      <x:c r="B1827" s="15" t="n">
        <x:v>46442</x:v>
      </x:c>
      <x:c r="C1827" s="14" t="str">
        <x:v>Çarşamba</x:v>
      </x:c>
      <x:c r="D1827" s="14" t="str">
        <x:v>Okul Günü</x:v>
      </x:c>
      <x:c r="E1827" s="14" t="str">
        <x:v>16:00 sonrası</x:v>
      </x:c>
      <x:c r="F1827" s="14" t="str">
        <x:v>F2 - LGS Kapsam + Ustalık</x:v>
      </x:c>
      <x:c r="G1827" s="14" t="str">
        <x:v>21:35</x:v>
      </x:c>
      <x:c r="H1827" s="14" t="str">
        <x:v>21:50</x:v>
      </x:c>
      <x:c r="I1827" s="14" t="str">
        <x:v>Genel</x:v>
      </x:c>
      <x:c r="J1827" s="14" t="str">
        <x:v>Aralıklı Hata Tekrarı</x:v>
      </x:c>
      <x:c r="K1827" s="14" t="str">
        <x:v>+1 / +7 / +21</x:v>
      </x:c>
      <x:c r="L1827" s="14" t="str">
        <x:v>Bugün vadesi gelen yanlış soruları tekrar çöz. Vadesi yoksa bu süre serbest/okuma olabilir.</x:v>
      </x:c>
      <x:c r="M1827" s="14" t="str">
        <x:v>Yanlış Defteri</x:v>
      </x:c>
      <x:c r="N1827" s="14" t="str"/>
      <x:c r="O1827" s="14" t="n">
        <x:v>0</x:v>
      </x:c>
      <x:c r="P1827" s="14" t="str">
        <x:v>Hayır</x:v>
      </x:c>
      <x:c r="Q1827" s="14" t="str">
        <x:v>Koşullu</x:v>
      </x:c>
      <x:c r="R1827" s="14" t="str">
        <x:v>Planlandı</x:v>
      </x:c>
      <x:c r="S1827" s="15" t="str"/>
      <x:c r="T1827" s="14" t="str">
        <x:v>Yanlışlar +1, +7 ve +21 gün aralıklarıyla tekrar edilir; hâlâ yanlışsa konu mastery durumu düşürülür.</x:v>
      </x:c>
    </x:row>
    <x:row r="1828">
      <x:c r="A1828" s="14" t="n">
        <x:v>1827</x:v>
      </x:c>
      <x:c r="B1828" s="15" t="n">
        <x:v>46442</x:v>
      </x:c>
      <x:c r="C1828" s="14" t="str">
        <x:v>Çarşamba</x:v>
      </x:c>
      <x:c r="D1828" s="14" t="str">
        <x:v>Okul Günü</x:v>
      </x:c>
      <x:c r="E1828" s="14" t="str">
        <x:v>16:00 sonrası</x:v>
      </x:c>
      <x:c r="F1828" s="14" t="str">
        <x:v>F2 - LGS Kapsam + Ustalık</x:v>
      </x:c>
      <x:c r="G1828" s="14" t="str">
        <x:v>21:50</x:v>
      </x:c>
      <x:c r="H1828" s="14" t="str">
        <x:v>22:00</x:v>
      </x:c>
      <x:c r="I1828" s="14" t="str">
        <x:v>Genel</x:v>
      </x:c>
      <x:c r="J1828" s="14" t="str">
        <x:v>Uyku Hazırlığı</x:v>
      </x:c>
      <x:c r="K1828" s="14" t="str"/>
      <x:c r="L1828" s="14" t="str">
        <x:v>22:00'de yatakta ve uyku.</x:v>
      </x:c>
      <x:c r="M1828" s="14" t="str"/>
      <x:c r="N1828" s="14" t="str"/>
      <x:c r="O1828" s="14" t="n">
        <x:v>0</x:v>
      </x:c>
      <x:c r="P1828" s="14" t="str">
        <x:v>Hayır</x:v>
      </x:c>
      <x:c r="Q1828" s="14" t="str">
        <x:v>Hayır</x:v>
      </x:c>
      <x:c r="R1828" s="14" t="str">
        <x:v>Planlandı</x:v>
      </x:c>
      <x:c r="S1828" s="15" t="str"/>
      <x:c r="T1828" s="14" t="str"/>
    </x:row>
    <x:row r="1829">
      <x:c r="A1829" s="14" t="n">
        <x:v>1828</x:v>
      </x:c>
      <x:c r="B1829" s="15" t="n">
        <x:v>46443</x:v>
      </x:c>
      <x:c r="C1829" s="14" t="str">
        <x:v>Perşembe</x:v>
      </x:c>
      <x:c r="D1829" s="14" t="str">
        <x:v>Okul Günü</x:v>
      </x:c>
      <x:c r="E1829" s="14" t="str">
        <x:v>16:00 sonrası</x:v>
      </x:c>
      <x:c r="F1829" s="14" t="str">
        <x:v>F2 - LGS Kapsam + Ustalık</x:v>
      </x:c>
      <x:c r="G1829" s="14" t="str">
        <x:v>16:00</x:v>
      </x:c>
      <x:c r="H1829" s="14" t="str">
        <x:v>16:25</x:v>
      </x:c>
      <x:c r="I1829" s="14" t="str">
        <x:v>Genel</x:v>
      </x:c>
      <x:c r="J1829" s="14" t="str">
        <x:v>Dinlenme</x:v>
      </x:c>
      <x:c r="K1829" s="14" t="str"/>
      <x:c r="L1829" s="14" t="str">
        <x:v>Eve geliş, atıştırma ve dinlenme.</x:v>
      </x:c>
      <x:c r="M1829" s="14" t="str"/>
      <x:c r="N1829" s="14" t="str"/>
      <x:c r="O1829" s="14" t="n">
        <x:v>0</x:v>
      </x:c>
      <x:c r="P1829" s="14" t="str">
        <x:v>Hayır</x:v>
      </x:c>
      <x:c r="Q1829" s="14" t="str">
        <x:v>Hayır</x:v>
      </x:c>
      <x:c r="R1829" s="14" t="str">
        <x:v>Planlandı</x:v>
      </x:c>
      <x:c r="S1829" s="15" t="str"/>
      <x:c r="T1829" s="14" t="str"/>
    </x:row>
    <x:row r="1830">
      <x:c r="A1830" s="14" t="n">
        <x:v>1829</x:v>
      </x:c>
      <x:c r="B1830" s="15" t="n">
        <x:v>46443</x:v>
      </x:c>
      <x:c r="C1830" s="14" t="str">
        <x:v>Perşembe</x:v>
      </x:c>
      <x:c r="D1830" s="14" t="str">
        <x:v>Okul Günü</x:v>
      </x:c>
      <x:c r="E1830" s="14" t="str">
        <x:v>16:00 sonrası</x:v>
      </x:c>
      <x:c r="F1830" s="14" t="str">
        <x:v>F2 - LGS Kapsam + Ustalık</x:v>
      </x:c>
      <x:c r="G1830" s="14" t="str">
        <x:v>16:25</x:v>
      </x:c>
      <x:c r="H1830" s="14" t="str">
        <x:v>17:05</x:v>
      </x:c>
      <x:c r="I1830" s="14" t="str">
        <x:v>Matematik</x:v>
      </x:c>
      <x:c r="J1830" s="14" t="str">
        <x:v>Konu / Tekrar</x:v>
      </x:c>
      <x:c r="K1830" s="14" t="str">
        <x:v>Kaynak Tamamlama / Zayıf Konu</x:v>
      </x:c>
      <x:c r="L1830" s="14" t="str">
        <x:v>Yeni konu açma. En zayıf/açık konunun ilgili playlist videosunu yalnız gerekiyorsa tekrar izle.</x:v>
      </x:c>
      <x:c r="M1830" s="14" t="str">
        <x:v>Matematik Ana Oynatma Listesi</x:v>
      </x:c>
      <x:c r="N1830" s="14" t="str">
        <x:v>https://www.youtube.com/watch?v=EuJ89QzqrAg&amp;list=PLicNtF7vp6fnfDqrRLH6H7fIbzYT4ct4F&amp;index=11</x:v>
      </x:c>
      <x:c r="O1830" s="14" t="n">
        <x:v>0</x:v>
      </x:c>
      <x:c r="P1830" s="14" t="str">
        <x:v>Hayır</x:v>
      </x:c>
      <x:c r="Q1830" s="14" t="str">
        <x:v>Evet</x:v>
      </x:c>
      <x:c r="R1830" s="14" t="str">
        <x:v>Planlandı</x:v>
      </x:c>
      <x:c r="S1830" s="15" t="str"/>
      <x:c r="T1830" s="14" t="str">
        <x:v>Yeni konu ancak plan sırasıyla açılır; LGS dışı ileri TYT içeriği zorunlu değildir.</x:v>
      </x:c>
    </x:row>
    <x:row r="1831">
      <x:c r="A1831" s="14" t="n">
        <x:v>1830</x:v>
      </x:c>
      <x:c r="B1831" s="15" t="n">
        <x:v>46443</x:v>
      </x:c>
      <x:c r="C1831" s="14" t="str">
        <x:v>Perşembe</x:v>
      </x:c>
      <x:c r="D1831" s="14" t="str">
        <x:v>Okul Günü</x:v>
      </x:c>
      <x:c r="E1831" s="14" t="str">
        <x:v>16:00 sonrası</x:v>
      </x:c>
      <x:c r="F1831" s="14" t="str">
        <x:v>F2 - LGS Kapsam + Ustalık</x:v>
      </x:c>
      <x:c r="G1831" s="14" t="str">
        <x:v>17:10</x:v>
      </x:c>
      <x:c r="H1831" s="14" t="str">
        <x:v>17:55</x:v>
      </x:c>
      <x:c r="I1831" s="14" t="str">
        <x:v>Matematik</x:v>
      </x:c>
      <x:c r="J1831" s="14" t="str">
        <x:v>Kitap / MEB / Mastery</x:v>
      </x:c>
      <x:c r="K1831" s="14" t="str">
        <x:v>Kaynak Tamamlama / Zayıf Konu</x:v>
      </x:c>
      <x:c r="L1831" s="14" t="str">
        <x:v>13 Nisan %100 tamamlama hedefine göre en geride kalan Matematik soru kaynağını/eksik MEB setini ilerlet; açık yanlışları kapat.</x:v>
      </x:c>
      <x:c r="M1831" s="14" t="str">
        <x:v>MUBA 8. Sınıf Başlangıç Matematik (ISBN 9789756526972) → tamamlandıysa Mozaik 8. Sınıf Matematik; açık MEB/yanlışlar</x:v>
      </x:c>
      <x:c r="N1831" s="14" t="str">
        <x:v>https://odsgm.meb.gov.tr/www/8sinif-calisma-sorulari/icerik/1632</x:v>
      </x:c>
      <x:c r="O1831" s="14" t="n">
        <x:v>30</x:v>
      </x:c>
      <x:c r="P1831" s="14" t="str">
        <x:v>İlk 20 soru</x:v>
      </x:c>
      <x:c r="Q1831" s="14" t="str">
        <x:v>Evet</x:v>
      </x:c>
      <x:c r="R1831" s="14" t="str">
        <x:v>Planlandı</x:v>
      </x:c>
      <x:c r="S1831" s="15" t="str"/>
      <x:c r="T1831" s="14" t="str">
        <x:v>Ayrı/rastgele matematik benchmark yoktur. Süreli ilk 20 soru o gün çalışılan konunun içindedir.</x:v>
      </x:c>
    </x:row>
    <x:row r="1832">
      <x:c r="A1832" s="14" t="n">
        <x:v>1831</x:v>
      </x:c>
      <x:c r="B1832" s="15" t="n">
        <x:v>46443</x:v>
      </x:c>
      <x:c r="C1832" s="14" t="str">
        <x:v>Perşembe</x:v>
      </x:c>
      <x:c r="D1832" s="14" t="str">
        <x:v>Okul Günü</x:v>
      </x:c>
      <x:c r="E1832" s="14" t="str">
        <x:v>16:00 sonrası</x:v>
      </x:c>
      <x:c r="F1832" s="14" t="str">
        <x:v>F2 - LGS Kapsam + Ustalık</x:v>
      </x:c>
      <x:c r="G1832" s="14" t="str">
        <x:v>17:55</x:v>
      </x:c>
      <x:c r="H1832" s="14" t="str">
        <x:v>18:25</x:v>
      </x:c>
      <x:c r="I1832" s="14" t="str">
        <x:v>Genel</x:v>
      </x:c>
      <x:c r="J1832" s="14" t="str">
        <x:v>Yemek / Serbest Zaman</x:v>
      </x:c>
      <x:c r="K1832" s="14" t="str"/>
      <x:c r="L1832" s="14" t="str">
        <x:v>Yemek, hareket ve dinlenme.</x:v>
      </x:c>
      <x:c r="M1832" s="14" t="str"/>
      <x:c r="N1832" s="14" t="str"/>
      <x:c r="O1832" s="14" t="n">
        <x:v>0</x:v>
      </x:c>
      <x:c r="P1832" s="14" t="str">
        <x:v>Hayır</x:v>
      </x:c>
      <x:c r="Q1832" s="14" t="str">
        <x:v>Hayır</x:v>
      </x:c>
      <x:c r="R1832" s="14" t="str">
        <x:v>Planlandı</x:v>
      </x:c>
      <x:c r="S1832" s="15" t="str"/>
      <x:c r="T1832" s="14" t="str"/>
    </x:row>
    <x:row r="1833">
      <x:c r="A1833" s="14" t="n">
        <x:v>1832</x:v>
      </x:c>
      <x:c r="B1833" s="15" t="n">
        <x:v>46443</x:v>
      </x:c>
      <x:c r="C1833" s="14" t="str">
        <x:v>Perşembe</x:v>
      </x:c>
      <x:c r="D1833" s="14" t="str">
        <x:v>Okul Günü</x:v>
      </x:c>
      <x:c r="E1833" s="14" t="str">
        <x:v>16:00 sonrası</x:v>
      </x:c>
      <x:c r="F1833" s="14" t="str">
        <x:v>F2 - LGS Kapsam + Ustalık</x:v>
      </x:c>
      <x:c r="G1833" s="14" t="str">
        <x:v>18:25</x:v>
      </x:c>
      <x:c r="H1833" s="14" t="str">
        <x:v>18:55</x:v>
      </x:c>
      <x:c r="I1833" s="14" t="str">
        <x:v>Türkçe</x:v>
      </x:c>
      <x:c r="J1833" s="14" t="str">
        <x:v>Paragraf Rutini</x:v>
      </x:c>
      <x:c r="K1833" s="14" t="str">
        <x:v>Paragraf</x:v>
      </x:c>
      <x:c r="L1833" s="14" t="str">
        <x:v>En az 30 paragraf sorusu çöz; ilk 20 soruyu ileri sayımla ölç, D/Y/B + süre kaydet.</x:v>
      </x:c>
      <x:c r="M1833" s="14" t="str">
        <x:v>Hız 8. Sınıf Türkçe Paragraf (ISBN 9786258394498)</x:v>
      </x:c>
      <x:c r="N1833" s="14" t="str"/>
      <x:c r="O1833" s="14" t="n">
        <x:v>30</x:v>
      </x:c>
      <x:c r="P1833" s="14" t="str">
        <x:v>İlk 20 soru</x:v>
      </x:c>
      <x:c r="Q1833" s="14" t="str">
        <x:v>Evet</x:v>
      </x:c>
      <x:c r="R1833" s="14" t="str">
        <x:v>Planlandı</x:v>
      </x:c>
      <x:c r="S1833" s="15" t="str"/>
      <x:c r="T1833" s="14" t="str">
        <x:v>Geri sayım ve hedef süre yok.</x:v>
      </x:c>
    </x:row>
    <x:row r="1834">
      <x:c r="A1834" s="14" t="n">
        <x:v>1833</x:v>
      </x:c>
      <x:c r="B1834" s="15" t="n">
        <x:v>46443</x:v>
      </x:c>
      <x:c r="C1834" s="14" t="str">
        <x:v>Perşembe</x:v>
      </x:c>
      <x:c r="D1834" s="14" t="str">
        <x:v>Okul Günü</x:v>
      </x:c>
      <x:c r="E1834" s="14" t="str">
        <x:v>16:00 sonrası</x:v>
      </x:c>
      <x:c r="F1834" s="14" t="str">
        <x:v>F2 - LGS Kapsam + Ustalık</x:v>
      </x:c>
      <x:c r="G1834" s="14" t="str">
        <x:v>19:00</x:v>
      </x:c>
      <x:c r="H1834" s="14" t="str">
        <x:v>19:35</x:v>
      </x:c>
      <x:c r="I1834" s="14" t="str">
        <x:v>Türkçe</x:v>
      </x:c>
      <x:c r="J1834" s="14" t="str">
        <x:v>Konu / Tekrar</x:v>
      </x:c>
      <x:c r="K1834" s="14" t="str">
        <x:v>Kaynak Tamamlama / Zayıf Konu</x:v>
      </x:c>
      <x:c r="L1834" s="14" t="str">
        <x:v>Yeni konu açma. En zayıf/açık konunun ilgili playlist videosunu yalnız gerekiyorsa tekrar izle.</x:v>
      </x:c>
      <x:c r="M1834" s="14" t="str">
        <x:v>Türkçe Ana Oynatma Listesi</x:v>
      </x:c>
      <x:c r="N1834" s="14" t="str">
        <x:v>https://www.youtube.com/watch?v=VYsPntNKVdw&amp;list=PLIBjFaUoJJ91bz7QQEBlxNJNZka5YQRr6</x:v>
      </x:c>
      <x:c r="O1834" s="14" t="n">
        <x:v>0</x:v>
      </x:c>
      <x:c r="P1834" s="14" t="str">
        <x:v>Hayır</x:v>
      </x:c>
      <x:c r="Q1834" s="14" t="str">
        <x:v>Evet</x:v>
      </x:c>
      <x:c r="R1834" s="14" t="str">
        <x:v>Planlandı</x:v>
      </x:c>
      <x:c r="S1834" s="15" t="str"/>
      <x:c r="T1834" s="14" t="str">
        <x:v>TYT etiketli kaynak temelden başlamak için sabittir; LGS dışı gereksiz ayrıntı zorunlu değildir.</x:v>
      </x:c>
    </x:row>
    <x:row r="1835">
      <x:c r="A1835" s="14" t="n">
        <x:v>1834</x:v>
      </x:c>
      <x:c r="B1835" s="15" t="n">
        <x:v>46443</x:v>
      </x:c>
      <x:c r="C1835" s="14" t="str">
        <x:v>Perşembe</x:v>
      </x:c>
      <x:c r="D1835" s="14" t="str">
        <x:v>Okul Günü</x:v>
      </x:c>
      <x:c r="E1835" s="14" t="str">
        <x:v>16:00 sonrası</x:v>
      </x:c>
      <x:c r="F1835" s="14" t="str">
        <x:v>F2 - LGS Kapsam + Ustalık</x:v>
      </x:c>
      <x:c r="G1835" s="14" t="str">
        <x:v>19:40</x:v>
      </x:c>
      <x:c r="H1835" s="14" t="str">
        <x:v>20:10</x:v>
      </x:c>
      <x:c r="I1835" s="14" t="str">
        <x:v>Türkçe</x:v>
      </x:c>
      <x:c r="J1835" s="14" t="str">
        <x:v>Kitap / MEB / Mastery</x:v>
      </x:c>
      <x:c r="K1835" s="14" t="str">
        <x:v>Kaynak Tamamlama / Zayıf Konu</x:v>
      </x:c>
      <x:c r="L1835" s="14" t="str">
        <x:v>13 Nisan %100 tamamlama hedefine göre en geride kalan Türkçe soru kaynağını/eksik MEB setini ilerlet; açık yanlışları kapat.</x:v>
      </x:c>
      <x:c r="M1835" s="14" t="str">
        <x:v>Ankara 8. Sınıf Dil Bilgisi Güçlendiren + açık MEB/yanlışlar</x:v>
      </x:c>
      <x:c r="N1835" s="14" t="str">
        <x:v>https://odsgm.meb.gov.tr/www/8sinif-calisma-sorulari/icerik/1632</x:v>
      </x:c>
      <x:c r="O1835" s="14" t="n">
        <x:v>15</x:v>
      </x:c>
      <x:c r="P1835" s="14" t="str">
        <x:v>Hayır</x:v>
      </x:c>
      <x:c r="Q1835" s="14" t="str">
        <x:v>Evet</x:v>
      </x:c>
      <x:c r="R1835" s="14" t="str">
        <x:v>Planlandı</x:v>
      </x:c>
      <x:c r="S1835" s="15" t="str"/>
      <x:c r="T1835" s="14" t="str"/>
    </x:row>
    <x:row r="1836">
      <x:c r="A1836" s="14" t="n">
        <x:v>1835</x:v>
      </x:c>
      <x:c r="B1836" s="15" t="n">
        <x:v>46443</x:v>
      </x:c>
      <x:c r="C1836" s="14" t="str">
        <x:v>Perşembe</x:v>
      </x:c>
      <x:c r="D1836" s="14" t="str">
        <x:v>Okul Günü</x:v>
      </x:c>
      <x:c r="E1836" s="14" t="str">
        <x:v>16:00 sonrası</x:v>
      </x:c>
      <x:c r="F1836" s="14" t="str">
        <x:v>F2 - LGS Kapsam + Ustalık</x:v>
      </x:c>
      <x:c r="G1836" s="14" t="str">
        <x:v>20:15</x:v>
      </x:c>
      <x:c r="H1836" s="14" t="str">
        <x:v>20:50</x:v>
      </x:c>
      <x:c r="I1836" s="14" t="str">
        <x:v>İngilizce</x:v>
      </x:c>
      <x:c r="J1836" s="14" t="str">
        <x:v>Konu / Tekrar</x:v>
      </x:c>
      <x:c r="K1836" s="14" t="str">
        <x:v>Unit 10 - Natural Forces</x:v>
      </x:c>
      <x:c r="L1836" s="14" t="str">
        <x:v>Unit 10 - Natural Forces — Content çalışmasını playlistten yap.</x:v>
      </x:c>
      <x:c r="M1836" s="14" t="str">
        <x:v>İngilizce Genel Oynatma Listesi</x:v>
      </x:c>
      <x:c r="N1836" s="14" t="str">
        <x:v>https://www.youtube.com/watch?v=FaY3dFjZbns&amp;list=PLSgpQDrUSYp94WgE9pzpHiOG5FwxnZBrr</x:v>
      </x:c>
      <x:c r="O1836" s="14" t="n">
        <x:v>0</x:v>
      </x:c>
      <x:c r="P1836" s="14" t="str">
        <x:v>Hayır</x:v>
      </x:c>
      <x:c r="Q1836" s="14" t="str">
        <x:v>Evet</x:v>
      </x:c>
      <x:c r="R1836" s="14" t="str">
        <x:v>Planlandı</x:v>
      </x:c>
      <x:c r="S1836" s="15" t="str"/>
      <x:c r="T1836" s="14" t="str"/>
    </x:row>
    <x:row r="1837">
      <x:c r="A1837" s="14" t="n">
        <x:v>1836</x:v>
      </x:c>
      <x:c r="B1837" s="15" t="n">
        <x:v>46443</x:v>
      </x:c>
      <x:c r="C1837" s="14" t="str">
        <x:v>Perşembe</x:v>
      </x:c>
      <x:c r="D1837" s="14" t="str">
        <x:v>Okul Günü</x:v>
      </x:c>
      <x:c r="E1837" s="14" t="str">
        <x:v>16:00 sonrası</x:v>
      </x:c>
      <x:c r="F1837" s="14" t="str">
        <x:v>F2 - LGS Kapsam + Ustalık</x:v>
      </x:c>
      <x:c r="G1837" s="14" t="str">
        <x:v>20:55</x:v>
      </x:c>
      <x:c r="H1837" s="14" t="str">
        <x:v>21:20</x:v>
      </x:c>
      <x:c r="I1837" s="14" t="str">
        <x:v>İngilizce</x:v>
      </x:c>
      <x:c r="J1837" s="14" t="str">
        <x:v>Kitap / MEB / Mastery</x:v>
      </x:c>
      <x:c r="K1837" s="14" t="str">
        <x:v>Unit 10 - Natural Forces</x:v>
      </x:c>
      <x:c r="L1837" s="14" t="str">
        <x:v>Unit 10 - Natural Forces ile ilgili soru kitabından en az 20 soru / bugünkü test payını çöz.</x:v>
      </x:c>
      <x:c r="M1837" s="14" t="str">
        <x:v>More &amp; More 8 Worksheets Notebook</x:v>
      </x:c>
      <x:c r="N1837" s="14" t="str">
        <x:v>https://www.youtube.com/watch?v=FaY3dFjZbns&amp;list=PLSgpQDrUSYp94WgE9pzpHiOG5FwxnZBrr</x:v>
      </x:c>
      <x:c r="O1837" s="14" t="n">
        <x:v>20</x:v>
      </x:c>
      <x:c r="P1837" s="14" t="str">
        <x:v>Hayır</x:v>
      </x:c>
      <x:c r="Q1837" s="14" t="str">
        <x:v>Evet</x:v>
      </x:c>
      <x:c r="R1837" s="14" t="str">
        <x:v>Planlandı</x:v>
      </x:c>
      <x:c r="S1837" s="15" t="str"/>
      <x:c r="T1837" s="14" t="str"/>
    </x:row>
    <x:row r="1838">
      <x:c r="A1838" s="14" t="n">
        <x:v>1837</x:v>
      </x:c>
      <x:c r="B1838" s="15" t="n">
        <x:v>46443</x:v>
      </x:c>
      <x:c r="C1838" s="14" t="str">
        <x:v>Perşembe</x:v>
      </x:c>
      <x:c r="D1838" s="14" t="str">
        <x:v>Okul Günü</x:v>
      </x:c>
      <x:c r="E1838" s="14" t="str">
        <x:v>16:00 sonrası</x:v>
      </x:c>
      <x:c r="F1838" s="14" t="str">
        <x:v>F2 - LGS Kapsam + Ustalık</x:v>
      </x:c>
      <x:c r="G1838" s="14" t="str">
        <x:v>21:20</x:v>
      </x:c>
      <x:c r="H1838" s="14" t="str">
        <x:v>21:35</x:v>
      </x:c>
      <x:c r="I1838" s="14" t="str">
        <x:v>Genel</x:v>
      </x:c>
      <x:c r="J1838" s="14" t="str">
        <x:v>Yanlış / Boş Analizi</x:v>
      </x:c>
      <x:c r="K1838" s="14" t="str">
        <x:v>Günlük</x:v>
      </x:c>
      <x:c r="L1838" s="14" t="str">
        <x:v>Bugünkü yanlış/boşları kaydet; çözümünü öğrenmeden kapatma. Hata türünü sınıflandır.</x:v>
      </x:c>
      <x:c r="M1838" s="14" t="str">
        <x:v>Yanlış Defteri</x:v>
      </x:c>
      <x:c r="N1838" s="14" t="str"/>
      <x:c r="O1838" s="14" t="n">
        <x:v>0</x:v>
      </x:c>
      <x:c r="P1838" s="14" t="str">
        <x:v>Hayır</x:v>
      </x:c>
      <x:c r="Q1838" s="14" t="str">
        <x:v>Evet</x:v>
      </x:c>
      <x:c r="R1838" s="14" t="str">
        <x:v>Planlandı</x:v>
      </x:c>
      <x:c r="S1838" s="15" t="str"/>
      <x:c r="T1838" s="14" t="str"/>
    </x:row>
    <x:row r="1839">
      <x:c r="A1839" s="14" t="n">
        <x:v>1838</x:v>
      </x:c>
      <x:c r="B1839" s="15" t="n">
        <x:v>46443</x:v>
      </x:c>
      <x:c r="C1839" s="14" t="str">
        <x:v>Perşembe</x:v>
      </x:c>
      <x:c r="D1839" s="14" t="str">
        <x:v>Okul Günü</x:v>
      </x:c>
      <x:c r="E1839" s="14" t="str">
        <x:v>16:00 sonrası</x:v>
      </x:c>
      <x:c r="F1839" s="14" t="str">
        <x:v>F2 - LGS Kapsam + Ustalık</x:v>
      </x:c>
      <x:c r="G1839" s="14" t="str">
        <x:v>21:35</x:v>
      </x:c>
      <x:c r="H1839" s="14" t="str">
        <x:v>21:50</x:v>
      </x:c>
      <x:c r="I1839" s="14" t="str">
        <x:v>Genel</x:v>
      </x:c>
      <x:c r="J1839" s="14" t="str">
        <x:v>Aralıklı Hata Tekrarı</x:v>
      </x:c>
      <x:c r="K1839" s="14" t="str">
        <x:v>+1 / +7 / +21</x:v>
      </x:c>
      <x:c r="L1839" s="14" t="str">
        <x:v>Bugün vadesi gelen yanlış soruları tekrar çöz. Vadesi yoksa bu süre serbest/okuma olabilir.</x:v>
      </x:c>
      <x:c r="M1839" s="14" t="str">
        <x:v>Yanlış Defteri</x:v>
      </x:c>
      <x:c r="N1839" s="14" t="str"/>
      <x:c r="O1839" s="14" t="n">
        <x:v>0</x:v>
      </x:c>
      <x:c r="P1839" s="14" t="str">
        <x:v>Hayır</x:v>
      </x:c>
      <x:c r="Q1839" s="14" t="str">
        <x:v>Koşullu</x:v>
      </x:c>
      <x:c r="R1839" s="14" t="str">
        <x:v>Planlandı</x:v>
      </x:c>
      <x:c r="S1839" s="15" t="str"/>
      <x:c r="T1839" s="14" t="str">
        <x:v>Yanlışlar +1, +7 ve +21 gün aralıklarıyla tekrar edilir; hâlâ yanlışsa konu mastery durumu düşürülür.</x:v>
      </x:c>
    </x:row>
    <x:row r="1840">
      <x:c r="A1840" s="14" t="n">
        <x:v>1839</x:v>
      </x:c>
      <x:c r="B1840" s="15" t="n">
        <x:v>46443</x:v>
      </x:c>
      <x:c r="C1840" s="14" t="str">
        <x:v>Perşembe</x:v>
      </x:c>
      <x:c r="D1840" s="14" t="str">
        <x:v>Okul Günü</x:v>
      </x:c>
      <x:c r="E1840" s="14" t="str">
        <x:v>16:00 sonrası</x:v>
      </x:c>
      <x:c r="F1840" s="14" t="str">
        <x:v>F2 - LGS Kapsam + Ustalık</x:v>
      </x:c>
      <x:c r="G1840" s="14" t="str">
        <x:v>21:50</x:v>
      </x:c>
      <x:c r="H1840" s="14" t="str">
        <x:v>22:00</x:v>
      </x:c>
      <x:c r="I1840" s="14" t="str">
        <x:v>Genel</x:v>
      </x:c>
      <x:c r="J1840" s="14" t="str">
        <x:v>Uyku Hazırlığı</x:v>
      </x:c>
      <x:c r="K1840" s="14" t="str"/>
      <x:c r="L1840" s="14" t="str">
        <x:v>22:00'de yatakta ve uyku.</x:v>
      </x:c>
      <x:c r="M1840" s="14" t="str"/>
      <x:c r="N1840" s="14" t="str"/>
      <x:c r="O1840" s="14" t="n">
        <x:v>0</x:v>
      </x:c>
      <x:c r="P1840" s="14" t="str">
        <x:v>Hayır</x:v>
      </x:c>
      <x:c r="Q1840" s="14" t="str">
        <x:v>Hayır</x:v>
      </x:c>
      <x:c r="R1840" s="14" t="str">
        <x:v>Planlandı</x:v>
      </x:c>
      <x:c r="S1840" s="15" t="str"/>
      <x:c r="T1840" s="14" t="str"/>
    </x:row>
    <x:row r="1841">
      <x:c r="A1841" s="14" t="n">
        <x:v>1840</x:v>
      </x:c>
      <x:c r="B1841" s="15" t="n">
        <x:v>46444</x:v>
      </x:c>
      <x:c r="C1841" s="14" t="str">
        <x:v>Cuma</x:v>
      </x:c>
      <x:c r="D1841" s="14" t="str">
        <x:v>Okul Günü</x:v>
      </x:c>
      <x:c r="E1841" s="14" t="str">
        <x:v>16:00 sonrası</x:v>
      </x:c>
      <x:c r="F1841" s="14" t="str">
        <x:v>F2 - LGS Kapsam + Ustalık</x:v>
      </x:c>
      <x:c r="G1841" s="14" t="str">
        <x:v>16:00</x:v>
      </x:c>
      <x:c r="H1841" s="14" t="str">
        <x:v>16:25</x:v>
      </x:c>
      <x:c r="I1841" s="14" t="str">
        <x:v>Genel</x:v>
      </x:c>
      <x:c r="J1841" s="14" t="str">
        <x:v>Dinlenme</x:v>
      </x:c>
      <x:c r="K1841" s="14" t="str"/>
      <x:c r="L1841" s="14" t="str">
        <x:v>Eve geliş, atıştırma ve dinlenme.</x:v>
      </x:c>
      <x:c r="M1841" s="14" t="str"/>
      <x:c r="N1841" s="14" t="str"/>
      <x:c r="O1841" s="14" t="n">
        <x:v>0</x:v>
      </x:c>
      <x:c r="P1841" s="14" t="str">
        <x:v>Hayır</x:v>
      </x:c>
      <x:c r="Q1841" s="14" t="str">
        <x:v>Hayır</x:v>
      </x:c>
      <x:c r="R1841" s="14" t="str">
        <x:v>Planlandı</x:v>
      </x:c>
      <x:c r="S1841" s="15" t="str"/>
      <x:c r="T1841" s="14" t="str"/>
    </x:row>
    <x:row r="1842">
      <x:c r="A1842" s="14" t="n">
        <x:v>1841</x:v>
      </x:c>
      <x:c r="B1842" s="15" t="n">
        <x:v>46444</x:v>
      </x:c>
      <x:c r="C1842" s="14" t="str">
        <x:v>Cuma</x:v>
      </x:c>
      <x:c r="D1842" s="14" t="str">
        <x:v>Okul Günü</x:v>
      </x:c>
      <x:c r="E1842" s="14" t="str">
        <x:v>16:00 sonrası</x:v>
      </x:c>
      <x:c r="F1842" s="14" t="str">
        <x:v>F2 - LGS Kapsam + Ustalık</x:v>
      </x:c>
      <x:c r="G1842" s="14" t="str">
        <x:v>16:25</x:v>
      </x:c>
      <x:c r="H1842" s="14" t="str">
        <x:v>17:05</x:v>
      </x:c>
      <x:c r="I1842" s="14" t="str">
        <x:v>Matematik</x:v>
      </x:c>
      <x:c r="J1842" s="14" t="str">
        <x:v>Konu / Tekrar</x:v>
      </x:c>
      <x:c r="K1842" s="14" t="str">
        <x:v>Kaynak Tamamlama / Zayıf Konu</x:v>
      </x:c>
      <x:c r="L1842" s="14" t="str">
        <x:v>Yeni konu açma. En zayıf/açık konunun ilgili playlist videosunu yalnız gerekiyorsa tekrar izle.</x:v>
      </x:c>
      <x:c r="M1842" s="14" t="str">
        <x:v>Matematik Ana Oynatma Listesi</x:v>
      </x:c>
      <x:c r="N1842" s="14" t="str">
        <x:v>https://www.youtube.com/watch?v=EuJ89QzqrAg&amp;list=PLicNtF7vp6fnfDqrRLH6H7fIbzYT4ct4F&amp;index=11</x:v>
      </x:c>
      <x:c r="O1842" s="14" t="n">
        <x:v>0</x:v>
      </x:c>
      <x:c r="P1842" s="14" t="str">
        <x:v>Hayır</x:v>
      </x:c>
      <x:c r="Q1842" s="14" t="str">
        <x:v>Evet</x:v>
      </x:c>
      <x:c r="R1842" s="14" t="str">
        <x:v>Planlandı</x:v>
      </x:c>
      <x:c r="S1842" s="15" t="str"/>
      <x:c r="T1842" s="14" t="str">
        <x:v>Yeni konu ancak plan sırasıyla açılır; LGS dışı ileri TYT içeriği zorunlu değildir.</x:v>
      </x:c>
    </x:row>
    <x:row r="1843">
      <x:c r="A1843" s="14" t="n">
        <x:v>1842</x:v>
      </x:c>
      <x:c r="B1843" s="15" t="n">
        <x:v>46444</x:v>
      </x:c>
      <x:c r="C1843" s="14" t="str">
        <x:v>Cuma</x:v>
      </x:c>
      <x:c r="D1843" s="14" t="str">
        <x:v>Okul Günü</x:v>
      </x:c>
      <x:c r="E1843" s="14" t="str">
        <x:v>16:00 sonrası</x:v>
      </x:c>
      <x:c r="F1843" s="14" t="str">
        <x:v>F2 - LGS Kapsam + Ustalık</x:v>
      </x:c>
      <x:c r="G1843" s="14" t="str">
        <x:v>17:10</x:v>
      </x:c>
      <x:c r="H1843" s="14" t="str">
        <x:v>17:55</x:v>
      </x:c>
      <x:c r="I1843" s="14" t="str">
        <x:v>Matematik</x:v>
      </x:c>
      <x:c r="J1843" s="14" t="str">
        <x:v>Kitap / MEB / Mastery</x:v>
      </x:c>
      <x:c r="K1843" s="14" t="str">
        <x:v>Kaynak Tamamlama / Zayıf Konu</x:v>
      </x:c>
      <x:c r="L1843" s="14" t="str">
        <x:v>13 Nisan %100 tamamlama hedefine göre en geride kalan Matematik soru kaynağını/eksik MEB setini ilerlet; açık yanlışları kapat.</x:v>
      </x:c>
      <x:c r="M1843" s="14" t="str">
        <x:v>MUBA 8. Sınıf Başlangıç Matematik (ISBN 9789756526972) → tamamlandıysa Mozaik 8. Sınıf Matematik; açık MEB/yanlışlar</x:v>
      </x:c>
      <x:c r="N1843" s="14" t="str">
        <x:v>https://odsgm.meb.gov.tr/www/8sinif-calisma-sorulari/icerik/1632</x:v>
      </x:c>
      <x:c r="O1843" s="14" t="n">
        <x:v>30</x:v>
      </x:c>
      <x:c r="P1843" s="14" t="str">
        <x:v>İlk 20 soru</x:v>
      </x:c>
      <x:c r="Q1843" s="14" t="str">
        <x:v>Evet</x:v>
      </x:c>
      <x:c r="R1843" s="14" t="str">
        <x:v>Planlandı</x:v>
      </x:c>
      <x:c r="S1843" s="15" t="str"/>
      <x:c r="T1843" s="14" t="str">
        <x:v>Ayrı/rastgele matematik benchmark yoktur. Süreli ilk 20 soru o gün çalışılan konunun içindedir.</x:v>
      </x:c>
    </x:row>
    <x:row r="1844">
      <x:c r="A1844" s="14" t="n">
        <x:v>1843</x:v>
      </x:c>
      <x:c r="B1844" s="15" t="n">
        <x:v>46444</x:v>
      </x:c>
      <x:c r="C1844" s="14" t="str">
        <x:v>Cuma</x:v>
      </x:c>
      <x:c r="D1844" s="14" t="str">
        <x:v>Okul Günü</x:v>
      </x:c>
      <x:c r="E1844" s="14" t="str">
        <x:v>16:00 sonrası</x:v>
      </x:c>
      <x:c r="F1844" s="14" t="str">
        <x:v>F2 - LGS Kapsam + Ustalık</x:v>
      </x:c>
      <x:c r="G1844" s="14" t="str">
        <x:v>17:55</x:v>
      </x:c>
      <x:c r="H1844" s="14" t="str">
        <x:v>18:25</x:v>
      </x:c>
      <x:c r="I1844" s="14" t="str">
        <x:v>Genel</x:v>
      </x:c>
      <x:c r="J1844" s="14" t="str">
        <x:v>Yemek / Serbest Zaman</x:v>
      </x:c>
      <x:c r="K1844" s="14" t="str"/>
      <x:c r="L1844" s="14" t="str">
        <x:v>Yemek, hareket ve dinlenme.</x:v>
      </x:c>
      <x:c r="M1844" s="14" t="str"/>
      <x:c r="N1844" s="14" t="str"/>
      <x:c r="O1844" s="14" t="n">
        <x:v>0</x:v>
      </x:c>
      <x:c r="P1844" s="14" t="str">
        <x:v>Hayır</x:v>
      </x:c>
      <x:c r="Q1844" s="14" t="str">
        <x:v>Hayır</x:v>
      </x:c>
      <x:c r="R1844" s="14" t="str">
        <x:v>Planlandı</x:v>
      </x:c>
      <x:c r="S1844" s="15" t="str"/>
      <x:c r="T1844" s="14" t="str"/>
    </x:row>
    <x:row r="1845">
      <x:c r="A1845" s="14" t="n">
        <x:v>1844</x:v>
      </x:c>
      <x:c r="B1845" s="15" t="n">
        <x:v>46444</x:v>
      </x:c>
      <x:c r="C1845" s="14" t="str">
        <x:v>Cuma</x:v>
      </x:c>
      <x:c r="D1845" s="14" t="str">
        <x:v>Okul Günü</x:v>
      </x:c>
      <x:c r="E1845" s="14" t="str">
        <x:v>16:00 sonrası</x:v>
      </x:c>
      <x:c r="F1845" s="14" t="str">
        <x:v>F2 - LGS Kapsam + Ustalık</x:v>
      </x:c>
      <x:c r="G1845" s="14" t="str">
        <x:v>18:25</x:v>
      </x:c>
      <x:c r="H1845" s="14" t="str">
        <x:v>18:55</x:v>
      </x:c>
      <x:c r="I1845" s="14" t="str">
        <x:v>Türkçe</x:v>
      </x:c>
      <x:c r="J1845" s="14" t="str">
        <x:v>Paragraf Rutini</x:v>
      </x:c>
      <x:c r="K1845" s="14" t="str">
        <x:v>Paragraf</x:v>
      </x:c>
      <x:c r="L1845" s="14" t="str">
        <x:v>En az 30 paragraf sorusu çöz; ilk 20 soruyu ileri sayımla ölç, D/Y/B + süre kaydet.</x:v>
      </x:c>
      <x:c r="M1845" s="14" t="str">
        <x:v>Hız 8. Sınıf Türkçe Paragraf (ISBN 9786258394498)</x:v>
      </x:c>
      <x:c r="N1845" s="14" t="str"/>
      <x:c r="O1845" s="14" t="n">
        <x:v>30</x:v>
      </x:c>
      <x:c r="P1845" s="14" t="str">
        <x:v>İlk 20 soru</x:v>
      </x:c>
      <x:c r="Q1845" s="14" t="str">
        <x:v>Evet</x:v>
      </x:c>
      <x:c r="R1845" s="14" t="str">
        <x:v>Planlandı</x:v>
      </x:c>
      <x:c r="S1845" s="15" t="str"/>
      <x:c r="T1845" s="14" t="str">
        <x:v>Geri sayım ve hedef süre yok.</x:v>
      </x:c>
    </x:row>
    <x:row r="1846">
      <x:c r="A1846" s="14" t="n">
        <x:v>1845</x:v>
      </x:c>
      <x:c r="B1846" s="15" t="n">
        <x:v>46444</x:v>
      </x:c>
      <x:c r="C1846" s="14" t="str">
        <x:v>Cuma</x:v>
      </x:c>
      <x:c r="D1846" s="14" t="str">
        <x:v>Okul Günü</x:v>
      </x:c>
      <x:c r="E1846" s="14" t="str">
        <x:v>16:00 sonrası</x:v>
      </x:c>
      <x:c r="F1846" s="14" t="str">
        <x:v>F2 - LGS Kapsam + Ustalık</x:v>
      </x:c>
      <x:c r="G1846" s="14" t="str">
        <x:v>19:00</x:v>
      </x:c>
      <x:c r="H1846" s="14" t="str">
        <x:v>19:35</x:v>
      </x:c>
      <x:c r="I1846" s="14" t="str">
        <x:v>Türkçe</x:v>
      </x:c>
      <x:c r="J1846" s="14" t="str">
        <x:v>Konu / Tekrar</x:v>
      </x:c>
      <x:c r="K1846" s="14" t="str">
        <x:v>Kaynak Tamamlama / Zayıf Konu</x:v>
      </x:c>
      <x:c r="L1846" s="14" t="str">
        <x:v>Yeni konu açma. En zayıf/açık konunun ilgili playlist videosunu yalnız gerekiyorsa tekrar izle.</x:v>
      </x:c>
      <x:c r="M1846" s="14" t="str">
        <x:v>Türkçe Ana Oynatma Listesi</x:v>
      </x:c>
      <x:c r="N1846" s="14" t="str">
        <x:v>https://www.youtube.com/watch?v=VYsPntNKVdw&amp;list=PLIBjFaUoJJ91bz7QQEBlxNJNZka5YQRr6</x:v>
      </x:c>
      <x:c r="O1846" s="14" t="n">
        <x:v>0</x:v>
      </x:c>
      <x:c r="P1846" s="14" t="str">
        <x:v>Hayır</x:v>
      </x:c>
      <x:c r="Q1846" s="14" t="str">
        <x:v>Evet</x:v>
      </x:c>
      <x:c r="R1846" s="14" t="str">
        <x:v>Planlandı</x:v>
      </x:c>
      <x:c r="S1846" s="15" t="str"/>
      <x:c r="T1846" s="14" t="str">
        <x:v>TYT etiketli kaynak temelden başlamak için sabittir; LGS dışı gereksiz ayrıntı zorunlu değildir.</x:v>
      </x:c>
    </x:row>
    <x:row r="1847">
      <x:c r="A1847" s="14" t="n">
        <x:v>1846</x:v>
      </x:c>
      <x:c r="B1847" s="15" t="n">
        <x:v>46444</x:v>
      </x:c>
      <x:c r="C1847" s="14" t="str">
        <x:v>Cuma</x:v>
      </x:c>
      <x:c r="D1847" s="14" t="str">
        <x:v>Okul Günü</x:v>
      </x:c>
      <x:c r="E1847" s="14" t="str">
        <x:v>16:00 sonrası</x:v>
      </x:c>
      <x:c r="F1847" s="14" t="str">
        <x:v>F2 - LGS Kapsam + Ustalık</x:v>
      </x:c>
      <x:c r="G1847" s="14" t="str">
        <x:v>19:40</x:v>
      </x:c>
      <x:c r="H1847" s="14" t="str">
        <x:v>20:10</x:v>
      </x:c>
      <x:c r="I1847" s="14" t="str">
        <x:v>Türkçe</x:v>
      </x:c>
      <x:c r="J1847" s="14" t="str">
        <x:v>Kitap / MEB / Mastery</x:v>
      </x:c>
      <x:c r="K1847" s="14" t="str">
        <x:v>Kaynak Tamamlama / Zayıf Konu</x:v>
      </x:c>
      <x:c r="L1847" s="14" t="str">
        <x:v>13 Nisan %100 tamamlama hedefine göre en geride kalan Türkçe soru kaynağını/eksik MEB setini ilerlet; açık yanlışları kapat.</x:v>
      </x:c>
      <x:c r="M1847" s="14" t="str">
        <x:v>Ankara 8. Sınıf Dil Bilgisi Güçlendiren + açık MEB/yanlışlar</x:v>
      </x:c>
      <x:c r="N1847" s="14" t="str">
        <x:v>https://odsgm.meb.gov.tr/www/8sinif-calisma-sorulari/icerik/1632</x:v>
      </x:c>
      <x:c r="O1847" s="14" t="n">
        <x:v>15</x:v>
      </x:c>
      <x:c r="P1847" s="14" t="str">
        <x:v>Hayır</x:v>
      </x:c>
      <x:c r="Q1847" s="14" t="str">
        <x:v>Evet</x:v>
      </x:c>
      <x:c r="R1847" s="14" t="str">
        <x:v>Planlandı</x:v>
      </x:c>
      <x:c r="S1847" s="15" t="str"/>
      <x:c r="T1847" s="14" t="str"/>
    </x:row>
    <x:row r="1848">
      <x:c r="A1848" s="14" t="n">
        <x:v>1847</x:v>
      </x:c>
      <x:c r="B1848" s="15" t="n">
        <x:v>46444</x:v>
      </x:c>
      <x:c r="C1848" s="14" t="str">
        <x:v>Cuma</x:v>
      </x:c>
      <x:c r="D1848" s="14" t="str">
        <x:v>Okul Günü</x:v>
      </x:c>
      <x:c r="E1848" s="14" t="str">
        <x:v>16:00 sonrası</x:v>
      </x:c>
      <x:c r="F1848" s="14" t="str">
        <x:v>F2 - LGS Kapsam + Ustalık</x:v>
      </x:c>
      <x:c r="G1848" s="14" t="str">
        <x:v>20:15</x:v>
      </x:c>
      <x:c r="H1848" s="14" t="str">
        <x:v>20:50</x:v>
      </x:c>
      <x:c r="I1848" s="14" t="str">
        <x:v>Fen</x:v>
      </x:c>
      <x:c r="J1848" s="14" t="str">
        <x:v>Konu / Tekrar</x:v>
      </x:c>
      <x:c r="K1848" s="14" t="str">
        <x:v>Madde Döngüleri ve Sürdürülebilir Kalkınma</x:v>
      </x:c>
      <x:c r="L1848" s="14" t="str">
        <x:v>Madde Döngüleri ve Sürdürülebilir Kalkınma — Fen soru çözüm playlistinden ilgili videoyu izle.</x:v>
      </x:c>
      <x:c r="M1848" s="14" t="str">
        <x:v>Fen Soru Çözüm / Tekrar</x:v>
      </x:c>
      <x:c r="N1848" s="14" t="str">
        <x:v>https://www.youtube.com/watch?v=pQXhWnDZ3vM&amp;list=PLrQm7mt99FRXcBnorCttd31HJEvg0En26&amp;index=23</x:v>
      </x:c>
      <x:c r="O1848" s="14" t="n">
        <x:v>0</x:v>
      </x:c>
      <x:c r="P1848" s="14" t="str">
        <x:v>Hayır</x:v>
      </x:c>
      <x:c r="Q1848" s="14" t="str">
        <x:v>Evet</x:v>
      </x:c>
      <x:c r="R1848" s="14" t="str">
        <x:v>Planlandı</x:v>
      </x:c>
      <x:c r="S1848" s="15" t="str"/>
      <x:c r="T1848" s="14" t="str"/>
    </x:row>
    <x:row r="1849">
      <x:c r="A1849" s="14" t="n">
        <x:v>1848</x:v>
      </x:c>
      <x:c r="B1849" s="15" t="n">
        <x:v>46444</x:v>
      </x:c>
      <x:c r="C1849" s="14" t="str">
        <x:v>Cuma</x:v>
      </x:c>
      <x:c r="D1849" s="14" t="str">
        <x:v>Okul Günü</x:v>
      </x:c>
      <x:c r="E1849" s="14" t="str">
        <x:v>16:00 sonrası</x:v>
      </x:c>
      <x:c r="F1849" s="14" t="str">
        <x:v>F2 - LGS Kapsam + Ustalık</x:v>
      </x:c>
      <x:c r="G1849" s="14" t="str">
        <x:v>20:55</x:v>
      </x:c>
      <x:c r="H1849" s="14" t="str">
        <x:v>21:20</x:v>
      </x:c>
      <x:c r="I1849" s="14" t="str">
        <x:v>Fen</x:v>
      </x:c>
      <x:c r="J1849" s="14" t="str">
        <x:v>Kitap / MEB / Mastery</x:v>
      </x:c>
      <x:c r="K1849" s="14" t="str">
        <x:v>Madde Döngüleri ve Sürdürülebilir Kalkınma</x:v>
      </x:c>
      <x:c r="L1849" s="14" t="str">
        <x:v>Madde Döngüleri ve Sürdürülebilir Kalkınma ile ilgili soru kitabından en az 20 soru / bugünkü test payını çöz.</x:v>
      </x:c>
      <x:c r="M1849" s="14" t="str">
        <x:v>Hız 8. Sınıf Fen (ISBN 9786257514859); tamamlandıysa Mozaik 8. Sınıf Fen</x:v>
      </x:c>
      <x:c r="N1849" s="14" t="str">
        <x:v>https://www.youtube.com/watch?v=pQXhWnDZ3vM&amp;list=PLrQm7mt99FRXcBnorCttd31HJEvg0En26&amp;index=23</x:v>
      </x:c>
      <x:c r="O1849" s="14" t="n">
        <x:v>20</x:v>
      </x:c>
      <x:c r="P1849" s="14" t="str">
        <x:v>Hayır</x:v>
      </x:c>
      <x:c r="Q1849" s="14" t="str">
        <x:v>Evet</x:v>
      </x:c>
      <x:c r="R1849" s="14" t="str">
        <x:v>Planlandı</x:v>
      </x:c>
      <x:c r="S1849" s="15" t="str"/>
      <x:c r="T1849" s="14" t="str"/>
    </x:row>
    <x:row r="1850">
      <x:c r="A1850" s="14" t="n">
        <x:v>1849</x:v>
      </x:c>
      <x:c r="B1850" s="15" t="n">
        <x:v>46444</x:v>
      </x:c>
      <x:c r="C1850" s="14" t="str">
        <x:v>Cuma</x:v>
      </x:c>
      <x:c r="D1850" s="14" t="str">
        <x:v>Okul Günü</x:v>
      </x:c>
      <x:c r="E1850" s="14" t="str">
        <x:v>16:00 sonrası</x:v>
      </x:c>
      <x:c r="F1850" s="14" t="str">
        <x:v>F2 - LGS Kapsam + Ustalık</x:v>
      </x:c>
      <x:c r="G1850" s="14" t="str">
        <x:v>21:20</x:v>
      </x:c>
      <x:c r="H1850" s="14" t="str">
        <x:v>21:35</x:v>
      </x:c>
      <x:c r="I1850" s="14" t="str">
        <x:v>Genel</x:v>
      </x:c>
      <x:c r="J1850" s="14" t="str">
        <x:v>Yanlış / Boş Analizi</x:v>
      </x:c>
      <x:c r="K1850" s="14" t="str">
        <x:v>Günlük</x:v>
      </x:c>
      <x:c r="L1850" s="14" t="str">
        <x:v>Bugünkü yanlış/boşları kaydet; çözümünü öğrenmeden kapatma. Hata türünü sınıflandır.</x:v>
      </x:c>
      <x:c r="M1850" s="14" t="str">
        <x:v>Yanlış Defteri</x:v>
      </x:c>
      <x:c r="N1850" s="14" t="str"/>
      <x:c r="O1850" s="14" t="n">
        <x:v>0</x:v>
      </x:c>
      <x:c r="P1850" s="14" t="str">
        <x:v>Hayır</x:v>
      </x:c>
      <x:c r="Q1850" s="14" t="str">
        <x:v>Evet</x:v>
      </x:c>
      <x:c r="R1850" s="14" t="str">
        <x:v>Planlandı</x:v>
      </x:c>
      <x:c r="S1850" s="15" t="str"/>
      <x:c r="T1850" s="14" t="str"/>
    </x:row>
    <x:row r="1851">
      <x:c r="A1851" s="14" t="n">
        <x:v>1850</x:v>
      </x:c>
      <x:c r="B1851" s="15" t="n">
        <x:v>46444</x:v>
      </x:c>
      <x:c r="C1851" s="14" t="str">
        <x:v>Cuma</x:v>
      </x:c>
      <x:c r="D1851" s="14" t="str">
        <x:v>Okul Günü</x:v>
      </x:c>
      <x:c r="E1851" s="14" t="str">
        <x:v>16:00 sonrası</x:v>
      </x:c>
      <x:c r="F1851" s="14" t="str">
        <x:v>F2 - LGS Kapsam + Ustalık</x:v>
      </x:c>
      <x:c r="G1851" s="14" t="str">
        <x:v>21:35</x:v>
      </x:c>
      <x:c r="H1851" s="14" t="str">
        <x:v>21:50</x:v>
      </x:c>
      <x:c r="I1851" s="14" t="str">
        <x:v>Genel</x:v>
      </x:c>
      <x:c r="J1851" s="14" t="str">
        <x:v>Aralıklı Hata Tekrarı</x:v>
      </x:c>
      <x:c r="K1851" s="14" t="str">
        <x:v>+1 / +7 / +21</x:v>
      </x:c>
      <x:c r="L1851" s="14" t="str">
        <x:v>Bugün vadesi gelen yanlış soruları tekrar çöz. Vadesi yoksa bu süre serbest/okuma olabilir.</x:v>
      </x:c>
      <x:c r="M1851" s="14" t="str">
        <x:v>Yanlış Defteri</x:v>
      </x:c>
      <x:c r="N1851" s="14" t="str"/>
      <x:c r="O1851" s="14" t="n">
        <x:v>0</x:v>
      </x:c>
      <x:c r="P1851" s="14" t="str">
        <x:v>Hayır</x:v>
      </x:c>
      <x:c r="Q1851" s="14" t="str">
        <x:v>Koşullu</x:v>
      </x:c>
      <x:c r="R1851" s="14" t="str">
        <x:v>Planlandı</x:v>
      </x:c>
      <x:c r="S1851" s="15" t="str"/>
      <x:c r="T1851" s="14" t="str">
        <x:v>Yanlışlar +1, +7 ve +21 gün aralıklarıyla tekrar edilir; hâlâ yanlışsa konu mastery durumu düşürülür.</x:v>
      </x:c>
    </x:row>
    <x:row r="1852">
      <x:c r="A1852" s="14" t="n">
        <x:v>1851</x:v>
      </x:c>
      <x:c r="B1852" s="15" t="n">
        <x:v>46444</x:v>
      </x:c>
      <x:c r="C1852" s="14" t="str">
        <x:v>Cuma</x:v>
      </x:c>
      <x:c r="D1852" s="14" t="str">
        <x:v>Okul Günü</x:v>
      </x:c>
      <x:c r="E1852" s="14" t="str">
        <x:v>16:00 sonrası</x:v>
      </x:c>
      <x:c r="F1852" s="14" t="str">
        <x:v>F2 - LGS Kapsam + Ustalık</x:v>
      </x:c>
      <x:c r="G1852" s="14" t="str">
        <x:v>21:50</x:v>
      </x:c>
      <x:c r="H1852" s="14" t="str">
        <x:v>22:00</x:v>
      </x:c>
      <x:c r="I1852" s="14" t="str">
        <x:v>Genel</x:v>
      </x:c>
      <x:c r="J1852" s="14" t="str">
        <x:v>Uyku Hazırlığı</x:v>
      </x:c>
      <x:c r="K1852" s="14" t="str"/>
      <x:c r="L1852" s="14" t="str">
        <x:v>22:00'de yatakta ve uyku.</x:v>
      </x:c>
      <x:c r="M1852" s="14" t="str"/>
      <x:c r="N1852" s="14" t="str"/>
      <x:c r="O1852" s="14" t="n">
        <x:v>0</x:v>
      </x:c>
      <x:c r="P1852" s="14" t="str">
        <x:v>Hayır</x:v>
      </x:c>
      <x:c r="Q1852" s="14" t="str">
        <x:v>Hayır</x:v>
      </x:c>
      <x:c r="R1852" s="14" t="str">
        <x:v>Planlandı</x:v>
      </x:c>
      <x:c r="S1852" s="15" t="str"/>
      <x:c r="T1852" s="14" t="str"/>
    </x:row>
    <x:row r="1853">
      <x:c r="A1853" s="14" t="n">
        <x:v>1852</x:v>
      </x:c>
      <x:c r="B1853" s="15" t="n">
        <x:v>46445</x:v>
      </x:c>
      <x:c r="C1853" s="14" t="str">
        <x:v>Cumartesi</x:v>
      </x:c>
      <x:c r="D1853" s="14" t="str">
        <x:v>Hafta Sonu</x:v>
      </x:c>
      <x:c r="E1853" s="14" t="str">
        <x:v>Tam gün</x:v>
      </x:c>
      <x:c r="F1853" s="14" t="str">
        <x:v>F2 - LGS Kapsam + Ustalık</x:v>
      </x:c>
      <x:c r="G1853" s="14" t="str">
        <x:v>09:30</x:v>
      </x:c>
      <x:c r="H1853" s="14" t="str">
        <x:v>10:15</x:v>
      </x:c>
      <x:c r="I1853" s="14" t="str">
        <x:v>Matematik</x:v>
      </x:c>
      <x:c r="J1853" s="14" t="str">
        <x:v>Konu / Tekrar</x:v>
      </x:c>
      <x:c r="K1853" s="14" t="str">
        <x:v>Kaynak Tamamlama / Zayıf Konu</x:v>
      </x:c>
      <x:c r="L1853" s="14" t="str">
        <x:v>Yeni konu açma. En zayıf/açık konunun ilgili playlist videosunu yalnız gerekiyorsa tekrar izle.</x:v>
      </x:c>
      <x:c r="M1853" s="14" t="str">
        <x:v>Matematik Ana Oynatma Listesi</x:v>
      </x:c>
      <x:c r="N1853" s="14" t="str">
        <x:v>https://www.youtube.com/watch?v=EuJ89QzqrAg&amp;list=PLicNtF7vp6fnfDqrRLH6H7fIbzYT4ct4F&amp;index=11</x:v>
      </x:c>
      <x:c r="O1853" s="14" t="n">
        <x:v>0</x:v>
      </x:c>
      <x:c r="P1853" s="14" t="str">
        <x:v>Hayır</x:v>
      </x:c>
      <x:c r="Q1853" s="14" t="str">
        <x:v>Evet</x:v>
      </x:c>
      <x:c r="R1853" s="14" t="str">
        <x:v>Planlandı</x:v>
      </x:c>
      <x:c r="S1853" s="15" t="str"/>
      <x:c r="T1853" s="14" t="str">
        <x:v>Yeni konu ancak plan sırasıyla açılır; LGS dışı ileri TYT içeriği zorunlu değildir.</x:v>
      </x:c>
    </x:row>
    <x:row r="1854">
      <x:c r="A1854" s="14" t="n">
        <x:v>1853</x:v>
      </x:c>
      <x:c r="B1854" s="15" t="n">
        <x:v>46445</x:v>
      </x:c>
      <x:c r="C1854" s="14" t="str">
        <x:v>Cumartesi</x:v>
      </x:c>
      <x:c r="D1854" s="14" t="str">
        <x:v>Hafta Sonu</x:v>
      </x:c>
      <x:c r="E1854" s="14" t="str">
        <x:v>Tam gün</x:v>
      </x:c>
      <x:c r="F1854" s="14" t="str">
        <x:v>F2 - LGS Kapsam + Ustalık</x:v>
      </x:c>
      <x:c r="G1854" s="14" t="str">
        <x:v>10:25</x:v>
      </x:c>
      <x:c r="H1854" s="14" t="str">
        <x:v>11:15</x:v>
      </x:c>
      <x:c r="I1854" s="14" t="str">
        <x:v>Matematik</x:v>
      </x:c>
      <x:c r="J1854" s="14" t="str">
        <x:v>Kitap / MEB / Mastery</x:v>
      </x:c>
      <x:c r="K1854" s="14" t="str">
        <x:v>Kaynak Tamamlama / Zayıf Konu</x:v>
      </x:c>
      <x:c r="L1854" s="14" t="str">
        <x:v>13 Nisan %100 tamamlama hedefine göre en geride kalan Matematik soru kaynağını/eksik MEB setini ilerlet; açık yanlışları kapat.</x:v>
      </x:c>
      <x:c r="M1854" s="14" t="str">
        <x:v>MUBA 8. Sınıf Başlangıç Matematik (ISBN 9789756526972) → tamamlandıysa Mozaik 8. Sınıf Matematik; açık MEB/yanlışlar</x:v>
      </x:c>
      <x:c r="N1854" s="14" t="str">
        <x:v>https://odsgm.meb.gov.tr/www/8sinif-calisma-sorulari/icerik/1632</x:v>
      </x:c>
      <x:c r="O1854" s="14" t="n">
        <x:v>30</x:v>
      </x:c>
      <x:c r="P1854" s="14" t="str">
        <x:v>İlk 20 soru</x:v>
      </x:c>
      <x:c r="Q1854" s="14" t="str">
        <x:v>Evet</x:v>
      </x:c>
      <x:c r="R1854" s="14" t="str">
        <x:v>Planlandı</x:v>
      </x:c>
      <x:c r="S1854" s="15" t="str"/>
      <x:c r="T1854" s="14" t="str">
        <x:v>Ayrı/rastgele matematik benchmark yoktur. Süreli ilk 20 soru o gün çalışılan konunun içindedir.</x:v>
      </x:c>
    </x:row>
    <x:row r="1855">
      <x:c r="A1855" s="14" t="n">
        <x:v>1854</x:v>
      </x:c>
      <x:c r="B1855" s="15" t="n">
        <x:v>46445</x:v>
      </x:c>
      <x:c r="C1855" s="14" t="str">
        <x:v>Cumartesi</x:v>
      </x:c>
      <x:c r="D1855" s="14" t="str">
        <x:v>Hafta Sonu</x:v>
      </x:c>
      <x:c r="E1855" s="14" t="str">
        <x:v>Tam gün</x:v>
      </x:c>
      <x:c r="F1855" s="14" t="str">
        <x:v>F2 - LGS Kapsam + Ustalık</x:v>
      </x:c>
      <x:c r="G1855" s="14" t="str">
        <x:v>12:00</x:v>
      </x:c>
      <x:c r="H1855" s="14" t="str">
        <x:v>14:00</x:v>
      </x:c>
      <x:c r="I1855" s="14" t="str">
        <x:v>Genel</x:v>
      </x:c>
      <x:c r="J1855" s="14" t="str">
        <x:v>Yemek / Serbest Zaman</x:v>
      </x:c>
      <x:c r="K1855" s="14" t="str"/>
      <x:c r="L1855" s="14" t="str">
        <x:v>Yemek, hareket ve dinlenme.</x:v>
      </x:c>
      <x:c r="M1855" s="14" t="str"/>
      <x:c r="N1855" s="14" t="str"/>
      <x:c r="O1855" s="14" t="n">
        <x:v>0</x:v>
      </x:c>
      <x:c r="P1855" s="14" t="str">
        <x:v>Hayır</x:v>
      </x:c>
      <x:c r="Q1855" s="14" t="str">
        <x:v>Hayır</x:v>
      </x:c>
      <x:c r="R1855" s="14" t="str">
        <x:v>Planlandı</x:v>
      </x:c>
      <x:c r="S1855" s="15" t="str"/>
      <x:c r="T1855" s="14" t="str"/>
    </x:row>
    <x:row r="1856">
      <x:c r="A1856" s="14" t="n">
        <x:v>1855</x:v>
      </x:c>
      <x:c r="B1856" s="15" t="n">
        <x:v>46445</x:v>
      </x:c>
      <x:c r="C1856" s="14" t="str">
        <x:v>Cumartesi</x:v>
      </x:c>
      <x:c r="D1856" s="14" t="str">
        <x:v>Hafta Sonu</x:v>
      </x:c>
      <x:c r="E1856" s="14" t="str">
        <x:v>Tam gün</x:v>
      </x:c>
      <x:c r="F1856" s="14" t="str">
        <x:v>F2 - LGS Kapsam + Ustalık</x:v>
      </x:c>
      <x:c r="G1856" s="14" t="str">
        <x:v>11:25</x:v>
      </x:c>
      <x:c r="H1856" s="14" t="str">
        <x:v>11:55</x:v>
      </x:c>
      <x:c r="I1856" s="14" t="str">
        <x:v>Türkçe</x:v>
      </x:c>
      <x:c r="J1856" s="14" t="str">
        <x:v>Paragraf Rutini</x:v>
      </x:c>
      <x:c r="K1856" s="14" t="str">
        <x:v>Paragraf</x:v>
      </x:c>
      <x:c r="L1856" s="14" t="str">
        <x:v>En az 30 paragraf sorusu çöz; ilk 20 soruyu ileri sayımla ölç, D/Y/B + süre kaydet.</x:v>
      </x:c>
      <x:c r="M1856" s="14" t="str">
        <x:v>Hız 8. Sınıf Türkçe Paragraf (ISBN 9786258394498)</x:v>
      </x:c>
      <x:c r="N1856" s="14" t="str"/>
      <x:c r="O1856" s="14" t="n">
        <x:v>30</x:v>
      </x:c>
      <x:c r="P1856" s="14" t="str">
        <x:v>İlk 20 soru</x:v>
      </x:c>
      <x:c r="Q1856" s="14" t="str">
        <x:v>Evet</x:v>
      </x:c>
      <x:c r="R1856" s="14" t="str">
        <x:v>Planlandı</x:v>
      </x:c>
      <x:c r="S1856" s="15" t="str"/>
      <x:c r="T1856" s="14" t="str">
        <x:v>Geri sayım ve hedef süre yok.</x:v>
      </x:c>
    </x:row>
    <x:row r="1857">
      <x:c r="A1857" s="14" t="n">
        <x:v>1856</x:v>
      </x:c>
      <x:c r="B1857" s="15" t="n">
        <x:v>46445</x:v>
      </x:c>
      <x:c r="C1857" s="14" t="str">
        <x:v>Cumartesi</x:v>
      </x:c>
      <x:c r="D1857" s="14" t="str">
        <x:v>Hafta Sonu</x:v>
      </x:c>
      <x:c r="E1857" s="14" t="str">
        <x:v>Tam gün</x:v>
      </x:c>
      <x:c r="F1857" s="14" t="str">
        <x:v>F2 - LGS Kapsam + Ustalık</x:v>
      </x:c>
      <x:c r="G1857" s="14" t="str">
        <x:v>14:00</x:v>
      </x:c>
      <x:c r="H1857" s="14" t="str">
        <x:v>14:40</x:v>
      </x:c>
      <x:c r="I1857" s="14" t="str">
        <x:v>Türkçe</x:v>
      </x:c>
      <x:c r="J1857" s="14" t="str">
        <x:v>Konu / Tekrar</x:v>
      </x:c>
      <x:c r="K1857" s="14" t="str">
        <x:v>Kaynak Tamamlama / Zayıf Konu</x:v>
      </x:c>
      <x:c r="L1857" s="14" t="str">
        <x:v>Yeni konu açma. En zayıf/açık konunun ilgili playlist videosunu yalnız gerekiyorsa tekrar izle.</x:v>
      </x:c>
      <x:c r="M1857" s="14" t="str">
        <x:v>Türkçe Ana Oynatma Listesi</x:v>
      </x:c>
      <x:c r="N1857" s="14" t="str">
        <x:v>https://www.youtube.com/watch?v=VYsPntNKVdw&amp;list=PLIBjFaUoJJ91bz7QQEBlxNJNZka5YQRr6</x:v>
      </x:c>
      <x:c r="O1857" s="14" t="n">
        <x:v>0</x:v>
      </x:c>
      <x:c r="P1857" s="14" t="str">
        <x:v>Hayır</x:v>
      </x:c>
      <x:c r="Q1857" s="14" t="str">
        <x:v>Evet</x:v>
      </x:c>
      <x:c r="R1857" s="14" t="str">
        <x:v>Planlandı</x:v>
      </x:c>
      <x:c r="S1857" s="15" t="str"/>
      <x:c r="T1857" s="14" t="str">
        <x:v>TYT etiketli kaynak temelden başlamak için sabittir; LGS dışı gereksiz ayrıntı zorunlu değildir.</x:v>
      </x:c>
    </x:row>
    <x:row r="1858">
      <x:c r="A1858" s="14" t="n">
        <x:v>1857</x:v>
      </x:c>
      <x:c r="B1858" s="15" t="n">
        <x:v>46445</x:v>
      </x:c>
      <x:c r="C1858" s="14" t="str">
        <x:v>Cumartesi</x:v>
      </x:c>
      <x:c r="D1858" s="14" t="str">
        <x:v>Hafta Sonu</x:v>
      </x:c>
      <x:c r="E1858" s="14" t="str">
        <x:v>Tam gün</x:v>
      </x:c>
      <x:c r="F1858" s="14" t="str">
        <x:v>F2 - LGS Kapsam + Ustalık</x:v>
      </x:c>
      <x:c r="G1858" s="14" t="str">
        <x:v>14:50</x:v>
      </x:c>
      <x:c r="H1858" s="14" t="str">
        <x:v>15:30</x:v>
      </x:c>
      <x:c r="I1858" s="14" t="str">
        <x:v>Türkçe</x:v>
      </x:c>
      <x:c r="J1858" s="14" t="str">
        <x:v>Kitap / MEB / Mastery</x:v>
      </x:c>
      <x:c r="K1858" s="14" t="str">
        <x:v>Kaynak Tamamlama / Zayıf Konu</x:v>
      </x:c>
      <x:c r="L1858" s="14" t="str">
        <x:v>13 Nisan %100 tamamlama hedefine göre en geride kalan Türkçe soru kaynağını/eksik MEB setini ilerlet; açık yanlışları kapat.</x:v>
      </x:c>
      <x:c r="M1858" s="14" t="str">
        <x:v>Ankara 8. Sınıf Dil Bilgisi Güçlendiren + açık MEB/yanlışlar</x:v>
      </x:c>
      <x:c r="N1858" s="14" t="str">
        <x:v>https://odsgm.meb.gov.tr/www/8sinif-calisma-sorulari/icerik/1632</x:v>
      </x:c>
      <x:c r="O1858" s="14" t="n">
        <x:v>15</x:v>
      </x:c>
      <x:c r="P1858" s="14" t="str">
        <x:v>Hayır</x:v>
      </x:c>
      <x:c r="Q1858" s="14" t="str">
        <x:v>Evet</x:v>
      </x:c>
      <x:c r="R1858" s="14" t="str">
        <x:v>Planlandı</x:v>
      </x:c>
      <x:c r="S1858" s="15" t="str"/>
      <x:c r="T1858" s="14" t="str"/>
    </x:row>
    <x:row r="1859">
      <x:c r="A1859" s="14" t="n">
        <x:v>1858</x:v>
      </x:c>
      <x:c r="B1859" s="15" t="n">
        <x:v>46445</x:v>
      </x:c>
      <x:c r="C1859" s="14" t="str">
        <x:v>Cumartesi</x:v>
      </x:c>
      <x:c r="D1859" s="14" t="str">
        <x:v>Hafta Sonu</x:v>
      </x:c>
      <x:c r="E1859" s="14" t="str">
        <x:v>Tam gün</x:v>
      </x:c>
      <x:c r="F1859" s="14" t="str">
        <x:v>F2 - LGS Kapsam + Ustalık</x:v>
      </x:c>
      <x:c r="G1859" s="14" t="str">
        <x:v>15:45</x:v>
      </x:c>
      <x:c r="H1859" s="14" t="str">
        <x:v>16:25</x:v>
      </x:c>
      <x:c r="I1859" s="14" t="str">
        <x:v>Din</x:v>
      </x:c>
      <x:c r="J1859" s="14" t="str">
        <x:v>Konu / Tekrar</x:v>
      </x:c>
      <x:c r="K1859" s="14" t="str">
        <x:v>Kaynak Tamamlama / Zayıf Konu</x:v>
      </x:c>
      <x:c r="L1859" s="14" t="str">
        <x:v>Yeni konu açma. En zayıf/açık konunun ilgili playlist videosunu yalnız gerekiyorsa tekrar izle.</x:v>
      </x:c>
      <x:c r="M1859" s="14" t="str">
        <x:v>Din Genel Oynatma Listesi</x:v>
      </x:c>
      <x:c r="N1859" s="14" t="str">
        <x:v>https://www.youtube.com/watch?v=wvdOE_75VnA&amp;list=PLbRoPq-Zu-SWXGUbVt4t4UWo-4VjsMUo-&amp;index=2</x:v>
      </x:c>
      <x:c r="O1859" s="14" t="n">
        <x:v>0</x:v>
      </x:c>
      <x:c r="P1859" s="14" t="str">
        <x:v>Hayır</x:v>
      </x:c>
      <x:c r="Q1859" s="14" t="str">
        <x:v>Evet</x:v>
      </x:c>
      <x:c r="R1859" s="14" t="str">
        <x:v>Planlandı</x:v>
      </x:c>
      <x:c r="S1859" s="15" t="str"/>
      <x:c r="T1859" s="14" t="str"/>
    </x:row>
    <x:row r="1860">
      <x:c r="A1860" s="14" t="n">
        <x:v>1859</x:v>
      </x:c>
      <x:c r="B1860" s="15" t="n">
        <x:v>46445</x:v>
      </x:c>
      <x:c r="C1860" s="14" t="str">
        <x:v>Cumartesi</x:v>
      </x:c>
      <x:c r="D1860" s="14" t="str">
        <x:v>Hafta Sonu</x:v>
      </x:c>
      <x:c r="E1860" s="14" t="str">
        <x:v>Tam gün</x:v>
      </x:c>
      <x:c r="F1860" s="14" t="str">
        <x:v>F2 - LGS Kapsam + Ustalık</x:v>
      </x:c>
      <x:c r="G1860" s="14" t="str">
        <x:v>16:35</x:v>
      </x:c>
      <x:c r="H1860" s="14" t="str">
        <x:v>17:15</x:v>
      </x:c>
      <x:c r="I1860" s="14" t="str">
        <x:v>Din</x:v>
      </x:c>
      <x:c r="J1860" s="14" t="str">
        <x:v>Kitap / MEB / Mastery</x:v>
      </x:c>
      <x:c r="K1860" s="14" t="str">
        <x:v>Kaynak Tamamlama / Zayıf Konu</x:v>
      </x:c>
      <x:c r="L1860" s="14" t="str">
        <x:v>13 Nisan %100 tamamlama hedefine göre en geride kalan Din soru kaynağını/eksik MEB setini ilerlet; açık yanlışları kapat.</x:v>
      </x:c>
      <x:c r="M1860" s="14" t="str">
        <x:v>Hız 8. Sınıf Din Kültürü ve Ahlak Bilgisi + açık MEB/yanlışlar</x:v>
      </x:c>
      <x:c r="N1860" s="14" t="str">
        <x:v>https://odsgm.meb.gov.tr/www/8sinif-calisma-sorulari/icerik/1632</x:v>
      </x:c>
      <x:c r="O1860" s="14" t="n">
        <x:v>20</x:v>
      </x:c>
      <x:c r="P1860" s="14" t="str">
        <x:v>Hayır</x:v>
      </x:c>
      <x:c r="Q1860" s="14" t="str">
        <x:v>Evet</x:v>
      </x:c>
      <x:c r="R1860" s="14" t="str">
        <x:v>Planlandı</x:v>
      </x:c>
      <x:c r="S1860" s="15" t="str"/>
      <x:c r="T1860" s="14" t="str"/>
    </x:row>
    <x:row r="1861">
      <x:c r="A1861" s="14" t="n">
        <x:v>1860</x:v>
      </x:c>
      <x:c r="B1861" s="15" t="n">
        <x:v>46445</x:v>
      </x:c>
      <x:c r="C1861" s="14" t="str">
        <x:v>Cumartesi</x:v>
      </x:c>
      <x:c r="D1861" s="14" t="str">
        <x:v>Hafta Sonu</x:v>
      </x:c>
      <x:c r="E1861" s="14" t="str">
        <x:v>Tam gün</x:v>
      </x:c>
      <x:c r="F1861" s="14" t="str">
        <x:v>F2 - LGS Kapsam + Ustalık</x:v>
      </x:c>
      <x:c r="G1861" s="14" t="str">
        <x:v>17:25</x:v>
      </x:c>
      <x:c r="H1861" s="14" t="str">
        <x:v>17:55</x:v>
      </x:c>
      <x:c r="I1861" s="14" t="str">
        <x:v>Fen</x:v>
      </x:c>
      <x:c r="J1861" s="14" t="str">
        <x:v>Ek Fen Pekiştirme</x:v>
      </x:c>
      <x:c r="K1861" s="14" t="str">
        <x:v>Madde Döngüleri ve Sürdürülebilir Kalkınma</x:v>
      </x:c>
      <x:c r="L1861" s="14" t="str">
        <x:v>Madde Döngüleri ve Sürdürülebilir Kalkınma — MEB doğrulaması öncesi 5-10 dk aktif hatırlama; gerekiyorsa ilgili playlist videosuna kısa dönüş yap.</x:v>
      </x:c>
      <x:c r="M1861" s="14" t="str">
        <x:v>Fen Konu/Soru Oynatma Listesi</x:v>
      </x:c>
      <x:c r="N1861" s="14" t="str">
        <x:v>https://www.youtube.com/watch?v=pQXhWnDZ3vM&amp;list=PLrQm7mt99FRXcBnorCttd31HJEvg0En26&amp;index=23</x:v>
      </x:c>
      <x:c r="O1861" s="14" t="n">
        <x:v>0</x:v>
      </x:c>
      <x:c r="P1861" s="14" t="str">
        <x:v>Hayır</x:v>
      </x:c>
      <x:c r="Q1861" s="14" t="str">
        <x:v>Evet</x:v>
      </x:c>
      <x:c r="R1861" s="14" t="str">
        <x:v>Planlandı</x:v>
      </x:c>
      <x:c r="S1861" s="15" t="str"/>
      <x:c r="T1861" s="14" t="str">
        <x:v>Fen haftalık temas sıklığını artırmak için ek Cumartesi oturumu.</x:v>
      </x:c>
    </x:row>
    <x:row r="1862">
      <x:c r="A1862" s="14" t="n">
        <x:v>1861</x:v>
      </x:c>
      <x:c r="B1862" s="15" t="n">
        <x:v>46445</x:v>
      </x:c>
      <x:c r="C1862" s="14" t="str">
        <x:v>Cumartesi</x:v>
      </x:c>
      <x:c r="D1862" s="14" t="str">
        <x:v>Hafta Sonu</x:v>
      </x:c>
      <x:c r="E1862" s="14" t="str">
        <x:v>Tam gün</x:v>
      </x:c>
      <x:c r="F1862" s="14" t="str">
        <x:v>F2 - LGS Kapsam + Ustalık</x:v>
      </x:c>
      <x:c r="G1862" s="14" t="str">
        <x:v>17:55</x:v>
      </x:c>
      <x:c r="H1862" s="14" t="str">
        <x:v>18:25</x:v>
      </x:c>
      <x:c r="I1862" s="14" t="str">
        <x:v>Fen</x:v>
      </x:c>
      <x:c r="J1862" s="14" t="str">
        <x:v>Ek Fen Kitap / MEB</x:v>
      </x:c>
      <x:c r="K1862" s="14" t="str">
        <x:v>Madde Döngüleri ve Sürdürülebilir Kalkınma</x:v>
      </x:c>
      <x:c r="L1862" s="14" t="str">
        <x:v>Madde Döngüleri ve Sürdürülebilir Kalkınma için ilgili MEB sorularını TAMAMLA; D/Y/B kaydet. Bu oturum konu mastery gate'idir.</x:v>
      </x:c>
      <x:c r="M1862" s="14" t="str">
        <x:v>MEB 8. Sınıf Fen Soruları</x:v>
      </x:c>
      <x:c r="N1862" s="14" t="str">
        <x:v>https://odsgm.meb.gov.tr/www/8sinif-calisma-sorulari/icerik/1632</x:v>
      </x:c>
      <x:c r="O1862" s="14" t="n">
        <x:v>0</x:v>
      </x:c>
      <x:c r="P1862" s="14" t="str">
        <x:v>Hayır</x:v>
      </x:c>
      <x:c r="Q1862" s="14" t="str">
        <x:v>Evet</x:v>
      </x:c>
      <x:c r="R1862" s="14" t="str">
        <x:v>Planlandı</x:v>
      </x:c>
      <x:c r="S1862" s="15" t="str"/>
      <x:c r="T1862" s="14" t="str">
        <x:v>Fen için Hız → gerekiyorsa Mozaik; MEB doğrulaması konu bitiminde.</x:v>
      </x:c>
    </x:row>
    <x:row r="1863">
      <x:c r="A1863" s="14" t="n">
        <x:v>1862</x:v>
      </x:c>
      <x:c r="B1863" s="15" t="n">
        <x:v>46445</x:v>
      </x:c>
      <x:c r="C1863" s="14" t="str">
        <x:v>Cumartesi</x:v>
      </x:c>
      <x:c r="D1863" s="14" t="str">
        <x:v>Hafta Sonu</x:v>
      </x:c>
      <x:c r="E1863" s="14" t="str">
        <x:v>Tam gün</x:v>
      </x:c>
      <x:c r="F1863" s="14" t="str">
        <x:v>F2 - LGS Kapsam + Ustalık</x:v>
      </x:c>
      <x:c r="G1863" s="14" t="str">
        <x:v>18:25</x:v>
      </x:c>
      <x:c r="H1863" s="14" t="str">
        <x:v>18:45</x:v>
      </x:c>
      <x:c r="I1863" s="14" t="str">
        <x:v>Genel</x:v>
      </x:c>
      <x:c r="J1863" s="14" t="str">
        <x:v>Yanlış / Boş Analizi</x:v>
      </x:c>
      <x:c r="K1863" s="14" t="str">
        <x:v>Günlük</x:v>
      </x:c>
      <x:c r="L1863" s="14" t="str">
        <x:v>Bugünkü yanlış/boşları kaydet; çözümünü öğrenmeden kapatma. Hata türünü sınıflandır.</x:v>
      </x:c>
      <x:c r="M1863" s="14" t="str">
        <x:v>Yanlış Defteri</x:v>
      </x:c>
      <x:c r="N1863" s="14" t="str"/>
      <x:c r="O1863" s="14" t="n">
        <x:v>0</x:v>
      </x:c>
      <x:c r="P1863" s="14" t="str">
        <x:v>Hayır</x:v>
      </x:c>
      <x:c r="Q1863" s="14" t="str">
        <x:v>Evet</x:v>
      </x:c>
      <x:c r="R1863" s="14" t="str">
        <x:v>Planlandı</x:v>
      </x:c>
      <x:c r="S1863" s="15" t="str"/>
      <x:c r="T1863" s="14" t="str"/>
    </x:row>
    <x:row r="1864">
      <x:c r="A1864" s="14" t="n">
        <x:v>1863</x:v>
      </x:c>
      <x:c r="B1864" s="15" t="n">
        <x:v>46445</x:v>
      </x:c>
      <x:c r="C1864" s="14" t="str">
        <x:v>Cumartesi</x:v>
      </x:c>
      <x:c r="D1864" s="14" t="str">
        <x:v>Hafta Sonu</x:v>
      </x:c>
      <x:c r="E1864" s="14" t="str">
        <x:v>Tam gün</x:v>
      </x:c>
      <x:c r="F1864" s="14" t="str">
        <x:v>F2 - LGS Kapsam + Ustalık</x:v>
      </x:c>
      <x:c r="G1864" s="14" t="str">
        <x:v>18:45</x:v>
      </x:c>
      <x:c r="H1864" s="14" t="str">
        <x:v>19:05</x:v>
      </x:c>
      <x:c r="I1864" s="14" t="str">
        <x:v>Genel</x:v>
      </x:c>
      <x:c r="J1864" s="14" t="str">
        <x:v>Aralıklı Hata Tekrarı</x:v>
      </x:c>
      <x:c r="K1864" s="14" t="str">
        <x:v>+1 / +7 / +21</x:v>
      </x:c>
      <x:c r="L1864" s="14" t="str">
        <x:v>Bugün vadesi gelen yanlış soruları tekrar çöz. Vadesi yoksa bu süre serbest/okuma olabilir.</x:v>
      </x:c>
      <x:c r="M1864" s="14" t="str">
        <x:v>Yanlış Defteri</x:v>
      </x:c>
      <x:c r="N1864" s="14" t="str"/>
      <x:c r="O1864" s="14" t="n">
        <x:v>0</x:v>
      </x:c>
      <x:c r="P1864" s="14" t="str">
        <x:v>Hayır</x:v>
      </x:c>
      <x:c r="Q1864" s="14" t="str">
        <x:v>Koşullu</x:v>
      </x:c>
      <x:c r="R1864" s="14" t="str">
        <x:v>Planlandı</x:v>
      </x:c>
      <x:c r="S1864" s="15" t="str"/>
      <x:c r="T1864" s="14" t="str">
        <x:v>Yanlışlar +1, +7 ve +21 gün aralıklarıyla tekrar edilir; hâlâ yanlışsa konu mastery durumu düşürülür.</x:v>
      </x:c>
    </x:row>
    <x:row r="1865">
      <x:c r="A1865" s="14" t="n">
        <x:v>1864</x:v>
      </x:c>
      <x:c r="B1865" s="15" t="n">
        <x:v>46445</x:v>
      </x:c>
      <x:c r="C1865" s="14" t="str">
        <x:v>Cumartesi</x:v>
      </x:c>
      <x:c r="D1865" s="14" t="str">
        <x:v>Hafta Sonu</x:v>
      </x:c>
      <x:c r="E1865" s="14" t="str">
        <x:v>Tam gün</x:v>
      </x:c>
      <x:c r="F1865" s="14" t="str">
        <x:v>F2 - LGS Kapsam + Ustalık</x:v>
      </x:c>
      <x:c r="G1865" s="14" t="str">
        <x:v>20:00</x:v>
      </x:c>
      <x:c r="H1865" s="14" t="str">
        <x:v>20:30</x:v>
      </x:c>
      <x:c r="I1865" s="14" t="str">
        <x:v>Okuma</x:v>
      </x:c>
      <x:c r="J1865" s="14" t="str">
        <x:v>İsteğe Bağlı</x:v>
      </x:c>
      <x:c r="K1865" s="14" t="str">
        <x:v>Serbest Kitap</x:v>
      </x:c>
      <x:c r="L1865" s="14" t="str">
        <x:v>Zorunlu çalışmalar bittiyse isteğe bağlı kitap oku.</x:v>
      </x:c>
      <x:c r="M1865" s="14" t="str">
        <x:v>Serbest Kitap</x:v>
      </x:c>
      <x:c r="N1865" s="14" t="str"/>
      <x:c r="O1865" s="14" t="n">
        <x:v>0</x:v>
      </x:c>
      <x:c r="P1865" s="14" t="str">
        <x:v>İsteğe Bağlı</x:v>
      </x:c>
      <x:c r="Q1865" s="14" t="str">
        <x:v>Hayır</x:v>
      </x:c>
      <x:c r="R1865" s="14" t="str">
        <x:v>Planlandı</x:v>
      </x:c>
      <x:c r="S1865" s="15" t="str"/>
      <x:c r="T1865" s="14" t="str">
        <x:v>Minimum süre yok.</x:v>
      </x:c>
    </x:row>
    <x:row r="1866">
      <x:c r="A1866" s="14" t="n">
        <x:v>1865</x:v>
      </x:c>
      <x:c r="B1866" s="15" t="n">
        <x:v>46445</x:v>
      </x:c>
      <x:c r="C1866" s="14" t="str">
        <x:v>Cumartesi</x:v>
      </x:c>
      <x:c r="D1866" s="14" t="str">
        <x:v>Hafta Sonu</x:v>
      </x:c>
      <x:c r="E1866" s="14" t="str">
        <x:v>Tam gün</x:v>
      </x:c>
      <x:c r="F1866" s="14" t="str">
        <x:v>F2 - LGS Kapsam + Ustalık</x:v>
      </x:c>
      <x:c r="G1866" s="14" t="str">
        <x:v>21:50</x:v>
      </x:c>
      <x:c r="H1866" s="14" t="str">
        <x:v>22:00</x:v>
      </x:c>
      <x:c r="I1866" s="14" t="str">
        <x:v>Genel</x:v>
      </x:c>
      <x:c r="J1866" s="14" t="str">
        <x:v>Uyku Hazırlığı</x:v>
      </x:c>
      <x:c r="K1866" s="14" t="str"/>
      <x:c r="L1866" s="14" t="str">
        <x:v>22:00'de yatakta ve uyku.</x:v>
      </x:c>
      <x:c r="M1866" s="14" t="str"/>
      <x:c r="N1866" s="14" t="str"/>
      <x:c r="O1866" s="14" t="n">
        <x:v>0</x:v>
      </x:c>
      <x:c r="P1866" s="14" t="str">
        <x:v>Hayır</x:v>
      </x:c>
      <x:c r="Q1866" s="14" t="str">
        <x:v>Hayır</x:v>
      </x:c>
      <x:c r="R1866" s="14" t="str">
        <x:v>Planlandı</x:v>
      </x:c>
      <x:c r="S1866" s="15" t="str"/>
      <x:c r="T1866" s="14" t="str"/>
    </x:row>
    <x:row r="1867">
      <x:c r="A1867" s="14" t="n">
        <x:v>1866</x:v>
      </x:c>
      <x:c r="B1867" s="15" t="n">
        <x:v>46446</x:v>
      </x:c>
      <x:c r="C1867" s="14" t="str">
        <x:v>Pazar</x:v>
      </x:c>
      <x:c r="D1867" s="14" t="str">
        <x:v>Hafta Sonu</x:v>
      </x:c>
      <x:c r="E1867" s="14" t="str">
        <x:v>Tam gün</x:v>
      </x:c>
      <x:c r="F1867" s="14" t="str">
        <x:v>F2 - LGS Kapsam + Ustalık</x:v>
      </x:c>
      <x:c r="G1867" s="14" t="str">
        <x:v>09:30</x:v>
      </x:c>
      <x:c r="H1867" s="14" t="str">
        <x:v>10:15</x:v>
      </x:c>
      <x:c r="I1867" s="14" t="str">
        <x:v>Matematik</x:v>
      </x:c>
      <x:c r="J1867" s="14" t="str">
        <x:v>Konu / Tekrar</x:v>
      </x:c>
      <x:c r="K1867" s="14" t="str">
        <x:v>Kaynak Tamamlama / Zayıf Konu</x:v>
      </x:c>
      <x:c r="L1867" s="14" t="str">
        <x:v>Yeni konu açma. En zayıf/açık konunun ilgili playlist videosunu yalnız gerekiyorsa tekrar izle.</x:v>
      </x:c>
      <x:c r="M1867" s="14" t="str">
        <x:v>Matematik Ana Oynatma Listesi</x:v>
      </x:c>
      <x:c r="N1867" s="14" t="str">
        <x:v>https://www.youtube.com/watch?v=EuJ89QzqrAg&amp;list=PLicNtF7vp6fnfDqrRLH6H7fIbzYT4ct4F&amp;index=11</x:v>
      </x:c>
      <x:c r="O1867" s="14" t="n">
        <x:v>0</x:v>
      </x:c>
      <x:c r="P1867" s="14" t="str">
        <x:v>Hayır</x:v>
      </x:c>
      <x:c r="Q1867" s="14" t="str">
        <x:v>Evet</x:v>
      </x:c>
      <x:c r="R1867" s="14" t="str">
        <x:v>Planlandı</x:v>
      </x:c>
      <x:c r="S1867" s="15" t="str"/>
      <x:c r="T1867" s="14" t="str">
        <x:v>Yeni konu ancak plan sırasıyla açılır; LGS dışı ileri TYT içeriği zorunlu değildir.</x:v>
      </x:c>
    </x:row>
    <x:row r="1868">
      <x:c r="A1868" s="14" t="n">
        <x:v>1867</x:v>
      </x:c>
      <x:c r="B1868" s="15" t="n">
        <x:v>46446</x:v>
      </x:c>
      <x:c r="C1868" s="14" t="str">
        <x:v>Pazar</x:v>
      </x:c>
      <x:c r="D1868" s="14" t="str">
        <x:v>Hafta Sonu</x:v>
      </x:c>
      <x:c r="E1868" s="14" t="str">
        <x:v>Tam gün</x:v>
      </x:c>
      <x:c r="F1868" s="14" t="str">
        <x:v>F2 - LGS Kapsam + Ustalık</x:v>
      </x:c>
      <x:c r="G1868" s="14" t="str">
        <x:v>10:25</x:v>
      </x:c>
      <x:c r="H1868" s="14" t="str">
        <x:v>11:15</x:v>
      </x:c>
      <x:c r="I1868" s="14" t="str">
        <x:v>Matematik</x:v>
      </x:c>
      <x:c r="J1868" s="14" t="str">
        <x:v>Kitap / MEB / Mastery</x:v>
      </x:c>
      <x:c r="K1868" s="14" t="str">
        <x:v>Kaynak Tamamlama / Zayıf Konu</x:v>
      </x:c>
      <x:c r="L1868" s="14" t="str">
        <x:v>13 Nisan %100 tamamlama hedefine göre en geride kalan Matematik soru kaynağını/eksik MEB setini ilerlet; açık yanlışları kapat.</x:v>
      </x:c>
      <x:c r="M1868" s="14" t="str">
        <x:v>MUBA 8. Sınıf Başlangıç Matematik (ISBN 9789756526972) → tamamlandıysa Mozaik 8. Sınıf Matematik; açık MEB/yanlışlar</x:v>
      </x:c>
      <x:c r="N1868" s="14" t="str">
        <x:v>https://odsgm.meb.gov.tr/www/8sinif-calisma-sorulari/icerik/1632</x:v>
      </x:c>
      <x:c r="O1868" s="14" t="n">
        <x:v>30</x:v>
      </x:c>
      <x:c r="P1868" s="14" t="str">
        <x:v>İlk 20 soru</x:v>
      </x:c>
      <x:c r="Q1868" s="14" t="str">
        <x:v>Evet</x:v>
      </x:c>
      <x:c r="R1868" s="14" t="str">
        <x:v>Planlandı</x:v>
      </x:c>
      <x:c r="S1868" s="15" t="str"/>
      <x:c r="T1868" s="14" t="str">
        <x:v>Ayrı/rastgele matematik benchmark yoktur. Süreli ilk 20 soru o gün çalışılan konunun içindedir.</x:v>
      </x:c>
    </x:row>
    <x:row r="1869">
      <x:c r="A1869" s="14" t="n">
        <x:v>1868</x:v>
      </x:c>
      <x:c r="B1869" s="15" t="n">
        <x:v>46446</x:v>
      </x:c>
      <x:c r="C1869" s="14" t="str">
        <x:v>Pazar</x:v>
      </x:c>
      <x:c r="D1869" s="14" t="str">
        <x:v>Hafta Sonu</x:v>
      </x:c>
      <x:c r="E1869" s="14" t="str">
        <x:v>Tam gün</x:v>
      </x:c>
      <x:c r="F1869" s="14" t="str">
        <x:v>F2 - LGS Kapsam + Ustalık</x:v>
      </x:c>
      <x:c r="G1869" s="14" t="str">
        <x:v>12:00</x:v>
      </x:c>
      <x:c r="H1869" s="14" t="str">
        <x:v>14:00</x:v>
      </x:c>
      <x:c r="I1869" s="14" t="str">
        <x:v>Genel</x:v>
      </x:c>
      <x:c r="J1869" s="14" t="str">
        <x:v>Yemek / Serbest Zaman</x:v>
      </x:c>
      <x:c r="K1869" s="14" t="str"/>
      <x:c r="L1869" s="14" t="str">
        <x:v>Yemek, hareket ve dinlenme.</x:v>
      </x:c>
      <x:c r="M1869" s="14" t="str"/>
      <x:c r="N1869" s="14" t="str"/>
      <x:c r="O1869" s="14" t="n">
        <x:v>0</x:v>
      </x:c>
      <x:c r="P1869" s="14" t="str">
        <x:v>Hayır</x:v>
      </x:c>
      <x:c r="Q1869" s="14" t="str">
        <x:v>Hayır</x:v>
      </x:c>
      <x:c r="R1869" s="14" t="str">
        <x:v>Planlandı</x:v>
      </x:c>
      <x:c r="S1869" s="15" t="str"/>
      <x:c r="T1869" s="14" t="str"/>
    </x:row>
    <x:row r="1870">
      <x:c r="A1870" s="14" t="n">
        <x:v>1869</x:v>
      </x:c>
      <x:c r="B1870" s="15" t="n">
        <x:v>46446</x:v>
      </x:c>
      <x:c r="C1870" s="14" t="str">
        <x:v>Pazar</x:v>
      </x:c>
      <x:c r="D1870" s="14" t="str">
        <x:v>Hafta Sonu</x:v>
      </x:c>
      <x:c r="E1870" s="14" t="str">
        <x:v>Tam gün</x:v>
      </x:c>
      <x:c r="F1870" s="14" t="str">
        <x:v>F2 - LGS Kapsam + Ustalık</x:v>
      </x:c>
      <x:c r="G1870" s="14" t="str">
        <x:v>11:25</x:v>
      </x:c>
      <x:c r="H1870" s="14" t="str">
        <x:v>11:55</x:v>
      </x:c>
      <x:c r="I1870" s="14" t="str">
        <x:v>Türkçe</x:v>
      </x:c>
      <x:c r="J1870" s="14" t="str">
        <x:v>Paragraf Rutini</x:v>
      </x:c>
      <x:c r="K1870" s="14" t="str">
        <x:v>Paragraf</x:v>
      </x:c>
      <x:c r="L1870" s="14" t="str">
        <x:v>En az 30 paragraf sorusu çöz; ilk 20 soruyu ileri sayımla ölç, D/Y/B + süre kaydet.</x:v>
      </x:c>
      <x:c r="M1870" s="14" t="str">
        <x:v>Hız 8. Sınıf Türkçe Paragraf (ISBN 9786258394498)</x:v>
      </x:c>
      <x:c r="N1870" s="14" t="str"/>
      <x:c r="O1870" s="14" t="n">
        <x:v>30</x:v>
      </x:c>
      <x:c r="P1870" s="14" t="str">
        <x:v>İlk 20 soru</x:v>
      </x:c>
      <x:c r="Q1870" s="14" t="str">
        <x:v>Evet</x:v>
      </x:c>
      <x:c r="R1870" s="14" t="str">
        <x:v>Planlandı</x:v>
      </x:c>
      <x:c r="S1870" s="15" t="str"/>
      <x:c r="T1870" s="14" t="str">
        <x:v>Geri sayım ve hedef süre yok.</x:v>
      </x:c>
    </x:row>
    <x:row r="1871">
      <x:c r="A1871" s="14" t="n">
        <x:v>1870</x:v>
      </x:c>
      <x:c r="B1871" s="15" t="n">
        <x:v>46446</x:v>
      </x:c>
      <x:c r="C1871" s="14" t="str">
        <x:v>Pazar</x:v>
      </x:c>
      <x:c r="D1871" s="14" t="str">
        <x:v>Hafta Sonu</x:v>
      </x:c>
      <x:c r="E1871" s="14" t="str">
        <x:v>Tam gün</x:v>
      </x:c>
      <x:c r="F1871" s="14" t="str">
        <x:v>F2 - LGS Kapsam + Ustalık</x:v>
      </x:c>
      <x:c r="G1871" s="14" t="str">
        <x:v>14:00</x:v>
      </x:c>
      <x:c r="H1871" s="14" t="str">
        <x:v>14:40</x:v>
      </x:c>
      <x:c r="I1871" s="14" t="str">
        <x:v>Türkçe</x:v>
      </x:c>
      <x:c r="J1871" s="14" t="str">
        <x:v>Konu / Tekrar</x:v>
      </x:c>
      <x:c r="K1871" s="14" t="str">
        <x:v>Kaynak Tamamlama / Zayıf Konu</x:v>
      </x:c>
      <x:c r="L1871" s="14" t="str">
        <x:v>Yeni konu açma. En zayıf/açık konunun ilgili playlist videosunu yalnız gerekiyorsa tekrar izle.</x:v>
      </x:c>
      <x:c r="M1871" s="14" t="str">
        <x:v>Türkçe Ana Oynatma Listesi</x:v>
      </x:c>
      <x:c r="N1871" s="14" t="str">
        <x:v>https://www.youtube.com/watch?v=VYsPntNKVdw&amp;list=PLIBjFaUoJJ91bz7QQEBlxNJNZka5YQRr6</x:v>
      </x:c>
      <x:c r="O1871" s="14" t="n">
        <x:v>0</x:v>
      </x:c>
      <x:c r="P1871" s="14" t="str">
        <x:v>Hayır</x:v>
      </x:c>
      <x:c r="Q1871" s="14" t="str">
        <x:v>Evet</x:v>
      </x:c>
      <x:c r="R1871" s="14" t="str">
        <x:v>Planlandı</x:v>
      </x:c>
      <x:c r="S1871" s="15" t="str"/>
      <x:c r="T1871" s="14" t="str">
        <x:v>TYT etiketli kaynak temelden başlamak için sabittir; LGS dışı gereksiz ayrıntı zorunlu değildir.</x:v>
      </x:c>
    </x:row>
    <x:row r="1872">
      <x:c r="A1872" s="14" t="n">
        <x:v>1871</x:v>
      </x:c>
      <x:c r="B1872" s="15" t="n">
        <x:v>46446</x:v>
      </x:c>
      <x:c r="C1872" s="14" t="str">
        <x:v>Pazar</x:v>
      </x:c>
      <x:c r="D1872" s="14" t="str">
        <x:v>Hafta Sonu</x:v>
      </x:c>
      <x:c r="E1872" s="14" t="str">
        <x:v>Tam gün</x:v>
      </x:c>
      <x:c r="F1872" s="14" t="str">
        <x:v>F2 - LGS Kapsam + Ustalık</x:v>
      </x:c>
      <x:c r="G1872" s="14" t="str">
        <x:v>14:50</x:v>
      </x:c>
      <x:c r="H1872" s="14" t="str">
        <x:v>15:30</x:v>
      </x:c>
      <x:c r="I1872" s="14" t="str">
        <x:v>Türkçe</x:v>
      </x:c>
      <x:c r="J1872" s="14" t="str">
        <x:v>Kitap / MEB / Mastery</x:v>
      </x:c>
      <x:c r="K1872" s="14" t="str">
        <x:v>Kaynak Tamamlama / Zayıf Konu</x:v>
      </x:c>
      <x:c r="L1872" s="14" t="str">
        <x:v>13 Nisan %100 tamamlama hedefine göre en geride kalan Türkçe soru kaynağını/eksik MEB setini ilerlet; açık yanlışları kapat.</x:v>
      </x:c>
      <x:c r="M1872" s="14" t="str">
        <x:v>Ankara 8. Sınıf Dil Bilgisi Güçlendiren + açık MEB/yanlışlar</x:v>
      </x:c>
      <x:c r="N1872" s="14" t="str">
        <x:v>https://odsgm.meb.gov.tr/www/8sinif-calisma-sorulari/icerik/1632</x:v>
      </x:c>
      <x:c r="O1872" s="14" t="n">
        <x:v>15</x:v>
      </x:c>
      <x:c r="P1872" s="14" t="str">
        <x:v>Hayır</x:v>
      </x:c>
      <x:c r="Q1872" s="14" t="str">
        <x:v>Evet</x:v>
      </x:c>
      <x:c r="R1872" s="14" t="str">
        <x:v>Planlandı</x:v>
      </x:c>
      <x:c r="S1872" s="15" t="str"/>
      <x:c r="T1872" s="14" t="str"/>
    </x:row>
    <x:row r="1873">
      <x:c r="A1873" s="14" t="n">
        <x:v>1872</x:v>
      </x:c>
      <x:c r="B1873" s="15" t="n">
        <x:v>46446</x:v>
      </x:c>
      <x:c r="C1873" s="14" t="str">
        <x:v>Pazar</x:v>
      </x:c>
      <x:c r="D1873" s="14" t="str">
        <x:v>Hafta Sonu</x:v>
      </x:c>
      <x:c r="E1873" s="14" t="str">
        <x:v>Tam gün</x:v>
      </x:c>
      <x:c r="F1873" s="14" t="str">
        <x:v>F2 - LGS Kapsam + Ustalık</x:v>
      </x:c>
      <x:c r="G1873" s="14" t="str">
        <x:v>15:45</x:v>
      </x:c>
      <x:c r="H1873" s="14" t="str">
        <x:v>16:25</x:v>
      </x:c>
      <x:c r="I1873" s="14" t="str">
        <x:v>İnkılap</x:v>
      </x:c>
      <x:c r="J1873" s="14" t="str">
        <x:v>Konu / Tekrar</x:v>
      </x:c>
      <x:c r="K1873" s="14" t="str">
        <x:v>Atatürk’ün Ölümü ve Sonrası</x:v>
      </x:c>
      <x:c r="L1873" s="14" t="str">
        <x:v>Atatürk’ün Ölümü ve Sonrası — genel oynatma listesinden ilgili konu/soru çalışmasını yap.</x:v>
      </x:c>
      <x:c r="M1873" s="14" t="str">
        <x:v>İnkılap Genel Oynatma Listesi</x:v>
      </x:c>
      <x:c r="N1873" s="14" t="str">
        <x:v>https://www.youtube.com/watch?v=MltIX0oKpYU&amp;list=PLsAsBPsriHNbXit4Ra3iuBrk1ZHZWxsOR&amp;index=78</x:v>
      </x:c>
      <x:c r="O1873" s="14" t="n">
        <x:v>0</x:v>
      </x:c>
      <x:c r="P1873" s="14" t="str">
        <x:v>Hayır</x:v>
      </x:c>
      <x:c r="Q1873" s="14" t="str">
        <x:v>Evet</x:v>
      </x:c>
      <x:c r="R1873" s="14" t="str">
        <x:v>Planlandı</x:v>
      </x:c>
      <x:c r="S1873" s="15" t="str"/>
      <x:c r="T1873" s="14" t="str">
        <x:v>İnkılapta okul yazılısı videoları zorunlu değildir.</x:v>
      </x:c>
    </x:row>
    <x:row r="1874">
      <x:c r="A1874" s="14" t="n">
        <x:v>1873</x:v>
      </x:c>
      <x:c r="B1874" s="15" t="n">
        <x:v>46446</x:v>
      </x:c>
      <x:c r="C1874" s="14" t="str">
        <x:v>Pazar</x:v>
      </x:c>
      <x:c r="D1874" s="14" t="str">
        <x:v>Hafta Sonu</x:v>
      </x:c>
      <x:c r="E1874" s="14" t="str">
        <x:v>Tam gün</x:v>
      </x:c>
      <x:c r="F1874" s="14" t="str">
        <x:v>F2 - LGS Kapsam + Ustalık</x:v>
      </x:c>
      <x:c r="G1874" s="14" t="str">
        <x:v>16:35</x:v>
      </x:c>
      <x:c r="H1874" s="14" t="str">
        <x:v>17:15</x:v>
      </x:c>
      <x:c r="I1874" s="14" t="str">
        <x:v>İnkılap</x:v>
      </x:c>
      <x:c r="J1874" s="14" t="str">
        <x:v>Kitap / MEB / Mastery</x:v>
      </x:c>
      <x:c r="K1874" s="14" t="str">
        <x:v>Atatürk’ün Ölümü ve Sonrası</x:v>
      </x:c>
      <x:c r="L1874" s="14" t="str">
        <x:v>Atatürk’ün Ölümü ve Sonrası ile ilgili soru kitabından en az 20 soru / bugünkü test payını çöz.</x:v>
      </x:c>
      <x:c r="M1874" s="14" t="str">
        <x:v>Hız 8. Sınıf T.C. İnkılap Tarihi ve Atatürkçülük</x:v>
      </x:c>
      <x:c r="N1874" s="14" t="str">
        <x:v>https://www.youtube.com/watch?v=MltIX0oKpYU&amp;list=PLsAsBPsriHNbXit4Ra3iuBrk1ZHZWxsOR&amp;index=78</x:v>
      </x:c>
      <x:c r="O1874" s="14" t="n">
        <x:v>20</x:v>
      </x:c>
      <x:c r="P1874" s="14" t="str">
        <x:v>Hayır</x:v>
      </x:c>
      <x:c r="Q1874" s="14" t="str">
        <x:v>Evet</x:v>
      </x:c>
      <x:c r="R1874" s="14" t="str">
        <x:v>Planlandı</x:v>
      </x:c>
      <x:c r="S1874" s="15" t="str"/>
      <x:c r="T1874" s="14" t="str"/>
    </x:row>
    <x:row r="1875">
      <x:c r="A1875" s="14" t="n">
        <x:v>1874</x:v>
      </x:c>
      <x:c r="B1875" s="15" t="n">
        <x:v>46446</x:v>
      </x:c>
      <x:c r="C1875" s="14" t="str">
        <x:v>Pazar</x:v>
      </x:c>
      <x:c r="D1875" s="14" t="str">
        <x:v>Hafta Sonu</x:v>
      </x:c>
      <x:c r="E1875" s="14" t="str">
        <x:v>Tam gün</x:v>
      </x:c>
      <x:c r="F1875" s="14" t="str">
        <x:v>F2 - LGS Kapsam + Ustalık</x:v>
      </x:c>
      <x:c r="G1875" s="14" t="str">
        <x:v>17:25</x:v>
      </x:c>
      <x:c r="H1875" s="14" t="str">
        <x:v>18:25</x:v>
      </x:c>
      <x:c r="I1875" s="14" t="str">
        <x:v>Genel</x:v>
      </x:c>
      <x:c r="J1875" s="14" t="str">
        <x:v>Kaynak Tamamlama</x:v>
      </x:c>
      <x:c r="K1875" s="14" t="str">
        <x:v>En Geride Kalan Kaynak</x:v>
      </x:c>
      <x:c r="L1875" s="14" t="str">
        <x:v>Kaynak_Ilerleme sayfasında hedef yüzdesinin en gerisinde kalan ZORUNLU soru kaynağına 60 dk ayır. Öğrenilmemiş konudan ileri gitme.</x:v>
      </x:c>
      <x:c r="M1875" s="14" t="str">
        <x:v>Kaynak İlerleme</x:v>
      </x:c>
      <x:c r="N1875" s="14" t="str"/>
      <x:c r="O1875" s="14" t="n">
        <x:v>0</x:v>
      </x:c>
      <x:c r="P1875" s="14" t="str">
        <x:v>Hayır</x:v>
      </x:c>
      <x:c r="Q1875" s="14" t="str">
        <x:v>Evet</x:v>
      </x:c>
      <x:c r="R1875" s="14" t="str">
        <x:v>Planlandı</x:v>
      </x:c>
      <x:c r="S1875" s="15" t="str"/>
      <x:c r="T1875" s="14" t="str">
        <x:v>Amaç 13.04.2027'de zorunlu soru kitapları + ilgili MEB setlerini %100 tamamlamak.</x:v>
      </x:c>
    </x:row>
    <x:row r="1876">
      <x:c r="A1876" s="14" t="n">
        <x:v>1875</x:v>
      </x:c>
      <x:c r="B1876" s="15" t="n">
        <x:v>46446</x:v>
      </x:c>
      <x:c r="C1876" s="14" t="str">
        <x:v>Pazar</x:v>
      </x:c>
      <x:c r="D1876" s="14" t="str">
        <x:v>Hafta Sonu</x:v>
      </x:c>
      <x:c r="E1876" s="14" t="str">
        <x:v>Tam gün</x:v>
      </x:c>
      <x:c r="F1876" s="14" t="str">
        <x:v>F2 - LGS Kapsam + Ustalık</x:v>
      </x:c>
      <x:c r="G1876" s="14" t="str">
        <x:v>18:25</x:v>
      </x:c>
      <x:c r="H1876" s="14" t="str">
        <x:v>18:45</x:v>
      </x:c>
      <x:c r="I1876" s="14" t="str">
        <x:v>Genel</x:v>
      </x:c>
      <x:c r="J1876" s="14" t="str">
        <x:v>Yanlış / Boş Analizi</x:v>
      </x:c>
      <x:c r="K1876" s="14" t="str">
        <x:v>Günlük</x:v>
      </x:c>
      <x:c r="L1876" s="14" t="str">
        <x:v>Bugünkü yanlış/boşları kaydet; çözümünü öğrenmeden kapatma. Hata türünü sınıflandır.</x:v>
      </x:c>
      <x:c r="M1876" s="14" t="str">
        <x:v>Yanlış Defteri</x:v>
      </x:c>
      <x:c r="N1876" s="14" t="str"/>
      <x:c r="O1876" s="14" t="n">
        <x:v>0</x:v>
      </x:c>
      <x:c r="P1876" s="14" t="str">
        <x:v>Hayır</x:v>
      </x:c>
      <x:c r="Q1876" s="14" t="str">
        <x:v>Evet</x:v>
      </x:c>
      <x:c r="R1876" s="14" t="str">
        <x:v>Planlandı</x:v>
      </x:c>
      <x:c r="S1876" s="15" t="str"/>
      <x:c r="T1876" s="14" t="str"/>
    </x:row>
    <x:row r="1877">
      <x:c r="A1877" s="14" t="n">
        <x:v>1876</x:v>
      </x:c>
      <x:c r="B1877" s="15" t="n">
        <x:v>46446</x:v>
      </x:c>
      <x:c r="C1877" s="14" t="str">
        <x:v>Pazar</x:v>
      </x:c>
      <x:c r="D1877" s="14" t="str">
        <x:v>Hafta Sonu</x:v>
      </x:c>
      <x:c r="E1877" s="14" t="str">
        <x:v>Tam gün</x:v>
      </x:c>
      <x:c r="F1877" s="14" t="str">
        <x:v>F2 - LGS Kapsam + Ustalık</x:v>
      </x:c>
      <x:c r="G1877" s="14" t="str">
        <x:v>18:45</x:v>
      </x:c>
      <x:c r="H1877" s="14" t="str">
        <x:v>19:05</x:v>
      </x:c>
      <x:c r="I1877" s="14" t="str">
        <x:v>Genel</x:v>
      </x:c>
      <x:c r="J1877" s="14" t="str">
        <x:v>Aralıklı Hata Tekrarı</x:v>
      </x:c>
      <x:c r="K1877" s="14" t="str">
        <x:v>+1 / +7 / +21</x:v>
      </x:c>
      <x:c r="L1877" s="14" t="str">
        <x:v>Bugün vadesi gelen yanlış soruları tekrar çöz. Vadesi yoksa bu süre serbest/okuma olabilir.</x:v>
      </x:c>
      <x:c r="M1877" s="14" t="str">
        <x:v>Yanlış Defteri</x:v>
      </x:c>
      <x:c r="N1877" s="14" t="str"/>
      <x:c r="O1877" s="14" t="n">
        <x:v>0</x:v>
      </x:c>
      <x:c r="P1877" s="14" t="str">
        <x:v>Hayır</x:v>
      </x:c>
      <x:c r="Q1877" s="14" t="str">
        <x:v>Koşullu</x:v>
      </x:c>
      <x:c r="R1877" s="14" t="str">
        <x:v>Planlandı</x:v>
      </x:c>
      <x:c r="S1877" s="15" t="str"/>
      <x:c r="T1877" s="14" t="str">
        <x:v>Yanlışlar +1, +7 ve +21 gün aralıklarıyla tekrar edilir; hâlâ yanlışsa konu mastery durumu düşürülür.</x:v>
      </x:c>
    </x:row>
    <x:row r="1878">
      <x:c r="A1878" s="14" t="n">
        <x:v>1877</x:v>
      </x:c>
      <x:c r="B1878" s="15" t="n">
        <x:v>46446</x:v>
      </x:c>
      <x:c r="C1878" s="14" t="str">
        <x:v>Pazar</x:v>
      </x:c>
      <x:c r="D1878" s="14" t="str">
        <x:v>Hafta Sonu</x:v>
      </x:c>
      <x:c r="E1878" s="14" t="str">
        <x:v>Tam gün</x:v>
      </x:c>
      <x:c r="F1878" s="14" t="str">
        <x:v>F2 - LGS Kapsam + Ustalık</x:v>
      </x:c>
      <x:c r="G1878" s="14" t="str">
        <x:v>20:00</x:v>
      </x:c>
      <x:c r="H1878" s="14" t="str">
        <x:v>20:30</x:v>
      </x:c>
      <x:c r="I1878" s="14" t="str">
        <x:v>Okuma</x:v>
      </x:c>
      <x:c r="J1878" s="14" t="str">
        <x:v>İsteğe Bağlı</x:v>
      </x:c>
      <x:c r="K1878" s="14" t="str">
        <x:v>Serbest Kitap</x:v>
      </x:c>
      <x:c r="L1878" s="14" t="str">
        <x:v>Zorunlu çalışmalar bittiyse isteğe bağlı kitap oku.</x:v>
      </x:c>
      <x:c r="M1878" s="14" t="str">
        <x:v>Serbest Kitap</x:v>
      </x:c>
      <x:c r="N1878" s="14" t="str"/>
      <x:c r="O1878" s="14" t="n">
        <x:v>0</x:v>
      </x:c>
      <x:c r="P1878" s="14" t="str">
        <x:v>İsteğe Bağlı</x:v>
      </x:c>
      <x:c r="Q1878" s="14" t="str">
        <x:v>Hayır</x:v>
      </x:c>
      <x:c r="R1878" s="14" t="str">
        <x:v>Planlandı</x:v>
      </x:c>
      <x:c r="S1878" s="15" t="str"/>
      <x:c r="T1878" s="14" t="str">
        <x:v>Minimum süre yok.</x:v>
      </x:c>
    </x:row>
    <x:row r="1879">
      <x:c r="A1879" s="14" t="n">
        <x:v>1878</x:v>
      </x:c>
      <x:c r="B1879" s="15" t="n">
        <x:v>46446</x:v>
      </x:c>
      <x:c r="C1879" s="14" t="str">
        <x:v>Pazar</x:v>
      </x:c>
      <x:c r="D1879" s="14" t="str">
        <x:v>Hafta Sonu</x:v>
      </x:c>
      <x:c r="E1879" s="14" t="str">
        <x:v>Tam gün</x:v>
      </x:c>
      <x:c r="F1879" s="14" t="str">
        <x:v>F2 - LGS Kapsam + Ustalık</x:v>
      </x:c>
      <x:c r="G1879" s="14" t="str">
        <x:v>21:50</x:v>
      </x:c>
      <x:c r="H1879" s="14" t="str">
        <x:v>22:00</x:v>
      </x:c>
      <x:c r="I1879" s="14" t="str">
        <x:v>Genel</x:v>
      </x:c>
      <x:c r="J1879" s="14" t="str">
        <x:v>Uyku Hazırlığı</x:v>
      </x:c>
      <x:c r="K1879" s="14" t="str"/>
      <x:c r="L1879" s="14" t="str">
        <x:v>22:00'de yatakta ve uyku.</x:v>
      </x:c>
      <x:c r="M1879" s="14" t="str"/>
      <x:c r="N1879" s="14" t="str"/>
      <x:c r="O1879" s="14" t="n">
        <x:v>0</x:v>
      </x:c>
      <x:c r="P1879" s="14" t="str">
        <x:v>Hayır</x:v>
      </x:c>
      <x:c r="Q1879" s="14" t="str">
        <x:v>Hayır</x:v>
      </x:c>
      <x:c r="R1879" s="14" t="str">
        <x:v>Planlandı</x:v>
      </x:c>
      <x:c r="S1879" s="15" t="str"/>
      <x:c r="T1879" s="14" t="str"/>
    </x:row>
    <x:row r="1880">
      <x:c r="A1880" s="14" t="n">
        <x:v>1879</x:v>
      </x:c>
      <x:c r="B1880" s="15" t="n">
        <x:v>46447</x:v>
      </x:c>
      <x:c r="C1880" s="14" t="str">
        <x:v>Pazartesi</x:v>
      </x:c>
      <x:c r="D1880" s="14" t="str">
        <x:v>Okul Günü</x:v>
      </x:c>
      <x:c r="E1880" s="14" t="str">
        <x:v>16:00 sonrası</x:v>
      </x:c>
      <x:c r="F1880" s="14" t="str">
        <x:v>F3 - Kaynak/MEB Tamamlama</x:v>
      </x:c>
      <x:c r="G1880" s="14" t="str">
        <x:v>16:00</x:v>
      </x:c>
      <x:c r="H1880" s="14" t="str">
        <x:v>16:25</x:v>
      </x:c>
      <x:c r="I1880" s="14" t="str">
        <x:v>Genel</x:v>
      </x:c>
      <x:c r="J1880" s="14" t="str">
        <x:v>Dinlenme</x:v>
      </x:c>
      <x:c r="K1880" s="14" t="str"/>
      <x:c r="L1880" s="14" t="str">
        <x:v>Eve geliş, atıştırma ve dinlenme.</x:v>
      </x:c>
      <x:c r="M1880" s="14" t="str"/>
      <x:c r="N1880" s="14" t="str"/>
      <x:c r="O1880" s="14" t="n">
        <x:v>0</x:v>
      </x:c>
      <x:c r="P1880" s="14" t="str">
        <x:v>Hayır</x:v>
      </x:c>
      <x:c r="Q1880" s="14" t="str">
        <x:v>Hayır</x:v>
      </x:c>
      <x:c r="R1880" s="14" t="str">
        <x:v>Planlandı</x:v>
      </x:c>
      <x:c r="S1880" s="15" t="str"/>
      <x:c r="T1880" s="14" t="str"/>
    </x:row>
    <x:row r="1881">
      <x:c r="A1881" s="14" t="n">
        <x:v>1880</x:v>
      </x:c>
      <x:c r="B1881" s="15" t="n">
        <x:v>46447</x:v>
      </x:c>
      <x:c r="C1881" s="14" t="str">
        <x:v>Pazartesi</x:v>
      </x:c>
      <x:c r="D1881" s="14" t="str">
        <x:v>Okul Günü</x:v>
      </x:c>
      <x:c r="E1881" s="14" t="str">
        <x:v>16:00 sonrası</x:v>
      </x:c>
      <x:c r="F1881" s="14" t="str">
        <x:v>F3 - Kaynak/MEB Tamamlama</x:v>
      </x:c>
      <x:c r="G1881" s="14" t="str">
        <x:v>16:25</x:v>
      </x:c>
      <x:c r="H1881" s="14" t="str">
        <x:v>17:05</x:v>
      </x:c>
      <x:c r="I1881" s="14" t="str">
        <x:v>Matematik</x:v>
      </x:c>
      <x:c r="J1881" s="14" t="str">
        <x:v>Konu / Tekrar</x:v>
      </x:c>
      <x:c r="K1881" s="14" t="str">
        <x:v>Kaynak Tamamlama / Zayıf Konu</x:v>
      </x:c>
      <x:c r="L1881" s="14" t="str">
        <x:v>Yeni konu açma. En zayıf/açık konunun ilgili playlist videosunu yalnız gerekiyorsa tekrar izle.</x:v>
      </x:c>
      <x:c r="M1881" s="14" t="str">
        <x:v>Matematik Ana Oynatma Listesi</x:v>
      </x:c>
      <x:c r="N1881" s="14" t="str">
        <x:v>https://www.youtube.com/watch?v=EuJ89QzqrAg&amp;list=PLicNtF7vp6fnfDqrRLH6H7fIbzYT4ct4F&amp;index=11</x:v>
      </x:c>
      <x:c r="O1881" s="14" t="n">
        <x:v>0</x:v>
      </x:c>
      <x:c r="P1881" s="14" t="str">
        <x:v>Hayır</x:v>
      </x:c>
      <x:c r="Q1881" s="14" t="str">
        <x:v>Evet</x:v>
      </x:c>
      <x:c r="R1881" s="14" t="str">
        <x:v>Planlandı</x:v>
      </x:c>
      <x:c r="S1881" s="15" t="str"/>
      <x:c r="T1881" s="14" t="str">
        <x:v>Yeni konu ancak plan sırasıyla açılır; LGS dışı ileri TYT içeriği zorunlu değildir.</x:v>
      </x:c>
    </x:row>
    <x:row r="1882">
      <x:c r="A1882" s="14" t="n">
        <x:v>1881</x:v>
      </x:c>
      <x:c r="B1882" s="15" t="n">
        <x:v>46447</x:v>
      </x:c>
      <x:c r="C1882" s="14" t="str">
        <x:v>Pazartesi</x:v>
      </x:c>
      <x:c r="D1882" s="14" t="str">
        <x:v>Okul Günü</x:v>
      </x:c>
      <x:c r="E1882" s="14" t="str">
        <x:v>16:00 sonrası</x:v>
      </x:c>
      <x:c r="F1882" s="14" t="str">
        <x:v>F3 - Kaynak/MEB Tamamlama</x:v>
      </x:c>
      <x:c r="G1882" s="14" t="str">
        <x:v>17:10</x:v>
      </x:c>
      <x:c r="H1882" s="14" t="str">
        <x:v>17:55</x:v>
      </x:c>
      <x:c r="I1882" s="14" t="str">
        <x:v>Matematik</x:v>
      </x:c>
      <x:c r="J1882" s="14" t="str">
        <x:v>Kitap / MEB / Mastery</x:v>
      </x:c>
      <x:c r="K1882" s="14" t="str">
        <x:v>Kaynak Tamamlama / Zayıf Konu</x:v>
      </x:c>
      <x:c r="L1882" s="14" t="str">
        <x:v>13 Nisan %100 tamamlama hedefine göre en geride kalan Matematik soru kaynağını/eksik MEB setini ilerlet; açık yanlışları kapat.</x:v>
      </x:c>
      <x:c r="M1882" s="14" t="str">
        <x:v>MUBA 8. Sınıf Başlangıç Matematik (ISBN 9789756526972) → tamamlandıysa Mozaik 8. Sınıf Matematik; açık MEB/yanlışlar</x:v>
      </x:c>
      <x:c r="N1882" s="14" t="str">
        <x:v>https://odsgm.meb.gov.tr/www/8sinif-calisma-sorulari/icerik/1632</x:v>
      </x:c>
      <x:c r="O1882" s="14" t="n">
        <x:v>30</x:v>
      </x:c>
      <x:c r="P1882" s="14" t="str">
        <x:v>İlk 20 soru</x:v>
      </x:c>
      <x:c r="Q1882" s="14" t="str">
        <x:v>Evet</x:v>
      </x:c>
      <x:c r="R1882" s="14" t="str">
        <x:v>Planlandı</x:v>
      </x:c>
      <x:c r="S1882" s="15" t="str"/>
      <x:c r="T1882" s="14" t="str">
        <x:v>Ayrı/rastgele matematik benchmark yoktur. Süreli ilk 20 soru o gün çalışılan konunun içindedir.</x:v>
      </x:c>
    </x:row>
    <x:row r="1883">
      <x:c r="A1883" s="14" t="n">
        <x:v>1882</x:v>
      </x:c>
      <x:c r="B1883" s="15" t="n">
        <x:v>46447</x:v>
      </x:c>
      <x:c r="C1883" s="14" t="str">
        <x:v>Pazartesi</x:v>
      </x:c>
      <x:c r="D1883" s="14" t="str">
        <x:v>Okul Günü</x:v>
      </x:c>
      <x:c r="E1883" s="14" t="str">
        <x:v>16:00 sonrası</x:v>
      </x:c>
      <x:c r="F1883" s="14" t="str">
        <x:v>F3 - Kaynak/MEB Tamamlama</x:v>
      </x:c>
      <x:c r="G1883" s="14" t="str">
        <x:v>17:55</x:v>
      </x:c>
      <x:c r="H1883" s="14" t="str">
        <x:v>18:25</x:v>
      </x:c>
      <x:c r="I1883" s="14" t="str">
        <x:v>Genel</x:v>
      </x:c>
      <x:c r="J1883" s="14" t="str">
        <x:v>Yemek / Serbest Zaman</x:v>
      </x:c>
      <x:c r="K1883" s="14" t="str"/>
      <x:c r="L1883" s="14" t="str">
        <x:v>Yemek, hareket ve dinlenme.</x:v>
      </x:c>
      <x:c r="M1883" s="14" t="str"/>
      <x:c r="N1883" s="14" t="str"/>
      <x:c r="O1883" s="14" t="n">
        <x:v>0</x:v>
      </x:c>
      <x:c r="P1883" s="14" t="str">
        <x:v>Hayır</x:v>
      </x:c>
      <x:c r="Q1883" s="14" t="str">
        <x:v>Hayır</x:v>
      </x:c>
      <x:c r="R1883" s="14" t="str">
        <x:v>Planlandı</x:v>
      </x:c>
      <x:c r="S1883" s="15" t="str"/>
      <x:c r="T1883" s="14" t="str"/>
    </x:row>
    <x:row r="1884">
      <x:c r="A1884" s="14" t="n">
        <x:v>1883</x:v>
      </x:c>
      <x:c r="B1884" s="15" t="n">
        <x:v>46447</x:v>
      </x:c>
      <x:c r="C1884" s="14" t="str">
        <x:v>Pazartesi</x:v>
      </x:c>
      <x:c r="D1884" s="14" t="str">
        <x:v>Okul Günü</x:v>
      </x:c>
      <x:c r="E1884" s="14" t="str">
        <x:v>16:00 sonrası</x:v>
      </x:c>
      <x:c r="F1884" s="14" t="str">
        <x:v>F3 - Kaynak/MEB Tamamlama</x:v>
      </x:c>
      <x:c r="G1884" s="14" t="str">
        <x:v>18:25</x:v>
      </x:c>
      <x:c r="H1884" s="14" t="str">
        <x:v>18:55</x:v>
      </x:c>
      <x:c r="I1884" s="14" t="str">
        <x:v>Türkçe</x:v>
      </x:c>
      <x:c r="J1884" s="14" t="str">
        <x:v>Paragraf Rutini</x:v>
      </x:c>
      <x:c r="K1884" s="14" t="str">
        <x:v>Paragraf</x:v>
      </x:c>
      <x:c r="L1884" s="14" t="str">
        <x:v>En az 30 paragraf sorusu çöz; ilk 20 soruyu ileri sayımla ölç, D/Y/B + süre kaydet.</x:v>
      </x:c>
      <x:c r="M1884" s="14" t="str">
        <x:v>Hız 8. Sınıf Türkçe Paragraf (ISBN 9786258394498)</x:v>
      </x:c>
      <x:c r="N1884" s="14" t="str"/>
      <x:c r="O1884" s="14" t="n">
        <x:v>30</x:v>
      </x:c>
      <x:c r="P1884" s="14" t="str">
        <x:v>İlk 20 soru</x:v>
      </x:c>
      <x:c r="Q1884" s="14" t="str">
        <x:v>Evet</x:v>
      </x:c>
      <x:c r="R1884" s="14" t="str">
        <x:v>Planlandı</x:v>
      </x:c>
      <x:c r="S1884" s="15" t="str"/>
      <x:c r="T1884" s="14" t="str">
        <x:v>Geri sayım ve hedef süre yok.</x:v>
      </x:c>
    </x:row>
    <x:row r="1885">
      <x:c r="A1885" s="14" t="n">
        <x:v>1884</x:v>
      </x:c>
      <x:c r="B1885" s="15" t="n">
        <x:v>46447</x:v>
      </x:c>
      <x:c r="C1885" s="14" t="str">
        <x:v>Pazartesi</x:v>
      </x:c>
      <x:c r="D1885" s="14" t="str">
        <x:v>Okul Günü</x:v>
      </x:c>
      <x:c r="E1885" s="14" t="str">
        <x:v>16:00 sonrası</x:v>
      </x:c>
      <x:c r="F1885" s="14" t="str">
        <x:v>F3 - Kaynak/MEB Tamamlama</x:v>
      </x:c>
      <x:c r="G1885" s="14" t="str">
        <x:v>19:00</x:v>
      </x:c>
      <x:c r="H1885" s="14" t="str">
        <x:v>19:35</x:v>
      </x:c>
      <x:c r="I1885" s="14" t="str">
        <x:v>Türkçe</x:v>
      </x:c>
      <x:c r="J1885" s="14" t="str">
        <x:v>Konu / Tekrar</x:v>
      </x:c>
      <x:c r="K1885" s="14" t="str">
        <x:v>Kaynak Tamamlama / Zayıf Konu</x:v>
      </x:c>
      <x:c r="L1885" s="14" t="str">
        <x:v>Yeni konu açma. En zayıf/açık konunun ilgili playlist videosunu yalnız gerekiyorsa tekrar izle.</x:v>
      </x:c>
      <x:c r="M1885" s="14" t="str">
        <x:v>Türkçe Ana Oynatma Listesi</x:v>
      </x:c>
      <x:c r="N1885" s="14" t="str">
        <x:v>https://www.youtube.com/watch?v=VYsPntNKVdw&amp;list=PLIBjFaUoJJ91bz7QQEBlxNJNZka5YQRr6</x:v>
      </x:c>
      <x:c r="O1885" s="14" t="n">
        <x:v>0</x:v>
      </x:c>
      <x:c r="P1885" s="14" t="str">
        <x:v>Hayır</x:v>
      </x:c>
      <x:c r="Q1885" s="14" t="str">
        <x:v>Evet</x:v>
      </x:c>
      <x:c r="R1885" s="14" t="str">
        <x:v>Planlandı</x:v>
      </x:c>
      <x:c r="S1885" s="15" t="str"/>
      <x:c r="T1885" s="14" t="str">
        <x:v>TYT etiketli kaynak temelden başlamak için sabittir; LGS dışı gereksiz ayrıntı zorunlu değildir.</x:v>
      </x:c>
    </x:row>
    <x:row r="1886">
      <x:c r="A1886" s="14" t="n">
        <x:v>1885</x:v>
      </x:c>
      <x:c r="B1886" s="15" t="n">
        <x:v>46447</x:v>
      </x:c>
      <x:c r="C1886" s="14" t="str">
        <x:v>Pazartesi</x:v>
      </x:c>
      <x:c r="D1886" s="14" t="str">
        <x:v>Okul Günü</x:v>
      </x:c>
      <x:c r="E1886" s="14" t="str">
        <x:v>16:00 sonrası</x:v>
      </x:c>
      <x:c r="F1886" s="14" t="str">
        <x:v>F3 - Kaynak/MEB Tamamlama</x:v>
      </x:c>
      <x:c r="G1886" s="14" t="str">
        <x:v>19:40</x:v>
      </x:c>
      <x:c r="H1886" s="14" t="str">
        <x:v>20:10</x:v>
      </x:c>
      <x:c r="I1886" s="14" t="str">
        <x:v>Türkçe</x:v>
      </x:c>
      <x:c r="J1886" s="14" t="str">
        <x:v>Kitap / MEB / Mastery</x:v>
      </x:c>
      <x:c r="K1886" s="14" t="str">
        <x:v>Kaynak Tamamlama / Zayıf Konu</x:v>
      </x:c>
      <x:c r="L1886" s="14" t="str">
        <x:v>13 Nisan %100 tamamlama hedefine göre en geride kalan Türkçe soru kaynağını/eksik MEB setini ilerlet; açık yanlışları kapat.</x:v>
      </x:c>
      <x:c r="M1886" s="14" t="str">
        <x:v>Ankara 8. Sınıf Dil Bilgisi Güçlendiren + açık MEB/yanlışlar</x:v>
      </x:c>
      <x:c r="N1886" s="14" t="str">
        <x:v>https://odsgm.meb.gov.tr/www/8sinif-calisma-sorulari/icerik/1632</x:v>
      </x:c>
      <x:c r="O1886" s="14" t="n">
        <x:v>15</x:v>
      </x:c>
      <x:c r="P1886" s="14" t="str">
        <x:v>Hayır</x:v>
      </x:c>
      <x:c r="Q1886" s="14" t="str">
        <x:v>Evet</x:v>
      </x:c>
      <x:c r="R1886" s="14" t="str">
        <x:v>Planlandı</x:v>
      </x:c>
      <x:c r="S1886" s="15" t="str"/>
      <x:c r="T1886" s="14" t="str"/>
    </x:row>
    <x:row r="1887">
      <x:c r="A1887" s="14" t="n">
        <x:v>1886</x:v>
      </x:c>
      <x:c r="B1887" s="15" t="n">
        <x:v>46447</x:v>
      </x:c>
      <x:c r="C1887" s="14" t="str">
        <x:v>Pazartesi</x:v>
      </x:c>
      <x:c r="D1887" s="14" t="str">
        <x:v>Okul Günü</x:v>
      </x:c>
      <x:c r="E1887" s="14" t="str">
        <x:v>16:00 sonrası</x:v>
      </x:c>
      <x:c r="F1887" s="14" t="str">
        <x:v>F3 - Kaynak/MEB Tamamlama</x:v>
      </x:c>
      <x:c r="G1887" s="14" t="str">
        <x:v>20:15</x:v>
      </x:c>
      <x:c r="H1887" s="14" t="str">
        <x:v>20:50</x:v>
      </x:c>
      <x:c r="I1887" s="14" t="str">
        <x:v>İngilizce</x:v>
      </x:c>
      <x:c r="J1887" s="14" t="str">
        <x:v>Konu / Tekrar</x:v>
      </x:c>
      <x:c r="K1887" s="14" t="str">
        <x:v>Unit 10 - Natural Forces</x:v>
      </x:c>
      <x:c r="L1887" s="14" t="str">
        <x:v>Unit 10 - Natural Forces — Reading çalışmasını playlistten yap.</x:v>
      </x:c>
      <x:c r="M1887" s="14" t="str">
        <x:v>İngilizce Genel Oynatma Listesi</x:v>
      </x:c>
      <x:c r="N1887" s="14" t="str">
        <x:v>https://www.youtube.com/watch?v=FaY3dFjZbns&amp;list=PLSgpQDrUSYp94WgE9pzpHiOG5FwxnZBrr</x:v>
      </x:c>
      <x:c r="O1887" s="14" t="n">
        <x:v>0</x:v>
      </x:c>
      <x:c r="P1887" s="14" t="str">
        <x:v>Hayır</x:v>
      </x:c>
      <x:c r="Q1887" s="14" t="str">
        <x:v>Evet</x:v>
      </x:c>
      <x:c r="R1887" s="14" t="str">
        <x:v>Planlandı</x:v>
      </x:c>
      <x:c r="S1887" s="15" t="str"/>
      <x:c r="T1887" s="14" t="str"/>
    </x:row>
    <x:row r="1888">
      <x:c r="A1888" s="14" t="n">
        <x:v>1887</x:v>
      </x:c>
      <x:c r="B1888" s="15" t="n">
        <x:v>46447</x:v>
      </x:c>
      <x:c r="C1888" s="14" t="str">
        <x:v>Pazartesi</x:v>
      </x:c>
      <x:c r="D1888" s="14" t="str">
        <x:v>Okul Günü</x:v>
      </x:c>
      <x:c r="E1888" s="14" t="str">
        <x:v>16:00 sonrası</x:v>
      </x:c>
      <x:c r="F1888" s="14" t="str">
        <x:v>F3 - Kaynak/MEB Tamamlama</x:v>
      </x:c>
      <x:c r="G1888" s="14" t="str">
        <x:v>20:55</x:v>
      </x:c>
      <x:c r="H1888" s="14" t="str">
        <x:v>21:20</x:v>
      </x:c>
      <x:c r="I1888" s="14" t="str">
        <x:v>İngilizce</x:v>
      </x:c>
      <x:c r="J1888" s="14" t="str">
        <x:v>Kitap / MEB / Mastery</x:v>
      </x:c>
      <x:c r="K1888" s="14" t="str">
        <x:v>Unit 10 - Natural Forces</x:v>
      </x:c>
      <x:c r="L1888" s="14" t="str">
        <x:v>Unit 10 - Natural Forces ile ilgili soru kitabından en az 20 soru / bugünkü test payını çöz.</x:v>
      </x:c>
      <x:c r="M1888" s="14" t="str">
        <x:v>More &amp; More 8 Worksheets Notebook</x:v>
      </x:c>
      <x:c r="N1888" s="14" t="str">
        <x:v>https://www.youtube.com/watch?v=FaY3dFjZbns&amp;list=PLSgpQDrUSYp94WgE9pzpHiOG5FwxnZBrr</x:v>
      </x:c>
      <x:c r="O1888" s="14" t="n">
        <x:v>20</x:v>
      </x:c>
      <x:c r="P1888" s="14" t="str">
        <x:v>Hayır</x:v>
      </x:c>
      <x:c r="Q1888" s="14" t="str">
        <x:v>Evet</x:v>
      </x:c>
      <x:c r="R1888" s="14" t="str">
        <x:v>Planlandı</x:v>
      </x:c>
      <x:c r="S1888" s="15" t="str"/>
      <x:c r="T1888" s="14" t="str"/>
    </x:row>
    <x:row r="1889">
      <x:c r="A1889" s="14" t="n">
        <x:v>1888</x:v>
      </x:c>
      <x:c r="B1889" s="15" t="n">
        <x:v>46447</x:v>
      </x:c>
      <x:c r="C1889" s="14" t="str">
        <x:v>Pazartesi</x:v>
      </x:c>
      <x:c r="D1889" s="14" t="str">
        <x:v>Okul Günü</x:v>
      </x:c>
      <x:c r="E1889" s="14" t="str">
        <x:v>16:00 sonrası</x:v>
      </x:c>
      <x:c r="F1889" s="14" t="str">
        <x:v>F3 - Kaynak/MEB Tamamlama</x:v>
      </x:c>
      <x:c r="G1889" s="14" t="str">
        <x:v>21:20</x:v>
      </x:c>
      <x:c r="H1889" s="14" t="str">
        <x:v>21:35</x:v>
      </x:c>
      <x:c r="I1889" s="14" t="str">
        <x:v>Genel</x:v>
      </x:c>
      <x:c r="J1889" s="14" t="str">
        <x:v>Yanlış / Boş Analizi</x:v>
      </x:c>
      <x:c r="K1889" s="14" t="str">
        <x:v>Günlük</x:v>
      </x:c>
      <x:c r="L1889" s="14" t="str">
        <x:v>Bugünkü yanlış/boşları kaydet; çözümünü öğrenmeden kapatma. Hata türünü sınıflandır.</x:v>
      </x:c>
      <x:c r="M1889" s="14" t="str">
        <x:v>Yanlış Defteri</x:v>
      </x:c>
      <x:c r="N1889" s="14" t="str"/>
      <x:c r="O1889" s="14" t="n">
        <x:v>0</x:v>
      </x:c>
      <x:c r="P1889" s="14" t="str">
        <x:v>Hayır</x:v>
      </x:c>
      <x:c r="Q1889" s="14" t="str">
        <x:v>Evet</x:v>
      </x:c>
      <x:c r="R1889" s="14" t="str">
        <x:v>Planlandı</x:v>
      </x:c>
      <x:c r="S1889" s="15" t="str"/>
      <x:c r="T1889" s="14" t="str"/>
    </x:row>
    <x:row r="1890">
      <x:c r="A1890" s="14" t="n">
        <x:v>1889</x:v>
      </x:c>
      <x:c r="B1890" s="15" t="n">
        <x:v>46447</x:v>
      </x:c>
      <x:c r="C1890" s="14" t="str">
        <x:v>Pazartesi</x:v>
      </x:c>
      <x:c r="D1890" s="14" t="str">
        <x:v>Okul Günü</x:v>
      </x:c>
      <x:c r="E1890" s="14" t="str">
        <x:v>16:00 sonrası</x:v>
      </x:c>
      <x:c r="F1890" s="14" t="str">
        <x:v>F3 - Kaynak/MEB Tamamlama</x:v>
      </x:c>
      <x:c r="G1890" s="14" t="str">
        <x:v>21:35</x:v>
      </x:c>
      <x:c r="H1890" s="14" t="str">
        <x:v>21:50</x:v>
      </x:c>
      <x:c r="I1890" s="14" t="str">
        <x:v>Genel</x:v>
      </x:c>
      <x:c r="J1890" s="14" t="str">
        <x:v>Aralıklı Hata Tekrarı</x:v>
      </x:c>
      <x:c r="K1890" s="14" t="str">
        <x:v>+1 / +7 / +21</x:v>
      </x:c>
      <x:c r="L1890" s="14" t="str">
        <x:v>Bugün vadesi gelen yanlış soruları tekrar çöz. Vadesi yoksa bu süre serbest/okuma olabilir.</x:v>
      </x:c>
      <x:c r="M1890" s="14" t="str">
        <x:v>Yanlış Defteri</x:v>
      </x:c>
      <x:c r="N1890" s="14" t="str"/>
      <x:c r="O1890" s="14" t="n">
        <x:v>0</x:v>
      </x:c>
      <x:c r="P1890" s="14" t="str">
        <x:v>Hayır</x:v>
      </x:c>
      <x:c r="Q1890" s="14" t="str">
        <x:v>Koşullu</x:v>
      </x:c>
      <x:c r="R1890" s="14" t="str">
        <x:v>Planlandı</x:v>
      </x:c>
      <x:c r="S1890" s="15" t="str"/>
      <x:c r="T1890" s="14" t="str">
        <x:v>Yanlışlar +1, +7 ve +21 gün aralıklarıyla tekrar edilir; hâlâ yanlışsa konu mastery durumu düşürülür.</x:v>
      </x:c>
    </x:row>
    <x:row r="1891">
      <x:c r="A1891" s="14" t="n">
        <x:v>1890</x:v>
      </x:c>
      <x:c r="B1891" s="15" t="n">
        <x:v>46447</x:v>
      </x:c>
      <x:c r="C1891" s="14" t="str">
        <x:v>Pazartesi</x:v>
      </x:c>
      <x:c r="D1891" s="14" t="str">
        <x:v>Okul Günü</x:v>
      </x:c>
      <x:c r="E1891" s="14" t="str">
        <x:v>16:00 sonrası</x:v>
      </x:c>
      <x:c r="F1891" s="14" t="str">
        <x:v>F3 - Kaynak/MEB Tamamlama</x:v>
      </x:c>
      <x:c r="G1891" s="14" t="str">
        <x:v>21:50</x:v>
      </x:c>
      <x:c r="H1891" s="14" t="str">
        <x:v>22:00</x:v>
      </x:c>
      <x:c r="I1891" s="14" t="str">
        <x:v>Genel</x:v>
      </x:c>
      <x:c r="J1891" s="14" t="str">
        <x:v>Uyku Hazırlığı</x:v>
      </x:c>
      <x:c r="K1891" s="14" t="str"/>
      <x:c r="L1891" s="14" t="str">
        <x:v>22:00'de yatakta ve uyku.</x:v>
      </x:c>
      <x:c r="M1891" s="14" t="str"/>
      <x:c r="N1891" s="14" t="str"/>
      <x:c r="O1891" s="14" t="n">
        <x:v>0</x:v>
      </x:c>
      <x:c r="P1891" s="14" t="str">
        <x:v>Hayır</x:v>
      </x:c>
      <x:c r="Q1891" s="14" t="str">
        <x:v>Hayır</x:v>
      </x:c>
      <x:c r="R1891" s="14" t="str">
        <x:v>Planlandı</x:v>
      </x:c>
      <x:c r="S1891" s="15" t="str"/>
      <x:c r="T1891" s="14" t="str"/>
    </x:row>
    <x:row r="1892">
      <x:c r="A1892" s="14" t="n">
        <x:v>1891</x:v>
      </x:c>
      <x:c r="B1892" s="15" t="n">
        <x:v>46448</x:v>
      </x:c>
      <x:c r="C1892" s="14" t="str">
        <x:v>Salı</x:v>
      </x:c>
      <x:c r="D1892" s="14" t="str">
        <x:v>Okul Günü</x:v>
      </x:c>
      <x:c r="E1892" s="14" t="str">
        <x:v>16:00 sonrası</x:v>
      </x:c>
      <x:c r="F1892" s="14" t="str">
        <x:v>F3 - Kaynak/MEB Tamamlama</x:v>
      </x:c>
      <x:c r="G1892" s="14" t="str">
        <x:v>16:00</x:v>
      </x:c>
      <x:c r="H1892" s="14" t="str">
        <x:v>16:25</x:v>
      </x:c>
      <x:c r="I1892" s="14" t="str">
        <x:v>Genel</x:v>
      </x:c>
      <x:c r="J1892" s="14" t="str">
        <x:v>Dinlenme</x:v>
      </x:c>
      <x:c r="K1892" s="14" t="str"/>
      <x:c r="L1892" s="14" t="str">
        <x:v>Eve geliş, atıştırma ve dinlenme.</x:v>
      </x:c>
      <x:c r="M1892" s="14" t="str"/>
      <x:c r="N1892" s="14" t="str"/>
      <x:c r="O1892" s="14" t="n">
        <x:v>0</x:v>
      </x:c>
      <x:c r="P1892" s="14" t="str">
        <x:v>Hayır</x:v>
      </x:c>
      <x:c r="Q1892" s="14" t="str">
        <x:v>Hayır</x:v>
      </x:c>
      <x:c r="R1892" s="14" t="str">
        <x:v>Planlandı</x:v>
      </x:c>
      <x:c r="S1892" s="15" t="str"/>
      <x:c r="T1892" s="14" t="str"/>
    </x:row>
    <x:row r="1893">
      <x:c r="A1893" s="14" t="n">
        <x:v>1892</x:v>
      </x:c>
      <x:c r="B1893" s="15" t="n">
        <x:v>46448</x:v>
      </x:c>
      <x:c r="C1893" s="14" t="str">
        <x:v>Salı</x:v>
      </x:c>
      <x:c r="D1893" s="14" t="str">
        <x:v>Okul Günü</x:v>
      </x:c>
      <x:c r="E1893" s="14" t="str">
        <x:v>16:00 sonrası</x:v>
      </x:c>
      <x:c r="F1893" s="14" t="str">
        <x:v>F3 - Kaynak/MEB Tamamlama</x:v>
      </x:c>
      <x:c r="G1893" s="14" t="str">
        <x:v>16:25</x:v>
      </x:c>
      <x:c r="H1893" s="14" t="str">
        <x:v>17:05</x:v>
      </x:c>
      <x:c r="I1893" s="14" t="str">
        <x:v>Matematik</x:v>
      </x:c>
      <x:c r="J1893" s="14" t="str">
        <x:v>Konu / Tekrar</x:v>
      </x:c>
      <x:c r="K1893" s="14" t="str">
        <x:v>Kaynak Tamamlama / Zayıf Konu</x:v>
      </x:c>
      <x:c r="L1893" s="14" t="str">
        <x:v>Yeni konu açma. En zayıf/açık konunun ilgili playlist videosunu yalnız gerekiyorsa tekrar izle.</x:v>
      </x:c>
      <x:c r="M1893" s="14" t="str">
        <x:v>Matematik Ana Oynatma Listesi</x:v>
      </x:c>
      <x:c r="N1893" s="14" t="str">
        <x:v>https://www.youtube.com/watch?v=EuJ89QzqrAg&amp;list=PLicNtF7vp6fnfDqrRLH6H7fIbzYT4ct4F&amp;index=11</x:v>
      </x:c>
      <x:c r="O1893" s="14" t="n">
        <x:v>0</x:v>
      </x:c>
      <x:c r="P1893" s="14" t="str">
        <x:v>Hayır</x:v>
      </x:c>
      <x:c r="Q1893" s="14" t="str">
        <x:v>Evet</x:v>
      </x:c>
      <x:c r="R1893" s="14" t="str">
        <x:v>Planlandı</x:v>
      </x:c>
      <x:c r="S1893" s="15" t="str"/>
      <x:c r="T1893" s="14" t="str">
        <x:v>Yeni konu ancak plan sırasıyla açılır; LGS dışı ileri TYT içeriği zorunlu değildir.</x:v>
      </x:c>
    </x:row>
    <x:row r="1894">
      <x:c r="A1894" s="14" t="n">
        <x:v>1893</x:v>
      </x:c>
      <x:c r="B1894" s="15" t="n">
        <x:v>46448</x:v>
      </x:c>
      <x:c r="C1894" s="14" t="str">
        <x:v>Salı</x:v>
      </x:c>
      <x:c r="D1894" s="14" t="str">
        <x:v>Okul Günü</x:v>
      </x:c>
      <x:c r="E1894" s="14" t="str">
        <x:v>16:00 sonrası</x:v>
      </x:c>
      <x:c r="F1894" s="14" t="str">
        <x:v>F3 - Kaynak/MEB Tamamlama</x:v>
      </x:c>
      <x:c r="G1894" s="14" t="str">
        <x:v>17:10</x:v>
      </x:c>
      <x:c r="H1894" s="14" t="str">
        <x:v>17:55</x:v>
      </x:c>
      <x:c r="I1894" s="14" t="str">
        <x:v>Matematik</x:v>
      </x:c>
      <x:c r="J1894" s="14" t="str">
        <x:v>Kitap / MEB / Mastery</x:v>
      </x:c>
      <x:c r="K1894" s="14" t="str">
        <x:v>Kaynak Tamamlama / Zayıf Konu</x:v>
      </x:c>
      <x:c r="L1894" s="14" t="str">
        <x:v>13 Nisan %100 tamamlama hedefine göre en geride kalan Matematik soru kaynağını/eksik MEB setini ilerlet; açık yanlışları kapat.</x:v>
      </x:c>
      <x:c r="M1894" s="14" t="str">
        <x:v>MUBA 8. Sınıf Başlangıç Matematik (ISBN 9789756526972) → tamamlandıysa Mozaik 8. Sınıf Matematik; açık MEB/yanlışlar</x:v>
      </x:c>
      <x:c r="N1894" s="14" t="str">
        <x:v>https://odsgm.meb.gov.tr/www/8sinif-calisma-sorulari/icerik/1632</x:v>
      </x:c>
      <x:c r="O1894" s="14" t="n">
        <x:v>30</x:v>
      </x:c>
      <x:c r="P1894" s="14" t="str">
        <x:v>İlk 20 soru</x:v>
      </x:c>
      <x:c r="Q1894" s="14" t="str">
        <x:v>Evet</x:v>
      </x:c>
      <x:c r="R1894" s="14" t="str">
        <x:v>Planlandı</x:v>
      </x:c>
      <x:c r="S1894" s="15" t="str"/>
      <x:c r="T1894" s="14" t="str">
        <x:v>Ayrı/rastgele matematik benchmark yoktur. Süreli ilk 20 soru o gün çalışılan konunun içindedir.</x:v>
      </x:c>
    </x:row>
    <x:row r="1895">
      <x:c r="A1895" s="14" t="n">
        <x:v>1894</x:v>
      </x:c>
      <x:c r="B1895" s="15" t="n">
        <x:v>46448</x:v>
      </x:c>
      <x:c r="C1895" s="14" t="str">
        <x:v>Salı</x:v>
      </x:c>
      <x:c r="D1895" s="14" t="str">
        <x:v>Okul Günü</x:v>
      </x:c>
      <x:c r="E1895" s="14" t="str">
        <x:v>16:00 sonrası</x:v>
      </x:c>
      <x:c r="F1895" s="14" t="str">
        <x:v>F3 - Kaynak/MEB Tamamlama</x:v>
      </x:c>
      <x:c r="G1895" s="14" t="str">
        <x:v>17:55</x:v>
      </x:c>
      <x:c r="H1895" s="14" t="str">
        <x:v>18:25</x:v>
      </x:c>
      <x:c r="I1895" s="14" t="str">
        <x:v>Genel</x:v>
      </x:c>
      <x:c r="J1895" s="14" t="str">
        <x:v>Yemek / Serbest Zaman</x:v>
      </x:c>
      <x:c r="K1895" s="14" t="str"/>
      <x:c r="L1895" s="14" t="str">
        <x:v>Yemek, hareket ve dinlenme.</x:v>
      </x:c>
      <x:c r="M1895" s="14" t="str"/>
      <x:c r="N1895" s="14" t="str"/>
      <x:c r="O1895" s="14" t="n">
        <x:v>0</x:v>
      </x:c>
      <x:c r="P1895" s="14" t="str">
        <x:v>Hayır</x:v>
      </x:c>
      <x:c r="Q1895" s="14" t="str">
        <x:v>Hayır</x:v>
      </x:c>
      <x:c r="R1895" s="14" t="str">
        <x:v>Planlandı</x:v>
      </x:c>
      <x:c r="S1895" s="15" t="str"/>
      <x:c r="T1895" s="14" t="str"/>
    </x:row>
    <x:row r="1896">
      <x:c r="A1896" s="14" t="n">
        <x:v>1895</x:v>
      </x:c>
      <x:c r="B1896" s="15" t="n">
        <x:v>46448</x:v>
      </x:c>
      <x:c r="C1896" s="14" t="str">
        <x:v>Salı</x:v>
      </x:c>
      <x:c r="D1896" s="14" t="str">
        <x:v>Okul Günü</x:v>
      </x:c>
      <x:c r="E1896" s="14" t="str">
        <x:v>16:00 sonrası</x:v>
      </x:c>
      <x:c r="F1896" s="14" t="str">
        <x:v>F3 - Kaynak/MEB Tamamlama</x:v>
      </x:c>
      <x:c r="G1896" s="14" t="str">
        <x:v>18:25</x:v>
      </x:c>
      <x:c r="H1896" s="14" t="str">
        <x:v>18:55</x:v>
      </x:c>
      <x:c r="I1896" s="14" t="str">
        <x:v>Türkçe</x:v>
      </x:c>
      <x:c r="J1896" s="14" t="str">
        <x:v>Paragraf Rutini</x:v>
      </x:c>
      <x:c r="K1896" s="14" t="str">
        <x:v>Paragraf</x:v>
      </x:c>
      <x:c r="L1896" s="14" t="str">
        <x:v>En az 30 paragraf sorusu çöz; ilk 20 soruyu ileri sayımla ölç, D/Y/B + süre kaydet.</x:v>
      </x:c>
      <x:c r="M1896" s="14" t="str">
        <x:v>Hız 8. Sınıf Türkçe Paragraf (ISBN 9786258394498)</x:v>
      </x:c>
      <x:c r="N1896" s="14" t="str"/>
      <x:c r="O1896" s="14" t="n">
        <x:v>30</x:v>
      </x:c>
      <x:c r="P1896" s="14" t="str">
        <x:v>İlk 20 soru</x:v>
      </x:c>
      <x:c r="Q1896" s="14" t="str">
        <x:v>Evet</x:v>
      </x:c>
      <x:c r="R1896" s="14" t="str">
        <x:v>Planlandı</x:v>
      </x:c>
      <x:c r="S1896" s="15" t="str"/>
      <x:c r="T1896" s="14" t="str">
        <x:v>Geri sayım ve hedef süre yok.</x:v>
      </x:c>
    </x:row>
    <x:row r="1897">
      <x:c r="A1897" s="14" t="n">
        <x:v>1896</x:v>
      </x:c>
      <x:c r="B1897" s="15" t="n">
        <x:v>46448</x:v>
      </x:c>
      <x:c r="C1897" s="14" t="str">
        <x:v>Salı</x:v>
      </x:c>
      <x:c r="D1897" s="14" t="str">
        <x:v>Okul Günü</x:v>
      </x:c>
      <x:c r="E1897" s="14" t="str">
        <x:v>16:00 sonrası</x:v>
      </x:c>
      <x:c r="F1897" s="14" t="str">
        <x:v>F3 - Kaynak/MEB Tamamlama</x:v>
      </x:c>
      <x:c r="G1897" s="14" t="str">
        <x:v>19:00</x:v>
      </x:c>
      <x:c r="H1897" s="14" t="str">
        <x:v>19:35</x:v>
      </x:c>
      <x:c r="I1897" s="14" t="str">
        <x:v>Türkçe</x:v>
      </x:c>
      <x:c r="J1897" s="14" t="str">
        <x:v>Konu / Tekrar</x:v>
      </x:c>
      <x:c r="K1897" s="14" t="str">
        <x:v>Kaynak Tamamlama / Zayıf Konu</x:v>
      </x:c>
      <x:c r="L1897" s="14" t="str">
        <x:v>Yeni konu açma. En zayıf/açık konunun ilgili playlist videosunu yalnız gerekiyorsa tekrar izle.</x:v>
      </x:c>
      <x:c r="M1897" s="14" t="str">
        <x:v>Türkçe Ana Oynatma Listesi</x:v>
      </x:c>
      <x:c r="N1897" s="14" t="str">
        <x:v>https://www.youtube.com/watch?v=VYsPntNKVdw&amp;list=PLIBjFaUoJJ91bz7QQEBlxNJNZka5YQRr6</x:v>
      </x:c>
      <x:c r="O1897" s="14" t="n">
        <x:v>0</x:v>
      </x:c>
      <x:c r="P1897" s="14" t="str">
        <x:v>Hayır</x:v>
      </x:c>
      <x:c r="Q1897" s="14" t="str">
        <x:v>Evet</x:v>
      </x:c>
      <x:c r="R1897" s="14" t="str">
        <x:v>Planlandı</x:v>
      </x:c>
      <x:c r="S1897" s="15" t="str"/>
      <x:c r="T1897" s="14" t="str">
        <x:v>TYT etiketli kaynak temelden başlamak için sabittir; LGS dışı gereksiz ayrıntı zorunlu değildir.</x:v>
      </x:c>
    </x:row>
    <x:row r="1898">
      <x:c r="A1898" s="14" t="n">
        <x:v>1897</x:v>
      </x:c>
      <x:c r="B1898" s="15" t="n">
        <x:v>46448</x:v>
      </x:c>
      <x:c r="C1898" s="14" t="str">
        <x:v>Salı</x:v>
      </x:c>
      <x:c r="D1898" s="14" t="str">
        <x:v>Okul Günü</x:v>
      </x:c>
      <x:c r="E1898" s="14" t="str">
        <x:v>16:00 sonrası</x:v>
      </x:c>
      <x:c r="F1898" s="14" t="str">
        <x:v>F3 - Kaynak/MEB Tamamlama</x:v>
      </x:c>
      <x:c r="G1898" s="14" t="str">
        <x:v>19:40</x:v>
      </x:c>
      <x:c r="H1898" s="14" t="str">
        <x:v>20:10</x:v>
      </x:c>
      <x:c r="I1898" s="14" t="str">
        <x:v>Türkçe</x:v>
      </x:c>
      <x:c r="J1898" s="14" t="str">
        <x:v>Kitap / MEB / Mastery</x:v>
      </x:c>
      <x:c r="K1898" s="14" t="str">
        <x:v>Kaynak Tamamlama / Zayıf Konu</x:v>
      </x:c>
      <x:c r="L1898" s="14" t="str">
        <x:v>13 Nisan %100 tamamlama hedefine göre en geride kalan Türkçe soru kaynağını/eksik MEB setini ilerlet; açık yanlışları kapat.</x:v>
      </x:c>
      <x:c r="M1898" s="14" t="str">
        <x:v>Ankara 8. Sınıf Dil Bilgisi Güçlendiren + açık MEB/yanlışlar</x:v>
      </x:c>
      <x:c r="N1898" s="14" t="str">
        <x:v>https://odsgm.meb.gov.tr/www/8sinif-calisma-sorulari/icerik/1632</x:v>
      </x:c>
      <x:c r="O1898" s="14" t="n">
        <x:v>15</x:v>
      </x:c>
      <x:c r="P1898" s="14" t="str">
        <x:v>Hayır</x:v>
      </x:c>
      <x:c r="Q1898" s="14" t="str">
        <x:v>Evet</x:v>
      </x:c>
      <x:c r="R1898" s="14" t="str">
        <x:v>Planlandı</x:v>
      </x:c>
      <x:c r="S1898" s="15" t="str"/>
      <x:c r="T1898" s="14" t="str"/>
    </x:row>
    <x:row r="1899">
      <x:c r="A1899" s="14" t="n">
        <x:v>1898</x:v>
      </x:c>
      <x:c r="B1899" s="15" t="n">
        <x:v>46448</x:v>
      </x:c>
      <x:c r="C1899" s="14" t="str">
        <x:v>Salı</x:v>
      </x:c>
      <x:c r="D1899" s="14" t="str">
        <x:v>Okul Günü</x:v>
      </x:c>
      <x:c r="E1899" s="14" t="str">
        <x:v>16:00 sonrası</x:v>
      </x:c>
      <x:c r="F1899" s="14" t="str">
        <x:v>F3 - Kaynak/MEB Tamamlama</x:v>
      </x:c>
      <x:c r="G1899" s="14" t="str">
        <x:v>20:15</x:v>
      </x:c>
      <x:c r="H1899" s="14" t="str">
        <x:v>20:50</x:v>
      </x:c>
      <x:c r="I1899" s="14" t="str">
        <x:v>Fen</x:v>
      </x:c>
      <x:c r="J1899" s="14" t="str">
        <x:v>Konu / Tekrar</x:v>
      </x:c>
      <x:c r="K1899" s="14" t="str">
        <x:v>Elektrik Yükleri ve Elektriklenme</x:v>
      </x:c>
      <x:c r="L1899" s="14" t="str">
        <x:v>Elektrik Yükleri ve Elektriklenme — Fen konu anlatım playlistinden ilgili videoyu izle.</x:v>
      </x:c>
      <x:c r="M1899" s="14" t="str">
        <x:v>Fen Konu Anlatım</x:v>
      </x:c>
      <x:c r="N1899" s="14" t="str">
        <x:v>https://www.youtube.com/watch?v=AHdk01aR4Ko&amp;list=PLrQm7mt99FRV_Oe9xFavWzFpCIl7_XiWj</x:v>
      </x:c>
      <x:c r="O1899" s="14" t="n">
        <x:v>0</x:v>
      </x:c>
      <x:c r="P1899" s="14" t="str">
        <x:v>Hayır</x:v>
      </x:c>
      <x:c r="Q1899" s="14" t="str">
        <x:v>Evet</x:v>
      </x:c>
      <x:c r="R1899" s="14" t="str">
        <x:v>Planlandı</x:v>
      </x:c>
      <x:c r="S1899" s="15" t="str"/>
      <x:c r="T1899" s="14" t="str"/>
    </x:row>
    <x:row r="1900">
      <x:c r="A1900" s="14" t="n">
        <x:v>1899</x:v>
      </x:c>
      <x:c r="B1900" s="15" t="n">
        <x:v>46448</x:v>
      </x:c>
      <x:c r="C1900" s="14" t="str">
        <x:v>Salı</x:v>
      </x:c>
      <x:c r="D1900" s="14" t="str">
        <x:v>Okul Günü</x:v>
      </x:c>
      <x:c r="E1900" s="14" t="str">
        <x:v>16:00 sonrası</x:v>
      </x:c>
      <x:c r="F1900" s="14" t="str">
        <x:v>F3 - Kaynak/MEB Tamamlama</x:v>
      </x:c>
      <x:c r="G1900" s="14" t="str">
        <x:v>20:55</x:v>
      </x:c>
      <x:c r="H1900" s="14" t="str">
        <x:v>21:20</x:v>
      </x:c>
      <x:c r="I1900" s="14" t="str">
        <x:v>Fen</x:v>
      </x:c>
      <x:c r="J1900" s="14" t="str">
        <x:v>Kitap / MEB / Mastery</x:v>
      </x:c>
      <x:c r="K1900" s="14" t="str">
        <x:v>Elektrik Yükleri ve Elektriklenme</x:v>
      </x:c>
      <x:c r="L1900" s="14" t="str">
        <x:v>Elektrik Yükleri ve Elektriklenme ile ilgili soru kitabından en az 20 soru / bugünkü test payını çöz.</x:v>
      </x:c>
      <x:c r="M1900" s="14" t="str">
        <x:v>Hız 8. Sınıf Fen (ISBN 9786257514859); tamamlandıysa Mozaik 8. Sınıf Fen</x:v>
      </x:c>
      <x:c r="N1900" s="14" t="str">
        <x:v>https://www.youtube.com/watch?v=AHdk01aR4Ko&amp;list=PLrQm7mt99FRV_Oe9xFavWzFpCIl7_XiWj</x:v>
      </x:c>
      <x:c r="O1900" s="14" t="n">
        <x:v>20</x:v>
      </x:c>
      <x:c r="P1900" s="14" t="str">
        <x:v>Hayır</x:v>
      </x:c>
      <x:c r="Q1900" s="14" t="str">
        <x:v>Evet</x:v>
      </x:c>
      <x:c r="R1900" s="14" t="str">
        <x:v>Planlandı</x:v>
      </x:c>
      <x:c r="S1900" s="15" t="str"/>
      <x:c r="T1900" s="14" t="str"/>
    </x:row>
    <x:row r="1901">
      <x:c r="A1901" s="14" t="n">
        <x:v>1900</x:v>
      </x:c>
      <x:c r="B1901" s="15" t="n">
        <x:v>46448</x:v>
      </x:c>
      <x:c r="C1901" s="14" t="str">
        <x:v>Salı</x:v>
      </x:c>
      <x:c r="D1901" s="14" t="str">
        <x:v>Okul Günü</x:v>
      </x:c>
      <x:c r="E1901" s="14" t="str">
        <x:v>16:00 sonrası</x:v>
      </x:c>
      <x:c r="F1901" s="14" t="str">
        <x:v>F3 - Kaynak/MEB Tamamlama</x:v>
      </x:c>
      <x:c r="G1901" s="14" t="str">
        <x:v>21:20</x:v>
      </x:c>
      <x:c r="H1901" s="14" t="str">
        <x:v>21:35</x:v>
      </x:c>
      <x:c r="I1901" s="14" t="str">
        <x:v>Genel</x:v>
      </x:c>
      <x:c r="J1901" s="14" t="str">
        <x:v>Yanlış / Boş Analizi</x:v>
      </x:c>
      <x:c r="K1901" s="14" t="str">
        <x:v>Günlük</x:v>
      </x:c>
      <x:c r="L1901" s="14" t="str">
        <x:v>Bugünkü yanlış/boşları kaydet; çözümünü öğrenmeden kapatma. Hata türünü sınıflandır.</x:v>
      </x:c>
      <x:c r="M1901" s="14" t="str">
        <x:v>Yanlış Defteri</x:v>
      </x:c>
      <x:c r="N1901" s="14" t="str"/>
      <x:c r="O1901" s="14" t="n">
        <x:v>0</x:v>
      </x:c>
      <x:c r="P1901" s="14" t="str">
        <x:v>Hayır</x:v>
      </x:c>
      <x:c r="Q1901" s="14" t="str">
        <x:v>Evet</x:v>
      </x:c>
      <x:c r="R1901" s="14" t="str">
        <x:v>Planlandı</x:v>
      </x:c>
      <x:c r="S1901" s="15" t="str"/>
      <x:c r="T1901" s="14" t="str"/>
    </x:row>
    <x:row r="1902">
      <x:c r="A1902" s="14" t="n">
        <x:v>1901</x:v>
      </x:c>
      <x:c r="B1902" s="15" t="n">
        <x:v>46448</x:v>
      </x:c>
      <x:c r="C1902" s="14" t="str">
        <x:v>Salı</x:v>
      </x:c>
      <x:c r="D1902" s="14" t="str">
        <x:v>Okul Günü</x:v>
      </x:c>
      <x:c r="E1902" s="14" t="str">
        <x:v>16:00 sonrası</x:v>
      </x:c>
      <x:c r="F1902" s="14" t="str">
        <x:v>F3 - Kaynak/MEB Tamamlama</x:v>
      </x:c>
      <x:c r="G1902" s="14" t="str">
        <x:v>21:35</x:v>
      </x:c>
      <x:c r="H1902" s="14" t="str">
        <x:v>21:50</x:v>
      </x:c>
      <x:c r="I1902" s="14" t="str">
        <x:v>Genel</x:v>
      </x:c>
      <x:c r="J1902" s="14" t="str">
        <x:v>Aralıklı Hata Tekrarı</x:v>
      </x:c>
      <x:c r="K1902" s="14" t="str">
        <x:v>+1 / +7 / +21</x:v>
      </x:c>
      <x:c r="L1902" s="14" t="str">
        <x:v>Bugün vadesi gelen yanlış soruları tekrar çöz. Vadesi yoksa bu süre serbest/okuma olabilir.</x:v>
      </x:c>
      <x:c r="M1902" s="14" t="str">
        <x:v>Yanlış Defteri</x:v>
      </x:c>
      <x:c r="N1902" s="14" t="str"/>
      <x:c r="O1902" s="14" t="n">
        <x:v>0</x:v>
      </x:c>
      <x:c r="P1902" s="14" t="str">
        <x:v>Hayır</x:v>
      </x:c>
      <x:c r="Q1902" s="14" t="str">
        <x:v>Koşullu</x:v>
      </x:c>
      <x:c r="R1902" s="14" t="str">
        <x:v>Planlandı</x:v>
      </x:c>
      <x:c r="S1902" s="15" t="str"/>
      <x:c r="T1902" s="14" t="str">
        <x:v>Yanlışlar +1, +7 ve +21 gün aralıklarıyla tekrar edilir; hâlâ yanlışsa konu mastery durumu düşürülür.</x:v>
      </x:c>
    </x:row>
    <x:row r="1903">
      <x:c r="A1903" s="14" t="n">
        <x:v>1902</x:v>
      </x:c>
      <x:c r="B1903" s="15" t="n">
        <x:v>46448</x:v>
      </x:c>
      <x:c r="C1903" s="14" t="str">
        <x:v>Salı</x:v>
      </x:c>
      <x:c r="D1903" s="14" t="str">
        <x:v>Okul Günü</x:v>
      </x:c>
      <x:c r="E1903" s="14" t="str">
        <x:v>16:00 sonrası</x:v>
      </x:c>
      <x:c r="F1903" s="14" t="str">
        <x:v>F3 - Kaynak/MEB Tamamlama</x:v>
      </x:c>
      <x:c r="G1903" s="14" t="str">
        <x:v>21:50</x:v>
      </x:c>
      <x:c r="H1903" s="14" t="str">
        <x:v>22:00</x:v>
      </x:c>
      <x:c r="I1903" s="14" t="str">
        <x:v>Genel</x:v>
      </x:c>
      <x:c r="J1903" s="14" t="str">
        <x:v>Uyku Hazırlığı</x:v>
      </x:c>
      <x:c r="K1903" s="14" t="str"/>
      <x:c r="L1903" s="14" t="str">
        <x:v>22:00'de yatakta ve uyku.</x:v>
      </x:c>
      <x:c r="M1903" s="14" t="str"/>
      <x:c r="N1903" s="14" t="str"/>
      <x:c r="O1903" s="14" t="n">
        <x:v>0</x:v>
      </x:c>
      <x:c r="P1903" s="14" t="str">
        <x:v>Hayır</x:v>
      </x:c>
      <x:c r="Q1903" s="14" t="str">
        <x:v>Hayır</x:v>
      </x:c>
      <x:c r="R1903" s="14" t="str">
        <x:v>Planlandı</x:v>
      </x:c>
      <x:c r="S1903" s="15" t="str"/>
      <x:c r="T1903" s="14" t="str"/>
    </x:row>
    <x:row r="1904">
      <x:c r="A1904" s="14" t="n">
        <x:v>1903</x:v>
      </x:c>
      <x:c r="B1904" s="15" t="n">
        <x:v>46449</x:v>
      </x:c>
      <x:c r="C1904" s="14" t="str">
        <x:v>Çarşamba</x:v>
      </x:c>
      <x:c r="D1904" s="14" t="str">
        <x:v>Okul Günü</x:v>
      </x:c>
      <x:c r="E1904" s="14" t="str">
        <x:v>16:00 sonrası</x:v>
      </x:c>
      <x:c r="F1904" s="14" t="str">
        <x:v>F3 - Kaynak/MEB Tamamlama</x:v>
      </x:c>
      <x:c r="G1904" s="14" t="str">
        <x:v>16:00</x:v>
      </x:c>
      <x:c r="H1904" s="14" t="str">
        <x:v>16:25</x:v>
      </x:c>
      <x:c r="I1904" s="14" t="str">
        <x:v>Genel</x:v>
      </x:c>
      <x:c r="J1904" s="14" t="str">
        <x:v>Dinlenme</x:v>
      </x:c>
      <x:c r="K1904" s="14" t="str"/>
      <x:c r="L1904" s="14" t="str">
        <x:v>Eve geliş, atıştırma ve dinlenme.</x:v>
      </x:c>
      <x:c r="M1904" s="14" t="str"/>
      <x:c r="N1904" s="14" t="str"/>
      <x:c r="O1904" s="14" t="n">
        <x:v>0</x:v>
      </x:c>
      <x:c r="P1904" s="14" t="str">
        <x:v>Hayır</x:v>
      </x:c>
      <x:c r="Q1904" s="14" t="str">
        <x:v>Hayır</x:v>
      </x:c>
      <x:c r="R1904" s="14" t="str">
        <x:v>Planlandı</x:v>
      </x:c>
      <x:c r="S1904" s="15" t="str"/>
      <x:c r="T1904" s="14" t="str"/>
    </x:row>
    <x:row r="1905">
      <x:c r="A1905" s="14" t="n">
        <x:v>1904</x:v>
      </x:c>
      <x:c r="B1905" s="15" t="n">
        <x:v>46449</x:v>
      </x:c>
      <x:c r="C1905" s="14" t="str">
        <x:v>Çarşamba</x:v>
      </x:c>
      <x:c r="D1905" s="14" t="str">
        <x:v>Okul Günü</x:v>
      </x:c>
      <x:c r="E1905" s="14" t="str">
        <x:v>16:00 sonrası</x:v>
      </x:c>
      <x:c r="F1905" s="14" t="str">
        <x:v>F3 - Kaynak/MEB Tamamlama</x:v>
      </x:c>
      <x:c r="G1905" s="14" t="str">
        <x:v>16:25</x:v>
      </x:c>
      <x:c r="H1905" s="14" t="str">
        <x:v>17:05</x:v>
      </x:c>
      <x:c r="I1905" s="14" t="str">
        <x:v>Matematik</x:v>
      </x:c>
      <x:c r="J1905" s="14" t="str">
        <x:v>Konu / Tekrar</x:v>
      </x:c>
      <x:c r="K1905" s="14" t="str">
        <x:v>Kaynak Tamamlama / Zayıf Konu</x:v>
      </x:c>
      <x:c r="L1905" s="14" t="str">
        <x:v>Yeni konu açma. En zayıf/açık konunun ilgili playlist videosunu yalnız gerekiyorsa tekrar izle.</x:v>
      </x:c>
      <x:c r="M1905" s="14" t="str">
        <x:v>Matematik Ana Oynatma Listesi</x:v>
      </x:c>
      <x:c r="N1905" s="14" t="str">
        <x:v>https://www.youtube.com/watch?v=EuJ89QzqrAg&amp;list=PLicNtF7vp6fnfDqrRLH6H7fIbzYT4ct4F&amp;index=11</x:v>
      </x:c>
      <x:c r="O1905" s="14" t="n">
        <x:v>0</x:v>
      </x:c>
      <x:c r="P1905" s="14" t="str">
        <x:v>Hayır</x:v>
      </x:c>
      <x:c r="Q1905" s="14" t="str">
        <x:v>Evet</x:v>
      </x:c>
      <x:c r="R1905" s="14" t="str">
        <x:v>Planlandı</x:v>
      </x:c>
      <x:c r="S1905" s="15" t="str"/>
      <x:c r="T1905" s="14" t="str">
        <x:v>Yeni konu ancak plan sırasıyla açılır; LGS dışı ileri TYT içeriği zorunlu değildir.</x:v>
      </x:c>
    </x:row>
    <x:row r="1906">
      <x:c r="A1906" s="14" t="n">
        <x:v>1905</x:v>
      </x:c>
      <x:c r="B1906" s="15" t="n">
        <x:v>46449</x:v>
      </x:c>
      <x:c r="C1906" s="14" t="str">
        <x:v>Çarşamba</x:v>
      </x:c>
      <x:c r="D1906" s="14" t="str">
        <x:v>Okul Günü</x:v>
      </x:c>
      <x:c r="E1906" s="14" t="str">
        <x:v>16:00 sonrası</x:v>
      </x:c>
      <x:c r="F1906" s="14" t="str">
        <x:v>F3 - Kaynak/MEB Tamamlama</x:v>
      </x:c>
      <x:c r="G1906" s="14" t="str">
        <x:v>17:10</x:v>
      </x:c>
      <x:c r="H1906" s="14" t="str">
        <x:v>17:55</x:v>
      </x:c>
      <x:c r="I1906" s="14" t="str">
        <x:v>Matematik</x:v>
      </x:c>
      <x:c r="J1906" s="14" t="str">
        <x:v>Kitap / MEB / Mastery</x:v>
      </x:c>
      <x:c r="K1906" s="14" t="str">
        <x:v>Kaynak Tamamlama / Zayıf Konu</x:v>
      </x:c>
      <x:c r="L1906" s="14" t="str">
        <x:v>13 Nisan %100 tamamlama hedefine göre en geride kalan Matematik soru kaynağını/eksik MEB setini ilerlet; açık yanlışları kapat.</x:v>
      </x:c>
      <x:c r="M1906" s="14" t="str">
        <x:v>MUBA 8. Sınıf Başlangıç Matematik (ISBN 9789756526972) → tamamlandıysa Mozaik 8. Sınıf Matematik; açık MEB/yanlışlar</x:v>
      </x:c>
      <x:c r="N1906" s="14" t="str">
        <x:v>https://odsgm.meb.gov.tr/www/8sinif-calisma-sorulari/icerik/1632</x:v>
      </x:c>
      <x:c r="O1906" s="14" t="n">
        <x:v>30</x:v>
      </x:c>
      <x:c r="P1906" s="14" t="str">
        <x:v>İlk 20 soru</x:v>
      </x:c>
      <x:c r="Q1906" s="14" t="str">
        <x:v>Evet</x:v>
      </x:c>
      <x:c r="R1906" s="14" t="str">
        <x:v>Planlandı</x:v>
      </x:c>
      <x:c r="S1906" s="15" t="str"/>
      <x:c r="T1906" s="14" t="str">
        <x:v>Ayrı/rastgele matematik benchmark yoktur. Süreli ilk 20 soru o gün çalışılan konunun içindedir.</x:v>
      </x:c>
    </x:row>
    <x:row r="1907">
      <x:c r="A1907" s="14" t="n">
        <x:v>1906</x:v>
      </x:c>
      <x:c r="B1907" s="15" t="n">
        <x:v>46449</x:v>
      </x:c>
      <x:c r="C1907" s="14" t="str">
        <x:v>Çarşamba</x:v>
      </x:c>
      <x:c r="D1907" s="14" t="str">
        <x:v>Okul Günü</x:v>
      </x:c>
      <x:c r="E1907" s="14" t="str">
        <x:v>16:00 sonrası</x:v>
      </x:c>
      <x:c r="F1907" s="14" t="str">
        <x:v>F3 - Kaynak/MEB Tamamlama</x:v>
      </x:c>
      <x:c r="G1907" s="14" t="str">
        <x:v>17:55</x:v>
      </x:c>
      <x:c r="H1907" s="14" t="str">
        <x:v>18:25</x:v>
      </x:c>
      <x:c r="I1907" s="14" t="str">
        <x:v>Genel</x:v>
      </x:c>
      <x:c r="J1907" s="14" t="str">
        <x:v>Yemek / Serbest Zaman</x:v>
      </x:c>
      <x:c r="K1907" s="14" t="str"/>
      <x:c r="L1907" s="14" t="str">
        <x:v>Yemek, hareket ve dinlenme.</x:v>
      </x:c>
      <x:c r="M1907" s="14" t="str"/>
      <x:c r="N1907" s="14" t="str"/>
      <x:c r="O1907" s="14" t="n">
        <x:v>0</x:v>
      </x:c>
      <x:c r="P1907" s="14" t="str">
        <x:v>Hayır</x:v>
      </x:c>
      <x:c r="Q1907" s="14" t="str">
        <x:v>Hayır</x:v>
      </x:c>
      <x:c r="R1907" s="14" t="str">
        <x:v>Planlandı</x:v>
      </x:c>
      <x:c r="S1907" s="15" t="str"/>
      <x:c r="T1907" s="14" t="str"/>
    </x:row>
    <x:row r="1908">
      <x:c r="A1908" s="14" t="n">
        <x:v>1907</x:v>
      </x:c>
      <x:c r="B1908" s="15" t="n">
        <x:v>46449</x:v>
      </x:c>
      <x:c r="C1908" s="14" t="str">
        <x:v>Çarşamba</x:v>
      </x:c>
      <x:c r="D1908" s="14" t="str">
        <x:v>Okul Günü</x:v>
      </x:c>
      <x:c r="E1908" s="14" t="str">
        <x:v>16:00 sonrası</x:v>
      </x:c>
      <x:c r="F1908" s="14" t="str">
        <x:v>F3 - Kaynak/MEB Tamamlama</x:v>
      </x:c>
      <x:c r="G1908" s="14" t="str">
        <x:v>18:25</x:v>
      </x:c>
      <x:c r="H1908" s="14" t="str">
        <x:v>18:55</x:v>
      </x:c>
      <x:c r="I1908" s="14" t="str">
        <x:v>Türkçe</x:v>
      </x:c>
      <x:c r="J1908" s="14" t="str">
        <x:v>Paragraf Rutini</x:v>
      </x:c>
      <x:c r="K1908" s="14" t="str">
        <x:v>Paragraf</x:v>
      </x:c>
      <x:c r="L1908" s="14" t="str">
        <x:v>En az 30 paragraf sorusu çöz; ilk 20 soruyu ileri sayımla ölç, D/Y/B + süre kaydet.</x:v>
      </x:c>
      <x:c r="M1908" s="14" t="str">
        <x:v>Hız 8. Sınıf Türkçe Paragraf (ISBN 9786258394498)</x:v>
      </x:c>
      <x:c r="N1908" s="14" t="str"/>
      <x:c r="O1908" s="14" t="n">
        <x:v>30</x:v>
      </x:c>
      <x:c r="P1908" s="14" t="str">
        <x:v>İlk 20 soru</x:v>
      </x:c>
      <x:c r="Q1908" s="14" t="str">
        <x:v>Evet</x:v>
      </x:c>
      <x:c r="R1908" s="14" t="str">
        <x:v>Planlandı</x:v>
      </x:c>
      <x:c r="S1908" s="15" t="str"/>
      <x:c r="T1908" s="14" t="str">
        <x:v>Geri sayım ve hedef süre yok.</x:v>
      </x:c>
    </x:row>
    <x:row r="1909">
      <x:c r="A1909" s="14" t="n">
        <x:v>1908</x:v>
      </x:c>
      <x:c r="B1909" s="15" t="n">
        <x:v>46449</x:v>
      </x:c>
      <x:c r="C1909" s="14" t="str">
        <x:v>Çarşamba</x:v>
      </x:c>
      <x:c r="D1909" s="14" t="str">
        <x:v>Okul Günü</x:v>
      </x:c>
      <x:c r="E1909" s="14" t="str">
        <x:v>16:00 sonrası</x:v>
      </x:c>
      <x:c r="F1909" s="14" t="str">
        <x:v>F3 - Kaynak/MEB Tamamlama</x:v>
      </x:c>
      <x:c r="G1909" s="14" t="str">
        <x:v>19:00</x:v>
      </x:c>
      <x:c r="H1909" s="14" t="str">
        <x:v>19:35</x:v>
      </x:c>
      <x:c r="I1909" s="14" t="str">
        <x:v>Türkçe</x:v>
      </x:c>
      <x:c r="J1909" s="14" t="str">
        <x:v>Konu / Tekrar</x:v>
      </x:c>
      <x:c r="K1909" s="14" t="str">
        <x:v>Kaynak Tamamlama / Zayıf Konu</x:v>
      </x:c>
      <x:c r="L1909" s="14" t="str">
        <x:v>Yeni konu açma. En zayıf/açık konunun ilgili playlist videosunu yalnız gerekiyorsa tekrar izle.</x:v>
      </x:c>
      <x:c r="M1909" s="14" t="str">
        <x:v>Türkçe Ana Oynatma Listesi</x:v>
      </x:c>
      <x:c r="N1909" s="14" t="str">
        <x:v>https://www.youtube.com/watch?v=VYsPntNKVdw&amp;list=PLIBjFaUoJJ91bz7QQEBlxNJNZka5YQRr6</x:v>
      </x:c>
      <x:c r="O1909" s="14" t="n">
        <x:v>0</x:v>
      </x:c>
      <x:c r="P1909" s="14" t="str">
        <x:v>Hayır</x:v>
      </x:c>
      <x:c r="Q1909" s="14" t="str">
        <x:v>Evet</x:v>
      </x:c>
      <x:c r="R1909" s="14" t="str">
        <x:v>Planlandı</x:v>
      </x:c>
      <x:c r="S1909" s="15" t="str"/>
      <x:c r="T1909" s="14" t="str">
        <x:v>TYT etiketli kaynak temelden başlamak için sabittir; LGS dışı gereksiz ayrıntı zorunlu değildir.</x:v>
      </x:c>
    </x:row>
    <x:row r="1910">
      <x:c r="A1910" s="14" t="n">
        <x:v>1909</x:v>
      </x:c>
      <x:c r="B1910" s="15" t="n">
        <x:v>46449</x:v>
      </x:c>
      <x:c r="C1910" s="14" t="str">
        <x:v>Çarşamba</x:v>
      </x:c>
      <x:c r="D1910" s="14" t="str">
        <x:v>Okul Günü</x:v>
      </x:c>
      <x:c r="E1910" s="14" t="str">
        <x:v>16:00 sonrası</x:v>
      </x:c>
      <x:c r="F1910" s="14" t="str">
        <x:v>F3 - Kaynak/MEB Tamamlama</x:v>
      </x:c>
      <x:c r="G1910" s="14" t="str">
        <x:v>19:40</x:v>
      </x:c>
      <x:c r="H1910" s="14" t="str">
        <x:v>20:10</x:v>
      </x:c>
      <x:c r="I1910" s="14" t="str">
        <x:v>Türkçe</x:v>
      </x:c>
      <x:c r="J1910" s="14" t="str">
        <x:v>Kitap / MEB / Mastery</x:v>
      </x:c>
      <x:c r="K1910" s="14" t="str">
        <x:v>Kaynak Tamamlama / Zayıf Konu</x:v>
      </x:c>
      <x:c r="L1910" s="14" t="str">
        <x:v>13 Nisan %100 tamamlama hedefine göre en geride kalan Türkçe soru kaynağını/eksik MEB setini ilerlet; açık yanlışları kapat.</x:v>
      </x:c>
      <x:c r="M1910" s="14" t="str">
        <x:v>Ankara 8. Sınıf Dil Bilgisi Güçlendiren + açık MEB/yanlışlar</x:v>
      </x:c>
      <x:c r="N1910" s="14" t="str">
        <x:v>https://odsgm.meb.gov.tr/www/8sinif-calisma-sorulari/icerik/1632</x:v>
      </x:c>
      <x:c r="O1910" s="14" t="n">
        <x:v>15</x:v>
      </x:c>
      <x:c r="P1910" s="14" t="str">
        <x:v>Hayır</x:v>
      </x:c>
      <x:c r="Q1910" s="14" t="str">
        <x:v>Evet</x:v>
      </x:c>
      <x:c r="R1910" s="14" t="str">
        <x:v>Planlandı</x:v>
      </x:c>
      <x:c r="S1910" s="15" t="str"/>
      <x:c r="T1910" s="14" t="str"/>
    </x:row>
    <x:row r="1911">
      <x:c r="A1911" s="14" t="n">
        <x:v>1910</x:v>
      </x:c>
      <x:c r="B1911" s="15" t="n">
        <x:v>46449</x:v>
      </x:c>
      <x:c r="C1911" s="14" t="str">
        <x:v>Çarşamba</x:v>
      </x:c>
      <x:c r="D1911" s="14" t="str">
        <x:v>Okul Günü</x:v>
      </x:c>
      <x:c r="E1911" s="14" t="str">
        <x:v>16:00 sonrası</x:v>
      </x:c>
      <x:c r="F1911" s="14" t="str">
        <x:v>F3 - Kaynak/MEB Tamamlama</x:v>
      </x:c>
      <x:c r="G1911" s="14" t="str">
        <x:v>20:15</x:v>
      </x:c>
      <x:c r="H1911" s="14" t="str">
        <x:v>20:50</x:v>
      </x:c>
      <x:c r="I1911" s="14" t="str">
        <x:v>Din</x:v>
      </x:c>
      <x:c r="J1911" s="14" t="str">
        <x:v>Konu / Tekrar</x:v>
      </x:c>
      <x:c r="K1911" s="14" t="str">
        <x:v>Kaynak Tamamlama / Zayıf Konu</x:v>
      </x:c>
      <x:c r="L1911" s="14" t="str">
        <x:v>Yeni konu açma. En zayıf/açık konunun ilgili playlist videosunu yalnız gerekiyorsa tekrar izle.</x:v>
      </x:c>
      <x:c r="M1911" s="14" t="str">
        <x:v>Din Genel Oynatma Listesi</x:v>
      </x:c>
      <x:c r="N1911" s="14" t="str">
        <x:v>https://www.youtube.com/watch?v=wvdOE_75VnA&amp;list=PLbRoPq-Zu-SWXGUbVt4t4UWo-4VjsMUo-&amp;index=2</x:v>
      </x:c>
      <x:c r="O1911" s="14" t="n">
        <x:v>0</x:v>
      </x:c>
      <x:c r="P1911" s="14" t="str">
        <x:v>Hayır</x:v>
      </x:c>
      <x:c r="Q1911" s="14" t="str">
        <x:v>Evet</x:v>
      </x:c>
      <x:c r="R1911" s="14" t="str">
        <x:v>Planlandı</x:v>
      </x:c>
      <x:c r="S1911" s="15" t="str"/>
      <x:c r="T1911" s="14" t="str"/>
    </x:row>
    <x:row r="1912">
      <x:c r="A1912" s="14" t="n">
        <x:v>1911</x:v>
      </x:c>
      <x:c r="B1912" s="15" t="n">
        <x:v>46449</x:v>
      </x:c>
      <x:c r="C1912" s="14" t="str">
        <x:v>Çarşamba</x:v>
      </x:c>
      <x:c r="D1912" s="14" t="str">
        <x:v>Okul Günü</x:v>
      </x:c>
      <x:c r="E1912" s="14" t="str">
        <x:v>16:00 sonrası</x:v>
      </x:c>
      <x:c r="F1912" s="14" t="str">
        <x:v>F3 - Kaynak/MEB Tamamlama</x:v>
      </x:c>
      <x:c r="G1912" s="14" t="str">
        <x:v>20:55</x:v>
      </x:c>
      <x:c r="H1912" s="14" t="str">
        <x:v>21:20</x:v>
      </x:c>
      <x:c r="I1912" s="14" t="str">
        <x:v>Din</x:v>
      </x:c>
      <x:c r="J1912" s="14" t="str">
        <x:v>Kitap / MEB / Mastery</x:v>
      </x:c>
      <x:c r="K1912" s="14" t="str">
        <x:v>Kaynak Tamamlama / Zayıf Konu</x:v>
      </x:c>
      <x:c r="L1912" s="14" t="str">
        <x:v>13 Nisan %100 tamamlama hedefine göre en geride kalan Din soru kaynağını/eksik MEB setini ilerlet; açık yanlışları kapat.</x:v>
      </x:c>
      <x:c r="M1912" s="14" t="str">
        <x:v>Hız 8. Sınıf Din Kültürü ve Ahlak Bilgisi + açık MEB/yanlışlar</x:v>
      </x:c>
      <x:c r="N1912" s="14" t="str">
        <x:v>https://odsgm.meb.gov.tr/www/8sinif-calisma-sorulari/icerik/1632</x:v>
      </x:c>
      <x:c r="O1912" s="14" t="n">
        <x:v>20</x:v>
      </x:c>
      <x:c r="P1912" s="14" t="str">
        <x:v>Hayır</x:v>
      </x:c>
      <x:c r="Q1912" s="14" t="str">
        <x:v>Evet</x:v>
      </x:c>
      <x:c r="R1912" s="14" t="str">
        <x:v>Planlandı</x:v>
      </x:c>
      <x:c r="S1912" s="15" t="str"/>
      <x:c r="T1912" s="14" t="str"/>
    </x:row>
    <x:row r="1913">
      <x:c r="A1913" s="14" t="n">
        <x:v>1912</x:v>
      </x:c>
      <x:c r="B1913" s="15" t="n">
        <x:v>46449</x:v>
      </x:c>
      <x:c r="C1913" s="14" t="str">
        <x:v>Çarşamba</x:v>
      </x:c>
      <x:c r="D1913" s="14" t="str">
        <x:v>Okul Günü</x:v>
      </x:c>
      <x:c r="E1913" s="14" t="str">
        <x:v>16:00 sonrası</x:v>
      </x:c>
      <x:c r="F1913" s="14" t="str">
        <x:v>F3 - Kaynak/MEB Tamamlama</x:v>
      </x:c>
      <x:c r="G1913" s="14" t="str">
        <x:v>21:20</x:v>
      </x:c>
      <x:c r="H1913" s="14" t="str">
        <x:v>21:35</x:v>
      </x:c>
      <x:c r="I1913" s="14" t="str">
        <x:v>Genel</x:v>
      </x:c>
      <x:c r="J1913" s="14" t="str">
        <x:v>Yanlış / Boş Analizi</x:v>
      </x:c>
      <x:c r="K1913" s="14" t="str">
        <x:v>Günlük</x:v>
      </x:c>
      <x:c r="L1913" s="14" t="str">
        <x:v>Bugünkü yanlış/boşları kaydet; çözümünü öğrenmeden kapatma. Hata türünü sınıflandır.</x:v>
      </x:c>
      <x:c r="M1913" s="14" t="str">
        <x:v>Yanlış Defteri</x:v>
      </x:c>
      <x:c r="N1913" s="14" t="str"/>
      <x:c r="O1913" s="14" t="n">
        <x:v>0</x:v>
      </x:c>
      <x:c r="P1913" s="14" t="str">
        <x:v>Hayır</x:v>
      </x:c>
      <x:c r="Q1913" s="14" t="str">
        <x:v>Evet</x:v>
      </x:c>
      <x:c r="R1913" s="14" t="str">
        <x:v>Planlandı</x:v>
      </x:c>
      <x:c r="S1913" s="15" t="str"/>
      <x:c r="T1913" s="14" t="str"/>
    </x:row>
    <x:row r="1914">
      <x:c r="A1914" s="14" t="n">
        <x:v>1913</x:v>
      </x:c>
      <x:c r="B1914" s="15" t="n">
        <x:v>46449</x:v>
      </x:c>
      <x:c r="C1914" s="14" t="str">
        <x:v>Çarşamba</x:v>
      </x:c>
      <x:c r="D1914" s="14" t="str">
        <x:v>Okul Günü</x:v>
      </x:c>
      <x:c r="E1914" s="14" t="str">
        <x:v>16:00 sonrası</x:v>
      </x:c>
      <x:c r="F1914" s="14" t="str">
        <x:v>F3 - Kaynak/MEB Tamamlama</x:v>
      </x:c>
      <x:c r="G1914" s="14" t="str">
        <x:v>21:35</x:v>
      </x:c>
      <x:c r="H1914" s="14" t="str">
        <x:v>21:50</x:v>
      </x:c>
      <x:c r="I1914" s="14" t="str">
        <x:v>Genel</x:v>
      </x:c>
      <x:c r="J1914" s="14" t="str">
        <x:v>Aralıklı Hata Tekrarı</x:v>
      </x:c>
      <x:c r="K1914" s="14" t="str">
        <x:v>+1 / +7 / +21</x:v>
      </x:c>
      <x:c r="L1914" s="14" t="str">
        <x:v>Bugün vadesi gelen yanlış soruları tekrar çöz. Vadesi yoksa bu süre serbest/okuma olabilir.</x:v>
      </x:c>
      <x:c r="M1914" s="14" t="str">
        <x:v>Yanlış Defteri</x:v>
      </x:c>
      <x:c r="N1914" s="14" t="str"/>
      <x:c r="O1914" s="14" t="n">
        <x:v>0</x:v>
      </x:c>
      <x:c r="P1914" s="14" t="str">
        <x:v>Hayır</x:v>
      </x:c>
      <x:c r="Q1914" s="14" t="str">
        <x:v>Koşullu</x:v>
      </x:c>
      <x:c r="R1914" s="14" t="str">
        <x:v>Planlandı</x:v>
      </x:c>
      <x:c r="S1914" s="15" t="str"/>
      <x:c r="T1914" s="14" t="str">
        <x:v>Yanlışlar +1, +7 ve +21 gün aralıklarıyla tekrar edilir; hâlâ yanlışsa konu mastery durumu düşürülür.</x:v>
      </x:c>
    </x:row>
    <x:row r="1915">
      <x:c r="A1915" s="14" t="n">
        <x:v>1914</x:v>
      </x:c>
      <x:c r="B1915" s="15" t="n">
        <x:v>46449</x:v>
      </x:c>
      <x:c r="C1915" s="14" t="str">
        <x:v>Çarşamba</x:v>
      </x:c>
      <x:c r="D1915" s="14" t="str">
        <x:v>Okul Günü</x:v>
      </x:c>
      <x:c r="E1915" s="14" t="str">
        <x:v>16:00 sonrası</x:v>
      </x:c>
      <x:c r="F1915" s="14" t="str">
        <x:v>F3 - Kaynak/MEB Tamamlama</x:v>
      </x:c>
      <x:c r="G1915" s="14" t="str">
        <x:v>21:50</x:v>
      </x:c>
      <x:c r="H1915" s="14" t="str">
        <x:v>22:00</x:v>
      </x:c>
      <x:c r="I1915" s="14" t="str">
        <x:v>Genel</x:v>
      </x:c>
      <x:c r="J1915" s="14" t="str">
        <x:v>Uyku Hazırlığı</x:v>
      </x:c>
      <x:c r="K1915" s="14" t="str"/>
      <x:c r="L1915" s="14" t="str">
        <x:v>22:00'de yatakta ve uyku.</x:v>
      </x:c>
      <x:c r="M1915" s="14" t="str"/>
      <x:c r="N1915" s="14" t="str"/>
      <x:c r="O1915" s="14" t="n">
        <x:v>0</x:v>
      </x:c>
      <x:c r="P1915" s="14" t="str">
        <x:v>Hayır</x:v>
      </x:c>
      <x:c r="Q1915" s="14" t="str">
        <x:v>Hayır</x:v>
      </x:c>
      <x:c r="R1915" s="14" t="str">
        <x:v>Planlandı</x:v>
      </x:c>
      <x:c r="S1915" s="15" t="str"/>
      <x:c r="T1915" s="14" t="str"/>
    </x:row>
    <x:row r="1916">
      <x:c r="A1916" s="14" t="n">
        <x:v>1915</x:v>
      </x:c>
      <x:c r="B1916" s="15" t="n">
        <x:v>46450</x:v>
      </x:c>
      <x:c r="C1916" s="14" t="str">
        <x:v>Perşembe</x:v>
      </x:c>
      <x:c r="D1916" s="14" t="str">
        <x:v>Okul Günü</x:v>
      </x:c>
      <x:c r="E1916" s="14" t="str">
        <x:v>16:00 sonrası</x:v>
      </x:c>
      <x:c r="F1916" s="14" t="str">
        <x:v>F3 - Kaynak/MEB Tamamlama</x:v>
      </x:c>
      <x:c r="G1916" s="14" t="str">
        <x:v>16:00</x:v>
      </x:c>
      <x:c r="H1916" s="14" t="str">
        <x:v>16:25</x:v>
      </x:c>
      <x:c r="I1916" s="14" t="str">
        <x:v>Genel</x:v>
      </x:c>
      <x:c r="J1916" s="14" t="str">
        <x:v>Dinlenme</x:v>
      </x:c>
      <x:c r="K1916" s="14" t="str"/>
      <x:c r="L1916" s="14" t="str">
        <x:v>Eve geliş, atıştırma ve dinlenme.</x:v>
      </x:c>
      <x:c r="M1916" s="14" t="str"/>
      <x:c r="N1916" s="14" t="str"/>
      <x:c r="O1916" s="14" t="n">
        <x:v>0</x:v>
      </x:c>
      <x:c r="P1916" s="14" t="str">
        <x:v>Hayır</x:v>
      </x:c>
      <x:c r="Q1916" s="14" t="str">
        <x:v>Hayır</x:v>
      </x:c>
      <x:c r="R1916" s="14" t="str">
        <x:v>Planlandı</x:v>
      </x:c>
      <x:c r="S1916" s="15" t="str"/>
      <x:c r="T1916" s="14" t="str"/>
    </x:row>
    <x:row r="1917">
      <x:c r="A1917" s="14" t="n">
        <x:v>1916</x:v>
      </x:c>
      <x:c r="B1917" s="15" t="n">
        <x:v>46450</x:v>
      </x:c>
      <x:c r="C1917" s="14" t="str">
        <x:v>Perşembe</x:v>
      </x:c>
      <x:c r="D1917" s="14" t="str">
        <x:v>Okul Günü</x:v>
      </x:c>
      <x:c r="E1917" s="14" t="str">
        <x:v>16:00 sonrası</x:v>
      </x:c>
      <x:c r="F1917" s="14" t="str">
        <x:v>F3 - Kaynak/MEB Tamamlama</x:v>
      </x:c>
      <x:c r="G1917" s="14" t="str">
        <x:v>16:25</x:v>
      </x:c>
      <x:c r="H1917" s="14" t="str">
        <x:v>17:05</x:v>
      </x:c>
      <x:c r="I1917" s="14" t="str">
        <x:v>Matematik</x:v>
      </x:c>
      <x:c r="J1917" s="14" t="str">
        <x:v>Konu / Tekrar</x:v>
      </x:c>
      <x:c r="K1917" s="14" t="str">
        <x:v>Kaynak Tamamlama / Zayıf Konu</x:v>
      </x:c>
      <x:c r="L1917" s="14" t="str">
        <x:v>Yeni konu açma. En zayıf/açık konunun ilgili playlist videosunu yalnız gerekiyorsa tekrar izle.</x:v>
      </x:c>
      <x:c r="M1917" s="14" t="str">
        <x:v>Matematik Ana Oynatma Listesi</x:v>
      </x:c>
      <x:c r="N1917" s="14" t="str">
        <x:v>https://www.youtube.com/watch?v=EuJ89QzqrAg&amp;list=PLicNtF7vp6fnfDqrRLH6H7fIbzYT4ct4F&amp;index=11</x:v>
      </x:c>
      <x:c r="O1917" s="14" t="n">
        <x:v>0</x:v>
      </x:c>
      <x:c r="P1917" s="14" t="str">
        <x:v>Hayır</x:v>
      </x:c>
      <x:c r="Q1917" s="14" t="str">
        <x:v>Evet</x:v>
      </x:c>
      <x:c r="R1917" s="14" t="str">
        <x:v>Planlandı</x:v>
      </x:c>
      <x:c r="S1917" s="15" t="str"/>
      <x:c r="T1917" s="14" t="str">
        <x:v>Yeni konu ancak plan sırasıyla açılır; LGS dışı ileri TYT içeriği zorunlu değildir.</x:v>
      </x:c>
    </x:row>
    <x:row r="1918">
      <x:c r="A1918" s="14" t="n">
        <x:v>1917</x:v>
      </x:c>
      <x:c r="B1918" s="15" t="n">
        <x:v>46450</x:v>
      </x:c>
      <x:c r="C1918" s="14" t="str">
        <x:v>Perşembe</x:v>
      </x:c>
      <x:c r="D1918" s="14" t="str">
        <x:v>Okul Günü</x:v>
      </x:c>
      <x:c r="E1918" s="14" t="str">
        <x:v>16:00 sonrası</x:v>
      </x:c>
      <x:c r="F1918" s="14" t="str">
        <x:v>F3 - Kaynak/MEB Tamamlama</x:v>
      </x:c>
      <x:c r="G1918" s="14" t="str">
        <x:v>17:10</x:v>
      </x:c>
      <x:c r="H1918" s="14" t="str">
        <x:v>17:55</x:v>
      </x:c>
      <x:c r="I1918" s="14" t="str">
        <x:v>Matematik</x:v>
      </x:c>
      <x:c r="J1918" s="14" t="str">
        <x:v>Kitap / MEB / Mastery</x:v>
      </x:c>
      <x:c r="K1918" s="14" t="str">
        <x:v>Kaynak Tamamlama / Zayıf Konu</x:v>
      </x:c>
      <x:c r="L1918" s="14" t="str">
        <x:v>13 Nisan %100 tamamlama hedefine göre en geride kalan Matematik soru kaynağını/eksik MEB setini ilerlet; açık yanlışları kapat.</x:v>
      </x:c>
      <x:c r="M1918" s="14" t="str">
        <x:v>MUBA 8. Sınıf Başlangıç Matematik (ISBN 9789756526972) → tamamlandıysa Mozaik 8. Sınıf Matematik; açık MEB/yanlışlar</x:v>
      </x:c>
      <x:c r="N1918" s="14" t="str">
        <x:v>https://odsgm.meb.gov.tr/www/8sinif-calisma-sorulari/icerik/1632</x:v>
      </x:c>
      <x:c r="O1918" s="14" t="n">
        <x:v>30</x:v>
      </x:c>
      <x:c r="P1918" s="14" t="str">
        <x:v>İlk 20 soru</x:v>
      </x:c>
      <x:c r="Q1918" s="14" t="str">
        <x:v>Evet</x:v>
      </x:c>
      <x:c r="R1918" s="14" t="str">
        <x:v>Planlandı</x:v>
      </x:c>
      <x:c r="S1918" s="15" t="str"/>
      <x:c r="T1918" s="14" t="str">
        <x:v>Ayrı/rastgele matematik benchmark yoktur. Süreli ilk 20 soru o gün çalışılan konunun içindedir.</x:v>
      </x:c>
    </x:row>
    <x:row r="1919">
      <x:c r="A1919" s="14" t="n">
        <x:v>1918</x:v>
      </x:c>
      <x:c r="B1919" s="15" t="n">
        <x:v>46450</x:v>
      </x:c>
      <x:c r="C1919" s="14" t="str">
        <x:v>Perşembe</x:v>
      </x:c>
      <x:c r="D1919" s="14" t="str">
        <x:v>Okul Günü</x:v>
      </x:c>
      <x:c r="E1919" s="14" t="str">
        <x:v>16:00 sonrası</x:v>
      </x:c>
      <x:c r="F1919" s="14" t="str">
        <x:v>F3 - Kaynak/MEB Tamamlama</x:v>
      </x:c>
      <x:c r="G1919" s="14" t="str">
        <x:v>17:55</x:v>
      </x:c>
      <x:c r="H1919" s="14" t="str">
        <x:v>18:25</x:v>
      </x:c>
      <x:c r="I1919" s="14" t="str">
        <x:v>Genel</x:v>
      </x:c>
      <x:c r="J1919" s="14" t="str">
        <x:v>Yemek / Serbest Zaman</x:v>
      </x:c>
      <x:c r="K1919" s="14" t="str"/>
      <x:c r="L1919" s="14" t="str">
        <x:v>Yemek, hareket ve dinlenme.</x:v>
      </x:c>
      <x:c r="M1919" s="14" t="str"/>
      <x:c r="N1919" s="14" t="str"/>
      <x:c r="O1919" s="14" t="n">
        <x:v>0</x:v>
      </x:c>
      <x:c r="P1919" s="14" t="str">
        <x:v>Hayır</x:v>
      </x:c>
      <x:c r="Q1919" s="14" t="str">
        <x:v>Hayır</x:v>
      </x:c>
      <x:c r="R1919" s="14" t="str">
        <x:v>Planlandı</x:v>
      </x:c>
      <x:c r="S1919" s="15" t="str"/>
      <x:c r="T1919" s="14" t="str"/>
    </x:row>
    <x:row r="1920">
      <x:c r="A1920" s="14" t="n">
        <x:v>1919</x:v>
      </x:c>
      <x:c r="B1920" s="15" t="n">
        <x:v>46450</x:v>
      </x:c>
      <x:c r="C1920" s="14" t="str">
        <x:v>Perşembe</x:v>
      </x:c>
      <x:c r="D1920" s="14" t="str">
        <x:v>Okul Günü</x:v>
      </x:c>
      <x:c r="E1920" s="14" t="str">
        <x:v>16:00 sonrası</x:v>
      </x:c>
      <x:c r="F1920" s="14" t="str">
        <x:v>F3 - Kaynak/MEB Tamamlama</x:v>
      </x:c>
      <x:c r="G1920" s="14" t="str">
        <x:v>18:25</x:v>
      </x:c>
      <x:c r="H1920" s="14" t="str">
        <x:v>18:55</x:v>
      </x:c>
      <x:c r="I1920" s="14" t="str">
        <x:v>Türkçe</x:v>
      </x:c>
      <x:c r="J1920" s="14" t="str">
        <x:v>Paragraf Rutini</x:v>
      </x:c>
      <x:c r="K1920" s="14" t="str">
        <x:v>Paragraf</x:v>
      </x:c>
      <x:c r="L1920" s="14" t="str">
        <x:v>En az 30 paragraf sorusu çöz; ilk 20 soruyu ileri sayımla ölç, D/Y/B + süre kaydet.</x:v>
      </x:c>
      <x:c r="M1920" s="14" t="str">
        <x:v>Hız 8. Sınıf Türkçe Paragraf (ISBN 9786258394498)</x:v>
      </x:c>
      <x:c r="N1920" s="14" t="str"/>
      <x:c r="O1920" s="14" t="n">
        <x:v>30</x:v>
      </x:c>
      <x:c r="P1920" s="14" t="str">
        <x:v>İlk 20 soru</x:v>
      </x:c>
      <x:c r="Q1920" s="14" t="str">
        <x:v>Evet</x:v>
      </x:c>
      <x:c r="R1920" s="14" t="str">
        <x:v>Planlandı</x:v>
      </x:c>
      <x:c r="S1920" s="15" t="str"/>
      <x:c r="T1920" s="14" t="str">
        <x:v>Geri sayım ve hedef süre yok.</x:v>
      </x:c>
    </x:row>
    <x:row r="1921">
      <x:c r="A1921" s="14" t="n">
        <x:v>1920</x:v>
      </x:c>
      <x:c r="B1921" s="15" t="n">
        <x:v>46450</x:v>
      </x:c>
      <x:c r="C1921" s="14" t="str">
        <x:v>Perşembe</x:v>
      </x:c>
      <x:c r="D1921" s="14" t="str">
        <x:v>Okul Günü</x:v>
      </x:c>
      <x:c r="E1921" s="14" t="str">
        <x:v>16:00 sonrası</x:v>
      </x:c>
      <x:c r="F1921" s="14" t="str">
        <x:v>F3 - Kaynak/MEB Tamamlama</x:v>
      </x:c>
      <x:c r="G1921" s="14" t="str">
        <x:v>19:00</x:v>
      </x:c>
      <x:c r="H1921" s="14" t="str">
        <x:v>19:35</x:v>
      </x:c>
      <x:c r="I1921" s="14" t="str">
        <x:v>Türkçe</x:v>
      </x:c>
      <x:c r="J1921" s="14" t="str">
        <x:v>Konu / Tekrar</x:v>
      </x:c>
      <x:c r="K1921" s="14" t="str">
        <x:v>Kaynak Tamamlama / Zayıf Konu</x:v>
      </x:c>
      <x:c r="L1921" s="14" t="str">
        <x:v>Yeni konu açma. En zayıf/açık konunun ilgili playlist videosunu yalnız gerekiyorsa tekrar izle.</x:v>
      </x:c>
      <x:c r="M1921" s="14" t="str">
        <x:v>Türkçe Ana Oynatma Listesi</x:v>
      </x:c>
      <x:c r="N1921" s="14" t="str">
        <x:v>https://www.youtube.com/watch?v=VYsPntNKVdw&amp;list=PLIBjFaUoJJ91bz7QQEBlxNJNZka5YQRr6</x:v>
      </x:c>
      <x:c r="O1921" s="14" t="n">
        <x:v>0</x:v>
      </x:c>
      <x:c r="P1921" s="14" t="str">
        <x:v>Hayır</x:v>
      </x:c>
      <x:c r="Q1921" s="14" t="str">
        <x:v>Evet</x:v>
      </x:c>
      <x:c r="R1921" s="14" t="str">
        <x:v>Planlandı</x:v>
      </x:c>
      <x:c r="S1921" s="15" t="str"/>
      <x:c r="T1921" s="14" t="str">
        <x:v>TYT etiketli kaynak temelden başlamak için sabittir; LGS dışı gereksiz ayrıntı zorunlu değildir.</x:v>
      </x:c>
    </x:row>
    <x:row r="1922">
      <x:c r="A1922" s="14" t="n">
        <x:v>1921</x:v>
      </x:c>
      <x:c r="B1922" s="15" t="n">
        <x:v>46450</x:v>
      </x:c>
      <x:c r="C1922" s="14" t="str">
        <x:v>Perşembe</x:v>
      </x:c>
      <x:c r="D1922" s="14" t="str">
        <x:v>Okul Günü</x:v>
      </x:c>
      <x:c r="E1922" s="14" t="str">
        <x:v>16:00 sonrası</x:v>
      </x:c>
      <x:c r="F1922" s="14" t="str">
        <x:v>F3 - Kaynak/MEB Tamamlama</x:v>
      </x:c>
      <x:c r="G1922" s="14" t="str">
        <x:v>19:40</x:v>
      </x:c>
      <x:c r="H1922" s="14" t="str">
        <x:v>20:10</x:v>
      </x:c>
      <x:c r="I1922" s="14" t="str">
        <x:v>Türkçe</x:v>
      </x:c>
      <x:c r="J1922" s="14" t="str">
        <x:v>Kitap / MEB / Mastery</x:v>
      </x:c>
      <x:c r="K1922" s="14" t="str">
        <x:v>Kaynak Tamamlama / Zayıf Konu</x:v>
      </x:c>
      <x:c r="L1922" s="14" t="str">
        <x:v>13 Nisan %100 tamamlama hedefine göre en geride kalan Türkçe soru kaynağını/eksik MEB setini ilerlet; açık yanlışları kapat.</x:v>
      </x:c>
      <x:c r="M1922" s="14" t="str">
        <x:v>Ankara 8. Sınıf Dil Bilgisi Güçlendiren + açık MEB/yanlışlar</x:v>
      </x:c>
      <x:c r="N1922" s="14" t="str">
        <x:v>https://odsgm.meb.gov.tr/www/8sinif-calisma-sorulari/icerik/1632</x:v>
      </x:c>
      <x:c r="O1922" s="14" t="n">
        <x:v>15</x:v>
      </x:c>
      <x:c r="P1922" s="14" t="str">
        <x:v>Hayır</x:v>
      </x:c>
      <x:c r="Q1922" s="14" t="str">
        <x:v>Evet</x:v>
      </x:c>
      <x:c r="R1922" s="14" t="str">
        <x:v>Planlandı</x:v>
      </x:c>
      <x:c r="S1922" s="15" t="str"/>
      <x:c r="T1922" s="14" t="str"/>
    </x:row>
    <x:row r="1923">
      <x:c r="A1923" s="14" t="n">
        <x:v>1922</x:v>
      </x:c>
      <x:c r="B1923" s="15" t="n">
        <x:v>46450</x:v>
      </x:c>
      <x:c r="C1923" s="14" t="str">
        <x:v>Perşembe</x:v>
      </x:c>
      <x:c r="D1923" s="14" t="str">
        <x:v>Okul Günü</x:v>
      </x:c>
      <x:c r="E1923" s="14" t="str">
        <x:v>16:00 sonrası</x:v>
      </x:c>
      <x:c r="F1923" s="14" t="str">
        <x:v>F3 - Kaynak/MEB Tamamlama</x:v>
      </x:c>
      <x:c r="G1923" s="14" t="str">
        <x:v>20:15</x:v>
      </x:c>
      <x:c r="H1923" s="14" t="str">
        <x:v>20:50</x:v>
      </x:c>
      <x:c r="I1923" s="14" t="str">
        <x:v>İnkılap</x:v>
      </x:c>
      <x:c r="J1923" s="14" t="str">
        <x:v>Konu / Tekrar</x:v>
      </x:c>
      <x:c r="K1923" s="14" t="str">
        <x:v>Atatürk’ün Ölümü ve Sonrası</x:v>
      </x:c>
      <x:c r="L1923" s="14" t="str">
        <x:v>Atatürk’ün Ölümü ve Sonrası — genel oynatma listesinden ilgili konu/soru çalışmasını yap.</x:v>
      </x:c>
      <x:c r="M1923" s="14" t="str">
        <x:v>İnkılap Genel Oynatma Listesi</x:v>
      </x:c>
      <x:c r="N1923" s="14" t="str">
        <x:v>https://www.youtube.com/watch?v=MltIX0oKpYU&amp;list=PLsAsBPsriHNbXit4Ra3iuBrk1ZHZWxsOR&amp;index=78</x:v>
      </x:c>
      <x:c r="O1923" s="14" t="n">
        <x:v>0</x:v>
      </x:c>
      <x:c r="P1923" s="14" t="str">
        <x:v>Hayır</x:v>
      </x:c>
      <x:c r="Q1923" s="14" t="str">
        <x:v>Evet</x:v>
      </x:c>
      <x:c r="R1923" s="14" t="str">
        <x:v>Planlandı</x:v>
      </x:c>
      <x:c r="S1923" s="15" t="str"/>
      <x:c r="T1923" s="14" t="str">
        <x:v>İnkılapta okul yazılısı videoları zorunlu değildir.</x:v>
      </x:c>
    </x:row>
    <x:row r="1924">
      <x:c r="A1924" s="14" t="n">
        <x:v>1923</x:v>
      </x:c>
      <x:c r="B1924" s="15" t="n">
        <x:v>46450</x:v>
      </x:c>
      <x:c r="C1924" s="14" t="str">
        <x:v>Perşembe</x:v>
      </x:c>
      <x:c r="D1924" s="14" t="str">
        <x:v>Okul Günü</x:v>
      </x:c>
      <x:c r="E1924" s="14" t="str">
        <x:v>16:00 sonrası</x:v>
      </x:c>
      <x:c r="F1924" s="14" t="str">
        <x:v>F3 - Kaynak/MEB Tamamlama</x:v>
      </x:c>
      <x:c r="G1924" s="14" t="str">
        <x:v>20:55</x:v>
      </x:c>
      <x:c r="H1924" s="14" t="str">
        <x:v>21:20</x:v>
      </x:c>
      <x:c r="I1924" s="14" t="str">
        <x:v>İnkılap</x:v>
      </x:c>
      <x:c r="J1924" s="14" t="str">
        <x:v>Kitap / MEB / Mastery</x:v>
      </x:c>
      <x:c r="K1924" s="14" t="str">
        <x:v>Atatürk’ün Ölümü ve Sonrası</x:v>
      </x:c>
      <x:c r="L1924" s="14" t="str">
        <x:v>Atatürk’ün Ölümü ve Sonrası ile ilgili soru kitabından en az 20 soru / bugünkü test payını çöz.</x:v>
      </x:c>
      <x:c r="M1924" s="14" t="str">
        <x:v>Hız 8. Sınıf T.C. İnkılap Tarihi ve Atatürkçülük</x:v>
      </x:c>
      <x:c r="N1924" s="14" t="str">
        <x:v>https://www.youtube.com/watch?v=MltIX0oKpYU&amp;list=PLsAsBPsriHNbXit4Ra3iuBrk1ZHZWxsOR&amp;index=78</x:v>
      </x:c>
      <x:c r="O1924" s="14" t="n">
        <x:v>20</x:v>
      </x:c>
      <x:c r="P1924" s="14" t="str">
        <x:v>Hayır</x:v>
      </x:c>
      <x:c r="Q1924" s="14" t="str">
        <x:v>Evet</x:v>
      </x:c>
      <x:c r="R1924" s="14" t="str">
        <x:v>Planlandı</x:v>
      </x:c>
      <x:c r="S1924" s="15" t="str"/>
      <x:c r="T1924" s="14" t="str"/>
    </x:row>
    <x:row r="1925">
      <x:c r="A1925" s="14" t="n">
        <x:v>1924</x:v>
      </x:c>
      <x:c r="B1925" s="15" t="n">
        <x:v>46450</x:v>
      </x:c>
      <x:c r="C1925" s="14" t="str">
        <x:v>Perşembe</x:v>
      </x:c>
      <x:c r="D1925" s="14" t="str">
        <x:v>Okul Günü</x:v>
      </x:c>
      <x:c r="E1925" s="14" t="str">
        <x:v>16:00 sonrası</x:v>
      </x:c>
      <x:c r="F1925" s="14" t="str">
        <x:v>F3 - Kaynak/MEB Tamamlama</x:v>
      </x:c>
      <x:c r="G1925" s="14" t="str">
        <x:v>21:20</x:v>
      </x:c>
      <x:c r="H1925" s="14" t="str">
        <x:v>21:35</x:v>
      </x:c>
      <x:c r="I1925" s="14" t="str">
        <x:v>Genel</x:v>
      </x:c>
      <x:c r="J1925" s="14" t="str">
        <x:v>Yanlış / Boş Analizi</x:v>
      </x:c>
      <x:c r="K1925" s="14" t="str">
        <x:v>Günlük</x:v>
      </x:c>
      <x:c r="L1925" s="14" t="str">
        <x:v>Bugünkü yanlış/boşları kaydet; çözümünü öğrenmeden kapatma. Hata türünü sınıflandır.</x:v>
      </x:c>
      <x:c r="M1925" s="14" t="str">
        <x:v>Yanlış Defteri</x:v>
      </x:c>
      <x:c r="N1925" s="14" t="str"/>
      <x:c r="O1925" s="14" t="n">
        <x:v>0</x:v>
      </x:c>
      <x:c r="P1925" s="14" t="str">
        <x:v>Hayır</x:v>
      </x:c>
      <x:c r="Q1925" s="14" t="str">
        <x:v>Evet</x:v>
      </x:c>
      <x:c r="R1925" s="14" t="str">
        <x:v>Planlandı</x:v>
      </x:c>
      <x:c r="S1925" s="15" t="str"/>
      <x:c r="T1925" s="14" t="str"/>
    </x:row>
    <x:row r="1926">
      <x:c r="A1926" s="14" t="n">
        <x:v>1925</x:v>
      </x:c>
      <x:c r="B1926" s="15" t="n">
        <x:v>46450</x:v>
      </x:c>
      <x:c r="C1926" s="14" t="str">
        <x:v>Perşembe</x:v>
      </x:c>
      <x:c r="D1926" s="14" t="str">
        <x:v>Okul Günü</x:v>
      </x:c>
      <x:c r="E1926" s="14" t="str">
        <x:v>16:00 sonrası</x:v>
      </x:c>
      <x:c r="F1926" s="14" t="str">
        <x:v>F3 - Kaynak/MEB Tamamlama</x:v>
      </x:c>
      <x:c r="G1926" s="14" t="str">
        <x:v>21:35</x:v>
      </x:c>
      <x:c r="H1926" s="14" t="str">
        <x:v>21:50</x:v>
      </x:c>
      <x:c r="I1926" s="14" t="str">
        <x:v>Genel</x:v>
      </x:c>
      <x:c r="J1926" s="14" t="str">
        <x:v>Aralıklı Hata Tekrarı</x:v>
      </x:c>
      <x:c r="K1926" s="14" t="str">
        <x:v>+1 / +7 / +21</x:v>
      </x:c>
      <x:c r="L1926" s="14" t="str">
        <x:v>Bugün vadesi gelen yanlış soruları tekrar çöz. Vadesi yoksa bu süre serbest/okuma olabilir.</x:v>
      </x:c>
      <x:c r="M1926" s="14" t="str">
        <x:v>Yanlış Defteri</x:v>
      </x:c>
      <x:c r="N1926" s="14" t="str"/>
      <x:c r="O1926" s="14" t="n">
        <x:v>0</x:v>
      </x:c>
      <x:c r="P1926" s="14" t="str">
        <x:v>Hayır</x:v>
      </x:c>
      <x:c r="Q1926" s="14" t="str">
        <x:v>Koşullu</x:v>
      </x:c>
      <x:c r="R1926" s="14" t="str">
        <x:v>Planlandı</x:v>
      </x:c>
      <x:c r="S1926" s="15" t="str"/>
      <x:c r="T1926" s="14" t="str">
        <x:v>Yanlışlar +1, +7 ve +21 gün aralıklarıyla tekrar edilir; hâlâ yanlışsa konu mastery durumu düşürülür.</x:v>
      </x:c>
    </x:row>
    <x:row r="1927">
      <x:c r="A1927" s="14" t="n">
        <x:v>1926</x:v>
      </x:c>
      <x:c r="B1927" s="15" t="n">
        <x:v>46450</x:v>
      </x:c>
      <x:c r="C1927" s="14" t="str">
        <x:v>Perşembe</x:v>
      </x:c>
      <x:c r="D1927" s="14" t="str">
        <x:v>Okul Günü</x:v>
      </x:c>
      <x:c r="E1927" s="14" t="str">
        <x:v>16:00 sonrası</x:v>
      </x:c>
      <x:c r="F1927" s="14" t="str">
        <x:v>F3 - Kaynak/MEB Tamamlama</x:v>
      </x:c>
      <x:c r="G1927" s="14" t="str">
        <x:v>21:50</x:v>
      </x:c>
      <x:c r="H1927" s="14" t="str">
        <x:v>22:00</x:v>
      </x:c>
      <x:c r="I1927" s="14" t="str">
        <x:v>Genel</x:v>
      </x:c>
      <x:c r="J1927" s="14" t="str">
        <x:v>Uyku Hazırlığı</x:v>
      </x:c>
      <x:c r="K1927" s="14" t="str"/>
      <x:c r="L1927" s="14" t="str">
        <x:v>22:00'de yatakta ve uyku.</x:v>
      </x:c>
      <x:c r="M1927" s="14" t="str"/>
      <x:c r="N1927" s="14" t="str"/>
      <x:c r="O1927" s="14" t="n">
        <x:v>0</x:v>
      </x:c>
      <x:c r="P1927" s="14" t="str">
        <x:v>Hayır</x:v>
      </x:c>
      <x:c r="Q1927" s="14" t="str">
        <x:v>Hayır</x:v>
      </x:c>
      <x:c r="R1927" s="14" t="str">
        <x:v>Planlandı</x:v>
      </x:c>
      <x:c r="S1927" s="15" t="str"/>
      <x:c r="T1927" s="14" t="str"/>
    </x:row>
    <x:row r="1928">
      <x:c r="A1928" s="14" t="n">
        <x:v>1927</x:v>
      </x:c>
      <x:c r="B1928" s="15" t="n">
        <x:v>46451</x:v>
      </x:c>
      <x:c r="C1928" s="14" t="str">
        <x:v>Cuma</x:v>
      </x:c>
      <x:c r="D1928" s="14" t="str">
        <x:v>Okul Günü</x:v>
      </x:c>
      <x:c r="E1928" s="14" t="str">
        <x:v>16:00 sonrası</x:v>
      </x:c>
      <x:c r="F1928" s="14" t="str">
        <x:v>F3 - Kaynak/MEB Tamamlama</x:v>
      </x:c>
      <x:c r="G1928" s="14" t="str">
        <x:v>16:00</x:v>
      </x:c>
      <x:c r="H1928" s="14" t="str">
        <x:v>16:25</x:v>
      </x:c>
      <x:c r="I1928" s="14" t="str">
        <x:v>Genel</x:v>
      </x:c>
      <x:c r="J1928" s="14" t="str">
        <x:v>Dinlenme</x:v>
      </x:c>
      <x:c r="K1928" s="14" t="str"/>
      <x:c r="L1928" s="14" t="str">
        <x:v>Eve geliş, atıştırma ve dinlenme.</x:v>
      </x:c>
      <x:c r="M1928" s="14" t="str"/>
      <x:c r="N1928" s="14" t="str"/>
      <x:c r="O1928" s="14" t="n">
        <x:v>0</x:v>
      </x:c>
      <x:c r="P1928" s="14" t="str">
        <x:v>Hayır</x:v>
      </x:c>
      <x:c r="Q1928" s="14" t="str">
        <x:v>Hayır</x:v>
      </x:c>
      <x:c r="R1928" s="14" t="str">
        <x:v>Planlandı</x:v>
      </x:c>
      <x:c r="S1928" s="15" t="str"/>
      <x:c r="T1928" s="14" t="str"/>
    </x:row>
    <x:row r="1929">
      <x:c r="A1929" s="14" t="n">
        <x:v>1928</x:v>
      </x:c>
      <x:c r="B1929" s="15" t="n">
        <x:v>46451</x:v>
      </x:c>
      <x:c r="C1929" s="14" t="str">
        <x:v>Cuma</x:v>
      </x:c>
      <x:c r="D1929" s="14" t="str">
        <x:v>Okul Günü</x:v>
      </x:c>
      <x:c r="E1929" s="14" t="str">
        <x:v>16:00 sonrası</x:v>
      </x:c>
      <x:c r="F1929" s="14" t="str">
        <x:v>F3 - Kaynak/MEB Tamamlama</x:v>
      </x:c>
      <x:c r="G1929" s="14" t="str">
        <x:v>16:25</x:v>
      </x:c>
      <x:c r="H1929" s="14" t="str">
        <x:v>17:05</x:v>
      </x:c>
      <x:c r="I1929" s="14" t="str">
        <x:v>Matematik</x:v>
      </x:c>
      <x:c r="J1929" s="14" t="str">
        <x:v>Konu / Tekrar</x:v>
      </x:c>
      <x:c r="K1929" s="14" t="str">
        <x:v>Kaynak Tamamlama / Zayıf Konu</x:v>
      </x:c>
      <x:c r="L1929" s="14" t="str">
        <x:v>Yeni konu açma. En zayıf/açık konunun ilgili playlist videosunu yalnız gerekiyorsa tekrar izle.</x:v>
      </x:c>
      <x:c r="M1929" s="14" t="str">
        <x:v>Matematik Ana Oynatma Listesi</x:v>
      </x:c>
      <x:c r="N1929" s="14" t="str">
        <x:v>https://www.youtube.com/watch?v=EuJ89QzqrAg&amp;list=PLicNtF7vp6fnfDqrRLH6H7fIbzYT4ct4F&amp;index=11</x:v>
      </x:c>
      <x:c r="O1929" s="14" t="n">
        <x:v>0</x:v>
      </x:c>
      <x:c r="P1929" s="14" t="str">
        <x:v>Hayır</x:v>
      </x:c>
      <x:c r="Q1929" s="14" t="str">
        <x:v>Evet</x:v>
      </x:c>
      <x:c r="R1929" s="14" t="str">
        <x:v>Planlandı</x:v>
      </x:c>
      <x:c r="S1929" s="15" t="str"/>
      <x:c r="T1929" s="14" t="str">
        <x:v>Yeni konu ancak plan sırasıyla açılır; LGS dışı ileri TYT içeriği zorunlu değildir.</x:v>
      </x:c>
    </x:row>
    <x:row r="1930">
      <x:c r="A1930" s="14" t="n">
        <x:v>1929</x:v>
      </x:c>
      <x:c r="B1930" s="15" t="n">
        <x:v>46451</x:v>
      </x:c>
      <x:c r="C1930" s="14" t="str">
        <x:v>Cuma</x:v>
      </x:c>
      <x:c r="D1930" s="14" t="str">
        <x:v>Okul Günü</x:v>
      </x:c>
      <x:c r="E1930" s="14" t="str">
        <x:v>16:00 sonrası</x:v>
      </x:c>
      <x:c r="F1930" s="14" t="str">
        <x:v>F3 - Kaynak/MEB Tamamlama</x:v>
      </x:c>
      <x:c r="G1930" s="14" t="str">
        <x:v>17:10</x:v>
      </x:c>
      <x:c r="H1930" s="14" t="str">
        <x:v>17:55</x:v>
      </x:c>
      <x:c r="I1930" s="14" t="str">
        <x:v>Matematik</x:v>
      </x:c>
      <x:c r="J1930" s="14" t="str">
        <x:v>Kitap / MEB / Mastery</x:v>
      </x:c>
      <x:c r="K1930" s="14" t="str">
        <x:v>Kaynak Tamamlama / Zayıf Konu</x:v>
      </x:c>
      <x:c r="L1930" s="14" t="str">
        <x:v>13 Nisan %100 tamamlama hedefine göre en geride kalan Matematik soru kaynağını/eksik MEB setini ilerlet; açık yanlışları kapat.</x:v>
      </x:c>
      <x:c r="M1930" s="14" t="str">
        <x:v>MUBA 8. Sınıf Başlangıç Matematik (ISBN 9789756526972) → tamamlandıysa Mozaik 8. Sınıf Matematik; açık MEB/yanlışlar</x:v>
      </x:c>
      <x:c r="N1930" s="14" t="str">
        <x:v>https://odsgm.meb.gov.tr/www/8sinif-calisma-sorulari/icerik/1632</x:v>
      </x:c>
      <x:c r="O1930" s="14" t="n">
        <x:v>30</x:v>
      </x:c>
      <x:c r="P1930" s="14" t="str">
        <x:v>İlk 20 soru</x:v>
      </x:c>
      <x:c r="Q1930" s="14" t="str">
        <x:v>Evet</x:v>
      </x:c>
      <x:c r="R1930" s="14" t="str">
        <x:v>Planlandı</x:v>
      </x:c>
      <x:c r="S1930" s="15" t="str"/>
      <x:c r="T1930" s="14" t="str">
        <x:v>Ayrı/rastgele matematik benchmark yoktur. Süreli ilk 20 soru o gün çalışılan konunun içindedir.</x:v>
      </x:c>
    </x:row>
    <x:row r="1931">
      <x:c r="A1931" s="14" t="n">
        <x:v>1930</x:v>
      </x:c>
      <x:c r="B1931" s="15" t="n">
        <x:v>46451</x:v>
      </x:c>
      <x:c r="C1931" s="14" t="str">
        <x:v>Cuma</x:v>
      </x:c>
      <x:c r="D1931" s="14" t="str">
        <x:v>Okul Günü</x:v>
      </x:c>
      <x:c r="E1931" s="14" t="str">
        <x:v>16:00 sonrası</x:v>
      </x:c>
      <x:c r="F1931" s="14" t="str">
        <x:v>F3 - Kaynak/MEB Tamamlama</x:v>
      </x:c>
      <x:c r="G1931" s="14" t="str">
        <x:v>17:55</x:v>
      </x:c>
      <x:c r="H1931" s="14" t="str">
        <x:v>18:25</x:v>
      </x:c>
      <x:c r="I1931" s="14" t="str">
        <x:v>Genel</x:v>
      </x:c>
      <x:c r="J1931" s="14" t="str">
        <x:v>Yemek / Serbest Zaman</x:v>
      </x:c>
      <x:c r="K1931" s="14" t="str"/>
      <x:c r="L1931" s="14" t="str">
        <x:v>Yemek, hareket ve dinlenme.</x:v>
      </x:c>
      <x:c r="M1931" s="14" t="str"/>
      <x:c r="N1931" s="14" t="str"/>
      <x:c r="O1931" s="14" t="n">
        <x:v>0</x:v>
      </x:c>
      <x:c r="P1931" s="14" t="str">
        <x:v>Hayır</x:v>
      </x:c>
      <x:c r="Q1931" s="14" t="str">
        <x:v>Hayır</x:v>
      </x:c>
      <x:c r="R1931" s="14" t="str">
        <x:v>Planlandı</x:v>
      </x:c>
      <x:c r="S1931" s="15" t="str"/>
      <x:c r="T1931" s="14" t="str"/>
    </x:row>
    <x:row r="1932">
      <x:c r="A1932" s="14" t="n">
        <x:v>1931</x:v>
      </x:c>
      <x:c r="B1932" s="15" t="n">
        <x:v>46451</x:v>
      </x:c>
      <x:c r="C1932" s="14" t="str">
        <x:v>Cuma</x:v>
      </x:c>
      <x:c r="D1932" s="14" t="str">
        <x:v>Okul Günü</x:v>
      </x:c>
      <x:c r="E1932" s="14" t="str">
        <x:v>16:00 sonrası</x:v>
      </x:c>
      <x:c r="F1932" s="14" t="str">
        <x:v>F3 - Kaynak/MEB Tamamlama</x:v>
      </x:c>
      <x:c r="G1932" s="14" t="str">
        <x:v>18:25</x:v>
      </x:c>
      <x:c r="H1932" s="14" t="str">
        <x:v>18:55</x:v>
      </x:c>
      <x:c r="I1932" s="14" t="str">
        <x:v>Türkçe</x:v>
      </x:c>
      <x:c r="J1932" s="14" t="str">
        <x:v>Paragraf Rutini</x:v>
      </x:c>
      <x:c r="K1932" s="14" t="str">
        <x:v>Paragraf</x:v>
      </x:c>
      <x:c r="L1932" s="14" t="str">
        <x:v>En az 30 paragraf sorusu çöz; ilk 20 soruyu ileri sayımla ölç, D/Y/B + süre kaydet.</x:v>
      </x:c>
      <x:c r="M1932" s="14" t="str">
        <x:v>Hız 8. Sınıf Türkçe Paragraf (ISBN 9786258394498)</x:v>
      </x:c>
      <x:c r="N1932" s="14" t="str"/>
      <x:c r="O1932" s="14" t="n">
        <x:v>30</x:v>
      </x:c>
      <x:c r="P1932" s="14" t="str">
        <x:v>İlk 20 soru</x:v>
      </x:c>
      <x:c r="Q1932" s="14" t="str">
        <x:v>Evet</x:v>
      </x:c>
      <x:c r="R1932" s="14" t="str">
        <x:v>Planlandı</x:v>
      </x:c>
      <x:c r="S1932" s="15" t="str"/>
      <x:c r="T1932" s="14" t="str">
        <x:v>Geri sayım ve hedef süre yok.</x:v>
      </x:c>
    </x:row>
    <x:row r="1933">
      <x:c r="A1933" s="14" t="n">
        <x:v>1932</x:v>
      </x:c>
      <x:c r="B1933" s="15" t="n">
        <x:v>46451</x:v>
      </x:c>
      <x:c r="C1933" s="14" t="str">
        <x:v>Cuma</x:v>
      </x:c>
      <x:c r="D1933" s="14" t="str">
        <x:v>Okul Günü</x:v>
      </x:c>
      <x:c r="E1933" s="14" t="str">
        <x:v>16:00 sonrası</x:v>
      </x:c>
      <x:c r="F1933" s="14" t="str">
        <x:v>F3 - Kaynak/MEB Tamamlama</x:v>
      </x:c>
      <x:c r="G1933" s="14" t="str">
        <x:v>19:00</x:v>
      </x:c>
      <x:c r="H1933" s="14" t="str">
        <x:v>19:35</x:v>
      </x:c>
      <x:c r="I1933" s="14" t="str">
        <x:v>Türkçe</x:v>
      </x:c>
      <x:c r="J1933" s="14" t="str">
        <x:v>Konu / Tekrar</x:v>
      </x:c>
      <x:c r="K1933" s="14" t="str">
        <x:v>Kaynak Tamamlama / Zayıf Konu</x:v>
      </x:c>
      <x:c r="L1933" s="14" t="str">
        <x:v>Yeni konu açma. En zayıf/açık konunun ilgili playlist videosunu yalnız gerekiyorsa tekrar izle.</x:v>
      </x:c>
      <x:c r="M1933" s="14" t="str">
        <x:v>Türkçe Ana Oynatma Listesi</x:v>
      </x:c>
      <x:c r="N1933" s="14" t="str">
        <x:v>https://www.youtube.com/watch?v=VYsPntNKVdw&amp;list=PLIBjFaUoJJ91bz7QQEBlxNJNZka5YQRr6</x:v>
      </x:c>
      <x:c r="O1933" s="14" t="n">
        <x:v>0</x:v>
      </x:c>
      <x:c r="P1933" s="14" t="str">
        <x:v>Hayır</x:v>
      </x:c>
      <x:c r="Q1933" s="14" t="str">
        <x:v>Evet</x:v>
      </x:c>
      <x:c r="R1933" s="14" t="str">
        <x:v>Planlandı</x:v>
      </x:c>
      <x:c r="S1933" s="15" t="str"/>
      <x:c r="T1933" s="14" t="str">
        <x:v>TYT etiketli kaynak temelden başlamak için sabittir; LGS dışı gereksiz ayrıntı zorunlu değildir.</x:v>
      </x:c>
    </x:row>
    <x:row r="1934">
      <x:c r="A1934" s="14" t="n">
        <x:v>1933</x:v>
      </x:c>
      <x:c r="B1934" s="15" t="n">
        <x:v>46451</x:v>
      </x:c>
      <x:c r="C1934" s="14" t="str">
        <x:v>Cuma</x:v>
      </x:c>
      <x:c r="D1934" s="14" t="str">
        <x:v>Okul Günü</x:v>
      </x:c>
      <x:c r="E1934" s="14" t="str">
        <x:v>16:00 sonrası</x:v>
      </x:c>
      <x:c r="F1934" s="14" t="str">
        <x:v>F3 - Kaynak/MEB Tamamlama</x:v>
      </x:c>
      <x:c r="G1934" s="14" t="str">
        <x:v>19:40</x:v>
      </x:c>
      <x:c r="H1934" s="14" t="str">
        <x:v>20:10</x:v>
      </x:c>
      <x:c r="I1934" s="14" t="str">
        <x:v>Türkçe</x:v>
      </x:c>
      <x:c r="J1934" s="14" t="str">
        <x:v>Kitap / MEB / Mastery</x:v>
      </x:c>
      <x:c r="K1934" s="14" t="str">
        <x:v>Kaynak Tamamlama / Zayıf Konu</x:v>
      </x:c>
      <x:c r="L1934" s="14" t="str">
        <x:v>13 Nisan %100 tamamlama hedefine göre en geride kalan Türkçe soru kaynağını/eksik MEB setini ilerlet; açık yanlışları kapat.</x:v>
      </x:c>
      <x:c r="M1934" s="14" t="str">
        <x:v>Ankara 8. Sınıf Dil Bilgisi Güçlendiren + açık MEB/yanlışlar</x:v>
      </x:c>
      <x:c r="N1934" s="14" t="str">
        <x:v>https://odsgm.meb.gov.tr/www/8sinif-calisma-sorulari/icerik/1632</x:v>
      </x:c>
      <x:c r="O1934" s="14" t="n">
        <x:v>15</x:v>
      </x:c>
      <x:c r="P1934" s="14" t="str">
        <x:v>Hayır</x:v>
      </x:c>
      <x:c r="Q1934" s="14" t="str">
        <x:v>Evet</x:v>
      </x:c>
      <x:c r="R1934" s="14" t="str">
        <x:v>Planlandı</x:v>
      </x:c>
      <x:c r="S1934" s="15" t="str"/>
      <x:c r="T1934" s="14" t="str"/>
    </x:row>
    <x:row r="1935">
      <x:c r="A1935" s="14" t="n">
        <x:v>1934</x:v>
      </x:c>
      <x:c r="B1935" s="15" t="n">
        <x:v>46451</x:v>
      </x:c>
      <x:c r="C1935" s="14" t="str">
        <x:v>Cuma</x:v>
      </x:c>
      <x:c r="D1935" s="14" t="str">
        <x:v>Okul Günü</x:v>
      </x:c>
      <x:c r="E1935" s="14" t="str">
        <x:v>16:00 sonrası</x:v>
      </x:c>
      <x:c r="F1935" s="14" t="str">
        <x:v>F3 - Kaynak/MEB Tamamlama</x:v>
      </x:c>
      <x:c r="G1935" s="14" t="str">
        <x:v>20:15</x:v>
      </x:c>
      <x:c r="H1935" s="14" t="str">
        <x:v>20:50</x:v>
      </x:c>
      <x:c r="I1935" s="14" t="str">
        <x:v>İngilizce</x:v>
      </x:c>
      <x:c r="J1935" s="14" t="str">
        <x:v>Konu / Tekrar</x:v>
      </x:c>
      <x:c r="K1935" s="14" t="str">
        <x:v>Unit 10 - Natural Forces</x:v>
      </x:c>
      <x:c r="L1935" s="14" t="str">
        <x:v>Unit 10 - Natural Forces — Worksheet çalışmasını playlistten yap.</x:v>
      </x:c>
      <x:c r="M1935" s="14" t="str">
        <x:v>İngilizce Genel Oynatma Listesi</x:v>
      </x:c>
      <x:c r="N1935" s="14" t="str">
        <x:v>https://www.youtube.com/watch?v=FaY3dFjZbns&amp;list=PLSgpQDrUSYp94WgE9pzpHiOG5FwxnZBrr</x:v>
      </x:c>
      <x:c r="O1935" s="14" t="n">
        <x:v>0</x:v>
      </x:c>
      <x:c r="P1935" s="14" t="str">
        <x:v>Hayır</x:v>
      </x:c>
      <x:c r="Q1935" s="14" t="str">
        <x:v>Evet</x:v>
      </x:c>
      <x:c r="R1935" s="14" t="str">
        <x:v>Planlandı</x:v>
      </x:c>
      <x:c r="S1935" s="15" t="str"/>
      <x:c r="T1935" s="14" t="str"/>
    </x:row>
    <x:row r="1936">
      <x:c r="A1936" s="14" t="n">
        <x:v>1935</x:v>
      </x:c>
      <x:c r="B1936" s="15" t="n">
        <x:v>46451</x:v>
      </x:c>
      <x:c r="C1936" s="14" t="str">
        <x:v>Cuma</x:v>
      </x:c>
      <x:c r="D1936" s="14" t="str">
        <x:v>Okul Günü</x:v>
      </x:c>
      <x:c r="E1936" s="14" t="str">
        <x:v>16:00 sonrası</x:v>
      </x:c>
      <x:c r="F1936" s="14" t="str">
        <x:v>F3 - Kaynak/MEB Tamamlama</x:v>
      </x:c>
      <x:c r="G1936" s="14" t="str">
        <x:v>20:55</x:v>
      </x:c>
      <x:c r="H1936" s="14" t="str">
        <x:v>21:20</x:v>
      </x:c>
      <x:c r="I1936" s="14" t="str">
        <x:v>İngilizce</x:v>
      </x:c>
      <x:c r="J1936" s="14" t="str">
        <x:v>Kitap / MEB / Mastery</x:v>
      </x:c>
      <x:c r="K1936" s="14" t="str">
        <x:v>Unit 10 - Natural Forces</x:v>
      </x:c>
      <x:c r="L1936" s="14" t="str">
        <x:v>Unit 10 - Natural Forces ile ilgili soru kitabından en az 20 soru / bugünkü test payını çöz.</x:v>
      </x:c>
      <x:c r="M1936" s="14" t="str">
        <x:v>More &amp; More 8 Worksheets Notebook</x:v>
      </x:c>
      <x:c r="N1936" s="14" t="str">
        <x:v>https://www.youtube.com/watch?v=FaY3dFjZbns&amp;list=PLSgpQDrUSYp94WgE9pzpHiOG5FwxnZBrr</x:v>
      </x:c>
      <x:c r="O1936" s="14" t="n">
        <x:v>20</x:v>
      </x:c>
      <x:c r="P1936" s="14" t="str">
        <x:v>Hayır</x:v>
      </x:c>
      <x:c r="Q1936" s="14" t="str">
        <x:v>Evet</x:v>
      </x:c>
      <x:c r="R1936" s="14" t="str">
        <x:v>Planlandı</x:v>
      </x:c>
      <x:c r="S1936" s="15" t="str"/>
      <x:c r="T1936" s="14" t="str"/>
    </x:row>
    <x:row r="1937">
      <x:c r="A1937" s="14" t="n">
        <x:v>1936</x:v>
      </x:c>
      <x:c r="B1937" s="15" t="n">
        <x:v>46451</x:v>
      </x:c>
      <x:c r="C1937" s="14" t="str">
        <x:v>Cuma</x:v>
      </x:c>
      <x:c r="D1937" s="14" t="str">
        <x:v>Okul Günü</x:v>
      </x:c>
      <x:c r="E1937" s="14" t="str">
        <x:v>16:00 sonrası</x:v>
      </x:c>
      <x:c r="F1937" s="14" t="str">
        <x:v>F3 - Kaynak/MEB Tamamlama</x:v>
      </x:c>
      <x:c r="G1937" s="14" t="str">
        <x:v>21:20</x:v>
      </x:c>
      <x:c r="H1937" s="14" t="str">
        <x:v>21:35</x:v>
      </x:c>
      <x:c r="I1937" s="14" t="str">
        <x:v>Genel</x:v>
      </x:c>
      <x:c r="J1937" s="14" t="str">
        <x:v>Yanlış / Boş Analizi</x:v>
      </x:c>
      <x:c r="K1937" s="14" t="str">
        <x:v>Günlük</x:v>
      </x:c>
      <x:c r="L1937" s="14" t="str">
        <x:v>Bugünkü yanlış/boşları kaydet; çözümünü öğrenmeden kapatma. Hata türünü sınıflandır.</x:v>
      </x:c>
      <x:c r="M1937" s="14" t="str">
        <x:v>Yanlış Defteri</x:v>
      </x:c>
      <x:c r="N1937" s="14" t="str"/>
      <x:c r="O1937" s="14" t="n">
        <x:v>0</x:v>
      </x:c>
      <x:c r="P1937" s="14" t="str">
        <x:v>Hayır</x:v>
      </x:c>
      <x:c r="Q1937" s="14" t="str">
        <x:v>Evet</x:v>
      </x:c>
      <x:c r="R1937" s="14" t="str">
        <x:v>Planlandı</x:v>
      </x:c>
      <x:c r="S1937" s="15" t="str"/>
      <x:c r="T1937" s="14" t="str"/>
    </x:row>
    <x:row r="1938">
      <x:c r="A1938" s="14" t="n">
        <x:v>1937</x:v>
      </x:c>
      <x:c r="B1938" s="15" t="n">
        <x:v>46451</x:v>
      </x:c>
      <x:c r="C1938" s="14" t="str">
        <x:v>Cuma</x:v>
      </x:c>
      <x:c r="D1938" s="14" t="str">
        <x:v>Okul Günü</x:v>
      </x:c>
      <x:c r="E1938" s="14" t="str">
        <x:v>16:00 sonrası</x:v>
      </x:c>
      <x:c r="F1938" s="14" t="str">
        <x:v>F3 - Kaynak/MEB Tamamlama</x:v>
      </x:c>
      <x:c r="G1938" s="14" t="str">
        <x:v>21:35</x:v>
      </x:c>
      <x:c r="H1938" s="14" t="str">
        <x:v>21:50</x:v>
      </x:c>
      <x:c r="I1938" s="14" t="str">
        <x:v>Genel</x:v>
      </x:c>
      <x:c r="J1938" s="14" t="str">
        <x:v>Aralıklı Hata Tekrarı</x:v>
      </x:c>
      <x:c r="K1938" s="14" t="str">
        <x:v>+1 / +7 / +21</x:v>
      </x:c>
      <x:c r="L1938" s="14" t="str">
        <x:v>Bugün vadesi gelen yanlış soruları tekrar çöz. Vadesi yoksa bu süre serbest/okuma olabilir.</x:v>
      </x:c>
      <x:c r="M1938" s="14" t="str">
        <x:v>Yanlış Defteri</x:v>
      </x:c>
      <x:c r="N1938" s="14" t="str"/>
      <x:c r="O1938" s="14" t="n">
        <x:v>0</x:v>
      </x:c>
      <x:c r="P1938" s="14" t="str">
        <x:v>Hayır</x:v>
      </x:c>
      <x:c r="Q1938" s="14" t="str">
        <x:v>Koşullu</x:v>
      </x:c>
      <x:c r="R1938" s="14" t="str">
        <x:v>Planlandı</x:v>
      </x:c>
      <x:c r="S1938" s="15" t="str"/>
      <x:c r="T1938" s="14" t="str">
        <x:v>Yanlışlar +1, +7 ve +21 gün aralıklarıyla tekrar edilir; hâlâ yanlışsa konu mastery durumu düşürülür.</x:v>
      </x:c>
    </x:row>
    <x:row r="1939">
      <x:c r="A1939" s="14" t="n">
        <x:v>1938</x:v>
      </x:c>
      <x:c r="B1939" s="15" t="n">
        <x:v>46451</x:v>
      </x:c>
      <x:c r="C1939" s="14" t="str">
        <x:v>Cuma</x:v>
      </x:c>
      <x:c r="D1939" s="14" t="str">
        <x:v>Okul Günü</x:v>
      </x:c>
      <x:c r="E1939" s="14" t="str">
        <x:v>16:00 sonrası</x:v>
      </x:c>
      <x:c r="F1939" s="14" t="str">
        <x:v>F3 - Kaynak/MEB Tamamlama</x:v>
      </x:c>
      <x:c r="G1939" s="14" t="str">
        <x:v>21:50</x:v>
      </x:c>
      <x:c r="H1939" s="14" t="str">
        <x:v>22:00</x:v>
      </x:c>
      <x:c r="I1939" s="14" t="str">
        <x:v>Genel</x:v>
      </x:c>
      <x:c r="J1939" s="14" t="str">
        <x:v>Uyku Hazırlığı</x:v>
      </x:c>
      <x:c r="K1939" s="14" t="str"/>
      <x:c r="L1939" s="14" t="str">
        <x:v>22:00'de yatakta ve uyku.</x:v>
      </x:c>
      <x:c r="M1939" s="14" t="str"/>
      <x:c r="N1939" s="14" t="str"/>
      <x:c r="O1939" s="14" t="n">
        <x:v>0</x:v>
      </x:c>
      <x:c r="P1939" s="14" t="str">
        <x:v>Hayır</x:v>
      </x:c>
      <x:c r="Q1939" s="14" t="str">
        <x:v>Hayır</x:v>
      </x:c>
      <x:c r="R1939" s="14" t="str">
        <x:v>Planlandı</x:v>
      </x:c>
      <x:c r="S1939" s="15" t="str"/>
      <x:c r="T1939" s="14" t="str"/>
    </x:row>
    <x:row r="1940">
      <x:c r="A1940" s="14" t="n">
        <x:v>1939</x:v>
      </x:c>
      <x:c r="B1940" s="15" t="n">
        <x:v>46452</x:v>
      </x:c>
      <x:c r="C1940" s="14" t="str">
        <x:v>Cumartesi</x:v>
      </x:c>
      <x:c r="D1940" s="14" t="str">
        <x:v>Hafta Sonu</x:v>
      </x:c>
      <x:c r="E1940" s="14" t="str">
        <x:v>Tam gün</x:v>
      </x:c>
      <x:c r="F1940" s="14" t="str">
        <x:v>F3 - Kaynak/MEB Tamamlama</x:v>
      </x:c>
      <x:c r="G1940" s="14" t="str">
        <x:v>09:30</x:v>
      </x:c>
      <x:c r="H1940" s="14" t="str">
        <x:v>10:15</x:v>
      </x:c>
      <x:c r="I1940" s="14" t="str">
        <x:v>Matematik</x:v>
      </x:c>
      <x:c r="J1940" s="14" t="str">
        <x:v>Konu / Tekrar</x:v>
      </x:c>
      <x:c r="K1940" s="14" t="str">
        <x:v>Kaynak Tamamlama / Zayıf Konu</x:v>
      </x:c>
      <x:c r="L1940" s="14" t="str">
        <x:v>Yeni konu açma. En zayıf/açık konunun ilgili playlist videosunu yalnız gerekiyorsa tekrar izle.</x:v>
      </x:c>
      <x:c r="M1940" s="14" t="str">
        <x:v>Matematik Ana Oynatma Listesi</x:v>
      </x:c>
      <x:c r="N1940" s="14" t="str">
        <x:v>https://www.youtube.com/watch?v=EuJ89QzqrAg&amp;list=PLicNtF7vp6fnfDqrRLH6H7fIbzYT4ct4F&amp;index=11</x:v>
      </x:c>
      <x:c r="O1940" s="14" t="n">
        <x:v>0</x:v>
      </x:c>
      <x:c r="P1940" s="14" t="str">
        <x:v>Hayır</x:v>
      </x:c>
      <x:c r="Q1940" s="14" t="str">
        <x:v>Evet</x:v>
      </x:c>
      <x:c r="R1940" s="14" t="str">
        <x:v>Planlandı</x:v>
      </x:c>
      <x:c r="S1940" s="15" t="str"/>
      <x:c r="T1940" s="14" t="str">
        <x:v>Yeni konu ancak plan sırasıyla açılır; LGS dışı ileri TYT içeriği zorunlu değildir.</x:v>
      </x:c>
    </x:row>
    <x:row r="1941">
      <x:c r="A1941" s="14" t="n">
        <x:v>1940</x:v>
      </x:c>
      <x:c r="B1941" s="15" t="n">
        <x:v>46452</x:v>
      </x:c>
      <x:c r="C1941" s="14" t="str">
        <x:v>Cumartesi</x:v>
      </x:c>
      <x:c r="D1941" s="14" t="str">
        <x:v>Hafta Sonu</x:v>
      </x:c>
      <x:c r="E1941" s="14" t="str">
        <x:v>Tam gün</x:v>
      </x:c>
      <x:c r="F1941" s="14" t="str">
        <x:v>F3 - Kaynak/MEB Tamamlama</x:v>
      </x:c>
      <x:c r="G1941" s="14" t="str">
        <x:v>10:25</x:v>
      </x:c>
      <x:c r="H1941" s="14" t="str">
        <x:v>11:15</x:v>
      </x:c>
      <x:c r="I1941" s="14" t="str">
        <x:v>Matematik</x:v>
      </x:c>
      <x:c r="J1941" s="14" t="str">
        <x:v>Kitap / MEB / Mastery</x:v>
      </x:c>
      <x:c r="K1941" s="14" t="str">
        <x:v>Kaynak Tamamlama / Zayıf Konu</x:v>
      </x:c>
      <x:c r="L1941" s="14" t="str">
        <x:v>13 Nisan %100 tamamlama hedefine göre en geride kalan Matematik soru kaynağını/eksik MEB setini ilerlet; açık yanlışları kapat.</x:v>
      </x:c>
      <x:c r="M1941" s="14" t="str">
        <x:v>MUBA 8. Sınıf Başlangıç Matematik (ISBN 9789756526972) → tamamlandıysa Mozaik 8. Sınıf Matematik; açık MEB/yanlışlar</x:v>
      </x:c>
      <x:c r="N1941" s="14" t="str">
        <x:v>https://odsgm.meb.gov.tr/www/8sinif-calisma-sorulari/icerik/1632</x:v>
      </x:c>
      <x:c r="O1941" s="14" t="n">
        <x:v>30</x:v>
      </x:c>
      <x:c r="P1941" s="14" t="str">
        <x:v>İlk 20 soru</x:v>
      </x:c>
      <x:c r="Q1941" s="14" t="str">
        <x:v>Evet</x:v>
      </x:c>
      <x:c r="R1941" s="14" t="str">
        <x:v>Planlandı</x:v>
      </x:c>
      <x:c r="S1941" s="15" t="str"/>
      <x:c r="T1941" s="14" t="str">
        <x:v>Ayrı/rastgele matematik benchmark yoktur. Süreli ilk 20 soru o gün çalışılan konunun içindedir.</x:v>
      </x:c>
    </x:row>
    <x:row r="1942">
      <x:c r="A1942" s="14" t="n">
        <x:v>1941</x:v>
      </x:c>
      <x:c r="B1942" s="15" t="n">
        <x:v>46452</x:v>
      </x:c>
      <x:c r="C1942" s="14" t="str">
        <x:v>Cumartesi</x:v>
      </x:c>
      <x:c r="D1942" s="14" t="str">
        <x:v>Hafta Sonu</x:v>
      </x:c>
      <x:c r="E1942" s="14" t="str">
        <x:v>Tam gün</x:v>
      </x:c>
      <x:c r="F1942" s="14" t="str">
        <x:v>F3 - Kaynak/MEB Tamamlama</x:v>
      </x:c>
      <x:c r="G1942" s="14" t="str">
        <x:v>12:00</x:v>
      </x:c>
      <x:c r="H1942" s="14" t="str">
        <x:v>14:00</x:v>
      </x:c>
      <x:c r="I1942" s="14" t="str">
        <x:v>Genel</x:v>
      </x:c>
      <x:c r="J1942" s="14" t="str">
        <x:v>Yemek / Serbest Zaman</x:v>
      </x:c>
      <x:c r="K1942" s="14" t="str"/>
      <x:c r="L1942" s="14" t="str">
        <x:v>Yemek, hareket ve dinlenme.</x:v>
      </x:c>
      <x:c r="M1942" s="14" t="str"/>
      <x:c r="N1942" s="14" t="str"/>
      <x:c r="O1942" s="14" t="n">
        <x:v>0</x:v>
      </x:c>
      <x:c r="P1942" s="14" t="str">
        <x:v>Hayır</x:v>
      </x:c>
      <x:c r="Q1942" s="14" t="str">
        <x:v>Hayır</x:v>
      </x:c>
      <x:c r="R1942" s="14" t="str">
        <x:v>Planlandı</x:v>
      </x:c>
      <x:c r="S1942" s="15" t="str"/>
      <x:c r="T1942" s="14" t="str"/>
    </x:row>
    <x:row r="1943">
      <x:c r="A1943" s="14" t="n">
        <x:v>1942</x:v>
      </x:c>
      <x:c r="B1943" s="15" t="n">
        <x:v>46452</x:v>
      </x:c>
      <x:c r="C1943" s="14" t="str">
        <x:v>Cumartesi</x:v>
      </x:c>
      <x:c r="D1943" s="14" t="str">
        <x:v>Hafta Sonu</x:v>
      </x:c>
      <x:c r="E1943" s="14" t="str">
        <x:v>Tam gün</x:v>
      </x:c>
      <x:c r="F1943" s="14" t="str">
        <x:v>F3 - Kaynak/MEB Tamamlama</x:v>
      </x:c>
      <x:c r="G1943" s="14" t="str">
        <x:v>11:25</x:v>
      </x:c>
      <x:c r="H1943" s="14" t="str">
        <x:v>11:55</x:v>
      </x:c>
      <x:c r="I1943" s="14" t="str">
        <x:v>Türkçe</x:v>
      </x:c>
      <x:c r="J1943" s="14" t="str">
        <x:v>Paragraf Rutini</x:v>
      </x:c>
      <x:c r="K1943" s="14" t="str">
        <x:v>Paragraf</x:v>
      </x:c>
      <x:c r="L1943" s="14" t="str">
        <x:v>En az 30 paragraf sorusu çöz; ilk 20 soruyu ileri sayımla ölç, D/Y/B + süre kaydet.</x:v>
      </x:c>
      <x:c r="M1943" s="14" t="str">
        <x:v>Hız 8. Sınıf Türkçe Paragraf (ISBN 9786258394498)</x:v>
      </x:c>
      <x:c r="N1943" s="14" t="str"/>
      <x:c r="O1943" s="14" t="n">
        <x:v>30</x:v>
      </x:c>
      <x:c r="P1943" s="14" t="str">
        <x:v>İlk 20 soru</x:v>
      </x:c>
      <x:c r="Q1943" s="14" t="str">
        <x:v>Evet</x:v>
      </x:c>
      <x:c r="R1943" s="14" t="str">
        <x:v>Planlandı</x:v>
      </x:c>
      <x:c r="S1943" s="15" t="str"/>
      <x:c r="T1943" s="14" t="str">
        <x:v>Geri sayım ve hedef süre yok.</x:v>
      </x:c>
    </x:row>
    <x:row r="1944">
      <x:c r="A1944" s="14" t="n">
        <x:v>1943</x:v>
      </x:c>
      <x:c r="B1944" s="15" t="n">
        <x:v>46452</x:v>
      </x:c>
      <x:c r="C1944" s="14" t="str">
        <x:v>Cumartesi</x:v>
      </x:c>
      <x:c r="D1944" s="14" t="str">
        <x:v>Hafta Sonu</x:v>
      </x:c>
      <x:c r="E1944" s="14" t="str">
        <x:v>Tam gün</x:v>
      </x:c>
      <x:c r="F1944" s="14" t="str">
        <x:v>F3 - Kaynak/MEB Tamamlama</x:v>
      </x:c>
      <x:c r="G1944" s="14" t="str">
        <x:v>14:00</x:v>
      </x:c>
      <x:c r="H1944" s="14" t="str">
        <x:v>14:40</x:v>
      </x:c>
      <x:c r="I1944" s="14" t="str">
        <x:v>Türkçe</x:v>
      </x:c>
      <x:c r="J1944" s="14" t="str">
        <x:v>Konu / Tekrar</x:v>
      </x:c>
      <x:c r="K1944" s="14" t="str">
        <x:v>Kaynak Tamamlama / Zayıf Konu</x:v>
      </x:c>
      <x:c r="L1944" s="14" t="str">
        <x:v>Yeni konu açma. En zayıf/açık konunun ilgili playlist videosunu yalnız gerekiyorsa tekrar izle.</x:v>
      </x:c>
      <x:c r="M1944" s="14" t="str">
        <x:v>Türkçe Ana Oynatma Listesi</x:v>
      </x:c>
      <x:c r="N1944" s="14" t="str">
        <x:v>https://www.youtube.com/watch?v=VYsPntNKVdw&amp;list=PLIBjFaUoJJ91bz7QQEBlxNJNZka5YQRr6</x:v>
      </x:c>
      <x:c r="O1944" s="14" t="n">
        <x:v>0</x:v>
      </x:c>
      <x:c r="P1944" s="14" t="str">
        <x:v>Hayır</x:v>
      </x:c>
      <x:c r="Q1944" s="14" t="str">
        <x:v>Evet</x:v>
      </x:c>
      <x:c r="R1944" s="14" t="str">
        <x:v>Planlandı</x:v>
      </x:c>
      <x:c r="S1944" s="15" t="str"/>
      <x:c r="T1944" s="14" t="str">
        <x:v>TYT etiketli kaynak temelden başlamak için sabittir; LGS dışı gereksiz ayrıntı zorunlu değildir.</x:v>
      </x:c>
    </x:row>
    <x:row r="1945">
      <x:c r="A1945" s="14" t="n">
        <x:v>1944</x:v>
      </x:c>
      <x:c r="B1945" s="15" t="n">
        <x:v>46452</x:v>
      </x:c>
      <x:c r="C1945" s="14" t="str">
        <x:v>Cumartesi</x:v>
      </x:c>
      <x:c r="D1945" s="14" t="str">
        <x:v>Hafta Sonu</x:v>
      </x:c>
      <x:c r="E1945" s="14" t="str">
        <x:v>Tam gün</x:v>
      </x:c>
      <x:c r="F1945" s="14" t="str">
        <x:v>F3 - Kaynak/MEB Tamamlama</x:v>
      </x:c>
      <x:c r="G1945" s="14" t="str">
        <x:v>14:50</x:v>
      </x:c>
      <x:c r="H1945" s="14" t="str">
        <x:v>15:30</x:v>
      </x:c>
      <x:c r="I1945" s="14" t="str">
        <x:v>Türkçe</x:v>
      </x:c>
      <x:c r="J1945" s="14" t="str">
        <x:v>Kitap / MEB / Mastery</x:v>
      </x:c>
      <x:c r="K1945" s="14" t="str">
        <x:v>Kaynak Tamamlama / Zayıf Konu</x:v>
      </x:c>
      <x:c r="L1945" s="14" t="str">
        <x:v>13 Nisan %100 tamamlama hedefine göre en geride kalan Türkçe soru kaynağını/eksik MEB setini ilerlet; açık yanlışları kapat.</x:v>
      </x:c>
      <x:c r="M1945" s="14" t="str">
        <x:v>Ankara 8. Sınıf Dil Bilgisi Güçlendiren + açık MEB/yanlışlar</x:v>
      </x:c>
      <x:c r="N1945" s="14" t="str">
        <x:v>https://odsgm.meb.gov.tr/www/8sinif-calisma-sorulari/icerik/1632</x:v>
      </x:c>
      <x:c r="O1945" s="14" t="n">
        <x:v>15</x:v>
      </x:c>
      <x:c r="P1945" s="14" t="str">
        <x:v>Hayır</x:v>
      </x:c>
      <x:c r="Q1945" s="14" t="str">
        <x:v>Evet</x:v>
      </x:c>
      <x:c r="R1945" s="14" t="str">
        <x:v>Planlandı</x:v>
      </x:c>
      <x:c r="S1945" s="15" t="str"/>
      <x:c r="T1945" s="14" t="str"/>
    </x:row>
    <x:row r="1946">
      <x:c r="A1946" s="14" t="n">
        <x:v>1945</x:v>
      </x:c>
      <x:c r="B1946" s="15" t="n">
        <x:v>46452</x:v>
      </x:c>
      <x:c r="C1946" s="14" t="str">
        <x:v>Cumartesi</x:v>
      </x:c>
      <x:c r="D1946" s="14" t="str">
        <x:v>Hafta Sonu</x:v>
      </x:c>
      <x:c r="E1946" s="14" t="str">
        <x:v>Tam gün</x:v>
      </x:c>
      <x:c r="F1946" s="14" t="str">
        <x:v>F3 - Kaynak/MEB Tamamlama</x:v>
      </x:c>
      <x:c r="G1946" s="14" t="str">
        <x:v>15:45</x:v>
      </x:c>
      <x:c r="H1946" s="14" t="str">
        <x:v>16:25</x:v>
      </x:c>
      <x:c r="I1946" s="14" t="str">
        <x:v>Fen</x:v>
      </x:c>
      <x:c r="J1946" s="14" t="str">
        <x:v>Konu / Tekrar</x:v>
      </x:c>
      <x:c r="K1946" s="14" t="str">
        <x:v>Elektrik Yükleri ve Elektriklenme</x:v>
      </x:c>
      <x:c r="L1946" s="14" t="str">
        <x:v>Elektrik Yükleri ve Elektriklenme — Fen soru çözüm playlistinden ilgili videoyu izle.</x:v>
      </x:c>
      <x:c r="M1946" s="14" t="str">
        <x:v>Fen Soru Çözüm / Tekrar</x:v>
      </x:c>
      <x:c r="N1946" s="14" t="str">
        <x:v>https://www.youtube.com/watch?v=pQXhWnDZ3vM&amp;list=PLrQm7mt99FRXcBnorCttd31HJEvg0En26&amp;index=23</x:v>
      </x:c>
      <x:c r="O1946" s="14" t="n">
        <x:v>0</x:v>
      </x:c>
      <x:c r="P1946" s="14" t="str">
        <x:v>Hayır</x:v>
      </x:c>
      <x:c r="Q1946" s="14" t="str">
        <x:v>Evet</x:v>
      </x:c>
      <x:c r="R1946" s="14" t="str">
        <x:v>Planlandı</x:v>
      </x:c>
      <x:c r="S1946" s="15" t="str"/>
      <x:c r="T1946" s="14" t="str"/>
    </x:row>
    <x:row r="1947">
      <x:c r="A1947" s="14" t="n">
        <x:v>1946</x:v>
      </x:c>
      <x:c r="B1947" s="15" t="n">
        <x:v>46452</x:v>
      </x:c>
      <x:c r="C1947" s="14" t="str">
        <x:v>Cumartesi</x:v>
      </x:c>
      <x:c r="D1947" s="14" t="str">
        <x:v>Hafta Sonu</x:v>
      </x:c>
      <x:c r="E1947" s="14" t="str">
        <x:v>Tam gün</x:v>
      </x:c>
      <x:c r="F1947" s="14" t="str">
        <x:v>F3 - Kaynak/MEB Tamamlama</x:v>
      </x:c>
      <x:c r="G1947" s="14" t="str">
        <x:v>16:35</x:v>
      </x:c>
      <x:c r="H1947" s="14" t="str">
        <x:v>17:15</x:v>
      </x:c>
      <x:c r="I1947" s="14" t="str">
        <x:v>Fen</x:v>
      </x:c>
      <x:c r="J1947" s="14" t="str">
        <x:v>Kitap / MEB / Mastery</x:v>
      </x:c>
      <x:c r="K1947" s="14" t="str">
        <x:v>Elektrik Yükleri ve Elektriklenme</x:v>
      </x:c>
      <x:c r="L1947" s="14" t="str">
        <x:v>Elektrik Yükleri ve Elektriklenme ile ilgili soru kitabından en az 20 soru / bugünkü test payını çöz.</x:v>
      </x:c>
      <x:c r="M1947" s="14" t="str">
        <x:v>Hız 8. Sınıf Fen (ISBN 9786257514859); tamamlandıysa Mozaik 8. Sınıf Fen</x:v>
      </x:c>
      <x:c r="N1947" s="14" t="str">
        <x:v>https://www.youtube.com/watch?v=pQXhWnDZ3vM&amp;list=PLrQm7mt99FRXcBnorCttd31HJEvg0En26&amp;index=23</x:v>
      </x:c>
      <x:c r="O1947" s="14" t="n">
        <x:v>20</x:v>
      </x:c>
      <x:c r="P1947" s="14" t="str">
        <x:v>Hayır</x:v>
      </x:c>
      <x:c r="Q1947" s="14" t="str">
        <x:v>Evet</x:v>
      </x:c>
      <x:c r="R1947" s="14" t="str">
        <x:v>Planlandı</x:v>
      </x:c>
      <x:c r="S1947" s="15" t="str"/>
      <x:c r="T1947" s="14" t="str"/>
    </x:row>
    <x:row r="1948">
      <x:c r="A1948" s="14" t="n">
        <x:v>1947</x:v>
      </x:c>
      <x:c r="B1948" s="15" t="n">
        <x:v>46452</x:v>
      </x:c>
      <x:c r="C1948" s="14" t="str">
        <x:v>Cumartesi</x:v>
      </x:c>
      <x:c r="D1948" s="14" t="str">
        <x:v>Hafta Sonu</x:v>
      </x:c>
      <x:c r="E1948" s="14" t="str">
        <x:v>Tam gün</x:v>
      </x:c>
      <x:c r="F1948" s="14" t="str">
        <x:v>F3 - Kaynak/MEB Tamamlama</x:v>
      </x:c>
      <x:c r="G1948" s="14" t="str">
        <x:v>17:25</x:v>
      </x:c>
      <x:c r="H1948" s="14" t="str">
        <x:v>17:55</x:v>
      </x:c>
      <x:c r="I1948" s="14" t="str">
        <x:v>Fen</x:v>
      </x:c>
      <x:c r="J1948" s="14" t="str">
        <x:v>Ek Fen Pekiştirme</x:v>
      </x:c>
      <x:c r="K1948" s="14" t="str">
        <x:v>Elektrik Yükleri ve Elektriklenme</x:v>
      </x:c>
      <x:c r="L1948" s="14" t="str">
        <x:v>Elektrik Yükleri ve Elektriklenme — MEB doğrulaması öncesi 5-10 dk aktif hatırlama; gerekiyorsa ilgili playlist videosuna kısa dönüş yap.</x:v>
      </x:c>
      <x:c r="M1948" s="14" t="str">
        <x:v>Fen Konu/Soru Oynatma Listesi</x:v>
      </x:c>
      <x:c r="N1948" s="14" t="str">
        <x:v>https://www.youtube.com/watch?v=pQXhWnDZ3vM&amp;list=PLrQm7mt99FRXcBnorCttd31HJEvg0En26&amp;index=23</x:v>
      </x:c>
      <x:c r="O1948" s="14" t="n">
        <x:v>0</x:v>
      </x:c>
      <x:c r="P1948" s="14" t="str">
        <x:v>Hayır</x:v>
      </x:c>
      <x:c r="Q1948" s="14" t="str">
        <x:v>Evet</x:v>
      </x:c>
      <x:c r="R1948" s="14" t="str">
        <x:v>Planlandı</x:v>
      </x:c>
      <x:c r="S1948" s="15" t="str"/>
      <x:c r="T1948" s="14" t="str">
        <x:v>Fen haftalık temas sıklığını artırmak için ek Cumartesi oturumu.</x:v>
      </x:c>
    </x:row>
    <x:row r="1949">
      <x:c r="A1949" s="14" t="n">
        <x:v>1948</x:v>
      </x:c>
      <x:c r="B1949" s="15" t="n">
        <x:v>46452</x:v>
      </x:c>
      <x:c r="C1949" s="14" t="str">
        <x:v>Cumartesi</x:v>
      </x:c>
      <x:c r="D1949" s="14" t="str">
        <x:v>Hafta Sonu</x:v>
      </x:c>
      <x:c r="E1949" s="14" t="str">
        <x:v>Tam gün</x:v>
      </x:c>
      <x:c r="F1949" s="14" t="str">
        <x:v>F3 - Kaynak/MEB Tamamlama</x:v>
      </x:c>
      <x:c r="G1949" s="14" t="str">
        <x:v>17:55</x:v>
      </x:c>
      <x:c r="H1949" s="14" t="str">
        <x:v>18:25</x:v>
      </x:c>
      <x:c r="I1949" s="14" t="str">
        <x:v>Fen</x:v>
      </x:c>
      <x:c r="J1949" s="14" t="str">
        <x:v>Ek Fen Kitap / MEB</x:v>
      </x:c>
      <x:c r="K1949" s="14" t="str">
        <x:v>Elektrik Yükleri ve Elektriklenme</x:v>
      </x:c>
      <x:c r="L1949" s="14" t="str">
        <x:v>Elektrik Yükleri ve Elektriklenme için ilgili MEB sorularını TAMAMLA; D/Y/B kaydet. Bu oturum konu mastery gate'idir.</x:v>
      </x:c>
      <x:c r="M1949" s="14" t="str">
        <x:v>MEB 8. Sınıf Fen Soruları</x:v>
      </x:c>
      <x:c r="N1949" s="14" t="str">
        <x:v>https://odsgm.meb.gov.tr/www/8sinif-calisma-sorulari/icerik/1632</x:v>
      </x:c>
      <x:c r="O1949" s="14" t="n">
        <x:v>0</x:v>
      </x:c>
      <x:c r="P1949" s="14" t="str">
        <x:v>Hayır</x:v>
      </x:c>
      <x:c r="Q1949" s="14" t="str">
        <x:v>Evet</x:v>
      </x:c>
      <x:c r="R1949" s="14" t="str">
        <x:v>Planlandı</x:v>
      </x:c>
      <x:c r="S1949" s="15" t="str"/>
      <x:c r="T1949" s="14" t="str">
        <x:v>Fen için Hız → gerekiyorsa Mozaik; MEB doğrulaması konu bitiminde.</x:v>
      </x:c>
    </x:row>
    <x:row r="1950">
      <x:c r="A1950" s="14" t="n">
        <x:v>1949</x:v>
      </x:c>
      <x:c r="B1950" s="15" t="n">
        <x:v>46452</x:v>
      </x:c>
      <x:c r="C1950" s="14" t="str">
        <x:v>Cumartesi</x:v>
      </x:c>
      <x:c r="D1950" s="14" t="str">
        <x:v>Hafta Sonu</x:v>
      </x:c>
      <x:c r="E1950" s="14" t="str">
        <x:v>Tam gün</x:v>
      </x:c>
      <x:c r="F1950" s="14" t="str">
        <x:v>F3 - Kaynak/MEB Tamamlama</x:v>
      </x:c>
      <x:c r="G1950" s="14" t="str">
        <x:v>18:25</x:v>
      </x:c>
      <x:c r="H1950" s="14" t="str">
        <x:v>18:45</x:v>
      </x:c>
      <x:c r="I1950" s="14" t="str">
        <x:v>Genel</x:v>
      </x:c>
      <x:c r="J1950" s="14" t="str">
        <x:v>Yanlış / Boş Analizi</x:v>
      </x:c>
      <x:c r="K1950" s="14" t="str">
        <x:v>Günlük</x:v>
      </x:c>
      <x:c r="L1950" s="14" t="str">
        <x:v>Bugünkü yanlış/boşları kaydet; çözümünü öğrenmeden kapatma. Hata türünü sınıflandır.</x:v>
      </x:c>
      <x:c r="M1950" s="14" t="str">
        <x:v>Yanlış Defteri</x:v>
      </x:c>
      <x:c r="N1950" s="14" t="str"/>
      <x:c r="O1950" s="14" t="n">
        <x:v>0</x:v>
      </x:c>
      <x:c r="P1950" s="14" t="str">
        <x:v>Hayır</x:v>
      </x:c>
      <x:c r="Q1950" s="14" t="str">
        <x:v>Evet</x:v>
      </x:c>
      <x:c r="R1950" s="14" t="str">
        <x:v>Planlandı</x:v>
      </x:c>
      <x:c r="S1950" s="15" t="str"/>
      <x:c r="T1950" s="14" t="str"/>
    </x:row>
    <x:row r="1951">
      <x:c r="A1951" s="14" t="n">
        <x:v>1950</x:v>
      </x:c>
      <x:c r="B1951" s="15" t="n">
        <x:v>46452</x:v>
      </x:c>
      <x:c r="C1951" s="14" t="str">
        <x:v>Cumartesi</x:v>
      </x:c>
      <x:c r="D1951" s="14" t="str">
        <x:v>Hafta Sonu</x:v>
      </x:c>
      <x:c r="E1951" s="14" t="str">
        <x:v>Tam gün</x:v>
      </x:c>
      <x:c r="F1951" s="14" t="str">
        <x:v>F3 - Kaynak/MEB Tamamlama</x:v>
      </x:c>
      <x:c r="G1951" s="14" t="str">
        <x:v>18:45</x:v>
      </x:c>
      <x:c r="H1951" s="14" t="str">
        <x:v>19:05</x:v>
      </x:c>
      <x:c r="I1951" s="14" t="str">
        <x:v>Genel</x:v>
      </x:c>
      <x:c r="J1951" s="14" t="str">
        <x:v>Aralıklı Hata Tekrarı</x:v>
      </x:c>
      <x:c r="K1951" s="14" t="str">
        <x:v>+1 / +7 / +21</x:v>
      </x:c>
      <x:c r="L1951" s="14" t="str">
        <x:v>Bugün vadesi gelen yanlış soruları tekrar çöz. Vadesi yoksa bu süre serbest/okuma olabilir.</x:v>
      </x:c>
      <x:c r="M1951" s="14" t="str">
        <x:v>Yanlış Defteri</x:v>
      </x:c>
      <x:c r="N1951" s="14" t="str"/>
      <x:c r="O1951" s="14" t="n">
        <x:v>0</x:v>
      </x:c>
      <x:c r="P1951" s="14" t="str">
        <x:v>Hayır</x:v>
      </x:c>
      <x:c r="Q1951" s="14" t="str">
        <x:v>Koşullu</x:v>
      </x:c>
      <x:c r="R1951" s="14" t="str">
        <x:v>Planlandı</x:v>
      </x:c>
      <x:c r="S1951" s="15" t="str"/>
      <x:c r="T1951" s="14" t="str">
        <x:v>Yanlışlar +1, +7 ve +21 gün aralıklarıyla tekrar edilir; hâlâ yanlışsa konu mastery durumu düşürülür.</x:v>
      </x:c>
    </x:row>
    <x:row r="1952">
      <x:c r="A1952" s="14" t="n">
        <x:v>1951</x:v>
      </x:c>
      <x:c r="B1952" s="15" t="n">
        <x:v>46452</x:v>
      </x:c>
      <x:c r="C1952" s="14" t="str">
        <x:v>Cumartesi</x:v>
      </x:c>
      <x:c r="D1952" s="14" t="str">
        <x:v>Hafta Sonu</x:v>
      </x:c>
      <x:c r="E1952" s="14" t="str">
        <x:v>Tam gün</x:v>
      </x:c>
      <x:c r="F1952" s="14" t="str">
        <x:v>F3 - Kaynak/MEB Tamamlama</x:v>
      </x:c>
      <x:c r="G1952" s="14" t="str">
        <x:v>20:00</x:v>
      </x:c>
      <x:c r="H1952" s="14" t="str">
        <x:v>20:30</x:v>
      </x:c>
      <x:c r="I1952" s="14" t="str">
        <x:v>Okuma</x:v>
      </x:c>
      <x:c r="J1952" s="14" t="str">
        <x:v>İsteğe Bağlı</x:v>
      </x:c>
      <x:c r="K1952" s="14" t="str">
        <x:v>Serbest Kitap</x:v>
      </x:c>
      <x:c r="L1952" s="14" t="str">
        <x:v>Zorunlu çalışmalar bittiyse isteğe bağlı kitap oku.</x:v>
      </x:c>
      <x:c r="M1952" s="14" t="str">
        <x:v>Serbest Kitap</x:v>
      </x:c>
      <x:c r="N1952" s="14" t="str"/>
      <x:c r="O1952" s="14" t="n">
        <x:v>0</x:v>
      </x:c>
      <x:c r="P1952" s="14" t="str">
        <x:v>İsteğe Bağlı</x:v>
      </x:c>
      <x:c r="Q1952" s="14" t="str">
        <x:v>Hayır</x:v>
      </x:c>
      <x:c r="R1952" s="14" t="str">
        <x:v>Planlandı</x:v>
      </x:c>
      <x:c r="S1952" s="15" t="str"/>
      <x:c r="T1952" s="14" t="str">
        <x:v>Minimum süre yok.</x:v>
      </x:c>
    </x:row>
    <x:row r="1953">
      <x:c r="A1953" s="14" t="n">
        <x:v>1952</x:v>
      </x:c>
      <x:c r="B1953" s="15" t="n">
        <x:v>46452</x:v>
      </x:c>
      <x:c r="C1953" s="14" t="str">
        <x:v>Cumartesi</x:v>
      </x:c>
      <x:c r="D1953" s="14" t="str">
        <x:v>Hafta Sonu</x:v>
      </x:c>
      <x:c r="E1953" s="14" t="str">
        <x:v>Tam gün</x:v>
      </x:c>
      <x:c r="F1953" s="14" t="str">
        <x:v>F3 - Kaynak/MEB Tamamlama</x:v>
      </x:c>
      <x:c r="G1953" s="14" t="str">
        <x:v>21:50</x:v>
      </x:c>
      <x:c r="H1953" s="14" t="str">
        <x:v>22:00</x:v>
      </x:c>
      <x:c r="I1953" s="14" t="str">
        <x:v>Genel</x:v>
      </x:c>
      <x:c r="J1953" s="14" t="str">
        <x:v>Uyku Hazırlığı</x:v>
      </x:c>
      <x:c r="K1953" s="14" t="str"/>
      <x:c r="L1953" s="14" t="str">
        <x:v>22:00'de yatakta ve uyku.</x:v>
      </x:c>
      <x:c r="M1953" s="14" t="str"/>
      <x:c r="N1953" s="14" t="str"/>
      <x:c r="O1953" s="14" t="n">
        <x:v>0</x:v>
      </x:c>
      <x:c r="P1953" s="14" t="str">
        <x:v>Hayır</x:v>
      </x:c>
      <x:c r="Q1953" s="14" t="str">
        <x:v>Hayır</x:v>
      </x:c>
      <x:c r="R1953" s="14" t="str">
        <x:v>Planlandı</x:v>
      </x:c>
      <x:c r="S1953" s="15" t="str"/>
      <x:c r="T1953" s="14" t="str"/>
    </x:row>
    <x:row r="1954">
      <x:c r="A1954" s="14" t="n">
        <x:v>1953</x:v>
      </x:c>
      <x:c r="B1954" s="15" t="n">
        <x:v>46453</x:v>
      </x:c>
      <x:c r="C1954" s="14" t="str">
        <x:v>Pazar</x:v>
      </x:c>
      <x:c r="D1954" s="14" t="str">
        <x:v>Hafta Sonu</x:v>
      </x:c>
      <x:c r="E1954" s="14" t="str">
        <x:v>Tam gün</x:v>
      </x:c>
      <x:c r="F1954" s="14" t="str">
        <x:v>F3 - Kaynak/MEB Tamamlama</x:v>
      </x:c>
      <x:c r="G1954" s="14" t="str">
        <x:v>09:30</x:v>
      </x:c>
      <x:c r="H1954" s="14" t="str">
        <x:v>10:15</x:v>
      </x:c>
      <x:c r="I1954" s="14" t="str">
        <x:v>Matematik</x:v>
      </x:c>
      <x:c r="J1954" s="14" t="str">
        <x:v>Konu / Tekrar</x:v>
      </x:c>
      <x:c r="K1954" s="14" t="str">
        <x:v>Kaynak Tamamlama / Zayıf Konu</x:v>
      </x:c>
      <x:c r="L1954" s="14" t="str">
        <x:v>Yeni konu açma. En zayıf/açık konunun ilgili playlist videosunu yalnız gerekiyorsa tekrar izle.</x:v>
      </x:c>
      <x:c r="M1954" s="14" t="str">
        <x:v>Matematik Ana Oynatma Listesi</x:v>
      </x:c>
      <x:c r="N1954" s="14" t="str">
        <x:v>https://www.youtube.com/watch?v=EuJ89QzqrAg&amp;list=PLicNtF7vp6fnfDqrRLH6H7fIbzYT4ct4F&amp;index=11</x:v>
      </x:c>
      <x:c r="O1954" s="14" t="n">
        <x:v>0</x:v>
      </x:c>
      <x:c r="P1954" s="14" t="str">
        <x:v>Hayır</x:v>
      </x:c>
      <x:c r="Q1954" s="14" t="str">
        <x:v>Evet</x:v>
      </x:c>
      <x:c r="R1954" s="14" t="str">
        <x:v>Planlandı</x:v>
      </x:c>
      <x:c r="S1954" s="15" t="str"/>
      <x:c r="T1954" s="14" t="str">
        <x:v>Yeni konu ancak plan sırasıyla açılır; LGS dışı ileri TYT içeriği zorunlu değildir.</x:v>
      </x:c>
    </x:row>
    <x:row r="1955">
      <x:c r="A1955" s="14" t="n">
        <x:v>1954</x:v>
      </x:c>
      <x:c r="B1955" s="15" t="n">
        <x:v>46453</x:v>
      </x:c>
      <x:c r="C1955" s="14" t="str">
        <x:v>Pazar</x:v>
      </x:c>
      <x:c r="D1955" s="14" t="str">
        <x:v>Hafta Sonu</x:v>
      </x:c>
      <x:c r="E1955" s="14" t="str">
        <x:v>Tam gün</x:v>
      </x:c>
      <x:c r="F1955" s="14" t="str">
        <x:v>F3 - Kaynak/MEB Tamamlama</x:v>
      </x:c>
      <x:c r="G1955" s="14" t="str">
        <x:v>10:25</x:v>
      </x:c>
      <x:c r="H1955" s="14" t="str">
        <x:v>11:15</x:v>
      </x:c>
      <x:c r="I1955" s="14" t="str">
        <x:v>Matematik</x:v>
      </x:c>
      <x:c r="J1955" s="14" t="str">
        <x:v>Kitap / MEB / Mastery</x:v>
      </x:c>
      <x:c r="K1955" s="14" t="str">
        <x:v>Kaynak Tamamlama / Zayıf Konu</x:v>
      </x:c>
      <x:c r="L1955" s="14" t="str">
        <x:v>13 Nisan %100 tamamlama hedefine göre en geride kalan Matematik soru kaynağını/eksik MEB setini ilerlet; açık yanlışları kapat.</x:v>
      </x:c>
      <x:c r="M1955" s="14" t="str">
        <x:v>MUBA 8. Sınıf Başlangıç Matematik (ISBN 9789756526972) → tamamlandıysa Mozaik 8. Sınıf Matematik; açık MEB/yanlışlar</x:v>
      </x:c>
      <x:c r="N1955" s="14" t="str">
        <x:v>https://odsgm.meb.gov.tr/www/8sinif-calisma-sorulari/icerik/1632</x:v>
      </x:c>
      <x:c r="O1955" s="14" t="n">
        <x:v>30</x:v>
      </x:c>
      <x:c r="P1955" s="14" t="str">
        <x:v>İlk 20 soru</x:v>
      </x:c>
      <x:c r="Q1955" s="14" t="str">
        <x:v>Evet</x:v>
      </x:c>
      <x:c r="R1955" s="14" t="str">
        <x:v>Planlandı</x:v>
      </x:c>
      <x:c r="S1955" s="15" t="str"/>
      <x:c r="T1955" s="14" t="str">
        <x:v>Ayrı/rastgele matematik benchmark yoktur. Süreli ilk 20 soru o gün çalışılan konunun içindedir.</x:v>
      </x:c>
    </x:row>
    <x:row r="1956">
      <x:c r="A1956" s="14" t="n">
        <x:v>1955</x:v>
      </x:c>
      <x:c r="B1956" s="15" t="n">
        <x:v>46453</x:v>
      </x:c>
      <x:c r="C1956" s="14" t="str">
        <x:v>Pazar</x:v>
      </x:c>
      <x:c r="D1956" s="14" t="str">
        <x:v>Hafta Sonu</x:v>
      </x:c>
      <x:c r="E1956" s="14" t="str">
        <x:v>Tam gün</x:v>
      </x:c>
      <x:c r="F1956" s="14" t="str">
        <x:v>F3 - Kaynak/MEB Tamamlama</x:v>
      </x:c>
      <x:c r="G1956" s="14" t="str">
        <x:v>12:00</x:v>
      </x:c>
      <x:c r="H1956" s="14" t="str">
        <x:v>14:00</x:v>
      </x:c>
      <x:c r="I1956" s="14" t="str">
        <x:v>Genel</x:v>
      </x:c>
      <x:c r="J1956" s="14" t="str">
        <x:v>Yemek / Serbest Zaman</x:v>
      </x:c>
      <x:c r="K1956" s="14" t="str"/>
      <x:c r="L1956" s="14" t="str">
        <x:v>Yemek, hareket ve dinlenme.</x:v>
      </x:c>
      <x:c r="M1956" s="14" t="str"/>
      <x:c r="N1956" s="14" t="str"/>
      <x:c r="O1956" s="14" t="n">
        <x:v>0</x:v>
      </x:c>
      <x:c r="P1956" s="14" t="str">
        <x:v>Hayır</x:v>
      </x:c>
      <x:c r="Q1956" s="14" t="str">
        <x:v>Hayır</x:v>
      </x:c>
      <x:c r="R1956" s="14" t="str">
        <x:v>Planlandı</x:v>
      </x:c>
      <x:c r="S1956" s="15" t="str"/>
      <x:c r="T1956" s="14" t="str"/>
    </x:row>
    <x:row r="1957">
      <x:c r="A1957" s="14" t="n">
        <x:v>1956</x:v>
      </x:c>
      <x:c r="B1957" s="15" t="n">
        <x:v>46453</x:v>
      </x:c>
      <x:c r="C1957" s="14" t="str">
        <x:v>Pazar</x:v>
      </x:c>
      <x:c r="D1957" s="14" t="str">
        <x:v>Hafta Sonu</x:v>
      </x:c>
      <x:c r="E1957" s="14" t="str">
        <x:v>Tam gün</x:v>
      </x:c>
      <x:c r="F1957" s="14" t="str">
        <x:v>F3 - Kaynak/MEB Tamamlama</x:v>
      </x:c>
      <x:c r="G1957" s="14" t="str">
        <x:v>11:25</x:v>
      </x:c>
      <x:c r="H1957" s="14" t="str">
        <x:v>11:55</x:v>
      </x:c>
      <x:c r="I1957" s="14" t="str">
        <x:v>Türkçe</x:v>
      </x:c>
      <x:c r="J1957" s="14" t="str">
        <x:v>Paragraf Rutini</x:v>
      </x:c>
      <x:c r="K1957" s="14" t="str">
        <x:v>Paragraf</x:v>
      </x:c>
      <x:c r="L1957" s="14" t="str">
        <x:v>En az 30 paragraf sorusu çöz; ilk 20 soruyu ileri sayımla ölç, D/Y/B + süre kaydet.</x:v>
      </x:c>
      <x:c r="M1957" s="14" t="str">
        <x:v>Hız 8. Sınıf Türkçe Paragraf (ISBN 9786258394498)</x:v>
      </x:c>
      <x:c r="N1957" s="14" t="str"/>
      <x:c r="O1957" s="14" t="n">
        <x:v>30</x:v>
      </x:c>
      <x:c r="P1957" s="14" t="str">
        <x:v>İlk 20 soru</x:v>
      </x:c>
      <x:c r="Q1957" s="14" t="str">
        <x:v>Evet</x:v>
      </x:c>
      <x:c r="R1957" s="14" t="str">
        <x:v>Planlandı</x:v>
      </x:c>
      <x:c r="S1957" s="15" t="str"/>
      <x:c r="T1957" s="14" t="str">
        <x:v>Geri sayım ve hedef süre yok.</x:v>
      </x:c>
    </x:row>
    <x:row r="1958">
      <x:c r="A1958" s="14" t="n">
        <x:v>1957</x:v>
      </x:c>
      <x:c r="B1958" s="15" t="n">
        <x:v>46453</x:v>
      </x:c>
      <x:c r="C1958" s="14" t="str">
        <x:v>Pazar</x:v>
      </x:c>
      <x:c r="D1958" s="14" t="str">
        <x:v>Hafta Sonu</x:v>
      </x:c>
      <x:c r="E1958" s="14" t="str">
        <x:v>Tam gün</x:v>
      </x:c>
      <x:c r="F1958" s="14" t="str">
        <x:v>F3 - Kaynak/MEB Tamamlama</x:v>
      </x:c>
      <x:c r="G1958" s="14" t="str">
        <x:v>14:00</x:v>
      </x:c>
      <x:c r="H1958" s="14" t="str">
        <x:v>14:40</x:v>
      </x:c>
      <x:c r="I1958" s="14" t="str">
        <x:v>Türkçe</x:v>
      </x:c>
      <x:c r="J1958" s="14" t="str">
        <x:v>Konu / Tekrar</x:v>
      </x:c>
      <x:c r="K1958" s="14" t="str">
        <x:v>Kaynak Tamamlama / Zayıf Konu</x:v>
      </x:c>
      <x:c r="L1958" s="14" t="str">
        <x:v>Yeni konu açma. En zayıf/açık konunun ilgili playlist videosunu yalnız gerekiyorsa tekrar izle.</x:v>
      </x:c>
      <x:c r="M1958" s="14" t="str">
        <x:v>Türkçe Ana Oynatma Listesi</x:v>
      </x:c>
      <x:c r="N1958" s="14" t="str">
        <x:v>https://www.youtube.com/watch?v=VYsPntNKVdw&amp;list=PLIBjFaUoJJ91bz7QQEBlxNJNZka5YQRr6</x:v>
      </x:c>
      <x:c r="O1958" s="14" t="n">
        <x:v>0</x:v>
      </x:c>
      <x:c r="P1958" s="14" t="str">
        <x:v>Hayır</x:v>
      </x:c>
      <x:c r="Q1958" s="14" t="str">
        <x:v>Evet</x:v>
      </x:c>
      <x:c r="R1958" s="14" t="str">
        <x:v>Planlandı</x:v>
      </x:c>
      <x:c r="S1958" s="15" t="str"/>
      <x:c r="T1958" s="14" t="str">
        <x:v>TYT etiketli kaynak temelden başlamak için sabittir; LGS dışı gereksiz ayrıntı zorunlu değildir.</x:v>
      </x:c>
    </x:row>
    <x:row r="1959">
      <x:c r="A1959" s="14" t="n">
        <x:v>1958</x:v>
      </x:c>
      <x:c r="B1959" s="15" t="n">
        <x:v>46453</x:v>
      </x:c>
      <x:c r="C1959" s="14" t="str">
        <x:v>Pazar</x:v>
      </x:c>
      <x:c r="D1959" s="14" t="str">
        <x:v>Hafta Sonu</x:v>
      </x:c>
      <x:c r="E1959" s="14" t="str">
        <x:v>Tam gün</x:v>
      </x:c>
      <x:c r="F1959" s="14" t="str">
        <x:v>F3 - Kaynak/MEB Tamamlama</x:v>
      </x:c>
      <x:c r="G1959" s="14" t="str">
        <x:v>14:50</x:v>
      </x:c>
      <x:c r="H1959" s="14" t="str">
        <x:v>15:30</x:v>
      </x:c>
      <x:c r="I1959" s="14" t="str">
        <x:v>Türkçe</x:v>
      </x:c>
      <x:c r="J1959" s="14" t="str">
        <x:v>Kitap / MEB / Mastery</x:v>
      </x:c>
      <x:c r="K1959" s="14" t="str">
        <x:v>Kaynak Tamamlama / Zayıf Konu</x:v>
      </x:c>
      <x:c r="L1959" s="14" t="str">
        <x:v>13 Nisan %100 tamamlama hedefine göre en geride kalan Türkçe soru kaynağını/eksik MEB setini ilerlet; açık yanlışları kapat.</x:v>
      </x:c>
      <x:c r="M1959" s="14" t="str">
        <x:v>Ankara 8. Sınıf Dil Bilgisi Güçlendiren + açık MEB/yanlışlar</x:v>
      </x:c>
      <x:c r="N1959" s="14" t="str">
        <x:v>https://odsgm.meb.gov.tr/www/8sinif-calisma-sorulari/icerik/1632</x:v>
      </x:c>
      <x:c r="O1959" s="14" t="n">
        <x:v>15</x:v>
      </x:c>
      <x:c r="P1959" s="14" t="str">
        <x:v>Hayır</x:v>
      </x:c>
      <x:c r="Q1959" s="14" t="str">
        <x:v>Evet</x:v>
      </x:c>
      <x:c r="R1959" s="14" t="str">
        <x:v>Planlandı</x:v>
      </x:c>
      <x:c r="S1959" s="15" t="str"/>
      <x:c r="T1959" s="14" t="str"/>
    </x:row>
    <x:row r="1960">
      <x:c r="A1960" s="14" t="n">
        <x:v>1959</x:v>
      </x:c>
      <x:c r="B1960" s="15" t="n">
        <x:v>46453</x:v>
      </x:c>
      <x:c r="C1960" s="14" t="str">
        <x:v>Pazar</x:v>
      </x:c>
      <x:c r="D1960" s="14" t="str">
        <x:v>Hafta Sonu</x:v>
      </x:c>
      <x:c r="E1960" s="14" t="str">
        <x:v>Tam gün</x:v>
      </x:c>
      <x:c r="F1960" s="14" t="str">
        <x:v>F3 - Kaynak/MEB Tamamlama</x:v>
      </x:c>
      <x:c r="G1960" s="14" t="str">
        <x:v>15:45</x:v>
      </x:c>
      <x:c r="H1960" s="14" t="str">
        <x:v>16:25</x:v>
      </x:c>
      <x:c r="I1960" s="14" t="str">
        <x:v>Din</x:v>
      </x:c>
      <x:c r="J1960" s="14" t="str">
        <x:v>Konu / Tekrar</x:v>
      </x:c>
      <x:c r="K1960" s="14" t="str">
        <x:v>Kaynak Tamamlama / Zayıf Konu</x:v>
      </x:c>
      <x:c r="L1960" s="14" t="str">
        <x:v>Yeni konu açma. En zayıf/açık konunun ilgili playlist videosunu yalnız gerekiyorsa tekrar izle.</x:v>
      </x:c>
      <x:c r="M1960" s="14" t="str">
        <x:v>Din Genel Oynatma Listesi</x:v>
      </x:c>
      <x:c r="N1960" s="14" t="str">
        <x:v>https://www.youtube.com/watch?v=wvdOE_75VnA&amp;list=PLbRoPq-Zu-SWXGUbVt4t4UWo-4VjsMUo-&amp;index=2</x:v>
      </x:c>
      <x:c r="O1960" s="14" t="n">
        <x:v>0</x:v>
      </x:c>
      <x:c r="P1960" s="14" t="str">
        <x:v>Hayır</x:v>
      </x:c>
      <x:c r="Q1960" s="14" t="str">
        <x:v>Evet</x:v>
      </x:c>
      <x:c r="R1960" s="14" t="str">
        <x:v>Planlandı</x:v>
      </x:c>
      <x:c r="S1960" s="15" t="str"/>
      <x:c r="T1960" s="14" t="str"/>
    </x:row>
    <x:row r="1961">
      <x:c r="A1961" s="14" t="n">
        <x:v>1960</x:v>
      </x:c>
      <x:c r="B1961" s="15" t="n">
        <x:v>46453</x:v>
      </x:c>
      <x:c r="C1961" s="14" t="str">
        <x:v>Pazar</x:v>
      </x:c>
      <x:c r="D1961" s="14" t="str">
        <x:v>Hafta Sonu</x:v>
      </x:c>
      <x:c r="E1961" s="14" t="str">
        <x:v>Tam gün</x:v>
      </x:c>
      <x:c r="F1961" s="14" t="str">
        <x:v>F3 - Kaynak/MEB Tamamlama</x:v>
      </x:c>
      <x:c r="G1961" s="14" t="str">
        <x:v>16:35</x:v>
      </x:c>
      <x:c r="H1961" s="14" t="str">
        <x:v>17:15</x:v>
      </x:c>
      <x:c r="I1961" s="14" t="str">
        <x:v>Din</x:v>
      </x:c>
      <x:c r="J1961" s="14" t="str">
        <x:v>Kitap / MEB / Mastery</x:v>
      </x:c>
      <x:c r="K1961" s="14" t="str">
        <x:v>Kaynak Tamamlama / Zayıf Konu</x:v>
      </x:c>
      <x:c r="L1961" s="14" t="str">
        <x:v>13 Nisan %100 tamamlama hedefine göre en geride kalan Din soru kaynağını/eksik MEB setini ilerlet; açık yanlışları kapat.</x:v>
      </x:c>
      <x:c r="M1961" s="14" t="str">
        <x:v>Hız 8. Sınıf Din Kültürü ve Ahlak Bilgisi + açık MEB/yanlışlar</x:v>
      </x:c>
      <x:c r="N1961" s="14" t="str">
        <x:v>https://odsgm.meb.gov.tr/www/8sinif-calisma-sorulari/icerik/1632</x:v>
      </x:c>
      <x:c r="O1961" s="14" t="n">
        <x:v>20</x:v>
      </x:c>
      <x:c r="P1961" s="14" t="str">
        <x:v>Hayır</x:v>
      </x:c>
      <x:c r="Q1961" s="14" t="str">
        <x:v>Evet</x:v>
      </x:c>
      <x:c r="R1961" s="14" t="str">
        <x:v>Planlandı</x:v>
      </x:c>
      <x:c r="S1961" s="15" t="str"/>
      <x:c r="T1961" s="14" t="str"/>
    </x:row>
    <x:row r="1962">
      <x:c r="A1962" s="14" t="n">
        <x:v>1961</x:v>
      </x:c>
      <x:c r="B1962" s="15" t="n">
        <x:v>46453</x:v>
      </x:c>
      <x:c r="C1962" s="14" t="str">
        <x:v>Pazar</x:v>
      </x:c>
      <x:c r="D1962" s="14" t="str">
        <x:v>Hafta Sonu</x:v>
      </x:c>
      <x:c r="E1962" s="14" t="str">
        <x:v>Tam gün</x:v>
      </x:c>
      <x:c r="F1962" s="14" t="str">
        <x:v>F3 - Kaynak/MEB Tamamlama</x:v>
      </x:c>
      <x:c r="G1962" s="14" t="str">
        <x:v>17:25</x:v>
      </x:c>
      <x:c r="H1962" s="14" t="str">
        <x:v>18:25</x:v>
      </x:c>
      <x:c r="I1962" s="14" t="str">
        <x:v>Genel</x:v>
      </x:c>
      <x:c r="J1962" s="14" t="str">
        <x:v>Kaynak Tamamlama</x:v>
      </x:c>
      <x:c r="K1962" s="14" t="str">
        <x:v>En Geride Kalan Kaynak</x:v>
      </x:c>
      <x:c r="L1962" s="14" t="str">
        <x:v>Kaynak_Ilerleme sayfasında hedef yüzdesinin en gerisinde kalan ZORUNLU soru kaynağına 60 dk ayır. Öğrenilmemiş konudan ileri gitme.</x:v>
      </x:c>
      <x:c r="M1962" s="14" t="str">
        <x:v>Kaynak İlerleme</x:v>
      </x:c>
      <x:c r="N1962" s="14" t="str"/>
      <x:c r="O1962" s="14" t="n">
        <x:v>0</x:v>
      </x:c>
      <x:c r="P1962" s="14" t="str">
        <x:v>Hayır</x:v>
      </x:c>
      <x:c r="Q1962" s="14" t="str">
        <x:v>Evet</x:v>
      </x:c>
      <x:c r="R1962" s="14" t="str">
        <x:v>Planlandı</x:v>
      </x:c>
      <x:c r="S1962" s="15" t="str"/>
      <x:c r="T1962" s="14" t="str">
        <x:v>Amaç 13.04.2027'de zorunlu soru kitapları + ilgili MEB setlerini %100 tamamlamak.</x:v>
      </x:c>
    </x:row>
    <x:row r="1963">
      <x:c r="A1963" s="14" t="n">
        <x:v>1962</x:v>
      </x:c>
      <x:c r="B1963" s="15" t="n">
        <x:v>46453</x:v>
      </x:c>
      <x:c r="C1963" s="14" t="str">
        <x:v>Pazar</x:v>
      </x:c>
      <x:c r="D1963" s="14" t="str">
        <x:v>Hafta Sonu</x:v>
      </x:c>
      <x:c r="E1963" s="14" t="str">
        <x:v>Tam gün</x:v>
      </x:c>
      <x:c r="F1963" s="14" t="str">
        <x:v>F3 - Kaynak/MEB Tamamlama</x:v>
      </x:c>
      <x:c r="G1963" s="14" t="str">
        <x:v>18:25</x:v>
      </x:c>
      <x:c r="H1963" s="14" t="str">
        <x:v>18:45</x:v>
      </x:c>
      <x:c r="I1963" s="14" t="str">
        <x:v>Genel</x:v>
      </x:c>
      <x:c r="J1963" s="14" t="str">
        <x:v>Yanlış / Boş Analizi</x:v>
      </x:c>
      <x:c r="K1963" s="14" t="str">
        <x:v>Günlük</x:v>
      </x:c>
      <x:c r="L1963" s="14" t="str">
        <x:v>Bugünkü yanlış/boşları kaydet; çözümünü öğrenmeden kapatma. Hata türünü sınıflandır.</x:v>
      </x:c>
      <x:c r="M1963" s="14" t="str">
        <x:v>Yanlış Defteri</x:v>
      </x:c>
      <x:c r="N1963" s="14" t="str"/>
      <x:c r="O1963" s="14" t="n">
        <x:v>0</x:v>
      </x:c>
      <x:c r="P1963" s="14" t="str">
        <x:v>Hayır</x:v>
      </x:c>
      <x:c r="Q1963" s="14" t="str">
        <x:v>Evet</x:v>
      </x:c>
      <x:c r="R1963" s="14" t="str">
        <x:v>Planlandı</x:v>
      </x:c>
      <x:c r="S1963" s="15" t="str"/>
      <x:c r="T1963" s="14" t="str"/>
    </x:row>
    <x:row r="1964">
      <x:c r="A1964" s="14" t="n">
        <x:v>1963</x:v>
      </x:c>
      <x:c r="B1964" s="15" t="n">
        <x:v>46453</x:v>
      </x:c>
      <x:c r="C1964" s="14" t="str">
        <x:v>Pazar</x:v>
      </x:c>
      <x:c r="D1964" s="14" t="str">
        <x:v>Hafta Sonu</x:v>
      </x:c>
      <x:c r="E1964" s="14" t="str">
        <x:v>Tam gün</x:v>
      </x:c>
      <x:c r="F1964" s="14" t="str">
        <x:v>F3 - Kaynak/MEB Tamamlama</x:v>
      </x:c>
      <x:c r="G1964" s="14" t="str">
        <x:v>18:45</x:v>
      </x:c>
      <x:c r="H1964" s="14" t="str">
        <x:v>19:05</x:v>
      </x:c>
      <x:c r="I1964" s="14" t="str">
        <x:v>Genel</x:v>
      </x:c>
      <x:c r="J1964" s="14" t="str">
        <x:v>Aralıklı Hata Tekrarı</x:v>
      </x:c>
      <x:c r="K1964" s="14" t="str">
        <x:v>+1 / +7 / +21</x:v>
      </x:c>
      <x:c r="L1964" s="14" t="str">
        <x:v>Bugün vadesi gelen yanlış soruları tekrar çöz. Vadesi yoksa bu süre serbest/okuma olabilir.</x:v>
      </x:c>
      <x:c r="M1964" s="14" t="str">
        <x:v>Yanlış Defteri</x:v>
      </x:c>
      <x:c r="N1964" s="14" t="str"/>
      <x:c r="O1964" s="14" t="n">
        <x:v>0</x:v>
      </x:c>
      <x:c r="P1964" s="14" t="str">
        <x:v>Hayır</x:v>
      </x:c>
      <x:c r="Q1964" s="14" t="str">
        <x:v>Koşullu</x:v>
      </x:c>
      <x:c r="R1964" s="14" t="str">
        <x:v>Planlandı</x:v>
      </x:c>
      <x:c r="S1964" s="15" t="str"/>
      <x:c r="T1964" s="14" t="str">
        <x:v>Yanlışlar +1, +7 ve +21 gün aralıklarıyla tekrar edilir; hâlâ yanlışsa konu mastery durumu düşürülür.</x:v>
      </x:c>
    </x:row>
    <x:row r="1965">
      <x:c r="A1965" s="14" t="n">
        <x:v>1964</x:v>
      </x:c>
      <x:c r="B1965" s="15" t="n">
        <x:v>46453</x:v>
      </x:c>
      <x:c r="C1965" s="14" t="str">
        <x:v>Pazar</x:v>
      </x:c>
      <x:c r="D1965" s="14" t="str">
        <x:v>Hafta Sonu</x:v>
      </x:c>
      <x:c r="E1965" s="14" t="str">
        <x:v>Tam gün</x:v>
      </x:c>
      <x:c r="F1965" s="14" t="str">
        <x:v>F3 - Kaynak/MEB Tamamlama</x:v>
      </x:c>
      <x:c r="G1965" s="14" t="str">
        <x:v>20:00</x:v>
      </x:c>
      <x:c r="H1965" s="14" t="str">
        <x:v>20:30</x:v>
      </x:c>
      <x:c r="I1965" s="14" t="str">
        <x:v>Okuma</x:v>
      </x:c>
      <x:c r="J1965" s="14" t="str">
        <x:v>İsteğe Bağlı</x:v>
      </x:c>
      <x:c r="K1965" s="14" t="str">
        <x:v>Serbest Kitap</x:v>
      </x:c>
      <x:c r="L1965" s="14" t="str">
        <x:v>Zorunlu çalışmalar bittiyse isteğe bağlı kitap oku.</x:v>
      </x:c>
      <x:c r="M1965" s="14" t="str">
        <x:v>Serbest Kitap</x:v>
      </x:c>
      <x:c r="N1965" s="14" t="str"/>
      <x:c r="O1965" s="14" t="n">
        <x:v>0</x:v>
      </x:c>
      <x:c r="P1965" s="14" t="str">
        <x:v>İsteğe Bağlı</x:v>
      </x:c>
      <x:c r="Q1965" s="14" t="str">
        <x:v>Hayır</x:v>
      </x:c>
      <x:c r="R1965" s="14" t="str">
        <x:v>Planlandı</x:v>
      </x:c>
      <x:c r="S1965" s="15" t="str"/>
      <x:c r="T1965" s="14" t="str">
        <x:v>Minimum süre yok.</x:v>
      </x:c>
    </x:row>
    <x:row r="1966">
      <x:c r="A1966" s="14" t="n">
        <x:v>1965</x:v>
      </x:c>
      <x:c r="B1966" s="15" t="n">
        <x:v>46453</x:v>
      </x:c>
      <x:c r="C1966" s="14" t="str">
        <x:v>Pazar</x:v>
      </x:c>
      <x:c r="D1966" s="14" t="str">
        <x:v>Hafta Sonu</x:v>
      </x:c>
      <x:c r="E1966" s="14" t="str">
        <x:v>Tam gün</x:v>
      </x:c>
      <x:c r="F1966" s="14" t="str">
        <x:v>F3 - Kaynak/MEB Tamamlama</x:v>
      </x:c>
      <x:c r="G1966" s="14" t="str">
        <x:v>21:50</x:v>
      </x:c>
      <x:c r="H1966" s="14" t="str">
        <x:v>22:00</x:v>
      </x:c>
      <x:c r="I1966" s="14" t="str">
        <x:v>Genel</x:v>
      </x:c>
      <x:c r="J1966" s="14" t="str">
        <x:v>Uyku Hazırlığı</x:v>
      </x:c>
      <x:c r="K1966" s="14" t="str"/>
      <x:c r="L1966" s="14" t="str">
        <x:v>22:00'de yatakta ve uyku.</x:v>
      </x:c>
      <x:c r="M1966" s="14" t="str"/>
      <x:c r="N1966" s="14" t="str"/>
      <x:c r="O1966" s="14" t="n">
        <x:v>0</x:v>
      </x:c>
      <x:c r="P1966" s="14" t="str">
        <x:v>Hayır</x:v>
      </x:c>
      <x:c r="Q1966" s="14" t="str">
        <x:v>Hayır</x:v>
      </x:c>
      <x:c r="R1966" s="14" t="str">
        <x:v>Planlandı</x:v>
      </x:c>
      <x:c r="S1966" s="15" t="str"/>
      <x:c r="T1966" s="14" t="str"/>
    </x:row>
    <x:row r="1967">
      <x:c r="A1967" s="14" t="n">
        <x:v>1966</x:v>
      </x:c>
      <x:c r="B1967" s="15" t="n">
        <x:v>46454</x:v>
      </x:c>
      <x:c r="C1967" s="14" t="str">
        <x:v>Pazartesi</x:v>
      </x:c>
      <x:c r="D1967" s="14" t="str">
        <x:v>Okul Tatili</x:v>
      </x:c>
      <x:c r="E1967" s="14" t="str">
        <x:v>MEB 2. Dönem Ara Tatili</x:v>
      </x:c>
      <x:c r="F1967" s="14" t="str">
        <x:v>F3 - Kaynak/MEB Tamamlama</x:v>
      </x:c>
      <x:c r="G1967" s="14" t="str">
        <x:v>09:30</x:v>
      </x:c>
      <x:c r="H1967" s="14" t="str">
        <x:v>10:15</x:v>
      </x:c>
      <x:c r="I1967" s="14" t="str">
        <x:v>Matematik</x:v>
      </x:c>
      <x:c r="J1967" s="14" t="str">
        <x:v>Konu / Tekrar</x:v>
      </x:c>
      <x:c r="K1967" s="14" t="str">
        <x:v>Kaynak Tamamlama / Zayıf Konu</x:v>
      </x:c>
      <x:c r="L1967" s="14" t="str">
        <x:v>Yeni konu açma. En zayıf/açık konunun ilgili playlist videosunu yalnız gerekiyorsa tekrar izle.</x:v>
      </x:c>
      <x:c r="M1967" s="14" t="str">
        <x:v>Matematik Ana Oynatma Listesi</x:v>
      </x:c>
      <x:c r="N1967" s="14" t="str">
        <x:v>https://www.youtube.com/watch?v=EuJ89QzqrAg&amp;list=PLicNtF7vp6fnfDqrRLH6H7fIbzYT4ct4F&amp;index=11</x:v>
      </x:c>
      <x:c r="O1967" s="14" t="n">
        <x:v>0</x:v>
      </x:c>
      <x:c r="P1967" s="14" t="str">
        <x:v>Hayır</x:v>
      </x:c>
      <x:c r="Q1967" s="14" t="str">
        <x:v>Evet</x:v>
      </x:c>
      <x:c r="R1967" s="14" t="str">
        <x:v>Planlandı</x:v>
      </x:c>
      <x:c r="S1967" s="15" t="str"/>
      <x:c r="T1967" s="14" t="str">
        <x:v>Yeni konu ancak plan sırasıyla açılır; LGS dışı ileri TYT içeriği zorunlu değildir.</x:v>
      </x:c>
    </x:row>
    <x:row r="1968">
      <x:c r="A1968" s="14" t="n">
        <x:v>1967</x:v>
      </x:c>
      <x:c r="B1968" s="15" t="n">
        <x:v>46454</x:v>
      </x:c>
      <x:c r="C1968" s="14" t="str">
        <x:v>Pazartesi</x:v>
      </x:c>
      <x:c r="D1968" s="14" t="str">
        <x:v>Okul Tatili</x:v>
      </x:c>
      <x:c r="E1968" s="14" t="str">
        <x:v>MEB 2. Dönem Ara Tatili</x:v>
      </x:c>
      <x:c r="F1968" s="14" t="str">
        <x:v>F3 - Kaynak/MEB Tamamlama</x:v>
      </x:c>
      <x:c r="G1968" s="14" t="str">
        <x:v>10:25</x:v>
      </x:c>
      <x:c r="H1968" s="14" t="str">
        <x:v>11:15</x:v>
      </x:c>
      <x:c r="I1968" s="14" t="str">
        <x:v>Matematik</x:v>
      </x:c>
      <x:c r="J1968" s="14" t="str">
        <x:v>Kitap / MEB / Mastery</x:v>
      </x:c>
      <x:c r="K1968" s="14" t="str">
        <x:v>Kaynak Tamamlama / Zayıf Konu</x:v>
      </x:c>
      <x:c r="L1968" s="14" t="str">
        <x:v>13 Nisan %100 tamamlama hedefine göre en geride kalan Matematik soru kaynağını/eksik MEB setini ilerlet; açık yanlışları kapat.</x:v>
      </x:c>
      <x:c r="M1968" s="14" t="str">
        <x:v>MUBA 8. Sınıf Başlangıç Matematik (ISBN 9789756526972) → tamamlandıysa Mozaik 8. Sınıf Matematik; açık MEB/yanlışlar</x:v>
      </x:c>
      <x:c r="N1968" s="14" t="str">
        <x:v>https://odsgm.meb.gov.tr/www/8sinif-calisma-sorulari/icerik/1632</x:v>
      </x:c>
      <x:c r="O1968" s="14" t="n">
        <x:v>30</x:v>
      </x:c>
      <x:c r="P1968" s="14" t="str">
        <x:v>İlk 20 soru</x:v>
      </x:c>
      <x:c r="Q1968" s="14" t="str">
        <x:v>Evet</x:v>
      </x:c>
      <x:c r="R1968" s="14" t="str">
        <x:v>Planlandı</x:v>
      </x:c>
      <x:c r="S1968" s="15" t="str"/>
      <x:c r="T1968" s="14" t="str">
        <x:v>Ayrı/rastgele matematik benchmark yoktur. Süreli ilk 20 soru o gün çalışılan konunun içindedir.</x:v>
      </x:c>
    </x:row>
    <x:row r="1969">
      <x:c r="A1969" s="14" t="n">
        <x:v>1968</x:v>
      </x:c>
      <x:c r="B1969" s="15" t="n">
        <x:v>46454</x:v>
      </x:c>
      <x:c r="C1969" s="14" t="str">
        <x:v>Pazartesi</x:v>
      </x:c>
      <x:c r="D1969" s="14" t="str">
        <x:v>Okul Tatili</x:v>
      </x:c>
      <x:c r="E1969" s="14" t="str">
        <x:v>MEB 2. Dönem Ara Tatili</x:v>
      </x:c>
      <x:c r="F1969" s="14" t="str">
        <x:v>F3 - Kaynak/MEB Tamamlama</x:v>
      </x:c>
      <x:c r="G1969" s="14" t="str">
        <x:v>12:00</x:v>
      </x:c>
      <x:c r="H1969" s="14" t="str">
        <x:v>14:00</x:v>
      </x:c>
      <x:c r="I1969" s="14" t="str">
        <x:v>Genel</x:v>
      </x:c>
      <x:c r="J1969" s="14" t="str">
        <x:v>Yemek / Serbest Zaman</x:v>
      </x:c>
      <x:c r="K1969" s="14" t="str"/>
      <x:c r="L1969" s="14" t="str">
        <x:v>Yemek, hareket ve dinlenme.</x:v>
      </x:c>
      <x:c r="M1969" s="14" t="str"/>
      <x:c r="N1969" s="14" t="str"/>
      <x:c r="O1969" s="14" t="n">
        <x:v>0</x:v>
      </x:c>
      <x:c r="P1969" s="14" t="str">
        <x:v>Hayır</x:v>
      </x:c>
      <x:c r="Q1969" s="14" t="str">
        <x:v>Hayır</x:v>
      </x:c>
      <x:c r="R1969" s="14" t="str">
        <x:v>Planlandı</x:v>
      </x:c>
      <x:c r="S1969" s="15" t="str"/>
      <x:c r="T1969" s="14" t="str"/>
    </x:row>
    <x:row r="1970">
      <x:c r="A1970" s="14" t="n">
        <x:v>1969</x:v>
      </x:c>
      <x:c r="B1970" s="15" t="n">
        <x:v>46454</x:v>
      </x:c>
      <x:c r="C1970" s="14" t="str">
        <x:v>Pazartesi</x:v>
      </x:c>
      <x:c r="D1970" s="14" t="str">
        <x:v>Okul Tatili</x:v>
      </x:c>
      <x:c r="E1970" s="14" t="str">
        <x:v>MEB 2. Dönem Ara Tatili</x:v>
      </x:c>
      <x:c r="F1970" s="14" t="str">
        <x:v>F3 - Kaynak/MEB Tamamlama</x:v>
      </x:c>
      <x:c r="G1970" s="14" t="str">
        <x:v>11:25</x:v>
      </x:c>
      <x:c r="H1970" s="14" t="str">
        <x:v>11:55</x:v>
      </x:c>
      <x:c r="I1970" s="14" t="str">
        <x:v>Türkçe</x:v>
      </x:c>
      <x:c r="J1970" s="14" t="str">
        <x:v>Paragraf Rutini</x:v>
      </x:c>
      <x:c r="K1970" s="14" t="str">
        <x:v>Paragraf</x:v>
      </x:c>
      <x:c r="L1970" s="14" t="str">
        <x:v>En az 30 paragraf sorusu çöz; ilk 20 soruyu ileri sayımla ölç, D/Y/B + süre kaydet.</x:v>
      </x:c>
      <x:c r="M1970" s="14" t="str">
        <x:v>Hız 8. Sınıf Türkçe Paragraf (ISBN 9786258394498)</x:v>
      </x:c>
      <x:c r="N1970" s="14" t="str"/>
      <x:c r="O1970" s="14" t="n">
        <x:v>30</x:v>
      </x:c>
      <x:c r="P1970" s="14" t="str">
        <x:v>İlk 20 soru</x:v>
      </x:c>
      <x:c r="Q1970" s="14" t="str">
        <x:v>Evet</x:v>
      </x:c>
      <x:c r="R1970" s="14" t="str">
        <x:v>Planlandı</x:v>
      </x:c>
      <x:c r="S1970" s="15" t="str"/>
      <x:c r="T1970" s="14" t="str">
        <x:v>Geri sayım ve hedef süre yok.</x:v>
      </x:c>
    </x:row>
    <x:row r="1971">
      <x:c r="A1971" s="14" t="n">
        <x:v>1970</x:v>
      </x:c>
      <x:c r="B1971" s="15" t="n">
        <x:v>46454</x:v>
      </x:c>
      <x:c r="C1971" s="14" t="str">
        <x:v>Pazartesi</x:v>
      </x:c>
      <x:c r="D1971" s="14" t="str">
        <x:v>Okul Tatili</x:v>
      </x:c>
      <x:c r="E1971" s="14" t="str">
        <x:v>MEB 2. Dönem Ara Tatili</x:v>
      </x:c>
      <x:c r="F1971" s="14" t="str">
        <x:v>F3 - Kaynak/MEB Tamamlama</x:v>
      </x:c>
      <x:c r="G1971" s="14" t="str">
        <x:v>14:00</x:v>
      </x:c>
      <x:c r="H1971" s="14" t="str">
        <x:v>14:40</x:v>
      </x:c>
      <x:c r="I1971" s="14" t="str">
        <x:v>Türkçe</x:v>
      </x:c>
      <x:c r="J1971" s="14" t="str">
        <x:v>Konu / Tekrar</x:v>
      </x:c>
      <x:c r="K1971" s="14" t="str">
        <x:v>Kaynak Tamamlama / Zayıf Konu</x:v>
      </x:c>
      <x:c r="L1971" s="14" t="str">
        <x:v>Yeni konu açma. En zayıf/açık konunun ilgili playlist videosunu yalnız gerekiyorsa tekrar izle.</x:v>
      </x:c>
      <x:c r="M1971" s="14" t="str">
        <x:v>Türkçe Ana Oynatma Listesi</x:v>
      </x:c>
      <x:c r="N1971" s="14" t="str">
        <x:v>https://www.youtube.com/watch?v=VYsPntNKVdw&amp;list=PLIBjFaUoJJ91bz7QQEBlxNJNZka5YQRr6</x:v>
      </x:c>
      <x:c r="O1971" s="14" t="n">
        <x:v>0</x:v>
      </x:c>
      <x:c r="P1971" s="14" t="str">
        <x:v>Hayır</x:v>
      </x:c>
      <x:c r="Q1971" s="14" t="str">
        <x:v>Evet</x:v>
      </x:c>
      <x:c r="R1971" s="14" t="str">
        <x:v>Planlandı</x:v>
      </x:c>
      <x:c r="S1971" s="15" t="str"/>
      <x:c r="T1971" s="14" t="str">
        <x:v>TYT etiketli kaynak temelden başlamak için sabittir; LGS dışı gereksiz ayrıntı zorunlu değildir.</x:v>
      </x:c>
    </x:row>
    <x:row r="1972">
      <x:c r="A1972" s="14" t="n">
        <x:v>1971</x:v>
      </x:c>
      <x:c r="B1972" s="15" t="n">
        <x:v>46454</x:v>
      </x:c>
      <x:c r="C1972" s="14" t="str">
        <x:v>Pazartesi</x:v>
      </x:c>
      <x:c r="D1972" s="14" t="str">
        <x:v>Okul Tatili</x:v>
      </x:c>
      <x:c r="E1972" s="14" t="str">
        <x:v>MEB 2. Dönem Ara Tatili</x:v>
      </x:c>
      <x:c r="F1972" s="14" t="str">
        <x:v>F3 - Kaynak/MEB Tamamlama</x:v>
      </x:c>
      <x:c r="G1972" s="14" t="str">
        <x:v>14:50</x:v>
      </x:c>
      <x:c r="H1972" s="14" t="str">
        <x:v>15:30</x:v>
      </x:c>
      <x:c r="I1972" s="14" t="str">
        <x:v>Türkçe</x:v>
      </x:c>
      <x:c r="J1972" s="14" t="str">
        <x:v>Kitap / MEB / Mastery</x:v>
      </x:c>
      <x:c r="K1972" s="14" t="str">
        <x:v>Kaynak Tamamlama / Zayıf Konu</x:v>
      </x:c>
      <x:c r="L1972" s="14" t="str">
        <x:v>13 Nisan %100 tamamlama hedefine göre en geride kalan Türkçe soru kaynağını/eksik MEB setini ilerlet; açık yanlışları kapat.</x:v>
      </x:c>
      <x:c r="M1972" s="14" t="str">
        <x:v>Ankara 8. Sınıf Dil Bilgisi Güçlendiren + açık MEB/yanlışlar</x:v>
      </x:c>
      <x:c r="N1972" s="14" t="str">
        <x:v>https://odsgm.meb.gov.tr/www/8sinif-calisma-sorulari/icerik/1632</x:v>
      </x:c>
      <x:c r="O1972" s="14" t="n">
        <x:v>15</x:v>
      </x:c>
      <x:c r="P1972" s="14" t="str">
        <x:v>Hayır</x:v>
      </x:c>
      <x:c r="Q1972" s="14" t="str">
        <x:v>Evet</x:v>
      </x:c>
      <x:c r="R1972" s="14" t="str">
        <x:v>Planlandı</x:v>
      </x:c>
      <x:c r="S1972" s="15" t="str"/>
      <x:c r="T1972" s="14" t="str"/>
    </x:row>
    <x:row r="1973">
      <x:c r="A1973" s="14" t="n">
        <x:v>1972</x:v>
      </x:c>
      <x:c r="B1973" s="15" t="n">
        <x:v>46454</x:v>
      </x:c>
      <x:c r="C1973" s="14" t="str">
        <x:v>Pazartesi</x:v>
      </x:c>
      <x:c r="D1973" s="14" t="str">
        <x:v>Okul Tatili</x:v>
      </x:c>
      <x:c r="E1973" s="14" t="str">
        <x:v>MEB 2. Dönem Ara Tatili</x:v>
      </x:c>
      <x:c r="F1973" s="14" t="str">
        <x:v>F3 - Kaynak/MEB Tamamlama</x:v>
      </x:c>
      <x:c r="G1973" s="14" t="str">
        <x:v>15:45</x:v>
      </x:c>
      <x:c r="H1973" s="14" t="str">
        <x:v>16:25</x:v>
      </x:c>
      <x:c r="I1973" s="14" t="str">
        <x:v>İnkılap</x:v>
      </x:c>
      <x:c r="J1973" s="14" t="str">
        <x:v>Konu / Tekrar</x:v>
      </x:c>
      <x:c r="K1973" s="14" t="str">
        <x:v>Atatürk’ün Ölümü ve Sonrası</x:v>
      </x:c>
      <x:c r="L1973" s="14" t="str">
        <x:v>Atatürk’ün Ölümü ve Sonrası — MEB doğrulaması öncesi 5-10 dk aktif hatırlama; gerekiyorsa ilgili playlist videosuna kısa dönüş yap.</x:v>
      </x:c>
      <x:c r="M1973" s="14" t="str">
        <x:v>İnkılap Genel Oynatma Listesi</x:v>
      </x:c>
      <x:c r="N1973" s="14" t="str">
        <x:v>https://www.youtube.com/watch?v=MltIX0oKpYU&amp;list=PLsAsBPsriHNbXit4Ra3iuBrk1ZHZWxsOR&amp;index=78</x:v>
      </x:c>
      <x:c r="O1973" s="14" t="n">
        <x:v>0</x:v>
      </x:c>
      <x:c r="P1973" s="14" t="str">
        <x:v>Hayır</x:v>
      </x:c>
      <x:c r="Q1973" s="14" t="str">
        <x:v>Evet</x:v>
      </x:c>
      <x:c r="R1973" s="14" t="str">
        <x:v>Planlandı</x:v>
      </x:c>
      <x:c r="S1973" s="15" t="str"/>
      <x:c r="T1973" s="14" t="str">
        <x:v>İnkılapta okul yazılısı videoları zorunlu değildir.</x:v>
      </x:c>
    </x:row>
    <x:row r="1974">
      <x:c r="A1974" s="14" t="n">
        <x:v>1973</x:v>
      </x:c>
      <x:c r="B1974" s="15" t="n">
        <x:v>46454</x:v>
      </x:c>
      <x:c r="C1974" s="14" t="str">
        <x:v>Pazartesi</x:v>
      </x:c>
      <x:c r="D1974" s="14" t="str">
        <x:v>Okul Tatili</x:v>
      </x:c>
      <x:c r="E1974" s="14" t="str">
        <x:v>MEB 2. Dönem Ara Tatili</x:v>
      </x:c>
      <x:c r="F1974" s="14" t="str">
        <x:v>F3 - Kaynak/MEB Tamamlama</x:v>
      </x:c>
      <x:c r="G1974" s="14" t="str">
        <x:v>16:35</x:v>
      </x:c>
      <x:c r="H1974" s="14" t="str">
        <x:v>17:15</x:v>
      </x:c>
      <x:c r="I1974" s="14" t="str">
        <x:v>İnkılap</x:v>
      </x:c>
      <x:c r="J1974" s="14" t="str">
        <x:v>Kitap / MEB / Mastery</x:v>
      </x:c>
      <x:c r="K1974" s="14" t="str">
        <x:v>Atatürk’ün Ölümü ve Sonrası</x:v>
      </x:c>
      <x:c r="L1974" s="14" t="str">
        <x:v>Atatürk’ün Ölümü ve Sonrası için ilgili MEB sorularını TAMAMLA; D/Y/B kaydet. Bu oturum konu mastery gate'idir.</x:v>
      </x:c>
      <x:c r="M1974" s="14" t="str">
        <x:v>MEB 8. Sınıf İnkılap Soruları</x:v>
      </x:c>
      <x:c r="N1974" s="14" t="str">
        <x:v>https://odsgm.meb.gov.tr/www/8sinif-calisma-sorulari/icerik/1632</x:v>
      </x:c>
      <x:c r="O1974" s="14" t="n">
        <x:v>0</x:v>
      </x:c>
      <x:c r="P1974" s="14" t="str">
        <x:v>Hayır</x:v>
      </x:c>
      <x:c r="Q1974" s="14" t="str">
        <x:v>Evet</x:v>
      </x:c>
      <x:c r="R1974" s="14" t="str">
        <x:v>Planlandı</x:v>
      </x:c>
      <x:c r="S1974" s="15" t="str"/>
      <x:c r="T1974" s="14" t="str">
        <x:v>MEB sonucu Konu_Ustaligi sayfasına işlenir.</x:v>
      </x:c>
    </x:row>
    <x:row r="1975">
      <x:c r="A1975" s="14" t="n">
        <x:v>1974</x:v>
      </x:c>
      <x:c r="B1975" s="15" t="n">
        <x:v>46454</x:v>
      </x:c>
      <x:c r="C1975" s="14" t="str">
        <x:v>Pazartesi</x:v>
      </x:c>
      <x:c r="D1975" s="14" t="str">
        <x:v>Okul Tatili</x:v>
      </x:c>
      <x:c r="E1975" s="14" t="str">
        <x:v>MEB 2. Dönem Ara Tatili</x:v>
      </x:c>
      <x:c r="F1975" s="14" t="str">
        <x:v>F3 - Kaynak/MEB Tamamlama</x:v>
      </x:c>
      <x:c r="G1975" s="14" t="str">
        <x:v>18:25</x:v>
      </x:c>
      <x:c r="H1975" s="14" t="str">
        <x:v>18:45</x:v>
      </x:c>
      <x:c r="I1975" s="14" t="str">
        <x:v>Genel</x:v>
      </x:c>
      <x:c r="J1975" s="14" t="str">
        <x:v>Yanlış / Boş Analizi</x:v>
      </x:c>
      <x:c r="K1975" s="14" t="str">
        <x:v>Günlük</x:v>
      </x:c>
      <x:c r="L1975" s="14" t="str">
        <x:v>Bugünkü yanlış/boşları kaydet; çözümünü öğrenmeden kapatma. Hata türünü sınıflandır.</x:v>
      </x:c>
      <x:c r="M1975" s="14" t="str">
        <x:v>Yanlış Defteri</x:v>
      </x:c>
      <x:c r="N1975" s="14" t="str"/>
      <x:c r="O1975" s="14" t="n">
        <x:v>0</x:v>
      </x:c>
      <x:c r="P1975" s="14" t="str">
        <x:v>Hayır</x:v>
      </x:c>
      <x:c r="Q1975" s="14" t="str">
        <x:v>Evet</x:v>
      </x:c>
      <x:c r="R1975" s="14" t="str">
        <x:v>Planlandı</x:v>
      </x:c>
      <x:c r="S1975" s="15" t="str"/>
      <x:c r="T1975" s="14" t="str"/>
    </x:row>
    <x:row r="1976">
      <x:c r="A1976" s="14" t="n">
        <x:v>1975</x:v>
      </x:c>
      <x:c r="B1976" s="15" t="n">
        <x:v>46454</x:v>
      </x:c>
      <x:c r="C1976" s="14" t="str">
        <x:v>Pazartesi</x:v>
      </x:c>
      <x:c r="D1976" s="14" t="str">
        <x:v>Okul Tatili</x:v>
      </x:c>
      <x:c r="E1976" s="14" t="str">
        <x:v>MEB 2. Dönem Ara Tatili</x:v>
      </x:c>
      <x:c r="F1976" s="14" t="str">
        <x:v>F3 - Kaynak/MEB Tamamlama</x:v>
      </x:c>
      <x:c r="G1976" s="14" t="str">
        <x:v>18:45</x:v>
      </x:c>
      <x:c r="H1976" s="14" t="str">
        <x:v>19:05</x:v>
      </x:c>
      <x:c r="I1976" s="14" t="str">
        <x:v>Genel</x:v>
      </x:c>
      <x:c r="J1976" s="14" t="str">
        <x:v>Aralıklı Hata Tekrarı</x:v>
      </x:c>
      <x:c r="K1976" s="14" t="str">
        <x:v>+1 / +7 / +21</x:v>
      </x:c>
      <x:c r="L1976" s="14" t="str">
        <x:v>Bugün vadesi gelen yanlış soruları tekrar çöz. Vadesi yoksa bu süre serbest/okuma olabilir.</x:v>
      </x:c>
      <x:c r="M1976" s="14" t="str">
        <x:v>Yanlış Defteri</x:v>
      </x:c>
      <x:c r="N1976" s="14" t="str"/>
      <x:c r="O1976" s="14" t="n">
        <x:v>0</x:v>
      </x:c>
      <x:c r="P1976" s="14" t="str">
        <x:v>Hayır</x:v>
      </x:c>
      <x:c r="Q1976" s="14" t="str">
        <x:v>Koşullu</x:v>
      </x:c>
      <x:c r="R1976" s="14" t="str">
        <x:v>Planlandı</x:v>
      </x:c>
      <x:c r="S1976" s="15" t="str"/>
      <x:c r="T1976" s="14" t="str">
        <x:v>Yanlışlar +1, +7 ve +21 gün aralıklarıyla tekrar edilir; hâlâ yanlışsa konu mastery durumu düşürülür.</x:v>
      </x:c>
    </x:row>
    <x:row r="1977">
      <x:c r="A1977" s="14" t="n">
        <x:v>1976</x:v>
      </x:c>
      <x:c r="B1977" s="15" t="n">
        <x:v>46454</x:v>
      </x:c>
      <x:c r="C1977" s="14" t="str">
        <x:v>Pazartesi</x:v>
      </x:c>
      <x:c r="D1977" s="14" t="str">
        <x:v>Okul Tatili</x:v>
      </x:c>
      <x:c r="E1977" s="14" t="str">
        <x:v>MEB 2. Dönem Ara Tatili</x:v>
      </x:c>
      <x:c r="F1977" s="14" t="str">
        <x:v>F3 - Kaynak/MEB Tamamlama</x:v>
      </x:c>
      <x:c r="G1977" s="14" t="str">
        <x:v>20:00</x:v>
      </x:c>
      <x:c r="H1977" s="14" t="str">
        <x:v>20:30</x:v>
      </x:c>
      <x:c r="I1977" s="14" t="str">
        <x:v>Okuma</x:v>
      </x:c>
      <x:c r="J1977" s="14" t="str">
        <x:v>İsteğe Bağlı</x:v>
      </x:c>
      <x:c r="K1977" s="14" t="str">
        <x:v>Serbest Kitap</x:v>
      </x:c>
      <x:c r="L1977" s="14" t="str">
        <x:v>Zorunlu çalışmalar bittiyse isteğe bağlı kitap oku.</x:v>
      </x:c>
      <x:c r="M1977" s="14" t="str">
        <x:v>Serbest Kitap</x:v>
      </x:c>
      <x:c r="N1977" s="14" t="str"/>
      <x:c r="O1977" s="14" t="n">
        <x:v>0</x:v>
      </x:c>
      <x:c r="P1977" s="14" t="str">
        <x:v>İsteğe Bağlı</x:v>
      </x:c>
      <x:c r="Q1977" s="14" t="str">
        <x:v>Hayır</x:v>
      </x:c>
      <x:c r="R1977" s="14" t="str">
        <x:v>Planlandı</x:v>
      </x:c>
      <x:c r="S1977" s="15" t="str"/>
      <x:c r="T1977" s="14" t="str">
        <x:v>Minimum süre yok.</x:v>
      </x:c>
    </x:row>
    <x:row r="1978">
      <x:c r="A1978" s="14" t="n">
        <x:v>1977</x:v>
      </x:c>
      <x:c r="B1978" s="15" t="n">
        <x:v>46454</x:v>
      </x:c>
      <x:c r="C1978" s="14" t="str">
        <x:v>Pazartesi</x:v>
      </x:c>
      <x:c r="D1978" s="14" t="str">
        <x:v>Okul Tatili</x:v>
      </x:c>
      <x:c r="E1978" s="14" t="str">
        <x:v>MEB 2. Dönem Ara Tatili</x:v>
      </x:c>
      <x:c r="F1978" s="14" t="str">
        <x:v>F3 - Kaynak/MEB Tamamlama</x:v>
      </x:c>
      <x:c r="G1978" s="14" t="str">
        <x:v>21:50</x:v>
      </x:c>
      <x:c r="H1978" s="14" t="str">
        <x:v>22:00</x:v>
      </x:c>
      <x:c r="I1978" s="14" t="str">
        <x:v>Genel</x:v>
      </x:c>
      <x:c r="J1978" s="14" t="str">
        <x:v>Uyku Hazırlığı</x:v>
      </x:c>
      <x:c r="K1978" s="14" t="str"/>
      <x:c r="L1978" s="14" t="str">
        <x:v>22:00'de yatakta ve uyku.</x:v>
      </x:c>
      <x:c r="M1978" s="14" t="str"/>
      <x:c r="N1978" s="14" t="str"/>
      <x:c r="O1978" s="14" t="n">
        <x:v>0</x:v>
      </x:c>
      <x:c r="P1978" s="14" t="str">
        <x:v>Hayır</x:v>
      </x:c>
      <x:c r="Q1978" s="14" t="str">
        <x:v>Hayır</x:v>
      </x:c>
      <x:c r="R1978" s="14" t="str">
        <x:v>Planlandı</x:v>
      </x:c>
      <x:c r="S1978" s="15" t="str"/>
      <x:c r="T1978" s="14" t="str"/>
    </x:row>
    <x:row r="1979">
      <x:c r="A1979" s="14" t="n">
        <x:v>1978</x:v>
      </x:c>
      <x:c r="B1979" s="15" t="n">
        <x:v>46455</x:v>
      </x:c>
      <x:c r="C1979" s="14" t="str">
        <x:v>Salı</x:v>
      </x:c>
      <x:c r="D1979" s="14" t="str">
        <x:v>Okul Tatili</x:v>
      </x:c>
      <x:c r="E1979" s="14" t="str">
        <x:v>MEB 2. Dönem Ara Tatili</x:v>
      </x:c>
      <x:c r="F1979" s="14" t="str">
        <x:v>F3 - Kaynak/MEB Tamamlama</x:v>
      </x:c>
      <x:c r="G1979" s="14" t="str">
        <x:v>09:30</x:v>
      </x:c>
      <x:c r="H1979" s="14" t="str">
        <x:v>10:15</x:v>
      </x:c>
      <x:c r="I1979" s="14" t="str">
        <x:v>Matematik</x:v>
      </x:c>
      <x:c r="J1979" s="14" t="str">
        <x:v>Konu / Tekrar</x:v>
      </x:c>
      <x:c r="K1979" s="14" t="str">
        <x:v>Kaynak Tamamlama / Zayıf Konu</x:v>
      </x:c>
      <x:c r="L1979" s="14" t="str">
        <x:v>Yeni konu açma. En zayıf/açık konunun ilgili playlist videosunu yalnız gerekiyorsa tekrar izle.</x:v>
      </x:c>
      <x:c r="M1979" s="14" t="str">
        <x:v>Matematik Ana Oynatma Listesi</x:v>
      </x:c>
      <x:c r="N1979" s="14" t="str">
        <x:v>https://www.youtube.com/watch?v=EuJ89QzqrAg&amp;list=PLicNtF7vp6fnfDqrRLH6H7fIbzYT4ct4F&amp;index=11</x:v>
      </x:c>
      <x:c r="O1979" s="14" t="n">
        <x:v>0</x:v>
      </x:c>
      <x:c r="P1979" s="14" t="str">
        <x:v>Hayır</x:v>
      </x:c>
      <x:c r="Q1979" s="14" t="str">
        <x:v>Evet</x:v>
      </x:c>
      <x:c r="R1979" s="14" t="str">
        <x:v>Planlandı</x:v>
      </x:c>
      <x:c r="S1979" s="15" t="str"/>
      <x:c r="T1979" s="14" t="str">
        <x:v>Yeni konu ancak plan sırasıyla açılır; LGS dışı ileri TYT içeriği zorunlu değildir.</x:v>
      </x:c>
    </x:row>
    <x:row r="1980">
      <x:c r="A1980" s="14" t="n">
        <x:v>1979</x:v>
      </x:c>
      <x:c r="B1980" s="15" t="n">
        <x:v>46455</x:v>
      </x:c>
      <x:c r="C1980" s="14" t="str">
        <x:v>Salı</x:v>
      </x:c>
      <x:c r="D1980" s="14" t="str">
        <x:v>Okul Tatili</x:v>
      </x:c>
      <x:c r="E1980" s="14" t="str">
        <x:v>MEB 2. Dönem Ara Tatili</x:v>
      </x:c>
      <x:c r="F1980" s="14" t="str">
        <x:v>F3 - Kaynak/MEB Tamamlama</x:v>
      </x:c>
      <x:c r="G1980" s="14" t="str">
        <x:v>10:25</x:v>
      </x:c>
      <x:c r="H1980" s="14" t="str">
        <x:v>11:15</x:v>
      </x:c>
      <x:c r="I1980" s="14" t="str">
        <x:v>Matematik</x:v>
      </x:c>
      <x:c r="J1980" s="14" t="str">
        <x:v>Kitap / MEB / Mastery</x:v>
      </x:c>
      <x:c r="K1980" s="14" t="str">
        <x:v>Kaynak Tamamlama / Zayıf Konu</x:v>
      </x:c>
      <x:c r="L1980" s="14" t="str">
        <x:v>13 Nisan %100 tamamlama hedefine göre en geride kalan Matematik soru kaynağını/eksik MEB setini ilerlet; açık yanlışları kapat.</x:v>
      </x:c>
      <x:c r="M1980" s="14" t="str">
        <x:v>MUBA 8. Sınıf Başlangıç Matematik (ISBN 9789756526972) → tamamlandıysa Mozaik 8. Sınıf Matematik; açık MEB/yanlışlar</x:v>
      </x:c>
      <x:c r="N1980" s="14" t="str">
        <x:v>https://odsgm.meb.gov.tr/www/8sinif-calisma-sorulari/icerik/1632</x:v>
      </x:c>
      <x:c r="O1980" s="14" t="n">
        <x:v>30</x:v>
      </x:c>
      <x:c r="P1980" s="14" t="str">
        <x:v>İlk 20 soru</x:v>
      </x:c>
      <x:c r="Q1980" s="14" t="str">
        <x:v>Evet</x:v>
      </x:c>
      <x:c r="R1980" s="14" t="str">
        <x:v>Planlandı</x:v>
      </x:c>
      <x:c r="S1980" s="15" t="str"/>
      <x:c r="T1980" s="14" t="str">
        <x:v>Ayrı/rastgele matematik benchmark yoktur. Süreli ilk 20 soru o gün çalışılan konunun içindedir.</x:v>
      </x:c>
    </x:row>
    <x:row r="1981">
      <x:c r="A1981" s="14" t="n">
        <x:v>1980</x:v>
      </x:c>
      <x:c r="B1981" s="15" t="n">
        <x:v>46455</x:v>
      </x:c>
      <x:c r="C1981" s="14" t="str">
        <x:v>Salı</x:v>
      </x:c>
      <x:c r="D1981" s="14" t="str">
        <x:v>Okul Tatili</x:v>
      </x:c>
      <x:c r="E1981" s="14" t="str">
        <x:v>MEB 2. Dönem Ara Tatili</x:v>
      </x:c>
      <x:c r="F1981" s="14" t="str">
        <x:v>F3 - Kaynak/MEB Tamamlama</x:v>
      </x:c>
      <x:c r="G1981" s="14" t="str">
        <x:v>12:00</x:v>
      </x:c>
      <x:c r="H1981" s="14" t="str">
        <x:v>14:00</x:v>
      </x:c>
      <x:c r="I1981" s="14" t="str">
        <x:v>Genel</x:v>
      </x:c>
      <x:c r="J1981" s="14" t="str">
        <x:v>Yemek / Serbest Zaman</x:v>
      </x:c>
      <x:c r="K1981" s="14" t="str"/>
      <x:c r="L1981" s="14" t="str">
        <x:v>Yemek, hareket ve dinlenme.</x:v>
      </x:c>
      <x:c r="M1981" s="14" t="str"/>
      <x:c r="N1981" s="14" t="str"/>
      <x:c r="O1981" s="14" t="n">
        <x:v>0</x:v>
      </x:c>
      <x:c r="P1981" s="14" t="str">
        <x:v>Hayır</x:v>
      </x:c>
      <x:c r="Q1981" s="14" t="str">
        <x:v>Hayır</x:v>
      </x:c>
      <x:c r="R1981" s="14" t="str">
        <x:v>Planlandı</x:v>
      </x:c>
      <x:c r="S1981" s="15" t="str"/>
      <x:c r="T1981" s="14" t="str"/>
    </x:row>
    <x:row r="1982">
      <x:c r="A1982" s="14" t="n">
        <x:v>1981</x:v>
      </x:c>
      <x:c r="B1982" s="15" t="n">
        <x:v>46455</x:v>
      </x:c>
      <x:c r="C1982" s="14" t="str">
        <x:v>Salı</x:v>
      </x:c>
      <x:c r="D1982" s="14" t="str">
        <x:v>Okul Tatili</x:v>
      </x:c>
      <x:c r="E1982" s="14" t="str">
        <x:v>MEB 2. Dönem Ara Tatili</x:v>
      </x:c>
      <x:c r="F1982" s="14" t="str">
        <x:v>F3 - Kaynak/MEB Tamamlama</x:v>
      </x:c>
      <x:c r="G1982" s="14" t="str">
        <x:v>11:25</x:v>
      </x:c>
      <x:c r="H1982" s="14" t="str">
        <x:v>11:55</x:v>
      </x:c>
      <x:c r="I1982" s="14" t="str">
        <x:v>Türkçe</x:v>
      </x:c>
      <x:c r="J1982" s="14" t="str">
        <x:v>Paragraf Rutini</x:v>
      </x:c>
      <x:c r="K1982" s="14" t="str">
        <x:v>Paragraf</x:v>
      </x:c>
      <x:c r="L1982" s="14" t="str">
        <x:v>En az 30 paragraf sorusu çöz; ilk 20 soruyu ileri sayımla ölç, D/Y/B + süre kaydet.</x:v>
      </x:c>
      <x:c r="M1982" s="14" t="str">
        <x:v>Hız 8. Sınıf Türkçe Paragraf (ISBN 9786258394498)</x:v>
      </x:c>
      <x:c r="N1982" s="14" t="str"/>
      <x:c r="O1982" s="14" t="n">
        <x:v>30</x:v>
      </x:c>
      <x:c r="P1982" s="14" t="str">
        <x:v>İlk 20 soru</x:v>
      </x:c>
      <x:c r="Q1982" s="14" t="str">
        <x:v>Evet</x:v>
      </x:c>
      <x:c r="R1982" s="14" t="str">
        <x:v>Planlandı</x:v>
      </x:c>
      <x:c r="S1982" s="15" t="str"/>
      <x:c r="T1982" s="14" t="str">
        <x:v>Geri sayım ve hedef süre yok.</x:v>
      </x:c>
    </x:row>
    <x:row r="1983">
      <x:c r="A1983" s="14" t="n">
        <x:v>1982</x:v>
      </x:c>
      <x:c r="B1983" s="15" t="n">
        <x:v>46455</x:v>
      </x:c>
      <x:c r="C1983" s="14" t="str">
        <x:v>Salı</x:v>
      </x:c>
      <x:c r="D1983" s="14" t="str">
        <x:v>Okul Tatili</x:v>
      </x:c>
      <x:c r="E1983" s="14" t="str">
        <x:v>MEB 2. Dönem Ara Tatili</x:v>
      </x:c>
      <x:c r="F1983" s="14" t="str">
        <x:v>F3 - Kaynak/MEB Tamamlama</x:v>
      </x:c>
      <x:c r="G1983" s="14" t="str">
        <x:v>14:00</x:v>
      </x:c>
      <x:c r="H1983" s="14" t="str">
        <x:v>14:40</x:v>
      </x:c>
      <x:c r="I1983" s="14" t="str">
        <x:v>Türkçe</x:v>
      </x:c>
      <x:c r="J1983" s="14" t="str">
        <x:v>Konu / Tekrar</x:v>
      </x:c>
      <x:c r="K1983" s="14" t="str">
        <x:v>Kaynak Tamamlama / Zayıf Konu</x:v>
      </x:c>
      <x:c r="L1983" s="14" t="str">
        <x:v>Yeni konu açma. En zayıf/açık konunun ilgili playlist videosunu yalnız gerekiyorsa tekrar izle.</x:v>
      </x:c>
      <x:c r="M1983" s="14" t="str">
        <x:v>Türkçe Ana Oynatma Listesi</x:v>
      </x:c>
      <x:c r="N1983" s="14" t="str">
        <x:v>https://www.youtube.com/watch?v=VYsPntNKVdw&amp;list=PLIBjFaUoJJ91bz7QQEBlxNJNZka5YQRr6</x:v>
      </x:c>
      <x:c r="O1983" s="14" t="n">
        <x:v>0</x:v>
      </x:c>
      <x:c r="P1983" s="14" t="str">
        <x:v>Hayır</x:v>
      </x:c>
      <x:c r="Q1983" s="14" t="str">
        <x:v>Evet</x:v>
      </x:c>
      <x:c r="R1983" s="14" t="str">
        <x:v>Planlandı</x:v>
      </x:c>
      <x:c r="S1983" s="15" t="str"/>
      <x:c r="T1983" s="14" t="str">
        <x:v>TYT etiketli kaynak temelden başlamak için sabittir; LGS dışı gereksiz ayrıntı zorunlu değildir.</x:v>
      </x:c>
    </x:row>
    <x:row r="1984">
      <x:c r="A1984" s="14" t="n">
        <x:v>1983</x:v>
      </x:c>
      <x:c r="B1984" s="15" t="n">
        <x:v>46455</x:v>
      </x:c>
      <x:c r="C1984" s="14" t="str">
        <x:v>Salı</x:v>
      </x:c>
      <x:c r="D1984" s="14" t="str">
        <x:v>Okul Tatili</x:v>
      </x:c>
      <x:c r="E1984" s="14" t="str">
        <x:v>MEB 2. Dönem Ara Tatili</x:v>
      </x:c>
      <x:c r="F1984" s="14" t="str">
        <x:v>F3 - Kaynak/MEB Tamamlama</x:v>
      </x:c>
      <x:c r="G1984" s="14" t="str">
        <x:v>14:50</x:v>
      </x:c>
      <x:c r="H1984" s="14" t="str">
        <x:v>15:30</x:v>
      </x:c>
      <x:c r="I1984" s="14" t="str">
        <x:v>Türkçe</x:v>
      </x:c>
      <x:c r="J1984" s="14" t="str">
        <x:v>Kitap / MEB / Mastery</x:v>
      </x:c>
      <x:c r="K1984" s="14" t="str">
        <x:v>Kaynak Tamamlama / Zayıf Konu</x:v>
      </x:c>
      <x:c r="L1984" s="14" t="str">
        <x:v>13 Nisan %100 tamamlama hedefine göre en geride kalan Türkçe soru kaynağını/eksik MEB setini ilerlet; açık yanlışları kapat.</x:v>
      </x:c>
      <x:c r="M1984" s="14" t="str">
        <x:v>Ankara 8. Sınıf Dil Bilgisi Güçlendiren + açık MEB/yanlışlar</x:v>
      </x:c>
      <x:c r="N1984" s="14" t="str">
        <x:v>https://odsgm.meb.gov.tr/www/8sinif-calisma-sorulari/icerik/1632</x:v>
      </x:c>
      <x:c r="O1984" s="14" t="n">
        <x:v>15</x:v>
      </x:c>
      <x:c r="P1984" s="14" t="str">
        <x:v>Hayır</x:v>
      </x:c>
      <x:c r="Q1984" s="14" t="str">
        <x:v>Evet</x:v>
      </x:c>
      <x:c r="R1984" s="14" t="str">
        <x:v>Planlandı</x:v>
      </x:c>
      <x:c r="S1984" s="15" t="str"/>
      <x:c r="T1984" s="14" t="str"/>
    </x:row>
    <x:row r="1985">
      <x:c r="A1985" s="14" t="n">
        <x:v>1984</x:v>
      </x:c>
      <x:c r="B1985" s="15" t="n">
        <x:v>46455</x:v>
      </x:c>
      <x:c r="C1985" s="14" t="str">
        <x:v>Salı</x:v>
      </x:c>
      <x:c r="D1985" s="14" t="str">
        <x:v>Okul Tatili</x:v>
      </x:c>
      <x:c r="E1985" s="14" t="str">
        <x:v>MEB 2. Dönem Ara Tatili</x:v>
      </x:c>
      <x:c r="F1985" s="14" t="str">
        <x:v>F3 - Kaynak/MEB Tamamlama</x:v>
      </x:c>
      <x:c r="G1985" s="14" t="str">
        <x:v>15:45</x:v>
      </x:c>
      <x:c r="H1985" s="14" t="str">
        <x:v>16:25</x:v>
      </x:c>
      <x:c r="I1985" s="14" t="str">
        <x:v>İngilizce</x:v>
      </x:c>
      <x:c r="J1985" s="14" t="str">
        <x:v>Konu / Tekrar</x:v>
      </x:c>
      <x:c r="K1985" s="14" t="str">
        <x:v>Unit 10 - Natural Forces</x:v>
      </x:c>
      <x:c r="L1985" s="14" t="str">
        <x:v>Unit 10 - Natural Forces — MEB doğrulaması öncesi 5-10 dk aktif hatırlama; gerekiyorsa ilgili playlist videosuna kısa dönüş yap.</x:v>
      </x:c>
      <x:c r="M1985" s="14" t="str">
        <x:v>İngilizce Genel Oynatma Listesi</x:v>
      </x:c>
      <x:c r="N1985" s="14" t="str">
        <x:v>https://www.youtube.com/watch?v=FaY3dFjZbns&amp;list=PLSgpQDrUSYp94WgE9pzpHiOG5FwxnZBrr</x:v>
      </x:c>
      <x:c r="O1985" s="14" t="n">
        <x:v>0</x:v>
      </x:c>
      <x:c r="P1985" s="14" t="str">
        <x:v>Hayır</x:v>
      </x:c>
      <x:c r="Q1985" s="14" t="str">
        <x:v>Evet</x:v>
      </x:c>
      <x:c r="R1985" s="14" t="str">
        <x:v>Planlandı</x:v>
      </x:c>
      <x:c r="S1985" s="15" t="str"/>
      <x:c r="T1985" s="14" t="str"/>
    </x:row>
    <x:row r="1986">
      <x:c r="A1986" s="14" t="n">
        <x:v>1985</x:v>
      </x:c>
      <x:c r="B1986" s="15" t="n">
        <x:v>46455</x:v>
      </x:c>
      <x:c r="C1986" s="14" t="str">
        <x:v>Salı</x:v>
      </x:c>
      <x:c r="D1986" s="14" t="str">
        <x:v>Okul Tatili</x:v>
      </x:c>
      <x:c r="E1986" s="14" t="str">
        <x:v>MEB 2. Dönem Ara Tatili</x:v>
      </x:c>
      <x:c r="F1986" s="14" t="str">
        <x:v>F3 - Kaynak/MEB Tamamlama</x:v>
      </x:c>
      <x:c r="G1986" s="14" t="str">
        <x:v>16:35</x:v>
      </x:c>
      <x:c r="H1986" s="14" t="str">
        <x:v>17:15</x:v>
      </x:c>
      <x:c r="I1986" s="14" t="str">
        <x:v>İngilizce</x:v>
      </x:c>
      <x:c r="J1986" s="14" t="str">
        <x:v>Kitap / MEB / Mastery</x:v>
      </x:c>
      <x:c r="K1986" s="14" t="str">
        <x:v>Unit 10 - Natural Forces</x:v>
      </x:c>
      <x:c r="L1986" s="14" t="str">
        <x:v>Unit 10 - Natural Forces için ilgili MEB sorularını TAMAMLA; D/Y/B kaydet. Bu oturum konu mastery gate'idir.</x:v>
      </x:c>
      <x:c r="M1986" s="14" t="str">
        <x:v>MEB 8. Sınıf İngilizce Soruları</x:v>
      </x:c>
      <x:c r="N1986" s="14" t="str">
        <x:v>https://odsgm.meb.gov.tr/www/8sinif-calisma-sorulari/icerik/1632</x:v>
      </x:c>
      <x:c r="O1986" s="14" t="n">
        <x:v>0</x:v>
      </x:c>
      <x:c r="P1986" s="14" t="str">
        <x:v>Hayır</x:v>
      </x:c>
      <x:c r="Q1986" s="14" t="str">
        <x:v>Evet</x:v>
      </x:c>
      <x:c r="R1986" s="14" t="str">
        <x:v>Planlandı</x:v>
      </x:c>
      <x:c r="S1986" s="15" t="str"/>
      <x:c r="T1986" s="14" t="str">
        <x:v>MEB sonucu Konu_Ustaligi sayfasına işlenir.</x:v>
      </x:c>
    </x:row>
    <x:row r="1987">
      <x:c r="A1987" s="14" t="n">
        <x:v>1986</x:v>
      </x:c>
      <x:c r="B1987" s="15" t="n">
        <x:v>46455</x:v>
      </x:c>
      <x:c r="C1987" s="14" t="str">
        <x:v>Salı</x:v>
      </x:c>
      <x:c r="D1987" s="14" t="str">
        <x:v>Okul Tatili</x:v>
      </x:c>
      <x:c r="E1987" s="14" t="str">
        <x:v>MEB 2. Dönem Ara Tatili</x:v>
      </x:c>
      <x:c r="F1987" s="14" t="str">
        <x:v>F3 - Kaynak/MEB Tamamlama</x:v>
      </x:c>
      <x:c r="G1987" s="14" t="str">
        <x:v>18:25</x:v>
      </x:c>
      <x:c r="H1987" s="14" t="str">
        <x:v>18:45</x:v>
      </x:c>
      <x:c r="I1987" s="14" t="str">
        <x:v>Genel</x:v>
      </x:c>
      <x:c r="J1987" s="14" t="str">
        <x:v>Yanlış / Boş Analizi</x:v>
      </x:c>
      <x:c r="K1987" s="14" t="str">
        <x:v>Günlük</x:v>
      </x:c>
      <x:c r="L1987" s="14" t="str">
        <x:v>Bugünkü yanlış/boşları kaydet; çözümünü öğrenmeden kapatma. Hata türünü sınıflandır.</x:v>
      </x:c>
      <x:c r="M1987" s="14" t="str">
        <x:v>Yanlış Defteri</x:v>
      </x:c>
      <x:c r="N1987" s="14" t="str"/>
      <x:c r="O1987" s="14" t="n">
        <x:v>0</x:v>
      </x:c>
      <x:c r="P1987" s="14" t="str">
        <x:v>Hayır</x:v>
      </x:c>
      <x:c r="Q1987" s="14" t="str">
        <x:v>Evet</x:v>
      </x:c>
      <x:c r="R1987" s="14" t="str">
        <x:v>Planlandı</x:v>
      </x:c>
      <x:c r="S1987" s="15" t="str"/>
      <x:c r="T1987" s="14" t="str"/>
    </x:row>
    <x:row r="1988">
      <x:c r="A1988" s="14" t="n">
        <x:v>1987</x:v>
      </x:c>
      <x:c r="B1988" s="15" t="n">
        <x:v>46455</x:v>
      </x:c>
      <x:c r="C1988" s="14" t="str">
        <x:v>Salı</x:v>
      </x:c>
      <x:c r="D1988" s="14" t="str">
        <x:v>Okul Tatili</x:v>
      </x:c>
      <x:c r="E1988" s="14" t="str">
        <x:v>MEB 2. Dönem Ara Tatili</x:v>
      </x:c>
      <x:c r="F1988" s="14" t="str">
        <x:v>F3 - Kaynak/MEB Tamamlama</x:v>
      </x:c>
      <x:c r="G1988" s="14" t="str">
        <x:v>18:45</x:v>
      </x:c>
      <x:c r="H1988" s="14" t="str">
        <x:v>19:05</x:v>
      </x:c>
      <x:c r="I1988" s="14" t="str">
        <x:v>Genel</x:v>
      </x:c>
      <x:c r="J1988" s="14" t="str">
        <x:v>Aralıklı Hata Tekrarı</x:v>
      </x:c>
      <x:c r="K1988" s="14" t="str">
        <x:v>+1 / +7 / +21</x:v>
      </x:c>
      <x:c r="L1988" s="14" t="str">
        <x:v>Bugün vadesi gelen yanlış soruları tekrar çöz. Vadesi yoksa bu süre serbest/okuma olabilir.</x:v>
      </x:c>
      <x:c r="M1988" s="14" t="str">
        <x:v>Yanlış Defteri</x:v>
      </x:c>
      <x:c r="N1988" s="14" t="str"/>
      <x:c r="O1988" s="14" t="n">
        <x:v>0</x:v>
      </x:c>
      <x:c r="P1988" s="14" t="str">
        <x:v>Hayır</x:v>
      </x:c>
      <x:c r="Q1988" s="14" t="str">
        <x:v>Koşullu</x:v>
      </x:c>
      <x:c r="R1988" s="14" t="str">
        <x:v>Planlandı</x:v>
      </x:c>
      <x:c r="S1988" s="15" t="str"/>
      <x:c r="T1988" s="14" t="str">
        <x:v>Yanlışlar +1, +7 ve +21 gün aralıklarıyla tekrar edilir; hâlâ yanlışsa konu mastery durumu düşürülür.</x:v>
      </x:c>
    </x:row>
    <x:row r="1989">
      <x:c r="A1989" s="14" t="n">
        <x:v>1988</x:v>
      </x:c>
      <x:c r="B1989" s="15" t="n">
        <x:v>46455</x:v>
      </x:c>
      <x:c r="C1989" s="14" t="str">
        <x:v>Salı</x:v>
      </x:c>
      <x:c r="D1989" s="14" t="str">
        <x:v>Okul Tatili</x:v>
      </x:c>
      <x:c r="E1989" s="14" t="str">
        <x:v>MEB 2. Dönem Ara Tatili</x:v>
      </x:c>
      <x:c r="F1989" s="14" t="str">
        <x:v>F3 - Kaynak/MEB Tamamlama</x:v>
      </x:c>
      <x:c r="G1989" s="14" t="str">
        <x:v>20:00</x:v>
      </x:c>
      <x:c r="H1989" s="14" t="str">
        <x:v>20:30</x:v>
      </x:c>
      <x:c r="I1989" s="14" t="str">
        <x:v>Okuma</x:v>
      </x:c>
      <x:c r="J1989" s="14" t="str">
        <x:v>İsteğe Bağlı</x:v>
      </x:c>
      <x:c r="K1989" s="14" t="str">
        <x:v>Serbest Kitap</x:v>
      </x:c>
      <x:c r="L1989" s="14" t="str">
        <x:v>Zorunlu çalışmalar bittiyse isteğe bağlı kitap oku.</x:v>
      </x:c>
      <x:c r="M1989" s="14" t="str">
        <x:v>Serbest Kitap</x:v>
      </x:c>
      <x:c r="N1989" s="14" t="str"/>
      <x:c r="O1989" s="14" t="n">
        <x:v>0</x:v>
      </x:c>
      <x:c r="P1989" s="14" t="str">
        <x:v>İsteğe Bağlı</x:v>
      </x:c>
      <x:c r="Q1989" s="14" t="str">
        <x:v>Hayır</x:v>
      </x:c>
      <x:c r="R1989" s="14" t="str">
        <x:v>Planlandı</x:v>
      </x:c>
      <x:c r="S1989" s="15" t="str"/>
      <x:c r="T1989" s="14" t="str">
        <x:v>Minimum süre yok.</x:v>
      </x:c>
    </x:row>
    <x:row r="1990">
      <x:c r="A1990" s="14" t="n">
        <x:v>1989</x:v>
      </x:c>
      <x:c r="B1990" s="15" t="n">
        <x:v>46455</x:v>
      </x:c>
      <x:c r="C1990" s="14" t="str">
        <x:v>Salı</x:v>
      </x:c>
      <x:c r="D1990" s="14" t="str">
        <x:v>Okul Tatili</x:v>
      </x:c>
      <x:c r="E1990" s="14" t="str">
        <x:v>MEB 2. Dönem Ara Tatili</x:v>
      </x:c>
      <x:c r="F1990" s="14" t="str">
        <x:v>F3 - Kaynak/MEB Tamamlama</x:v>
      </x:c>
      <x:c r="G1990" s="14" t="str">
        <x:v>21:50</x:v>
      </x:c>
      <x:c r="H1990" s="14" t="str">
        <x:v>22:00</x:v>
      </x:c>
      <x:c r="I1990" s="14" t="str">
        <x:v>Genel</x:v>
      </x:c>
      <x:c r="J1990" s="14" t="str">
        <x:v>Uyku Hazırlığı</x:v>
      </x:c>
      <x:c r="K1990" s="14" t="str"/>
      <x:c r="L1990" s="14" t="str">
        <x:v>22:00'de yatakta ve uyku.</x:v>
      </x:c>
      <x:c r="M1990" s="14" t="str"/>
      <x:c r="N1990" s="14" t="str"/>
      <x:c r="O1990" s="14" t="n">
        <x:v>0</x:v>
      </x:c>
      <x:c r="P1990" s="14" t="str">
        <x:v>Hayır</x:v>
      </x:c>
      <x:c r="Q1990" s="14" t="str">
        <x:v>Hayır</x:v>
      </x:c>
      <x:c r="R1990" s="14" t="str">
        <x:v>Planlandı</x:v>
      </x:c>
      <x:c r="S1990" s="15" t="str"/>
      <x:c r="T1990" s="14" t="str"/>
    </x:row>
    <x:row r="1991">
      <x:c r="A1991" s="14" t="n">
        <x:v>1990</x:v>
      </x:c>
      <x:c r="B1991" s="15" t="n">
        <x:v>46456</x:v>
      </x:c>
      <x:c r="C1991" s="14" t="str">
        <x:v>Çarşamba</x:v>
      </x:c>
      <x:c r="D1991" s="14" t="str">
        <x:v>Okul Tatili</x:v>
      </x:c>
      <x:c r="E1991" s="14" t="str">
        <x:v>MEB 2. Dönem Ara Tatili</x:v>
      </x:c>
      <x:c r="F1991" s="14" t="str">
        <x:v>F3 - Kaynak/MEB Tamamlama</x:v>
      </x:c>
      <x:c r="G1991" s="14" t="str">
        <x:v>09:30</x:v>
      </x:c>
      <x:c r="H1991" s="14" t="str">
        <x:v>10:15</x:v>
      </x:c>
      <x:c r="I1991" s="14" t="str">
        <x:v>Matematik</x:v>
      </x:c>
      <x:c r="J1991" s="14" t="str">
        <x:v>Konu / Tekrar</x:v>
      </x:c>
      <x:c r="K1991" s="14" t="str">
        <x:v>Kaynak Tamamlama / Zayıf Konu</x:v>
      </x:c>
      <x:c r="L1991" s="14" t="str">
        <x:v>Yeni konu açma. En zayıf/açık konunun ilgili playlist videosunu yalnız gerekiyorsa tekrar izle.</x:v>
      </x:c>
      <x:c r="M1991" s="14" t="str">
        <x:v>Matematik Ana Oynatma Listesi</x:v>
      </x:c>
      <x:c r="N1991" s="14" t="str">
        <x:v>https://www.youtube.com/watch?v=EuJ89QzqrAg&amp;list=PLicNtF7vp6fnfDqrRLH6H7fIbzYT4ct4F&amp;index=11</x:v>
      </x:c>
      <x:c r="O1991" s="14" t="n">
        <x:v>0</x:v>
      </x:c>
      <x:c r="P1991" s="14" t="str">
        <x:v>Hayır</x:v>
      </x:c>
      <x:c r="Q1991" s="14" t="str">
        <x:v>Evet</x:v>
      </x:c>
      <x:c r="R1991" s="14" t="str">
        <x:v>Planlandı</x:v>
      </x:c>
      <x:c r="S1991" s="15" t="str"/>
      <x:c r="T1991" s="14" t="str">
        <x:v>Yeni konu ancak plan sırasıyla açılır; LGS dışı ileri TYT içeriği zorunlu değildir.</x:v>
      </x:c>
    </x:row>
    <x:row r="1992">
      <x:c r="A1992" s="14" t="n">
        <x:v>1991</x:v>
      </x:c>
      <x:c r="B1992" s="15" t="n">
        <x:v>46456</x:v>
      </x:c>
      <x:c r="C1992" s="14" t="str">
        <x:v>Çarşamba</x:v>
      </x:c>
      <x:c r="D1992" s="14" t="str">
        <x:v>Okul Tatili</x:v>
      </x:c>
      <x:c r="E1992" s="14" t="str">
        <x:v>MEB 2. Dönem Ara Tatili</x:v>
      </x:c>
      <x:c r="F1992" s="14" t="str">
        <x:v>F3 - Kaynak/MEB Tamamlama</x:v>
      </x:c>
      <x:c r="G1992" s="14" t="str">
        <x:v>10:25</x:v>
      </x:c>
      <x:c r="H1992" s="14" t="str">
        <x:v>11:15</x:v>
      </x:c>
      <x:c r="I1992" s="14" t="str">
        <x:v>Matematik</x:v>
      </x:c>
      <x:c r="J1992" s="14" t="str">
        <x:v>Kitap / MEB / Mastery</x:v>
      </x:c>
      <x:c r="K1992" s="14" t="str">
        <x:v>Kaynak Tamamlama / Zayıf Konu</x:v>
      </x:c>
      <x:c r="L1992" s="14" t="str">
        <x:v>13 Nisan %100 tamamlama hedefine göre en geride kalan Matematik soru kaynağını/eksik MEB setini ilerlet; açık yanlışları kapat.</x:v>
      </x:c>
      <x:c r="M1992" s="14" t="str">
        <x:v>MUBA 8. Sınıf Başlangıç Matematik (ISBN 9789756526972) → tamamlandıysa Mozaik 8. Sınıf Matematik; açık MEB/yanlışlar</x:v>
      </x:c>
      <x:c r="N1992" s="14" t="str">
        <x:v>https://odsgm.meb.gov.tr/www/8sinif-calisma-sorulari/icerik/1632</x:v>
      </x:c>
      <x:c r="O1992" s="14" t="n">
        <x:v>30</x:v>
      </x:c>
      <x:c r="P1992" s="14" t="str">
        <x:v>İlk 20 soru</x:v>
      </x:c>
      <x:c r="Q1992" s="14" t="str">
        <x:v>Evet</x:v>
      </x:c>
      <x:c r="R1992" s="14" t="str">
        <x:v>Planlandı</x:v>
      </x:c>
      <x:c r="S1992" s="15" t="str"/>
      <x:c r="T1992" s="14" t="str">
        <x:v>Ayrı/rastgele matematik benchmark yoktur. Süreli ilk 20 soru o gün çalışılan konunun içindedir.</x:v>
      </x:c>
    </x:row>
    <x:row r="1993">
      <x:c r="A1993" s="14" t="n">
        <x:v>1992</x:v>
      </x:c>
      <x:c r="B1993" s="15" t="n">
        <x:v>46456</x:v>
      </x:c>
      <x:c r="C1993" s="14" t="str">
        <x:v>Çarşamba</x:v>
      </x:c>
      <x:c r="D1993" s="14" t="str">
        <x:v>Okul Tatili</x:v>
      </x:c>
      <x:c r="E1993" s="14" t="str">
        <x:v>MEB 2. Dönem Ara Tatili</x:v>
      </x:c>
      <x:c r="F1993" s="14" t="str">
        <x:v>F3 - Kaynak/MEB Tamamlama</x:v>
      </x:c>
      <x:c r="G1993" s="14" t="str">
        <x:v>12:00</x:v>
      </x:c>
      <x:c r="H1993" s="14" t="str">
        <x:v>14:00</x:v>
      </x:c>
      <x:c r="I1993" s="14" t="str">
        <x:v>Genel</x:v>
      </x:c>
      <x:c r="J1993" s="14" t="str">
        <x:v>Yemek / Serbest Zaman</x:v>
      </x:c>
      <x:c r="K1993" s="14" t="str"/>
      <x:c r="L1993" s="14" t="str">
        <x:v>Yemek, hareket ve dinlenme.</x:v>
      </x:c>
      <x:c r="M1993" s="14" t="str"/>
      <x:c r="N1993" s="14" t="str"/>
      <x:c r="O1993" s="14" t="n">
        <x:v>0</x:v>
      </x:c>
      <x:c r="P1993" s="14" t="str">
        <x:v>Hayır</x:v>
      </x:c>
      <x:c r="Q1993" s="14" t="str">
        <x:v>Hayır</x:v>
      </x:c>
      <x:c r="R1993" s="14" t="str">
        <x:v>Planlandı</x:v>
      </x:c>
      <x:c r="S1993" s="15" t="str"/>
      <x:c r="T1993" s="14" t="str"/>
    </x:row>
    <x:row r="1994">
      <x:c r="A1994" s="14" t="n">
        <x:v>1993</x:v>
      </x:c>
      <x:c r="B1994" s="15" t="n">
        <x:v>46456</x:v>
      </x:c>
      <x:c r="C1994" s="14" t="str">
        <x:v>Çarşamba</x:v>
      </x:c>
      <x:c r="D1994" s="14" t="str">
        <x:v>Okul Tatili</x:v>
      </x:c>
      <x:c r="E1994" s="14" t="str">
        <x:v>MEB 2. Dönem Ara Tatili</x:v>
      </x:c>
      <x:c r="F1994" s="14" t="str">
        <x:v>F3 - Kaynak/MEB Tamamlama</x:v>
      </x:c>
      <x:c r="G1994" s="14" t="str">
        <x:v>11:25</x:v>
      </x:c>
      <x:c r="H1994" s="14" t="str">
        <x:v>11:55</x:v>
      </x:c>
      <x:c r="I1994" s="14" t="str">
        <x:v>Türkçe</x:v>
      </x:c>
      <x:c r="J1994" s="14" t="str">
        <x:v>Paragraf Rutini</x:v>
      </x:c>
      <x:c r="K1994" s="14" t="str">
        <x:v>Paragraf</x:v>
      </x:c>
      <x:c r="L1994" s="14" t="str">
        <x:v>En az 30 paragraf sorusu çöz; ilk 20 soruyu ileri sayımla ölç, D/Y/B + süre kaydet.</x:v>
      </x:c>
      <x:c r="M1994" s="14" t="str">
        <x:v>Hız 8. Sınıf Türkçe Paragraf (ISBN 9786258394498)</x:v>
      </x:c>
      <x:c r="N1994" s="14" t="str"/>
      <x:c r="O1994" s="14" t="n">
        <x:v>30</x:v>
      </x:c>
      <x:c r="P1994" s="14" t="str">
        <x:v>İlk 20 soru</x:v>
      </x:c>
      <x:c r="Q1994" s="14" t="str">
        <x:v>Evet</x:v>
      </x:c>
      <x:c r="R1994" s="14" t="str">
        <x:v>Planlandı</x:v>
      </x:c>
      <x:c r="S1994" s="15" t="str"/>
      <x:c r="T1994" s="14" t="str">
        <x:v>Geri sayım ve hedef süre yok.</x:v>
      </x:c>
    </x:row>
    <x:row r="1995">
      <x:c r="A1995" s="14" t="n">
        <x:v>1994</x:v>
      </x:c>
      <x:c r="B1995" s="15" t="n">
        <x:v>46456</x:v>
      </x:c>
      <x:c r="C1995" s="14" t="str">
        <x:v>Çarşamba</x:v>
      </x:c>
      <x:c r="D1995" s="14" t="str">
        <x:v>Okul Tatili</x:v>
      </x:c>
      <x:c r="E1995" s="14" t="str">
        <x:v>MEB 2. Dönem Ara Tatili</x:v>
      </x:c>
      <x:c r="F1995" s="14" t="str">
        <x:v>F3 - Kaynak/MEB Tamamlama</x:v>
      </x:c>
      <x:c r="G1995" s="14" t="str">
        <x:v>14:00</x:v>
      </x:c>
      <x:c r="H1995" s="14" t="str">
        <x:v>14:40</x:v>
      </x:c>
      <x:c r="I1995" s="14" t="str">
        <x:v>Türkçe</x:v>
      </x:c>
      <x:c r="J1995" s="14" t="str">
        <x:v>Konu / Tekrar</x:v>
      </x:c>
      <x:c r="K1995" s="14" t="str">
        <x:v>Kaynak Tamamlama / Zayıf Konu</x:v>
      </x:c>
      <x:c r="L1995" s="14" t="str">
        <x:v>Yeni konu açma. En zayıf/açık konunun ilgili playlist videosunu yalnız gerekiyorsa tekrar izle.</x:v>
      </x:c>
      <x:c r="M1995" s="14" t="str">
        <x:v>Türkçe Ana Oynatma Listesi</x:v>
      </x:c>
      <x:c r="N1995" s="14" t="str">
        <x:v>https://www.youtube.com/watch?v=VYsPntNKVdw&amp;list=PLIBjFaUoJJ91bz7QQEBlxNJNZka5YQRr6</x:v>
      </x:c>
      <x:c r="O1995" s="14" t="n">
        <x:v>0</x:v>
      </x:c>
      <x:c r="P1995" s="14" t="str">
        <x:v>Hayır</x:v>
      </x:c>
      <x:c r="Q1995" s="14" t="str">
        <x:v>Evet</x:v>
      </x:c>
      <x:c r="R1995" s="14" t="str">
        <x:v>Planlandı</x:v>
      </x:c>
      <x:c r="S1995" s="15" t="str"/>
      <x:c r="T1995" s="14" t="str">
        <x:v>TYT etiketli kaynak temelden başlamak için sabittir; LGS dışı gereksiz ayrıntı zorunlu değildir.</x:v>
      </x:c>
    </x:row>
    <x:row r="1996">
      <x:c r="A1996" s="14" t="n">
        <x:v>1995</x:v>
      </x:c>
      <x:c r="B1996" s="15" t="n">
        <x:v>46456</x:v>
      </x:c>
      <x:c r="C1996" s="14" t="str">
        <x:v>Çarşamba</x:v>
      </x:c>
      <x:c r="D1996" s="14" t="str">
        <x:v>Okul Tatili</x:v>
      </x:c>
      <x:c r="E1996" s="14" t="str">
        <x:v>MEB 2. Dönem Ara Tatili</x:v>
      </x:c>
      <x:c r="F1996" s="14" t="str">
        <x:v>F3 - Kaynak/MEB Tamamlama</x:v>
      </x:c>
      <x:c r="G1996" s="14" t="str">
        <x:v>14:50</x:v>
      </x:c>
      <x:c r="H1996" s="14" t="str">
        <x:v>15:30</x:v>
      </x:c>
      <x:c r="I1996" s="14" t="str">
        <x:v>Türkçe</x:v>
      </x:c>
      <x:c r="J1996" s="14" t="str">
        <x:v>Kitap / MEB / Mastery</x:v>
      </x:c>
      <x:c r="K1996" s="14" t="str">
        <x:v>Kaynak Tamamlama / Zayıf Konu</x:v>
      </x:c>
      <x:c r="L1996" s="14" t="str">
        <x:v>13 Nisan %100 tamamlama hedefine göre en geride kalan Türkçe soru kaynağını/eksik MEB setini ilerlet; açık yanlışları kapat.</x:v>
      </x:c>
      <x:c r="M1996" s="14" t="str">
        <x:v>Ankara 8. Sınıf Dil Bilgisi Güçlendiren + açık MEB/yanlışlar</x:v>
      </x:c>
      <x:c r="N1996" s="14" t="str">
        <x:v>https://odsgm.meb.gov.tr/www/8sinif-calisma-sorulari/icerik/1632</x:v>
      </x:c>
      <x:c r="O1996" s="14" t="n">
        <x:v>15</x:v>
      </x:c>
      <x:c r="P1996" s="14" t="str">
        <x:v>Hayır</x:v>
      </x:c>
      <x:c r="Q1996" s="14" t="str">
        <x:v>Evet</x:v>
      </x:c>
      <x:c r="R1996" s="14" t="str">
        <x:v>Planlandı</x:v>
      </x:c>
      <x:c r="S1996" s="15" t="str"/>
      <x:c r="T1996" s="14" t="str"/>
    </x:row>
    <x:row r="1997">
      <x:c r="A1997" s="14" t="n">
        <x:v>1996</x:v>
      </x:c>
      <x:c r="B1997" s="15" t="n">
        <x:v>46456</x:v>
      </x:c>
      <x:c r="C1997" s="14" t="str">
        <x:v>Çarşamba</x:v>
      </x:c>
      <x:c r="D1997" s="14" t="str">
        <x:v>Okul Tatili</x:v>
      </x:c>
      <x:c r="E1997" s="14" t="str">
        <x:v>MEB 2. Dönem Ara Tatili</x:v>
      </x:c>
      <x:c r="F1997" s="14" t="str">
        <x:v>F3 - Kaynak/MEB Tamamlama</x:v>
      </x:c>
      <x:c r="G1997" s="14" t="str">
        <x:v>15:45</x:v>
      </x:c>
      <x:c r="H1997" s="14" t="str">
        <x:v>16:25</x:v>
      </x:c>
      <x:c r="I1997" s="14" t="str">
        <x:v>Fen</x:v>
      </x:c>
      <x:c r="J1997" s="14" t="str">
        <x:v>Konu / Tekrar</x:v>
      </x:c>
      <x:c r="K1997" s="14" t="str">
        <x:v>Elektrik Yüklü Cisimler</x:v>
      </x:c>
      <x:c r="L1997" s="14" t="str">
        <x:v>Elektrik Yüklü Cisimler — Fen konu anlatım playlistinden ilgili videoyu izle.</x:v>
      </x:c>
      <x:c r="M1997" s="14" t="str">
        <x:v>Fen Konu Anlatım</x:v>
      </x:c>
      <x:c r="N1997" s="14" t="str">
        <x:v>https://www.youtube.com/watch?v=AHdk01aR4Ko&amp;list=PLrQm7mt99FRV_Oe9xFavWzFpCIl7_XiWj</x:v>
      </x:c>
      <x:c r="O1997" s="14" t="n">
        <x:v>0</x:v>
      </x:c>
      <x:c r="P1997" s="14" t="str">
        <x:v>Hayır</x:v>
      </x:c>
      <x:c r="Q1997" s="14" t="str">
        <x:v>Evet</x:v>
      </x:c>
      <x:c r="R1997" s="14" t="str">
        <x:v>Planlandı</x:v>
      </x:c>
      <x:c r="S1997" s="15" t="str"/>
      <x:c r="T1997" s="14" t="str"/>
    </x:row>
    <x:row r="1998">
      <x:c r="A1998" s="14" t="n">
        <x:v>1997</x:v>
      </x:c>
      <x:c r="B1998" s="15" t="n">
        <x:v>46456</x:v>
      </x:c>
      <x:c r="C1998" s="14" t="str">
        <x:v>Çarşamba</x:v>
      </x:c>
      <x:c r="D1998" s="14" t="str">
        <x:v>Okul Tatili</x:v>
      </x:c>
      <x:c r="E1998" s="14" t="str">
        <x:v>MEB 2. Dönem Ara Tatili</x:v>
      </x:c>
      <x:c r="F1998" s="14" t="str">
        <x:v>F3 - Kaynak/MEB Tamamlama</x:v>
      </x:c>
      <x:c r="G1998" s="14" t="str">
        <x:v>16:35</x:v>
      </x:c>
      <x:c r="H1998" s="14" t="str">
        <x:v>17:15</x:v>
      </x:c>
      <x:c r="I1998" s="14" t="str">
        <x:v>Fen</x:v>
      </x:c>
      <x:c r="J1998" s="14" t="str">
        <x:v>Kitap / MEB / Mastery</x:v>
      </x:c>
      <x:c r="K1998" s="14" t="str">
        <x:v>Elektrik Yüklü Cisimler</x:v>
      </x:c>
      <x:c r="L1998" s="14" t="str">
        <x:v>Elektrik Yüklü Cisimler ile ilgili soru kitabından en az 20 soru / bugünkü test payını çöz.</x:v>
      </x:c>
      <x:c r="M1998" s="14" t="str">
        <x:v>Hız 8. Sınıf Fen (ISBN 9786257514859); tamamlandıysa Mozaik 8. Sınıf Fen</x:v>
      </x:c>
      <x:c r="N1998" s="14" t="str">
        <x:v>https://www.youtube.com/watch?v=AHdk01aR4Ko&amp;list=PLrQm7mt99FRV_Oe9xFavWzFpCIl7_XiWj</x:v>
      </x:c>
      <x:c r="O1998" s="14" t="n">
        <x:v>20</x:v>
      </x:c>
      <x:c r="P1998" s="14" t="str">
        <x:v>Hayır</x:v>
      </x:c>
      <x:c r="Q1998" s="14" t="str">
        <x:v>Evet</x:v>
      </x:c>
      <x:c r="R1998" s="14" t="str">
        <x:v>Planlandı</x:v>
      </x:c>
      <x:c r="S1998" s="15" t="str"/>
      <x:c r="T1998" s="14" t="str"/>
    </x:row>
    <x:row r="1999">
      <x:c r="A1999" s="14" t="n">
        <x:v>1998</x:v>
      </x:c>
      <x:c r="B1999" s="15" t="n">
        <x:v>46456</x:v>
      </x:c>
      <x:c r="C1999" s="14" t="str">
        <x:v>Çarşamba</x:v>
      </x:c>
      <x:c r="D1999" s="14" t="str">
        <x:v>Okul Tatili</x:v>
      </x:c>
      <x:c r="E1999" s="14" t="str">
        <x:v>MEB 2. Dönem Ara Tatili</x:v>
      </x:c>
      <x:c r="F1999" s="14" t="str">
        <x:v>F3 - Kaynak/MEB Tamamlama</x:v>
      </x:c>
      <x:c r="G1999" s="14" t="str">
        <x:v>18:25</x:v>
      </x:c>
      <x:c r="H1999" s="14" t="str">
        <x:v>18:45</x:v>
      </x:c>
      <x:c r="I1999" s="14" t="str">
        <x:v>Genel</x:v>
      </x:c>
      <x:c r="J1999" s="14" t="str">
        <x:v>Yanlış / Boş Analizi</x:v>
      </x:c>
      <x:c r="K1999" s="14" t="str">
        <x:v>Günlük</x:v>
      </x:c>
      <x:c r="L1999" s="14" t="str">
        <x:v>Bugünkü yanlış/boşları kaydet; çözümünü öğrenmeden kapatma. Hata türünü sınıflandır.</x:v>
      </x:c>
      <x:c r="M1999" s="14" t="str">
        <x:v>Yanlış Defteri</x:v>
      </x:c>
      <x:c r="N1999" s="14" t="str"/>
      <x:c r="O1999" s="14" t="n">
        <x:v>0</x:v>
      </x:c>
      <x:c r="P1999" s="14" t="str">
        <x:v>Hayır</x:v>
      </x:c>
      <x:c r="Q1999" s="14" t="str">
        <x:v>Evet</x:v>
      </x:c>
      <x:c r="R1999" s="14" t="str">
        <x:v>Planlandı</x:v>
      </x:c>
      <x:c r="S1999" s="15" t="str"/>
      <x:c r="T1999" s="14" t="str"/>
    </x:row>
    <x:row r="2000">
      <x:c r="A2000" s="14" t="n">
        <x:v>1999</x:v>
      </x:c>
      <x:c r="B2000" s="15" t="n">
        <x:v>46456</x:v>
      </x:c>
      <x:c r="C2000" s="14" t="str">
        <x:v>Çarşamba</x:v>
      </x:c>
      <x:c r="D2000" s="14" t="str">
        <x:v>Okul Tatili</x:v>
      </x:c>
      <x:c r="E2000" s="14" t="str">
        <x:v>MEB 2. Dönem Ara Tatili</x:v>
      </x:c>
      <x:c r="F2000" s="14" t="str">
        <x:v>F3 - Kaynak/MEB Tamamlama</x:v>
      </x:c>
      <x:c r="G2000" s="14" t="str">
        <x:v>18:45</x:v>
      </x:c>
      <x:c r="H2000" s="14" t="str">
        <x:v>19:05</x:v>
      </x:c>
      <x:c r="I2000" s="14" t="str">
        <x:v>Genel</x:v>
      </x:c>
      <x:c r="J2000" s="14" t="str">
        <x:v>Aralıklı Hata Tekrarı</x:v>
      </x:c>
      <x:c r="K2000" s="14" t="str">
        <x:v>+1 / +7 / +21</x:v>
      </x:c>
      <x:c r="L2000" s="14" t="str">
        <x:v>Bugün vadesi gelen yanlış soruları tekrar çöz. Vadesi yoksa bu süre serbest/okuma olabilir.</x:v>
      </x:c>
      <x:c r="M2000" s="14" t="str">
        <x:v>Yanlış Defteri</x:v>
      </x:c>
      <x:c r="N2000" s="14" t="str"/>
      <x:c r="O2000" s="14" t="n">
        <x:v>0</x:v>
      </x:c>
      <x:c r="P2000" s="14" t="str">
        <x:v>Hayır</x:v>
      </x:c>
      <x:c r="Q2000" s="14" t="str">
        <x:v>Koşullu</x:v>
      </x:c>
      <x:c r="R2000" s="14" t="str">
        <x:v>Planlandı</x:v>
      </x:c>
      <x:c r="S2000" s="15" t="str"/>
      <x:c r="T2000" s="14" t="str">
        <x:v>Yanlışlar +1, +7 ve +21 gün aralıklarıyla tekrar edilir; hâlâ yanlışsa konu mastery durumu düşürülür.</x:v>
      </x:c>
    </x:row>
    <x:row r="2001">
      <x:c r="A2001" s="14" t="n">
        <x:v>2000</x:v>
      </x:c>
      <x:c r="B2001" s="15" t="n">
        <x:v>46456</x:v>
      </x:c>
      <x:c r="C2001" s="14" t="str">
        <x:v>Çarşamba</x:v>
      </x:c>
      <x:c r="D2001" s="14" t="str">
        <x:v>Okul Tatili</x:v>
      </x:c>
      <x:c r="E2001" s="14" t="str">
        <x:v>MEB 2. Dönem Ara Tatili</x:v>
      </x:c>
      <x:c r="F2001" s="14" t="str">
        <x:v>F3 - Kaynak/MEB Tamamlama</x:v>
      </x:c>
      <x:c r="G2001" s="14" t="str">
        <x:v>20:00</x:v>
      </x:c>
      <x:c r="H2001" s="14" t="str">
        <x:v>20:30</x:v>
      </x:c>
      <x:c r="I2001" s="14" t="str">
        <x:v>Okuma</x:v>
      </x:c>
      <x:c r="J2001" s="14" t="str">
        <x:v>İsteğe Bağlı</x:v>
      </x:c>
      <x:c r="K2001" s="14" t="str">
        <x:v>Serbest Kitap</x:v>
      </x:c>
      <x:c r="L2001" s="14" t="str">
        <x:v>Zorunlu çalışmalar bittiyse isteğe bağlı kitap oku.</x:v>
      </x:c>
      <x:c r="M2001" s="14" t="str">
        <x:v>Serbest Kitap</x:v>
      </x:c>
      <x:c r="N2001" s="14" t="str"/>
      <x:c r="O2001" s="14" t="n">
        <x:v>0</x:v>
      </x:c>
      <x:c r="P2001" s="14" t="str">
        <x:v>İsteğe Bağlı</x:v>
      </x:c>
      <x:c r="Q2001" s="14" t="str">
        <x:v>Hayır</x:v>
      </x:c>
      <x:c r="R2001" s="14" t="str">
        <x:v>Planlandı</x:v>
      </x:c>
      <x:c r="S2001" s="15" t="str"/>
      <x:c r="T2001" s="14" t="str">
        <x:v>Minimum süre yok.</x:v>
      </x:c>
    </x:row>
    <x:row r="2002">
      <x:c r="A2002" s="14" t="n">
        <x:v>2001</x:v>
      </x:c>
      <x:c r="B2002" s="15" t="n">
        <x:v>46456</x:v>
      </x:c>
      <x:c r="C2002" s="14" t="str">
        <x:v>Çarşamba</x:v>
      </x:c>
      <x:c r="D2002" s="14" t="str">
        <x:v>Okul Tatili</x:v>
      </x:c>
      <x:c r="E2002" s="14" t="str">
        <x:v>MEB 2. Dönem Ara Tatili</x:v>
      </x:c>
      <x:c r="F2002" s="14" t="str">
        <x:v>F3 - Kaynak/MEB Tamamlama</x:v>
      </x:c>
      <x:c r="G2002" s="14" t="str">
        <x:v>21:50</x:v>
      </x:c>
      <x:c r="H2002" s="14" t="str">
        <x:v>22:00</x:v>
      </x:c>
      <x:c r="I2002" s="14" t="str">
        <x:v>Genel</x:v>
      </x:c>
      <x:c r="J2002" s="14" t="str">
        <x:v>Uyku Hazırlığı</x:v>
      </x:c>
      <x:c r="K2002" s="14" t="str"/>
      <x:c r="L2002" s="14" t="str">
        <x:v>22:00'de yatakta ve uyku.</x:v>
      </x:c>
      <x:c r="M2002" s="14" t="str"/>
      <x:c r="N2002" s="14" t="str"/>
      <x:c r="O2002" s="14" t="n">
        <x:v>0</x:v>
      </x:c>
      <x:c r="P2002" s="14" t="str">
        <x:v>Hayır</x:v>
      </x:c>
      <x:c r="Q2002" s="14" t="str">
        <x:v>Hayır</x:v>
      </x:c>
      <x:c r="R2002" s="14" t="str">
        <x:v>Planlandı</x:v>
      </x:c>
      <x:c r="S2002" s="15" t="str"/>
      <x:c r="T2002" s="14" t="str"/>
    </x:row>
    <x:row r="2003">
      <x:c r="A2003" s="14" t="n">
        <x:v>2002</x:v>
      </x:c>
      <x:c r="B2003" s="15" t="n">
        <x:v>46457</x:v>
      </x:c>
      <x:c r="C2003" s="14" t="str">
        <x:v>Perşembe</x:v>
      </x:c>
      <x:c r="D2003" s="14" t="str">
        <x:v>Okul Tatili</x:v>
      </x:c>
      <x:c r="E2003" s="14" t="str">
        <x:v>MEB 2. Dönem Ara Tatili</x:v>
      </x:c>
      <x:c r="F2003" s="14" t="str">
        <x:v>F3 - Kaynak/MEB Tamamlama</x:v>
      </x:c>
      <x:c r="G2003" s="14" t="str">
        <x:v>09:30</x:v>
      </x:c>
      <x:c r="H2003" s="14" t="str">
        <x:v>10:15</x:v>
      </x:c>
      <x:c r="I2003" s="14" t="str">
        <x:v>Matematik</x:v>
      </x:c>
      <x:c r="J2003" s="14" t="str">
        <x:v>Konu / Tekrar</x:v>
      </x:c>
      <x:c r="K2003" s="14" t="str">
        <x:v>Kaynak Tamamlama / Zayıf Konu</x:v>
      </x:c>
      <x:c r="L2003" s="14" t="str">
        <x:v>Yeni konu açma. En zayıf/açık konunun ilgili playlist videosunu yalnız gerekiyorsa tekrar izle.</x:v>
      </x:c>
      <x:c r="M2003" s="14" t="str">
        <x:v>Matematik Ana Oynatma Listesi</x:v>
      </x:c>
      <x:c r="N2003" s="14" t="str">
        <x:v>https://www.youtube.com/watch?v=EuJ89QzqrAg&amp;list=PLicNtF7vp6fnfDqrRLH6H7fIbzYT4ct4F&amp;index=11</x:v>
      </x:c>
      <x:c r="O2003" s="14" t="n">
        <x:v>0</x:v>
      </x:c>
      <x:c r="P2003" s="14" t="str">
        <x:v>Hayır</x:v>
      </x:c>
      <x:c r="Q2003" s="14" t="str">
        <x:v>Evet</x:v>
      </x:c>
      <x:c r="R2003" s="14" t="str">
        <x:v>Planlandı</x:v>
      </x:c>
      <x:c r="S2003" s="15" t="str"/>
      <x:c r="T2003" s="14" t="str">
        <x:v>Yeni konu ancak plan sırasıyla açılır; LGS dışı ileri TYT içeriği zorunlu değildir.</x:v>
      </x:c>
    </x:row>
    <x:row r="2004">
      <x:c r="A2004" s="14" t="n">
        <x:v>2003</x:v>
      </x:c>
      <x:c r="B2004" s="15" t="n">
        <x:v>46457</x:v>
      </x:c>
      <x:c r="C2004" s="14" t="str">
        <x:v>Perşembe</x:v>
      </x:c>
      <x:c r="D2004" s="14" t="str">
        <x:v>Okul Tatili</x:v>
      </x:c>
      <x:c r="E2004" s="14" t="str">
        <x:v>MEB 2. Dönem Ara Tatili</x:v>
      </x:c>
      <x:c r="F2004" s="14" t="str">
        <x:v>F3 - Kaynak/MEB Tamamlama</x:v>
      </x:c>
      <x:c r="G2004" s="14" t="str">
        <x:v>10:25</x:v>
      </x:c>
      <x:c r="H2004" s="14" t="str">
        <x:v>11:15</x:v>
      </x:c>
      <x:c r="I2004" s="14" t="str">
        <x:v>Matematik</x:v>
      </x:c>
      <x:c r="J2004" s="14" t="str">
        <x:v>Kitap / MEB / Mastery</x:v>
      </x:c>
      <x:c r="K2004" s="14" t="str">
        <x:v>Kaynak Tamamlama / Zayıf Konu</x:v>
      </x:c>
      <x:c r="L2004" s="14" t="str">
        <x:v>13 Nisan %100 tamamlama hedefine göre en geride kalan Matematik soru kaynağını/eksik MEB setini ilerlet; açık yanlışları kapat.</x:v>
      </x:c>
      <x:c r="M2004" s="14" t="str">
        <x:v>MUBA 8. Sınıf Başlangıç Matematik (ISBN 9789756526972) → tamamlandıysa Mozaik 8. Sınıf Matematik; açık MEB/yanlışlar</x:v>
      </x:c>
      <x:c r="N2004" s="14" t="str">
        <x:v>https://odsgm.meb.gov.tr/www/8sinif-calisma-sorulari/icerik/1632</x:v>
      </x:c>
      <x:c r="O2004" s="14" t="n">
        <x:v>30</x:v>
      </x:c>
      <x:c r="P2004" s="14" t="str">
        <x:v>İlk 20 soru</x:v>
      </x:c>
      <x:c r="Q2004" s="14" t="str">
        <x:v>Evet</x:v>
      </x:c>
      <x:c r="R2004" s="14" t="str">
        <x:v>Planlandı</x:v>
      </x:c>
      <x:c r="S2004" s="15" t="str"/>
      <x:c r="T2004" s="14" t="str">
        <x:v>Ayrı/rastgele matematik benchmark yoktur. Süreli ilk 20 soru o gün çalışılan konunun içindedir.</x:v>
      </x:c>
    </x:row>
    <x:row r="2005">
      <x:c r="A2005" s="14" t="n">
        <x:v>2004</x:v>
      </x:c>
      <x:c r="B2005" s="15" t="n">
        <x:v>46457</x:v>
      </x:c>
      <x:c r="C2005" s="14" t="str">
        <x:v>Perşembe</x:v>
      </x:c>
      <x:c r="D2005" s="14" t="str">
        <x:v>Okul Tatili</x:v>
      </x:c>
      <x:c r="E2005" s="14" t="str">
        <x:v>MEB 2. Dönem Ara Tatili</x:v>
      </x:c>
      <x:c r="F2005" s="14" t="str">
        <x:v>F3 - Kaynak/MEB Tamamlama</x:v>
      </x:c>
      <x:c r="G2005" s="14" t="str">
        <x:v>12:00</x:v>
      </x:c>
      <x:c r="H2005" s="14" t="str">
        <x:v>14:00</x:v>
      </x:c>
      <x:c r="I2005" s="14" t="str">
        <x:v>Genel</x:v>
      </x:c>
      <x:c r="J2005" s="14" t="str">
        <x:v>Yemek / Serbest Zaman</x:v>
      </x:c>
      <x:c r="K2005" s="14" t="str"/>
      <x:c r="L2005" s="14" t="str">
        <x:v>Yemek, hareket ve dinlenme.</x:v>
      </x:c>
      <x:c r="M2005" s="14" t="str"/>
      <x:c r="N2005" s="14" t="str"/>
      <x:c r="O2005" s="14" t="n">
        <x:v>0</x:v>
      </x:c>
      <x:c r="P2005" s="14" t="str">
        <x:v>Hayır</x:v>
      </x:c>
      <x:c r="Q2005" s="14" t="str">
        <x:v>Hayır</x:v>
      </x:c>
      <x:c r="R2005" s="14" t="str">
        <x:v>Planlandı</x:v>
      </x:c>
      <x:c r="S2005" s="15" t="str"/>
      <x:c r="T2005" s="14" t="str"/>
    </x:row>
    <x:row r="2006">
      <x:c r="A2006" s="14" t="n">
        <x:v>2005</x:v>
      </x:c>
      <x:c r="B2006" s="15" t="n">
        <x:v>46457</x:v>
      </x:c>
      <x:c r="C2006" s="14" t="str">
        <x:v>Perşembe</x:v>
      </x:c>
      <x:c r="D2006" s="14" t="str">
        <x:v>Okul Tatili</x:v>
      </x:c>
      <x:c r="E2006" s="14" t="str">
        <x:v>MEB 2. Dönem Ara Tatili</x:v>
      </x:c>
      <x:c r="F2006" s="14" t="str">
        <x:v>F3 - Kaynak/MEB Tamamlama</x:v>
      </x:c>
      <x:c r="G2006" s="14" t="str">
        <x:v>11:25</x:v>
      </x:c>
      <x:c r="H2006" s="14" t="str">
        <x:v>11:55</x:v>
      </x:c>
      <x:c r="I2006" s="14" t="str">
        <x:v>Türkçe</x:v>
      </x:c>
      <x:c r="J2006" s="14" t="str">
        <x:v>Paragraf Rutini</x:v>
      </x:c>
      <x:c r="K2006" s="14" t="str">
        <x:v>Paragraf</x:v>
      </x:c>
      <x:c r="L2006" s="14" t="str">
        <x:v>En az 30 paragraf sorusu çöz; ilk 20 soruyu ileri sayımla ölç, D/Y/B + süre kaydet.</x:v>
      </x:c>
      <x:c r="M2006" s="14" t="str">
        <x:v>Hız 8. Sınıf Türkçe Paragraf (ISBN 9786258394498)</x:v>
      </x:c>
      <x:c r="N2006" s="14" t="str"/>
      <x:c r="O2006" s="14" t="n">
        <x:v>30</x:v>
      </x:c>
      <x:c r="P2006" s="14" t="str">
        <x:v>İlk 20 soru</x:v>
      </x:c>
      <x:c r="Q2006" s="14" t="str">
        <x:v>Evet</x:v>
      </x:c>
      <x:c r="R2006" s="14" t="str">
        <x:v>Planlandı</x:v>
      </x:c>
      <x:c r="S2006" s="15" t="str"/>
      <x:c r="T2006" s="14" t="str">
        <x:v>Geri sayım ve hedef süre yok.</x:v>
      </x:c>
    </x:row>
    <x:row r="2007">
      <x:c r="A2007" s="14" t="n">
        <x:v>2006</x:v>
      </x:c>
      <x:c r="B2007" s="15" t="n">
        <x:v>46457</x:v>
      </x:c>
      <x:c r="C2007" s="14" t="str">
        <x:v>Perşembe</x:v>
      </x:c>
      <x:c r="D2007" s="14" t="str">
        <x:v>Okul Tatili</x:v>
      </x:c>
      <x:c r="E2007" s="14" t="str">
        <x:v>MEB 2. Dönem Ara Tatili</x:v>
      </x:c>
      <x:c r="F2007" s="14" t="str">
        <x:v>F3 - Kaynak/MEB Tamamlama</x:v>
      </x:c>
      <x:c r="G2007" s="14" t="str">
        <x:v>14:00</x:v>
      </x:c>
      <x:c r="H2007" s="14" t="str">
        <x:v>14:40</x:v>
      </x:c>
      <x:c r="I2007" s="14" t="str">
        <x:v>Türkçe</x:v>
      </x:c>
      <x:c r="J2007" s="14" t="str">
        <x:v>Konu / Tekrar</x:v>
      </x:c>
      <x:c r="K2007" s="14" t="str">
        <x:v>Kaynak Tamamlama / Zayıf Konu</x:v>
      </x:c>
      <x:c r="L2007" s="14" t="str">
        <x:v>Yeni konu açma. En zayıf/açık konunun ilgili playlist videosunu yalnız gerekiyorsa tekrar izle.</x:v>
      </x:c>
      <x:c r="M2007" s="14" t="str">
        <x:v>Türkçe Ana Oynatma Listesi</x:v>
      </x:c>
      <x:c r="N2007" s="14" t="str">
        <x:v>https://www.youtube.com/watch?v=VYsPntNKVdw&amp;list=PLIBjFaUoJJ91bz7QQEBlxNJNZka5YQRr6</x:v>
      </x:c>
      <x:c r="O2007" s="14" t="n">
        <x:v>0</x:v>
      </x:c>
      <x:c r="P2007" s="14" t="str">
        <x:v>Hayır</x:v>
      </x:c>
      <x:c r="Q2007" s="14" t="str">
        <x:v>Evet</x:v>
      </x:c>
      <x:c r="R2007" s="14" t="str">
        <x:v>Planlandı</x:v>
      </x:c>
      <x:c r="S2007" s="15" t="str"/>
      <x:c r="T2007" s="14" t="str">
        <x:v>TYT etiketli kaynak temelden başlamak için sabittir; LGS dışı gereksiz ayrıntı zorunlu değildir.</x:v>
      </x:c>
    </x:row>
    <x:row r="2008">
      <x:c r="A2008" s="14" t="n">
        <x:v>2007</x:v>
      </x:c>
      <x:c r="B2008" s="15" t="n">
        <x:v>46457</x:v>
      </x:c>
      <x:c r="C2008" s="14" t="str">
        <x:v>Perşembe</x:v>
      </x:c>
      <x:c r="D2008" s="14" t="str">
        <x:v>Okul Tatili</x:v>
      </x:c>
      <x:c r="E2008" s="14" t="str">
        <x:v>MEB 2. Dönem Ara Tatili</x:v>
      </x:c>
      <x:c r="F2008" s="14" t="str">
        <x:v>F3 - Kaynak/MEB Tamamlama</x:v>
      </x:c>
      <x:c r="G2008" s="14" t="str">
        <x:v>14:50</x:v>
      </x:c>
      <x:c r="H2008" s="14" t="str">
        <x:v>15:30</x:v>
      </x:c>
      <x:c r="I2008" s="14" t="str">
        <x:v>Türkçe</x:v>
      </x:c>
      <x:c r="J2008" s="14" t="str">
        <x:v>Kitap / MEB / Mastery</x:v>
      </x:c>
      <x:c r="K2008" s="14" t="str">
        <x:v>Kaynak Tamamlama / Zayıf Konu</x:v>
      </x:c>
      <x:c r="L2008" s="14" t="str">
        <x:v>13 Nisan %100 tamamlama hedefine göre en geride kalan Türkçe soru kaynağını/eksik MEB setini ilerlet; açık yanlışları kapat.</x:v>
      </x:c>
      <x:c r="M2008" s="14" t="str">
        <x:v>Ankara 8. Sınıf Dil Bilgisi Güçlendiren + açık MEB/yanlışlar</x:v>
      </x:c>
      <x:c r="N2008" s="14" t="str">
        <x:v>https://odsgm.meb.gov.tr/www/8sinif-calisma-sorulari/icerik/1632</x:v>
      </x:c>
      <x:c r="O2008" s="14" t="n">
        <x:v>15</x:v>
      </x:c>
      <x:c r="P2008" s="14" t="str">
        <x:v>Hayır</x:v>
      </x:c>
      <x:c r="Q2008" s="14" t="str">
        <x:v>Evet</x:v>
      </x:c>
      <x:c r="R2008" s="14" t="str">
        <x:v>Planlandı</x:v>
      </x:c>
      <x:c r="S2008" s="15" t="str"/>
      <x:c r="T2008" s="14" t="str"/>
    </x:row>
    <x:row r="2009">
      <x:c r="A2009" s="14" t="n">
        <x:v>2008</x:v>
      </x:c>
      <x:c r="B2009" s="15" t="n">
        <x:v>46457</x:v>
      </x:c>
      <x:c r="C2009" s="14" t="str">
        <x:v>Perşembe</x:v>
      </x:c>
      <x:c r="D2009" s="14" t="str">
        <x:v>Okul Tatili</x:v>
      </x:c>
      <x:c r="E2009" s="14" t="str">
        <x:v>MEB 2. Dönem Ara Tatili</x:v>
      </x:c>
      <x:c r="F2009" s="14" t="str">
        <x:v>F3 - Kaynak/MEB Tamamlama</x:v>
      </x:c>
      <x:c r="G2009" s="14" t="str">
        <x:v>15:45</x:v>
      </x:c>
      <x:c r="H2009" s="14" t="str">
        <x:v>16:25</x:v>
      </x:c>
      <x:c r="I2009" s="14" t="str">
        <x:v>Din</x:v>
      </x:c>
      <x:c r="J2009" s="14" t="str">
        <x:v>Konu / Tekrar</x:v>
      </x:c>
      <x:c r="K2009" s="14" t="str">
        <x:v>Kaynak Tamamlama / Zayıf Konu</x:v>
      </x:c>
      <x:c r="L2009" s="14" t="str">
        <x:v>Yeni konu açma. En zayıf/açık konunun ilgili playlist videosunu yalnız gerekiyorsa tekrar izle.</x:v>
      </x:c>
      <x:c r="M2009" s="14" t="str">
        <x:v>Din Genel Oynatma Listesi</x:v>
      </x:c>
      <x:c r="N2009" s="14" t="str">
        <x:v>https://www.youtube.com/watch?v=wvdOE_75VnA&amp;list=PLbRoPq-Zu-SWXGUbVt4t4UWo-4VjsMUo-&amp;index=2</x:v>
      </x:c>
      <x:c r="O2009" s="14" t="n">
        <x:v>0</x:v>
      </x:c>
      <x:c r="P2009" s="14" t="str">
        <x:v>Hayır</x:v>
      </x:c>
      <x:c r="Q2009" s="14" t="str">
        <x:v>Evet</x:v>
      </x:c>
      <x:c r="R2009" s="14" t="str">
        <x:v>Planlandı</x:v>
      </x:c>
      <x:c r="S2009" s="15" t="str"/>
      <x:c r="T2009" s="14" t="str"/>
    </x:row>
    <x:row r="2010">
      <x:c r="A2010" s="14" t="n">
        <x:v>2009</x:v>
      </x:c>
      <x:c r="B2010" s="15" t="n">
        <x:v>46457</x:v>
      </x:c>
      <x:c r="C2010" s="14" t="str">
        <x:v>Perşembe</x:v>
      </x:c>
      <x:c r="D2010" s="14" t="str">
        <x:v>Okul Tatili</x:v>
      </x:c>
      <x:c r="E2010" s="14" t="str">
        <x:v>MEB 2. Dönem Ara Tatili</x:v>
      </x:c>
      <x:c r="F2010" s="14" t="str">
        <x:v>F3 - Kaynak/MEB Tamamlama</x:v>
      </x:c>
      <x:c r="G2010" s="14" t="str">
        <x:v>16:35</x:v>
      </x:c>
      <x:c r="H2010" s="14" t="str">
        <x:v>17:15</x:v>
      </x:c>
      <x:c r="I2010" s="14" t="str">
        <x:v>Din</x:v>
      </x:c>
      <x:c r="J2010" s="14" t="str">
        <x:v>Kitap / MEB / Mastery</x:v>
      </x:c>
      <x:c r="K2010" s="14" t="str">
        <x:v>Kaynak Tamamlama / Zayıf Konu</x:v>
      </x:c>
      <x:c r="L2010" s="14" t="str">
        <x:v>13 Nisan %100 tamamlama hedefine göre en geride kalan Din soru kaynağını/eksik MEB setini ilerlet; açık yanlışları kapat.</x:v>
      </x:c>
      <x:c r="M2010" s="14" t="str">
        <x:v>Hız 8. Sınıf Din Kültürü ve Ahlak Bilgisi + açık MEB/yanlışlar</x:v>
      </x:c>
      <x:c r="N2010" s="14" t="str">
        <x:v>https://odsgm.meb.gov.tr/www/8sinif-calisma-sorulari/icerik/1632</x:v>
      </x:c>
      <x:c r="O2010" s="14" t="n">
        <x:v>20</x:v>
      </x:c>
      <x:c r="P2010" s="14" t="str">
        <x:v>Hayır</x:v>
      </x:c>
      <x:c r="Q2010" s="14" t="str">
        <x:v>Evet</x:v>
      </x:c>
      <x:c r="R2010" s="14" t="str">
        <x:v>Planlandı</x:v>
      </x:c>
      <x:c r="S2010" s="15" t="str"/>
      <x:c r="T2010" s="14" t="str"/>
    </x:row>
    <x:row r="2011">
      <x:c r="A2011" s="14" t="n">
        <x:v>2010</x:v>
      </x:c>
      <x:c r="B2011" s="15" t="n">
        <x:v>46457</x:v>
      </x:c>
      <x:c r="C2011" s="14" t="str">
        <x:v>Perşembe</x:v>
      </x:c>
      <x:c r="D2011" s="14" t="str">
        <x:v>Okul Tatili</x:v>
      </x:c>
      <x:c r="E2011" s="14" t="str">
        <x:v>MEB 2. Dönem Ara Tatili</x:v>
      </x:c>
      <x:c r="F2011" s="14" t="str">
        <x:v>F3 - Kaynak/MEB Tamamlama</x:v>
      </x:c>
      <x:c r="G2011" s="14" t="str">
        <x:v>18:25</x:v>
      </x:c>
      <x:c r="H2011" s="14" t="str">
        <x:v>18:45</x:v>
      </x:c>
      <x:c r="I2011" s="14" t="str">
        <x:v>Genel</x:v>
      </x:c>
      <x:c r="J2011" s="14" t="str">
        <x:v>Yanlış / Boş Analizi</x:v>
      </x:c>
      <x:c r="K2011" s="14" t="str">
        <x:v>Günlük</x:v>
      </x:c>
      <x:c r="L2011" s="14" t="str">
        <x:v>Bugünkü yanlış/boşları kaydet; çözümünü öğrenmeden kapatma. Hata türünü sınıflandır.</x:v>
      </x:c>
      <x:c r="M2011" s="14" t="str">
        <x:v>Yanlış Defteri</x:v>
      </x:c>
      <x:c r="N2011" s="14" t="str"/>
      <x:c r="O2011" s="14" t="n">
        <x:v>0</x:v>
      </x:c>
      <x:c r="P2011" s="14" t="str">
        <x:v>Hayır</x:v>
      </x:c>
      <x:c r="Q2011" s="14" t="str">
        <x:v>Evet</x:v>
      </x:c>
      <x:c r="R2011" s="14" t="str">
        <x:v>Planlandı</x:v>
      </x:c>
      <x:c r="S2011" s="15" t="str"/>
      <x:c r="T2011" s="14" t="str"/>
    </x:row>
    <x:row r="2012">
      <x:c r="A2012" s="14" t="n">
        <x:v>2011</x:v>
      </x:c>
      <x:c r="B2012" s="15" t="n">
        <x:v>46457</x:v>
      </x:c>
      <x:c r="C2012" s="14" t="str">
        <x:v>Perşembe</x:v>
      </x:c>
      <x:c r="D2012" s="14" t="str">
        <x:v>Okul Tatili</x:v>
      </x:c>
      <x:c r="E2012" s="14" t="str">
        <x:v>MEB 2. Dönem Ara Tatili</x:v>
      </x:c>
      <x:c r="F2012" s="14" t="str">
        <x:v>F3 - Kaynak/MEB Tamamlama</x:v>
      </x:c>
      <x:c r="G2012" s="14" t="str">
        <x:v>18:45</x:v>
      </x:c>
      <x:c r="H2012" s="14" t="str">
        <x:v>19:05</x:v>
      </x:c>
      <x:c r="I2012" s="14" t="str">
        <x:v>Genel</x:v>
      </x:c>
      <x:c r="J2012" s="14" t="str">
        <x:v>Aralıklı Hata Tekrarı</x:v>
      </x:c>
      <x:c r="K2012" s="14" t="str">
        <x:v>+1 / +7 / +21</x:v>
      </x:c>
      <x:c r="L2012" s="14" t="str">
        <x:v>Bugün vadesi gelen yanlış soruları tekrar çöz. Vadesi yoksa bu süre serbest/okuma olabilir.</x:v>
      </x:c>
      <x:c r="M2012" s="14" t="str">
        <x:v>Yanlış Defteri</x:v>
      </x:c>
      <x:c r="N2012" s="14" t="str"/>
      <x:c r="O2012" s="14" t="n">
        <x:v>0</x:v>
      </x:c>
      <x:c r="P2012" s="14" t="str">
        <x:v>Hayır</x:v>
      </x:c>
      <x:c r="Q2012" s="14" t="str">
        <x:v>Koşullu</x:v>
      </x:c>
      <x:c r="R2012" s="14" t="str">
        <x:v>Planlandı</x:v>
      </x:c>
      <x:c r="S2012" s="15" t="str"/>
      <x:c r="T2012" s="14" t="str">
        <x:v>Yanlışlar +1, +7 ve +21 gün aralıklarıyla tekrar edilir; hâlâ yanlışsa konu mastery durumu düşürülür.</x:v>
      </x:c>
    </x:row>
    <x:row r="2013">
      <x:c r="A2013" s="14" t="n">
        <x:v>2012</x:v>
      </x:c>
      <x:c r="B2013" s="15" t="n">
        <x:v>46457</x:v>
      </x:c>
      <x:c r="C2013" s="14" t="str">
        <x:v>Perşembe</x:v>
      </x:c>
      <x:c r="D2013" s="14" t="str">
        <x:v>Okul Tatili</x:v>
      </x:c>
      <x:c r="E2013" s="14" t="str">
        <x:v>MEB 2. Dönem Ara Tatili</x:v>
      </x:c>
      <x:c r="F2013" s="14" t="str">
        <x:v>F3 - Kaynak/MEB Tamamlama</x:v>
      </x:c>
      <x:c r="G2013" s="14" t="str">
        <x:v>20:00</x:v>
      </x:c>
      <x:c r="H2013" s="14" t="str">
        <x:v>20:30</x:v>
      </x:c>
      <x:c r="I2013" s="14" t="str">
        <x:v>Okuma</x:v>
      </x:c>
      <x:c r="J2013" s="14" t="str">
        <x:v>İsteğe Bağlı</x:v>
      </x:c>
      <x:c r="K2013" s="14" t="str">
        <x:v>Serbest Kitap</x:v>
      </x:c>
      <x:c r="L2013" s="14" t="str">
        <x:v>Zorunlu çalışmalar bittiyse isteğe bağlı kitap oku.</x:v>
      </x:c>
      <x:c r="M2013" s="14" t="str">
        <x:v>Serbest Kitap</x:v>
      </x:c>
      <x:c r="N2013" s="14" t="str"/>
      <x:c r="O2013" s="14" t="n">
        <x:v>0</x:v>
      </x:c>
      <x:c r="P2013" s="14" t="str">
        <x:v>İsteğe Bağlı</x:v>
      </x:c>
      <x:c r="Q2013" s="14" t="str">
        <x:v>Hayır</x:v>
      </x:c>
      <x:c r="R2013" s="14" t="str">
        <x:v>Planlandı</x:v>
      </x:c>
      <x:c r="S2013" s="15" t="str"/>
      <x:c r="T2013" s="14" t="str">
        <x:v>Minimum süre yok.</x:v>
      </x:c>
    </x:row>
    <x:row r="2014">
      <x:c r="A2014" s="14" t="n">
        <x:v>2013</x:v>
      </x:c>
      <x:c r="B2014" s="15" t="n">
        <x:v>46457</x:v>
      </x:c>
      <x:c r="C2014" s="14" t="str">
        <x:v>Perşembe</x:v>
      </x:c>
      <x:c r="D2014" s="14" t="str">
        <x:v>Okul Tatili</x:v>
      </x:c>
      <x:c r="E2014" s="14" t="str">
        <x:v>MEB 2. Dönem Ara Tatili</x:v>
      </x:c>
      <x:c r="F2014" s="14" t="str">
        <x:v>F3 - Kaynak/MEB Tamamlama</x:v>
      </x:c>
      <x:c r="G2014" s="14" t="str">
        <x:v>21:50</x:v>
      </x:c>
      <x:c r="H2014" s="14" t="str">
        <x:v>22:00</x:v>
      </x:c>
      <x:c r="I2014" s="14" t="str">
        <x:v>Genel</x:v>
      </x:c>
      <x:c r="J2014" s="14" t="str">
        <x:v>Uyku Hazırlığı</x:v>
      </x:c>
      <x:c r="K2014" s="14" t="str"/>
      <x:c r="L2014" s="14" t="str">
        <x:v>22:00'de yatakta ve uyku.</x:v>
      </x:c>
      <x:c r="M2014" s="14" t="str"/>
      <x:c r="N2014" s="14" t="str"/>
      <x:c r="O2014" s="14" t="n">
        <x:v>0</x:v>
      </x:c>
      <x:c r="P2014" s="14" t="str">
        <x:v>Hayır</x:v>
      </x:c>
      <x:c r="Q2014" s="14" t="str">
        <x:v>Hayır</x:v>
      </x:c>
      <x:c r="R2014" s="14" t="str">
        <x:v>Planlandı</x:v>
      </x:c>
      <x:c r="S2014" s="15" t="str"/>
      <x:c r="T2014" s="14" t="str"/>
    </x:row>
    <x:row r="2015">
      <x:c r="A2015" s="14" t="n">
        <x:v>2014</x:v>
      </x:c>
      <x:c r="B2015" s="15" t="n">
        <x:v>46458</x:v>
      </x:c>
      <x:c r="C2015" s="14" t="str">
        <x:v>Cuma</x:v>
      </x:c>
      <x:c r="D2015" s="14" t="str">
        <x:v>Okul Tatili</x:v>
      </x:c>
      <x:c r="E2015" s="14" t="str">
        <x:v>MEB 2. Dönem Ara Tatili</x:v>
      </x:c>
      <x:c r="F2015" s="14" t="str">
        <x:v>F3 - Kaynak/MEB Tamamlama</x:v>
      </x:c>
      <x:c r="G2015" s="14" t="str">
        <x:v>09:30</x:v>
      </x:c>
      <x:c r="H2015" s="14" t="str">
        <x:v>10:15</x:v>
      </x:c>
      <x:c r="I2015" s="14" t="str">
        <x:v>Matematik</x:v>
      </x:c>
      <x:c r="J2015" s="14" t="str">
        <x:v>Konu / Tekrar</x:v>
      </x:c>
      <x:c r="K2015" s="14" t="str">
        <x:v>Kaynak Tamamlama / Zayıf Konu</x:v>
      </x:c>
      <x:c r="L2015" s="14" t="str">
        <x:v>Yeni konu açma. En zayıf/açık konunun ilgili playlist videosunu yalnız gerekiyorsa tekrar izle.</x:v>
      </x:c>
      <x:c r="M2015" s="14" t="str">
        <x:v>Matematik Ana Oynatma Listesi</x:v>
      </x:c>
      <x:c r="N2015" s="14" t="str">
        <x:v>https://www.youtube.com/watch?v=EuJ89QzqrAg&amp;list=PLicNtF7vp6fnfDqrRLH6H7fIbzYT4ct4F&amp;index=11</x:v>
      </x:c>
      <x:c r="O2015" s="14" t="n">
        <x:v>0</x:v>
      </x:c>
      <x:c r="P2015" s="14" t="str">
        <x:v>Hayır</x:v>
      </x:c>
      <x:c r="Q2015" s="14" t="str">
        <x:v>Evet</x:v>
      </x:c>
      <x:c r="R2015" s="14" t="str">
        <x:v>Planlandı</x:v>
      </x:c>
      <x:c r="S2015" s="15" t="str"/>
      <x:c r="T2015" s="14" t="str">
        <x:v>Yeni konu ancak plan sırasıyla açılır; LGS dışı ileri TYT içeriği zorunlu değildir.</x:v>
      </x:c>
    </x:row>
    <x:row r="2016">
      <x:c r="A2016" s="14" t="n">
        <x:v>2015</x:v>
      </x:c>
      <x:c r="B2016" s="15" t="n">
        <x:v>46458</x:v>
      </x:c>
      <x:c r="C2016" s="14" t="str">
        <x:v>Cuma</x:v>
      </x:c>
      <x:c r="D2016" s="14" t="str">
        <x:v>Okul Tatili</x:v>
      </x:c>
      <x:c r="E2016" s="14" t="str">
        <x:v>MEB 2. Dönem Ara Tatili</x:v>
      </x:c>
      <x:c r="F2016" s="14" t="str">
        <x:v>F3 - Kaynak/MEB Tamamlama</x:v>
      </x:c>
      <x:c r="G2016" s="14" t="str">
        <x:v>10:25</x:v>
      </x:c>
      <x:c r="H2016" s="14" t="str">
        <x:v>11:15</x:v>
      </x:c>
      <x:c r="I2016" s="14" t="str">
        <x:v>Matematik</x:v>
      </x:c>
      <x:c r="J2016" s="14" t="str">
        <x:v>Kitap / MEB / Mastery</x:v>
      </x:c>
      <x:c r="K2016" s="14" t="str">
        <x:v>Kaynak Tamamlama / Zayıf Konu</x:v>
      </x:c>
      <x:c r="L2016" s="14" t="str">
        <x:v>13 Nisan %100 tamamlama hedefine göre en geride kalan Matematik soru kaynağını/eksik MEB setini ilerlet; açık yanlışları kapat.</x:v>
      </x:c>
      <x:c r="M2016" s="14" t="str">
        <x:v>MUBA 8. Sınıf Başlangıç Matematik (ISBN 9789756526972) → tamamlandıysa Mozaik 8. Sınıf Matematik; açık MEB/yanlışlar</x:v>
      </x:c>
      <x:c r="N2016" s="14" t="str">
        <x:v>https://odsgm.meb.gov.tr/www/8sinif-calisma-sorulari/icerik/1632</x:v>
      </x:c>
      <x:c r="O2016" s="14" t="n">
        <x:v>30</x:v>
      </x:c>
      <x:c r="P2016" s="14" t="str">
        <x:v>İlk 20 soru</x:v>
      </x:c>
      <x:c r="Q2016" s="14" t="str">
        <x:v>Evet</x:v>
      </x:c>
      <x:c r="R2016" s="14" t="str">
        <x:v>Planlandı</x:v>
      </x:c>
      <x:c r="S2016" s="15" t="str"/>
      <x:c r="T2016" s="14" t="str">
        <x:v>Ayrı/rastgele matematik benchmark yoktur. Süreli ilk 20 soru o gün çalışılan konunun içindedir.</x:v>
      </x:c>
    </x:row>
    <x:row r="2017">
      <x:c r="A2017" s="14" t="n">
        <x:v>2016</x:v>
      </x:c>
      <x:c r="B2017" s="15" t="n">
        <x:v>46458</x:v>
      </x:c>
      <x:c r="C2017" s="14" t="str">
        <x:v>Cuma</x:v>
      </x:c>
      <x:c r="D2017" s="14" t="str">
        <x:v>Okul Tatili</x:v>
      </x:c>
      <x:c r="E2017" s="14" t="str">
        <x:v>MEB 2. Dönem Ara Tatili</x:v>
      </x:c>
      <x:c r="F2017" s="14" t="str">
        <x:v>F3 - Kaynak/MEB Tamamlama</x:v>
      </x:c>
      <x:c r="G2017" s="14" t="str">
        <x:v>12:00</x:v>
      </x:c>
      <x:c r="H2017" s="14" t="str">
        <x:v>14:00</x:v>
      </x:c>
      <x:c r="I2017" s="14" t="str">
        <x:v>Genel</x:v>
      </x:c>
      <x:c r="J2017" s="14" t="str">
        <x:v>Yemek / Serbest Zaman</x:v>
      </x:c>
      <x:c r="K2017" s="14" t="str"/>
      <x:c r="L2017" s="14" t="str">
        <x:v>Yemek, hareket ve dinlenme.</x:v>
      </x:c>
      <x:c r="M2017" s="14" t="str"/>
      <x:c r="N2017" s="14" t="str"/>
      <x:c r="O2017" s="14" t="n">
        <x:v>0</x:v>
      </x:c>
      <x:c r="P2017" s="14" t="str">
        <x:v>Hayır</x:v>
      </x:c>
      <x:c r="Q2017" s="14" t="str">
        <x:v>Hayır</x:v>
      </x:c>
      <x:c r="R2017" s="14" t="str">
        <x:v>Planlandı</x:v>
      </x:c>
      <x:c r="S2017" s="15" t="str"/>
      <x:c r="T2017" s="14" t="str"/>
    </x:row>
    <x:row r="2018">
      <x:c r="A2018" s="14" t="n">
        <x:v>2017</x:v>
      </x:c>
      <x:c r="B2018" s="15" t="n">
        <x:v>46458</x:v>
      </x:c>
      <x:c r="C2018" s="14" t="str">
        <x:v>Cuma</x:v>
      </x:c>
      <x:c r="D2018" s="14" t="str">
        <x:v>Okul Tatili</x:v>
      </x:c>
      <x:c r="E2018" s="14" t="str">
        <x:v>MEB 2. Dönem Ara Tatili</x:v>
      </x:c>
      <x:c r="F2018" s="14" t="str">
        <x:v>F3 - Kaynak/MEB Tamamlama</x:v>
      </x:c>
      <x:c r="G2018" s="14" t="str">
        <x:v>11:25</x:v>
      </x:c>
      <x:c r="H2018" s="14" t="str">
        <x:v>11:55</x:v>
      </x:c>
      <x:c r="I2018" s="14" t="str">
        <x:v>Türkçe</x:v>
      </x:c>
      <x:c r="J2018" s="14" t="str">
        <x:v>Paragraf Rutini</x:v>
      </x:c>
      <x:c r="K2018" s="14" t="str">
        <x:v>Paragraf</x:v>
      </x:c>
      <x:c r="L2018" s="14" t="str">
        <x:v>En az 30 paragraf sorusu çöz; ilk 20 soruyu ileri sayımla ölç, D/Y/B + süre kaydet.</x:v>
      </x:c>
      <x:c r="M2018" s="14" t="str">
        <x:v>Hız 8. Sınıf Türkçe Paragraf (ISBN 9786258394498)</x:v>
      </x:c>
      <x:c r="N2018" s="14" t="str"/>
      <x:c r="O2018" s="14" t="n">
        <x:v>30</x:v>
      </x:c>
      <x:c r="P2018" s="14" t="str">
        <x:v>İlk 20 soru</x:v>
      </x:c>
      <x:c r="Q2018" s="14" t="str">
        <x:v>Evet</x:v>
      </x:c>
      <x:c r="R2018" s="14" t="str">
        <x:v>Planlandı</x:v>
      </x:c>
      <x:c r="S2018" s="15" t="str"/>
      <x:c r="T2018" s="14" t="str">
        <x:v>Geri sayım ve hedef süre yok.</x:v>
      </x:c>
    </x:row>
    <x:row r="2019">
      <x:c r="A2019" s="14" t="n">
        <x:v>2018</x:v>
      </x:c>
      <x:c r="B2019" s="15" t="n">
        <x:v>46458</x:v>
      </x:c>
      <x:c r="C2019" s="14" t="str">
        <x:v>Cuma</x:v>
      </x:c>
      <x:c r="D2019" s="14" t="str">
        <x:v>Okul Tatili</x:v>
      </x:c>
      <x:c r="E2019" s="14" t="str">
        <x:v>MEB 2. Dönem Ara Tatili</x:v>
      </x:c>
      <x:c r="F2019" s="14" t="str">
        <x:v>F3 - Kaynak/MEB Tamamlama</x:v>
      </x:c>
      <x:c r="G2019" s="14" t="str">
        <x:v>14:00</x:v>
      </x:c>
      <x:c r="H2019" s="14" t="str">
        <x:v>14:40</x:v>
      </x:c>
      <x:c r="I2019" s="14" t="str">
        <x:v>Türkçe</x:v>
      </x:c>
      <x:c r="J2019" s="14" t="str">
        <x:v>Konu / Tekrar</x:v>
      </x:c>
      <x:c r="K2019" s="14" t="str">
        <x:v>Kaynak Tamamlama / Zayıf Konu</x:v>
      </x:c>
      <x:c r="L2019" s="14" t="str">
        <x:v>Yeni konu açma. En zayıf/açık konunun ilgili playlist videosunu yalnız gerekiyorsa tekrar izle.</x:v>
      </x:c>
      <x:c r="M2019" s="14" t="str">
        <x:v>Türkçe Ana Oynatma Listesi</x:v>
      </x:c>
      <x:c r="N2019" s="14" t="str">
        <x:v>https://www.youtube.com/watch?v=VYsPntNKVdw&amp;list=PLIBjFaUoJJ91bz7QQEBlxNJNZka5YQRr6</x:v>
      </x:c>
      <x:c r="O2019" s="14" t="n">
        <x:v>0</x:v>
      </x:c>
      <x:c r="P2019" s="14" t="str">
        <x:v>Hayır</x:v>
      </x:c>
      <x:c r="Q2019" s="14" t="str">
        <x:v>Evet</x:v>
      </x:c>
      <x:c r="R2019" s="14" t="str">
        <x:v>Planlandı</x:v>
      </x:c>
      <x:c r="S2019" s="15" t="str"/>
      <x:c r="T2019" s="14" t="str">
        <x:v>TYT etiketli kaynak temelden başlamak için sabittir; LGS dışı gereksiz ayrıntı zorunlu değildir.</x:v>
      </x:c>
    </x:row>
    <x:row r="2020">
      <x:c r="A2020" s="14" t="n">
        <x:v>2019</x:v>
      </x:c>
      <x:c r="B2020" s="15" t="n">
        <x:v>46458</x:v>
      </x:c>
      <x:c r="C2020" s="14" t="str">
        <x:v>Cuma</x:v>
      </x:c>
      <x:c r="D2020" s="14" t="str">
        <x:v>Okul Tatili</x:v>
      </x:c>
      <x:c r="E2020" s="14" t="str">
        <x:v>MEB 2. Dönem Ara Tatili</x:v>
      </x:c>
      <x:c r="F2020" s="14" t="str">
        <x:v>F3 - Kaynak/MEB Tamamlama</x:v>
      </x:c>
      <x:c r="G2020" s="14" t="str">
        <x:v>14:50</x:v>
      </x:c>
      <x:c r="H2020" s="14" t="str">
        <x:v>15:30</x:v>
      </x:c>
      <x:c r="I2020" s="14" t="str">
        <x:v>Türkçe</x:v>
      </x:c>
      <x:c r="J2020" s="14" t="str">
        <x:v>Kitap / MEB / Mastery</x:v>
      </x:c>
      <x:c r="K2020" s="14" t="str">
        <x:v>Kaynak Tamamlama / Zayıf Konu</x:v>
      </x:c>
      <x:c r="L2020" s="14" t="str">
        <x:v>13 Nisan %100 tamamlama hedefine göre en geride kalan Türkçe soru kaynağını/eksik MEB setini ilerlet; açık yanlışları kapat.</x:v>
      </x:c>
      <x:c r="M2020" s="14" t="str">
        <x:v>Ankara 8. Sınıf Dil Bilgisi Güçlendiren + açık MEB/yanlışlar</x:v>
      </x:c>
      <x:c r="N2020" s="14" t="str">
        <x:v>https://odsgm.meb.gov.tr/www/8sinif-calisma-sorulari/icerik/1632</x:v>
      </x:c>
      <x:c r="O2020" s="14" t="n">
        <x:v>15</x:v>
      </x:c>
      <x:c r="P2020" s="14" t="str">
        <x:v>Hayır</x:v>
      </x:c>
      <x:c r="Q2020" s="14" t="str">
        <x:v>Evet</x:v>
      </x:c>
      <x:c r="R2020" s="14" t="str">
        <x:v>Planlandı</x:v>
      </x:c>
      <x:c r="S2020" s="15" t="str"/>
      <x:c r="T2020" s="14" t="str"/>
    </x:row>
    <x:row r="2021">
      <x:c r="A2021" s="14" t="n">
        <x:v>2020</x:v>
      </x:c>
      <x:c r="B2021" s="15" t="n">
        <x:v>46458</x:v>
      </x:c>
      <x:c r="C2021" s="14" t="str">
        <x:v>Cuma</x:v>
      </x:c>
      <x:c r="D2021" s="14" t="str">
        <x:v>Okul Tatili</x:v>
      </x:c>
      <x:c r="E2021" s="14" t="str">
        <x:v>MEB 2. Dönem Ara Tatili</x:v>
      </x:c>
      <x:c r="F2021" s="14" t="str">
        <x:v>F3 - Kaynak/MEB Tamamlama</x:v>
      </x:c>
      <x:c r="G2021" s="14" t="str">
        <x:v>15:45</x:v>
      </x:c>
      <x:c r="H2021" s="14" t="str">
        <x:v>16:25</x:v>
      </x:c>
      <x:c r="I2021" s="14" t="str">
        <x:v>İnkılap</x:v>
      </x:c>
      <x:c r="J2021" s="14" t="str">
        <x:v>Konu / Tekrar</x:v>
      </x:c>
      <x:c r="K2021" s="14" t="str">
        <x:v>Kaynak Tamamlama / Zayıf Konu</x:v>
      </x:c>
      <x:c r="L2021" s="14" t="str">
        <x:v>Yeni konu açma. En zayıf/açık konunun ilgili playlist videosunu yalnız gerekiyorsa tekrar izle.</x:v>
      </x:c>
      <x:c r="M2021" s="14" t="str">
        <x:v>İnkılap Genel Oynatma Listesi</x:v>
      </x:c>
      <x:c r="N2021" s="14" t="str">
        <x:v>https://www.youtube.com/watch?v=MltIX0oKpYU&amp;list=PLsAsBPsriHNbXit4Ra3iuBrk1ZHZWxsOR&amp;index=78</x:v>
      </x:c>
      <x:c r="O2021" s="14" t="n">
        <x:v>0</x:v>
      </x:c>
      <x:c r="P2021" s="14" t="str">
        <x:v>Hayır</x:v>
      </x:c>
      <x:c r="Q2021" s="14" t="str">
        <x:v>Evet</x:v>
      </x:c>
      <x:c r="R2021" s="14" t="str">
        <x:v>Planlandı</x:v>
      </x:c>
      <x:c r="S2021" s="15" t="str"/>
      <x:c r="T2021" s="14" t="str">
        <x:v>İnkılapta okul yazılısı videoları zorunlu değildir.</x:v>
      </x:c>
    </x:row>
    <x:row r="2022">
      <x:c r="A2022" s="14" t="n">
        <x:v>2021</x:v>
      </x:c>
      <x:c r="B2022" s="15" t="n">
        <x:v>46458</x:v>
      </x:c>
      <x:c r="C2022" s="14" t="str">
        <x:v>Cuma</x:v>
      </x:c>
      <x:c r="D2022" s="14" t="str">
        <x:v>Okul Tatili</x:v>
      </x:c>
      <x:c r="E2022" s="14" t="str">
        <x:v>MEB 2. Dönem Ara Tatili</x:v>
      </x:c>
      <x:c r="F2022" s="14" t="str">
        <x:v>F3 - Kaynak/MEB Tamamlama</x:v>
      </x:c>
      <x:c r="G2022" s="14" t="str">
        <x:v>16:35</x:v>
      </x:c>
      <x:c r="H2022" s="14" t="str">
        <x:v>17:15</x:v>
      </x:c>
      <x:c r="I2022" s="14" t="str">
        <x:v>İnkılap</x:v>
      </x:c>
      <x:c r="J2022" s="14" t="str">
        <x:v>Kitap / MEB / Mastery</x:v>
      </x:c>
      <x:c r="K2022" s="14" t="str">
        <x:v>Kaynak Tamamlama / Zayıf Konu</x:v>
      </x:c>
      <x:c r="L2022" s="14" t="str">
        <x:v>13 Nisan %100 tamamlama hedefine göre en geride kalan İnkılap soru kaynağını/eksik MEB setini ilerlet; açık yanlışları kapat.</x:v>
      </x:c>
      <x:c r="M2022" s="14" t="str">
        <x:v>Hız 8. Sınıf T.C. İnkılap Tarihi ve Atatürkçülük + açık MEB/yanlışlar</x:v>
      </x:c>
      <x:c r="N2022" s="14" t="str">
        <x:v>https://odsgm.meb.gov.tr/www/8sinif-calisma-sorulari/icerik/1632</x:v>
      </x:c>
      <x:c r="O2022" s="14" t="n">
        <x:v>20</x:v>
      </x:c>
      <x:c r="P2022" s="14" t="str">
        <x:v>Hayır</x:v>
      </x:c>
      <x:c r="Q2022" s="14" t="str">
        <x:v>Evet</x:v>
      </x:c>
      <x:c r="R2022" s="14" t="str">
        <x:v>Planlandı</x:v>
      </x:c>
      <x:c r="S2022" s="15" t="str"/>
      <x:c r="T2022" s="14" t="str"/>
    </x:row>
    <x:row r="2023">
      <x:c r="A2023" s="14" t="n">
        <x:v>2022</x:v>
      </x:c>
      <x:c r="B2023" s="15" t="n">
        <x:v>46458</x:v>
      </x:c>
      <x:c r="C2023" s="14" t="str">
        <x:v>Cuma</x:v>
      </x:c>
      <x:c r="D2023" s="14" t="str">
        <x:v>Okul Tatili</x:v>
      </x:c>
      <x:c r="E2023" s="14" t="str">
        <x:v>MEB 2. Dönem Ara Tatili</x:v>
      </x:c>
      <x:c r="F2023" s="14" t="str">
        <x:v>F3 - Kaynak/MEB Tamamlama</x:v>
      </x:c>
      <x:c r="G2023" s="14" t="str">
        <x:v>18:25</x:v>
      </x:c>
      <x:c r="H2023" s="14" t="str">
        <x:v>18:45</x:v>
      </x:c>
      <x:c r="I2023" s="14" t="str">
        <x:v>Genel</x:v>
      </x:c>
      <x:c r="J2023" s="14" t="str">
        <x:v>Yanlış / Boş Analizi</x:v>
      </x:c>
      <x:c r="K2023" s="14" t="str">
        <x:v>Günlük</x:v>
      </x:c>
      <x:c r="L2023" s="14" t="str">
        <x:v>Bugünkü yanlış/boşları kaydet; çözümünü öğrenmeden kapatma. Hata türünü sınıflandır.</x:v>
      </x:c>
      <x:c r="M2023" s="14" t="str">
        <x:v>Yanlış Defteri</x:v>
      </x:c>
      <x:c r="N2023" s="14" t="str"/>
      <x:c r="O2023" s="14" t="n">
        <x:v>0</x:v>
      </x:c>
      <x:c r="P2023" s="14" t="str">
        <x:v>Hayır</x:v>
      </x:c>
      <x:c r="Q2023" s="14" t="str">
        <x:v>Evet</x:v>
      </x:c>
      <x:c r="R2023" s="14" t="str">
        <x:v>Planlandı</x:v>
      </x:c>
      <x:c r="S2023" s="15" t="str"/>
      <x:c r="T2023" s="14" t="str"/>
    </x:row>
    <x:row r="2024">
      <x:c r="A2024" s="14" t="n">
        <x:v>2023</x:v>
      </x:c>
      <x:c r="B2024" s="15" t="n">
        <x:v>46458</x:v>
      </x:c>
      <x:c r="C2024" s="14" t="str">
        <x:v>Cuma</x:v>
      </x:c>
      <x:c r="D2024" s="14" t="str">
        <x:v>Okul Tatili</x:v>
      </x:c>
      <x:c r="E2024" s="14" t="str">
        <x:v>MEB 2. Dönem Ara Tatili</x:v>
      </x:c>
      <x:c r="F2024" s="14" t="str">
        <x:v>F3 - Kaynak/MEB Tamamlama</x:v>
      </x:c>
      <x:c r="G2024" s="14" t="str">
        <x:v>18:45</x:v>
      </x:c>
      <x:c r="H2024" s="14" t="str">
        <x:v>19:05</x:v>
      </x:c>
      <x:c r="I2024" s="14" t="str">
        <x:v>Genel</x:v>
      </x:c>
      <x:c r="J2024" s="14" t="str">
        <x:v>Aralıklı Hata Tekrarı</x:v>
      </x:c>
      <x:c r="K2024" s="14" t="str">
        <x:v>+1 / +7 / +21</x:v>
      </x:c>
      <x:c r="L2024" s="14" t="str">
        <x:v>Bugün vadesi gelen yanlış soruları tekrar çöz. Vadesi yoksa bu süre serbest/okuma olabilir.</x:v>
      </x:c>
      <x:c r="M2024" s="14" t="str">
        <x:v>Yanlış Defteri</x:v>
      </x:c>
      <x:c r="N2024" s="14" t="str"/>
      <x:c r="O2024" s="14" t="n">
        <x:v>0</x:v>
      </x:c>
      <x:c r="P2024" s="14" t="str">
        <x:v>Hayır</x:v>
      </x:c>
      <x:c r="Q2024" s="14" t="str">
        <x:v>Koşullu</x:v>
      </x:c>
      <x:c r="R2024" s="14" t="str">
        <x:v>Planlandı</x:v>
      </x:c>
      <x:c r="S2024" s="15" t="str"/>
      <x:c r="T2024" s="14" t="str">
        <x:v>Yanlışlar +1, +7 ve +21 gün aralıklarıyla tekrar edilir; hâlâ yanlışsa konu mastery durumu düşürülür.</x:v>
      </x:c>
    </x:row>
    <x:row r="2025">
      <x:c r="A2025" s="14" t="n">
        <x:v>2024</x:v>
      </x:c>
      <x:c r="B2025" s="15" t="n">
        <x:v>46458</x:v>
      </x:c>
      <x:c r="C2025" s="14" t="str">
        <x:v>Cuma</x:v>
      </x:c>
      <x:c r="D2025" s="14" t="str">
        <x:v>Okul Tatili</x:v>
      </x:c>
      <x:c r="E2025" s="14" t="str">
        <x:v>MEB 2. Dönem Ara Tatili</x:v>
      </x:c>
      <x:c r="F2025" s="14" t="str">
        <x:v>F3 - Kaynak/MEB Tamamlama</x:v>
      </x:c>
      <x:c r="G2025" s="14" t="str">
        <x:v>20:00</x:v>
      </x:c>
      <x:c r="H2025" s="14" t="str">
        <x:v>20:30</x:v>
      </x:c>
      <x:c r="I2025" s="14" t="str">
        <x:v>Okuma</x:v>
      </x:c>
      <x:c r="J2025" s="14" t="str">
        <x:v>İsteğe Bağlı</x:v>
      </x:c>
      <x:c r="K2025" s="14" t="str">
        <x:v>Serbest Kitap</x:v>
      </x:c>
      <x:c r="L2025" s="14" t="str">
        <x:v>Zorunlu çalışmalar bittiyse isteğe bağlı kitap oku.</x:v>
      </x:c>
      <x:c r="M2025" s="14" t="str">
        <x:v>Serbest Kitap</x:v>
      </x:c>
      <x:c r="N2025" s="14" t="str"/>
      <x:c r="O2025" s="14" t="n">
        <x:v>0</x:v>
      </x:c>
      <x:c r="P2025" s="14" t="str">
        <x:v>İsteğe Bağlı</x:v>
      </x:c>
      <x:c r="Q2025" s="14" t="str">
        <x:v>Hayır</x:v>
      </x:c>
      <x:c r="R2025" s="14" t="str">
        <x:v>Planlandı</x:v>
      </x:c>
      <x:c r="S2025" s="15" t="str"/>
      <x:c r="T2025" s="14" t="str">
        <x:v>Minimum süre yok.</x:v>
      </x:c>
    </x:row>
    <x:row r="2026">
      <x:c r="A2026" s="14" t="n">
        <x:v>2025</x:v>
      </x:c>
      <x:c r="B2026" s="15" t="n">
        <x:v>46458</x:v>
      </x:c>
      <x:c r="C2026" s="14" t="str">
        <x:v>Cuma</x:v>
      </x:c>
      <x:c r="D2026" s="14" t="str">
        <x:v>Okul Tatili</x:v>
      </x:c>
      <x:c r="E2026" s="14" t="str">
        <x:v>MEB 2. Dönem Ara Tatili</x:v>
      </x:c>
      <x:c r="F2026" s="14" t="str">
        <x:v>F3 - Kaynak/MEB Tamamlama</x:v>
      </x:c>
      <x:c r="G2026" s="14" t="str">
        <x:v>21:50</x:v>
      </x:c>
      <x:c r="H2026" s="14" t="str">
        <x:v>22:00</x:v>
      </x:c>
      <x:c r="I2026" s="14" t="str">
        <x:v>Genel</x:v>
      </x:c>
      <x:c r="J2026" s="14" t="str">
        <x:v>Uyku Hazırlığı</x:v>
      </x:c>
      <x:c r="K2026" s="14" t="str"/>
      <x:c r="L2026" s="14" t="str">
        <x:v>22:00'de yatakta ve uyku.</x:v>
      </x:c>
      <x:c r="M2026" s="14" t="str"/>
      <x:c r="N2026" s="14" t="str"/>
      <x:c r="O2026" s="14" t="n">
        <x:v>0</x:v>
      </x:c>
      <x:c r="P2026" s="14" t="str">
        <x:v>Hayır</x:v>
      </x:c>
      <x:c r="Q2026" s="14" t="str">
        <x:v>Hayır</x:v>
      </x:c>
      <x:c r="R2026" s="14" t="str">
        <x:v>Planlandı</x:v>
      </x:c>
      <x:c r="S2026" s="15" t="str"/>
      <x:c r="T2026" s="14" t="str"/>
    </x:row>
    <x:row r="2027">
      <x:c r="A2027" s="14" t="n">
        <x:v>2026</x:v>
      </x:c>
      <x:c r="B2027" s="15" t="n">
        <x:v>46459</x:v>
      </x:c>
      <x:c r="C2027" s="14" t="str">
        <x:v>Cumartesi</x:v>
      </x:c>
      <x:c r="D2027" s="14" t="str">
        <x:v>Hafta Sonu</x:v>
      </x:c>
      <x:c r="E2027" s="14" t="str">
        <x:v>Tam gün</x:v>
      </x:c>
      <x:c r="F2027" s="14" t="str">
        <x:v>F3 - Kaynak/MEB Tamamlama</x:v>
      </x:c>
      <x:c r="G2027" s="14" t="str">
        <x:v>09:30</x:v>
      </x:c>
      <x:c r="H2027" s="14" t="str">
        <x:v>10:15</x:v>
      </x:c>
      <x:c r="I2027" s="14" t="str">
        <x:v>Matematik</x:v>
      </x:c>
      <x:c r="J2027" s="14" t="str">
        <x:v>Konu / Tekrar</x:v>
      </x:c>
      <x:c r="K2027" s="14" t="str">
        <x:v>Kaynak Tamamlama / Zayıf Konu</x:v>
      </x:c>
      <x:c r="L2027" s="14" t="str">
        <x:v>Yeni konu açma. En zayıf/açık konunun ilgili playlist videosunu yalnız gerekiyorsa tekrar izle.</x:v>
      </x:c>
      <x:c r="M2027" s="14" t="str">
        <x:v>Matematik Ana Oynatma Listesi</x:v>
      </x:c>
      <x:c r="N2027" s="14" t="str">
        <x:v>https://www.youtube.com/watch?v=EuJ89QzqrAg&amp;list=PLicNtF7vp6fnfDqrRLH6H7fIbzYT4ct4F&amp;index=11</x:v>
      </x:c>
      <x:c r="O2027" s="14" t="n">
        <x:v>0</x:v>
      </x:c>
      <x:c r="P2027" s="14" t="str">
        <x:v>Hayır</x:v>
      </x:c>
      <x:c r="Q2027" s="14" t="str">
        <x:v>Evet</x:v>
      </x:c>
      <x:c r="R2027" s="14" t="str">
        <x:v>Planlandı</x:v>
      </x:c>
      <x:c r="S2027" s="15" t="str"/>
      <x:c r="T2027" s="14" t="str">
        <x:v>Yeni konu ancak plan sırasıyla açılır; LGS dışı ileri TYT içeriği zorunlu değildir.</x:v>
      </x:c>
    </x:row>
    <x:row r="2028">
      <x:c r="A2028" s="14" t="n">
        <x:v>2027</x:v>
      </x:c>
      <x:c r="B2028" s="15" t="n">
        <x:v>46459</x:v>
      </x:c>
      <x:c r="C2028" s="14" t="str">
        <x:v>Cumartesi</x:v>
      </x:c>
      <x:c r="D2028" s="14" t="str">
        <x:v>Hafta Sonu</x:v>
      </x:c>
      <x:c r="E2028" s="14" t="str">
        <x:v>Tam gün</x:v>
      </x:c>
      <x:c r="F2028" s="14" t="str">
        <x:v>F3 - Kaynak/MEB Tamamlama</x:v>
      </x:c>
      <x:c r="G2028" s="14" t="str">
        <x:v>10:25</x:v>
      </x:c>
      <x:c r="H2028" s="14" t="str">
        <x:v>11:15</x:v>
      </x:c>
      <x:c r="I2028" s="14" t="str">
        <x:v>Matematik</x:v>
      </x:c>
      <x:c r="J2028" s="14" t="str">
        <x:v>Kitap / MEB / Mastery</x:v>
      </x:c>
      <x:c r="K2028" s="14" t="str">
        <x:v>Kaynak Tamamlama / Zayıf Konu</x:v>
      </x:c>
      <x:c r="L2028" s="14" t="str">
        <x:v>13 Nisan %100 tamamlama hedefine göre en geride kalan Matematik soru kaynağını/eksik MEB setini ilerlet; açık yanlışları kapat.</x:v>
      </x:c>
      <x:c r="M2028" s="14" t="str">
        <x:v>MUBA 8. Sınıf Başlangıç Matematik (ISBN 9789756526972) → tamamlandıysa Mozaik 8. Sınıf Matematik; açık MEB/yanlışlar</x:v>
      </x:c>
      <x:c r="N2028" s="14" t="str">
        <x:v>https://odsgm.meb.gov.tr/www/8sinif-calisma-sorulari/icerik/1632</x:v>
      </x:c>
      <x:c r="O2028" s="14" t="n">
        <x:v>30</x:v>
      </x:c>
      <x:c r="P2028" s="14" t="str">
        <x:v>İlk 20 soru</x:v>
      </x:c>
      <x:c r="Q2028" s="14" t="str">
        <x:v>Evet</x:v>
      </x:c>
      <x:c r="R2028" s="14" t="str">
        <x:v>Planlandı</x:v>
      </x:c>
      <x:c r="S2028" s="15" t="str"/>
      <x:c r="T2028" s="14" t="str">
        <x:v>Ayrı/rastgele matematik benchmark yoktur. Süreli ilk 20 soru o gün çalışılan konunun içindedir.</x:v>
      </x:c>
    </x:row>
    <x:row r="2029">
      <x:c r="A2029" s="14" t="n">
        <x:v>2028</x:v>
      </x:c>
      <x:c r="B2029" s="15" t="n">
        <x:v>46459</x:v>
      </x:c>
      <x:c r="C2029" s="14" t="str">
        <x:v>Cumartesi</x:v>
      </x:c>
      <x:c r="D2029" s="14" t="str">
        <x:v>Hafta Sonu</x:v>
      </x:c>
      <x:c r="E2029" s="14" t="str">
        <x:v>Tam gün</x:v>
      </x:c>
      <x:c r="F2029" s="14" t="str">
        <x:v>F3 - Kaynak/MEB Tamamlama</x:v>
      </x:c>
      <x:c r="G2029" s="14" t="str">
        <x:v>12:00</x:v>
      </x:c>
      <x:c r="H2029" s="14" t="str">
        <x:v>14:00</x:v>
      </x:c>
      <x:c r="I2029" s="14" t="str">
        <x:v>Genel</x:v>
      </x:c>
      <x:c r="J2029" s="14" t="str">
        <x:v>Yemek / Serbest Zaman</x:v>
      </x:c>
      <x:c r="K2029" s="14" t="str"/>
      <x:c r="L2029" s="14" t="str">
        <x:v>Yemek, hareket ve dinlenme.</x:v>
      </x:c>
      <x:c r="M2029" s="14" t="str"/>
      <x:c r="N2029" s="14" t="str"/>
      <x:c r="O2029" s="14" t="n">
        <x:v>0</x:v>
      </x:c>
      <x:c r="P2029" s="14" t="str">
        <x:v>Hayır</x:v>
      </x:c>
      <x:c r="Q2029" s="14" t="str">
        <x:v>Hayır</x:v>
      </x:c>
      <x:c r="R2029" s="14" t="str">
        <x:v>Planlandı</x:v>
      </x:c>
      <x:c r="S2029" s="15" t="str"/>
      <x:c r="T2029" s="14" t="str"/>
    </x:row>
    <x:row r="2030">
      <x:c r="A2030" s="14" t="n">
        <x:v>2029</x:v>
      </x:c>
      <x:c r="B2030" s="15" t="n">
        <x:v>46459</x:v>
      </x:c>
      <x:c r="C2030" s="14" t="str">
        <x:v>Cumartesi</x:v>
      </x:c>
      <x:c r="D2030" s="14" t="str">
        <x:v>Hafta Sonu</x:v>
      </x:c>
      <x:c r="E2030" s="14" t="str">
        <x:v>Tam gün</x:v>
      </x:c>
      <x:c r="F2030" s="14" t="str">
        <x:v>F3 - Kaynak/MEB Tamamlama</x:v>
      </x:c>
      <x:c r="G2030" s="14" t="str">
        <x:v>11:25</x:v>
      </x:c>
      <x:c r="H2030" s="14" t="str">
        <x:v>11:55</x:v>
      </x:c>
      <x:c r="I2030" s="14" t="str">
        <x:v>Türkçe</x:v>
      </x:c>
      <x:c r="J2030" s="14" t="str">
        <x:v>Paragraf Rutini</x:v>
      </x:c>
      <x:c r="K2030" s="14" t="str">
        <x:v>Paragraf</x:v>
      </x:c>
      <x:c r="L2030" s="14" t="str">
        <x:v>En az 30 paragraf sorusu çöz; ilk 20 soruyu ileri sayımla ölç, D/Y/B + süre kaydet.</x:v>
      </x:c>
      <x:c r="M2030" s="14" t="str">
        <x:v>Hız 8. Sınıf Türkçe Paragraf (ISBN 9786258394498)</x:v>
      </x:c>
      <x:c r="N2030" s="14" t="str"/>
      <x:c r="O2030" s="14" t="n">
        <x:v>30</x:v>
      </x:c>
      <x:c r="P2030" s="14" t="str">
        <x:v>İlk 20 soru</x:v>
      </x:c>
      <x:c r="Q2030" s="14" t="str">
        <x:v>Evet</x:v>
      </x:c>
      <x:c r="R2030" s="14" t="str">
        <x:v>Planlandı</x:v>
      </x:c>
      <x:c r="S2030" s="15" t="str"/>
      <x:c r="T2030" s="14" t="str">
        <x:v>Geri sayım ve hedef süre yok.</x:v>
      </x:c>
    </x:row>
    <x:row r="2031">
      <x:c r="A2031" s="14" t="n">
        <x:v>2030</x:v>
      </x:c>
      <x:c r="B2031" s="15" t="n">
        <x:v>46459</x:v>
      </x:c>
      <x:c r="C2031" s="14" t="str">
        <x:v>Cumartesi</x:v>
      </x:c>
      <x:c r="D2031" s="14" t="str">
        <x:v>Hafta Sonu</x:v>
      </x:c>
      <x:c r="E2031" s="14" t="str">
        <x:v>Tam gün</x:v>
      </x:c>
      <x:c r="F2031" s="14" t="str">
        <x:v>F3 - Kaynak/MEB Tamamlama</x:v>
      </x:c>
      <x:c r="G2031" s="14" t="str">
        <x:v>14:00</x:v>
      </x:c>
      <x:c r="H2031" s="14" t="str">
        <x:v>14:40</x:v>
      </x:c>
      <x:c r="I2031" s="14" t="str">
        <x:v>Türkçe</x:v>
      </x:c>
      <x:c r="J2031" s="14" t="str">
        <x:v>Konu / Tekrar</x:v>
      </x:c>
      <x:c r="K2031" s="14" t="str">
        <x:v>Kaynak Tamamlama / Zayıf Konu</x:v>
      </x:c>
      <x:c r="L2031" s="14" t="str">
        <x:v>Yeni konu açma. En zayıf/açık konunun ilgili playlist videosunu yalnız gerekiyorsa tekrar izle.</x:v>
      </x:c>
      <x:c r="M2031" s="14" t="str">
        <x:v>Türkçe Ana Oynatma Listesi</x:v>
      </x:c>
      <x:c r="N2031" s="14" t="str">
        <x:v>https://www.youtube.com/watch?v=VYsPntNKVdw&amp;list=PLIBjFaUoJJ91bz7QQEBlxNJNZka5YQRr6</x:v>
      </x:c>
      <x:c r="O2031" s="14" t="n">
        <x:v>0</x:v>
      </x:c>
      <x:c r="P2031" s="14" t="str">
        <x:v>Hayır</x:v>
      </x:c>
      <x:c r="Q2031" s="14" t="str">
        <x:v>Evet</x:v>
      </x:c>
      <x:c r="R2031" s="14" t="str">
        <x:v>Planlandı</x:v>
      </x:c>
      <x:c r="S2031" s="15" t="str"/>
      <x:c r="T2031" s="14" t="str">
        <x:v>TYT etiketli kaynak temelden başlamak için sabittir; LGS dışı gereksiz ayrıntı zorunlu değildir.</x:v>
      </x:c>
    </x:row>
    <x:row r="2032">
      <x:c r="A2032" s="14" t="n">
        <x:v>2031</x:v>
      </x:c>
      <x:c r="B2032" s="15" t="n">
        <x:v>46459</x:v>
      </x:c>
      <x:c r="C2032" s="14" t="str">
        <x:v>Cumartesi</x:v>
      </x:c>
      <x:c r="D2032" s="14" t="str">
        <x:v>Hafta Sonu</x:v>
      </x:c>
      <x:c r="E2032" s="14" t="str">
        <x:v>Tam gün</x:v>
      </x:c>
      <x:c r="F2032" s="14" t="str">
        <x:v>F3 - Kaynak/MEB Tamamlama</x:v>
      </x:c>
      <x:c r="G2032" s="14" t="str">
        <x:v>14:50</x:v>
      </x:c>
      <x:c r="H2032" s="14" t="str">
        <x:v>15:30</x:v>
      </x:c>
      <x:c r="I2032" s="14" t="str">
        <x:v>Türkçe</x:v>
      </x:c>
      <x:c r="J2032" s="14" t="str">
        <x:v>Kitap / MEB / Mastery</x:v>
      </x:c>
      <x:c r="K2032" s="14" t="str">
        <x:v>Kaynak Tamamlama / Zayıf Konu</x:v>
      </x:c>
      <x:c r="L2032" s="14" t="str">
        <x:v>13 Nisan %100 tamamlama hedefine göre en geride kalan Türkçe soru kaynağını/eksik MEB setini ilerlet; açık yanlışları kapat.</x:v>
      </x:c>
      <x:c r="M2032" s="14" t="str">
        <x:v>Ankara 8. Sınıf Dil Bilgisi Güçlendiren + açık MEB/yanlışlar</x:v>
      </x:c>
      <x:c r="N2032" s="14" t="str">
        <x:v>https://odsgm.meb.gov.tr/www/8sinif-calisma-sorulari/icerik/1632</x:v>
      </x:c>
      <x:c r="O2032" s="14" t="n">
        <x:v>15</x:v>
      </x:c>
      <x:c r="P2032" s="14" t="str">
        <x:v>Hayır</x:v>
      </x:c>
      <x:c r="Q2032" s="14" t="str">
        <x:v>Evet</x:v>
      </x:c>
      <x:c r="R2032" s="14" t="str">
        <x:v>Planlandı</x:v>
      </x:c>
      <x:c r="S2032" s="15" t="str"/>
      <x:c r="T2032" s="14" t="str"/>
    </x:row>
    <x:row r="2033">
      <x:c r="A2033" s="14" t="n">
        <x:v>2032</x:v>
      </x:c>
      <x:c r="B2033" s="15" t="n">
        <x:v>46459</x:v>
      </x:c>
      <x:c r="C2033" s="14" t="str">
        <x:v>Cumartesi</x:v>
      </x:c>
      <x:c r="D2033" s="14" t="str">
        <x:v>Hafta Sonu</x:v>
      </x:c>
      <x:c r="E2033" s="14" t="str">
        <x:v>Tam gün</x:v>
      </x:c>
      <x:c r="F2033" s="14" t="str">
        <x:v>F3 - Kaynak/MEB Tamamlama</x:v>
      </x:c>
      <x:c r="G2033" s="14" t="str">
        <x:v>15:45</x:v>
      </x:c>
      <x:c r="H2033" s="14" t="str">
        <x:v>16:25</x:v>
      </x:c>
      <x:c r="I2033" s="14" t="str">
        <x:v>İngilizce</x:v>
      </x:c>
      <x:c r="J2033" s="14" t="str">
        <x:v>Konu / Tekrar</x:v>
      </x:c>
      <x:c r="K2033" s="14" t="str">
        <x:v>Kaynak Tamamlama / Zayıf Konu</x:v>
      </x:c>
      <x:c r="L2033" s="14" t="str">
        <x:v>Yeni konu açma. En zayıf/açık konunun ilgili playlist videosunu yalnız gerekiyorsa tekrar izle.</x:v>
      </x:c>
      <x:c r="M2033" s="14" t="str">
        <x:v>İngilizce Genel Oynatma Listesi</x:v>
      </x:c>
      <x:c r="N2033" s="14" t="str">
        <x:v>https://www.youtube.com/watch?v=FaY3dFjZbns&amp;list=PLSgpQDrUSYp94WgE9pzpHiOG5FwxnZBrr</x:v>
      </x:c>
      <x:c r="O2033" s="14" t="n">
        <x:v>0</x:v>
      </x:c>
      <x:c r="P2033" s="14" t="str">
        <x:v>Hayır</x:v>
      </x:c>
      <x:c r="Q2033" s="14" t="str">
        <x:v>Evet</x:v>
      </x:c>
      <x:c r="R2033" s="14" t="str">
        <x:v>Planlandı</x:v>
      </x:c>
      <x:c r="S2033" s="15" t="str"/>
      <x:c r="T2033" s="14" t="str"/>
    </x:row>
    <x:row r="2034">
      <x:c r="A2034" s="14" t="n">
        <x:v>2033</x:v>
      </x:c>
      <x:c r="B2034" s="15" t="n">
        <x:v>46459</x:v>
      </x:c>
      <x:c r="C2034" s="14" t="str">
        <x:v>Cumartesi</x:v>
      </x:c>
      <x:c r="D2034" s="14" t="str">
        <x:v>Hafta Sonu</x:v>
      </x:c>
      <x:c r="E2034" s="14" t="str">
        <x:v>Tam gün</x:v>
      </x:c>
      <x:c r="F2034" s="14" t="str">
        <x:v>F3 - Kaynak/MEB Tamamlama</x:v>
      </x:c>
      <x:c r="G2034" s="14" t="str">
        <x:v>16:35</x:v>
      </x:c>
      <x:c r="H2034" s="14" t="str">
        <x:v>17:15</x:v>
      </x:c>
      <x:c r="I2034" s="14" t="str">
        <x:v>İngilizce</x:v>
      </x:c>
      <x:c r="J2034" s="14" t="str">
        <x:v>Kitap / MEB / Mastery</x:v>
      </x:c>
      <x:c r="K2034" s="14" t="str">
        <x:v>Kaynak Tamamlama / Zayıf Konu</x:v>
      </x:c>
      <x:c r="L2034" s="14" t="str">
        <x:v>13 Nisan %100 tamamlama hedefine göre en geride kalan İngilizce soru kaynağını/eksik MEB setini ilerlet; açık yanlışları kapat.</x:v>
      </x:c>
      <x:c r="M2034" s="14" t="str">
        <x:v>More &amp; More 8 Worksheets Notebook + açık MEB/yanlışlar</x:v>
      </x:c>
      <x:c r="N2034" s="14" t="str">
        <x:v>https://odsgm.meb.gov.tr/www/8sinif-calisma-sorulari/icerik/1632</x:v>
      </x:c>
      <x:c r="O2034" s="14" t="n">
        <x:v>20</x:v>
      </x:c>
      <x:c r="P2034" s="14" t="str">
        <x:v>Hayır</x:v>
      </x:c>
      <x:c r="Q2034" s="14" t="str">
        <x:v>Evet</x:v>
      </x:c>
      <x:c r="R2034" s="14" t="str">
        <x:v>Planlandı</x:v>
      </x:c>
      <x:c r="S2034" s="15" t="str"/>
      <x:c r="T2034" s="14" t="str"/>
    </x:row>
    <x:row r="2035">
      <x:c r="A2035" s="14" t="n">
        <x:v>2034</x:v>
      </x:c>
      <x:c r="B2035" s="15" t="n">
        <x:v>46459</x:v>
      </x:c>
      <x:c r="C2035" s="14" t="str">
        <x:v>Cumartesi</x:v>
      </x:c>
      <x:c r="D2035" s="14" t="str">
        <x:v>Hafta Sonu</x:v>
      </x:c>
      <x:c r="E2035" s="14" t="str">
        <x:v>Tam gün</x:v>
      </x:c>
      <x:c r="F2035" s="14" t="str">
        <x:v>F3 - Kaynak/MEB Tamamlama</x:v>
      </x:c>
      <x:c r="G2035" s="14" t="str">
        <x:v>17:25</x:v>
      </x:c>
      <x:c r="H2035" s="14" t="str">
        <x:v>17:55</x:v>
      </x:c>
      <x:c r="I2035" s="14" t="str">
        <x:v>Fen</x:v>
      </x:c>
      <x:c r="J2035" s="14" t="str">
        <x:v>Ek Fen Pekiştirme</x:v>
      </x:c>
      <x:c r="K2035" s="14" t="str">
        <x:v>Elektrik Yüklü Cisimler</x:v>
      </x:c>
      <x:c r="L2035" s="14" t="str">
        <x:v>Elektrik Yüklü Cisimler — Fen soru çözüm playlistinden ilgili videoyu izle.</x:v>
      </x:c>
      <x:c r="M2035" s="14" t="str">
        <x:v>Fen Konu/Soru Oynatma Listesi</x:v>
      </x:c>
      <x:c r="N2035" s="14" t="str">
        <x:v>https://www.youtube.com/watch?v=pQXhWnDZ3vM&amp;list=PLrQm7mt99FRXcBnorCttd31HJEvg0En26&amp;index=23</x:v>
      </x:c>
      <x:c r="O2035" s="14" t="n">
        <x:v>0</x:v>
      </x:c>
      <x:c r="P2035" s="14" t="str">
        <x:v>Hayır</x:v>
      </x:c>
      <x:c r="Q2035" s="14" t="str">
        <x:v>Evet</x:v>
      </x:c>
      <x:c r="R2035" s="14" t="str">
        <x:v>Planlandı</x:v>
      </x:c>
      <x:c r="S2035" s="15" t="str"/>
      <x:c r="T2035" s="14" t="str">
        <x:v>Fen haftalık temas sıklığını artırmak için ek Cumartesi oturumu.</x:v>
      </x:c>
    </x:row>
    <x:row r="2036">
      <x:c r="A2036" s="14" t="n">
        <x:v>2035</x:v>
      </x:c>
      <x:c r="B2036" s="15" t="n">
        <x:v>46459</x:v>
      </x:c>
      <x:c r="C2036" s="14" t="str">
        <x:v>Cumartesi</x:v>
      </x:c>
      <x:c r="D2036" s="14" t="str">
        <x:v>Hafta Sonu</x:v>
      </x:c>
      <x:c r="E2036" s="14" t="str">
        <x:v>Tam gün</x:v>
      </x:c>
      <x:c r="F2036" s="14" t="str">
        <x:v>F3 - Kaynak/MEB Tamamlama</x:v>
      </x:c>
      <x:c r="G2036" s="14" t="str">
        <x:v>17:55</x:v>
      </x:c>
      <x:c r="H2036" s="14" t="str">
        <x:v>18:25</x:v>
      </x:c>
      <x:c r="I2036" s="14" t="str">
        <x:v>Fen</x:v>
      </x:c>
      <x:c r="J2036" s="14" t="str">
        <x:v>Ek Fen Kitap / MEB</x:v>
      </x:c>
      <x:c r="K2036" s="14" t="str">
        <x:v>Elektrik Yüklü Cisimler</x:v>
      </x:c>
      <x:c r="L2036" s="14" t="str">
        <x:v>Elektrik Yüklü Cisimler ile ilgili soru kitabından en az 20 soru / bugünkü test payını çöz.</x:v>
      </x:c>
      <x:c r="M2036" s="14" t="str">
        <x:v>Hız 8. Sınıf Fen (ISBN 9786257514859); tamamlandıysa Mozaik 8. Sınıf Fen</x:v>
      </x:c>
      <x:c r="N2036" s="14" t="str">
        <x:v>https://www.youtube.com/watch?v=pQXhWnDZ3vM&amp;list=PLrQm7mt99FRXcBnorCttd31HJEvg0En26&amp;index=23</x:v>
      </x:c>
      <x:c r="O2036" s="14" t="n">
        <x:v>20</x:v>
      </x:c>
      <x:c r="P2036" s="14" t="str">
        <x:v>Hayır</x:v>
      </x:c>
      <x:c r="Q2036" s="14" t="str">
        <x:v>Evet</x:v>
      </x:c>
      <x:c r="R2036" s="14" t="str">
        <x:v>Planlandı</x:v>
      </x:c>
      <x:c r="S2036" s="15" t="str"/>
      <x:c r="T2036" s="14" t="str">
        <x:v>Fen için Hız → gerekiyorsa Mozaik; MEB doğrulaması konu bitiminde.</x:v>
      </x:c>
    </x:row>
    <x:row r="2037">
      <x:c r="A2037" s="14" t="n">
        <x:v>2036</x:v>
      </x:c>
      <x:c r="B2037" s="15" t="n">
        <x:v>46459</x:v>
      </x:c>
      <x:c r="C2037" s="14" t="str">
        <x:v>Cumartesi</x:v>
      </x:c>
      <x:c r="D2037" s="14" t="str">
        <x:v>Hafta Sonu</x:v>
      </x:c>
      <x:c r="E2037" s="14" t="str">
        <x:v>Tam gün</x:v>
      </x:c>
      <x:c r="F2037" s="14" t="str">
        <x:v>F3 - Kaynak/MEB Tamamlama</x:v>
      </x:c>
      <x:c r="G2037" s="14" t="str">
        <x:v>18:25</x:v>
      </x:c>
      <x:c r="H2037" s="14" t="str">
        <x:v>18:45</x:v>
      </x:c>
      <x:c r="I2037" s="14" t="str">
        <x:v>Genel</x:v>
      </x:c>
      <x:c r="J2037" s="14" t="str">
        <x:v>Yanlış / Boş Analizi</x:v>
      </x:c>
      <x:c r="K2037" s="14" t="str">
        <x:v>Günlük</x:v>
      </x:c>
      <x:c r="L2037" s="14" t="str">
        <x:v>Bugünkü yanlış/boşları kaydet; çözümünü öğrenmeden kapatma. Hata türünü sınıflandır.</x:v>
      </x:c>
      <x:c r="M2037" s="14" t="str">
        <x:v>Yanlış Defteri</x:v>
      </x:c>
      <x:c r="N2037" s="14" t="str"/>
      <x:c r="O2037" s="14" t="n">
        <x:v>0</x:v>
      </x:c>
      <x:c r="P2037" s="14" t="str">
        <x:v>Hayır</x:v>
      </x:c>
      <x:c r="Q2037" s="14" t="str">
        <x:v>Evet</x:v>
      </x:c>
      <x:c r="R2037" s="14" t="str">
        <x:v>Planlandı</x:v>
      </x:c>
      <x:c r="S2037" s="15" t="str"/>
      <x:c r="T2037" s="14" t="str"/>
    </x:row>
    <x:row r="2038">
      <x:c r="A2038" s="14" t="n">
        <x:v>2037</x:v>
      </x:c>
      <x:c r="B2038" s="15" t="n">
        <x:v>46459</x:v>
      </x:c>
      <x:c r="C2038" s="14" t="str">
        <x:v>Cumartesi</x:v>
      </x:c>
      <x:c r="D2038" s="14" t="str">
        <x:v>Hafta Sonu</x:v>
      </x:c>
      <x:c r="E2038" s="14" t="str">
        <x:v>Tam gün</x:v>
      </x:c>
      <x:c r="F2038" s="14" t="str">
        <x:v>F3 - Kaynak/MEB Tamamlama</x:v>
      </x:c>
      <x:c r="G2038" s="14" t="str">
        <x:v>18:45</x:v>
      </x:c>
      <x:c r="H2038" s="14" t="str">
        <x:v>19:05</x:v>
      </x:c>
      <x:c r="I2038" s="14" t="str">
        <x:v>Genel</x:v>
      </x:c>
      <x:c r="J2038" s="14" t="str">
        <x:v>Aralıklı Hata Tekrarı</x:v>
      </x:c>
      <x:c r="K2038" s="14" t="str">
        <x:v>+1 / +7 / +21</x:v>
      </x:c>
      <x:c r="L2038" s="14" t="str">
        <x:v>Bugün vadesi gelen yanlış soruları tekrar çöz. Vadesi yoksa bu süre serbest/okuma olabilir.</x:v>
      </x:c>
      <x:c r="M2038" s="14" t="str">
        <x:v>Yanlış Defteri</x:v>
      </x:c>
      <x:c r="N2038" s="14" t="str"/>
      <x:c r="O2038" s="14" t="n">
        <x:v>0</x:v>
      </x:c>
      <x:c r="P2038" s="14" t="str">
        <x:v>Hayır</x:v>
      </x:c>
      <x:c r="Q2038" s="14" t="str">
        <x:v>Koşullu</x:v>
      </x:c>
      <x:c r="R2038" s="14" t="str">
        <x:v>Planlandı</x:v>
      </x:c>
      <x:c r="S2038" s="15" t="str"/>
      <x:c r="T2038" s="14" t="str">
        <x:v>Yanlışlar +1, +7 ve +21 gün aralıklarıyla tekrar edilir; hâlâ yanlışsa konu mastery durumu düşürülür.</x:v>
      </x:c>
    </x:row>
    <x:row r="2039">
      <x:c r="A2039" s="14" t="n">
        <x:v>2038</x:v>
      </x:c>
      <x:c r="B2039" s="15" t="n">
        <x:v>46459</x:v>
      </x:c>
      <x:c r="C2039" s="14" t="str">
        <x:v>Cumartesi</x:v>
      </x:c>
      <x:c r="D2039" s="14" t="str">
        <x:v>Hafta Sonu</x:v>
      </x:c>
      <x:c r="E2039" s="14" t="str">
        <x:v>Tam gün</x:v>
      </x:c>
      <x:c r="F2039" s="14" t="str">
        <x:v>F3 - Kaynak/MEB Tamamlama</x:v>
      </x:c>
      <x:c r="G2039" s="14" t="str">
        <x:v>20:00</x:v>
      </x:c>
      <x:c r="H2039" s="14" t="str">
        <x:v>20:30</x:v>
      </x:c>
      <x:c r="I2039" s="14" t="str">
        <x:v>Okuma</x:v>
      </x:c>
      <x:c r="J2039" s="14" t="str">
        <x:v>İsteğe Bağlı</x:v>
      </x:c>
      <x:c r="K2039" s="14" t="str">
        <x:v>Serbest Kitap</x:v>
      </x:c>
      <x:c r="L2039" s="14" t="str">
        <x:v>Zorunlu çalışmalar bittiyse isteğe bağlı kitap oku.</x:v>
      </x:c>
      <x:c r="M2039" s="14" t="str">
        <x:v>Serbest Kitap</x:v>
      </x:c>
      <x:c r="N2039" s="14" t="str"/>
      <x:c r="O2039" s="14" t="n">
        <x:v>0</x:v>
      </x:c>
      <x:c r="P2039" s="14" t="str">
        <x:v>İsteğe Bağlı</x:v>
      </x:c>
      <x:c r="Q2039" s="14" t="str">
        <x:v>Hayır</x:v>
      </x:c>
      <x:c r="R2039" s="14" t="str">
        <x:v>Planlandı</x:v>
      </x:c>
      <x:c r="S2039" s="15" t="str"/>
      <x:c r="T2039" s="14" t="str">
        <x:v>Minimum süre yok.</x:v>
      </x:c>
    </x:row>
    <x:row r="2040">
      <x:c r="A2040" s="14" t="n">
        <x:v>2039</x:v>
      </x:c>
      <x:c r="B2040" s="15" t="n">
        <x:v>46459</x:v>
      </x:c>
      <x:c r="C2040" s="14" t="str">
        <x:v>Cumartesi</x:v>
      </x:c>
      <x:c r="D2040" s="14" t="str">
        <x:v>Hafta Sonu</x:v>
      </x:c>
      <x:c r="E2040" s="14" t="str">
        <x:v>Tam gün</x:v>
      </x:c>
      <x:c r="F2040" s="14" t="str">
        <x:v>F3 - Kaynak/MEB Tamamlama</x:v>
      </x:c>
      <x:c r="G2040" s="14" t="str">
        <x:v>21:50</x:v>
      </x:c>
      <x:c r="H2040" s="14" t="str">
        <x:v>22:00</x:v>
      </x:c>
      <x:c r="I2040" s="14" t="str">
        <x:v>Genel</x:v>
      </x:c>
      <x:c r="J2040" s="14" t="str">
        <x:v>Uyku Hazırlığı</x:v>
      </x:c>
      <x:c r="K2040" s="14" t="str"/>
      <x:c r="L2040" s="14" t="str">
        <x:v>22:00'de yatakta ve uyku.</x:v>
      </x:c>
      <x:c r="M2040" s="14" t="str"/>
      <x:c r="N2040" s="14" t="str"/>
      <x:c r="O2040" s="14" t="n">
        <x:v>0</x:v>
      </x:c>
      <x:c r="P2040" s="14" t="str">
        <x:v>Hayır</x:v>
      </x:c>
      <x:c r="Q2040" s="14" t="str">
        <x:v>Hayır</x:v>
      </x:c>
      <x:c r="R2040" s="14" t="str">
        <x:v>Planlandı</x:v>
      </x:c>
      <x:c r="S2040" s="15" t="str"/>
      <x:c r="T2040" s="14" t="str"/>
    </x:row>
    <x:row r="2041">
      <x:c r="A2041" s="14" t="n">
        <x:v>2040</x:v>
      </x:c>
      <x:c r="B2041" s="15" t="n">
        <x:v>46460</x:v>
      </x:c>
      <x:c r="C2041" s="14" t="str">
        <x:v>Pazar</x:v>
      </x:c>
      <x:c r="D2041" s="14" t="str">
        <x:v>Hafta Sonu</x:v>
      </x:c>
      <x:c r="E2041" s="14" t="str">
        <x:v>Tam gün</x:v>
      </x:c>
      <x:c r="F2041" s="14" t="str">
        <x:v>F3 - Kaynak/MEB Tamamlama</x:v>
      </x:c>
      <x:c r="G2041" s="14" t="str">
        <x:v>09:30</x:v>
      </x:c>
      <x:c r="H2041" s="14" t="str">
        <x:v>10:15</x:v>
      </x:c>
      <x:c r="I2041" s="14" t="str">
        <x:v>Matematik</x:v>
      </x:c>
      <x:c r="J2041" s="14" t="str">
        <x:v>Konu / Tekrar</x:v>
      </x:c>
      <x:c r="K2041" s="14" t="str">
        <x:v>Kaynak Tamamlama / Zayıf Konu</x:v>
      </x:c>
      <x:c r="L2041" s="14" t="str">
        <x:v>Yeni konu açma. En zayıf/açık konunun ilgili playlist videosunu yalnız gerekiyorsa tekrar izle.</x:v>
      </x:c>
      <x:c r="M2041" s="14" t="str">
        <x:v>Matematik Ana Oynatma Listesi</x:v>
      </x:c>
      <x:c r="N2041" s="14" t="str">
        <x:v>https://www.youtube.com/watch?v=EuJ89QzqrAg&amp;list=PLicNtF7vp6fnfDqrRLH6H7fIbzYT4ct4F&amp;index=11</x:v>
      </x:c>
      <x:c r="O2041" s="14" t="n">
        <x:v>0</x:v>
      </x:c>
      <x:c r="P2041" s="14" t="str">
        <x:v>Hayır</x:v>
      </x:c>
      <x:c r="Q2041" s="14" t="str">
        <x:v>Evet</x:v>
      </x:c>
      <x:c r="R2041" s="14" t="str">
        <x:v>Planlandı</x:v>
      </x:c>
      <x:c r="S2041" s="15" t="str"/>
      <x:c r="T2041" s="14" t="str">
        <x:v>Yeni konu ancak plan sırasıyla açılır; LGS dışı ileri TYT içeriği zorunlu değildir.</x:v>
      </x:c>
    </x:row>
    <x:row r="2042">
      <x:c r="A2042" s="14" t="n">
        <x:v>2041</x:v>
      </x:c>
      <x:c r="B2042" s="15" t="n">
        <x:v>46460</x:v>
      </x:c>
      <x:c r="C2042" s="14" t="str">
        <x:v>Pazar</x:v>
      </x:c>
      <x:c r="D2042" s="14" t="str">
        <x:v>Hafta Sonu</x:v>
      </x:c>
      <x:c r="E2042" s="14" t="str">
        <x:v>Tam gün</x:v>
      </x:c>
      <x:c r="F2042" s="14" t="str">
        <x:v>F3 - Kaynak/MEB Tamamlama</x:v>
      </x:c>
      <x:c r="G2042" s="14" t="str">
        <x:v>10:25</x:v>
      </x:c>
      <x:c r="H2042" s="14" t="str">
        <x:v>11:15</x:v>
      </x:c>
      <x:c r="I2042" s="14" t="str">
        <x:v>Matematik</x:v>
      </x:c>
      <x:c r="J2042" s="14" t="str">
        <x:v>Kitap / MEB / Mastery</x:v>
      </x:c>
      <x:c r="K2042" s="14" t="str">
        <x:v>Kaynak Tamamlama / Zayıf Konu</x:v>
      </x:c>
      <x:c r="L2042" s="14" t="str">
        <x:v>13 Nisan %100 tamamlama hedefine göre en geride kalan Matematik soru kaynağını/eksik MEB setini ilerlet; açık yanlışları kapat.</x:v>
      </x:c>
      <x:c r="M2042" s="14" t="str">
        <x:v>MUBA 8. Sınıf Başlangıç Matematik (ISBN 9789756526972) → tamamlandıysa Mozaik 8. Sınıf Matematik; açık MEB/yanlışlar</x:v>
      </x:c>
      <x:c r="N2042" s="14" t="str">
        <x:v>https://odsgm.meb.gov.tr/www/8sinif-calisma-sorulari/icerik/1632</x:v>
      </x:c>
      <x:c r="O2042" s="14" t="n">
        <x:v>30</x:v>
      </x:c>
      <x:c r="P2042" s="14" t="str">
        <x:v>İlk 20 soru</x:v>
      </x:c>
      <x:c r="Q2042" s="14" t="str">
        <x:v>Evet</x:v>
      </x:c>
      <x:c r="R2042" s="14" t="str">
        <x:v>Planlandı</x:v>
      </x:c>
      <x:c r="S2042" s="15" t="str"/>
      <x:c r="T2042" s="14" t="str">
        <x:v>Ayrı/rastgele matematik benchmark yoktur. Süreli ilk 20 soru o gün çalışılan konunun içindedir.</x:v>
      </x:c>
    </x:row>
    <x:row r="2043">
      <x:c r="A2043" s="14" t="n">
        <x:v>2042</x:v>
      </x:c>
      <x:c r="B2043" s="15" t="n">
        <x:v>46460</x:v>
      </x:c>
      <x:c r="C2043" s="14" t="str">
        <x:v>Pazar</x:v>
      </x:c>
      <x:c r="D2043" s="14" t="str">
        <x:v>Hafta Sonu</x:v>
      </x:c>
      <x:c r="E2043" s="14" t="str">
        <x:v>Tam gün</x:v>
      </x:c>
      <x:c r="F2043" s="14" t="str">
        <x:v>F3 - Kaynak/MEB Tamamlama</x:v>
      </x:c>
      <x:c r="G2043" s="14" t="str">
        <x:v>12:00</x:v>
      </x:c>
      <x:c r="H2043" s="14" t="str">
        <x:v>14:00</x:v>
      </x:c>
      <x:c r="I2043" s="14" t="str">
        <x:v>Genel</x:v>
      </x:c>
      <x:c r="J2043" s="14" t="str">
        <x:v>Yemek / Serbest Zaman</x:v>
      </x:c>
      <x:c r="K2043" s="14" t="str"/>
      <x:c r="L2043" s="14" t="str">
        <x:v>Yemek, hareket ve dinlenme.</x:v>
      </x:c>
      <x:c r="M2043" s="14" t="str"/>
      <x:c r="N2043" s="14" t="str"/>
      <x:c r="O2043" s="14" t="n">
        <x:v>0</x:v>
      </x:c>
      <x:c r="P2043" s="14" t="str">
        <x:v>Hayır</x:v>
      </x:c>
      <x:c r="Q2043" s="14" t="str">
        <x:v>Hayır</x:v>
      </x:c>
      <x:c r="R2043" s="14" t="str">
        <x:v>Planlandı</x:v>
      </x:c>
      <x:c r="S2043" s="15" t="str"/>
      <x:c r="T2043" s="14" t="str"/>
    </x:row>
    <x:row r="2044">
      <x:c r="A2044" s="14" t="n">
        <x:v>2043</x:v>
      </x:c>
      <x:c r="B2044" s="15" t="n">
        <x:v>46460</x:v>
      </x:c>
      <x:c r="C2044" s="14" t="str">
        <x:v>Pazar</x:v>
      </x:c>
      <x:c r="D2044" s="14" t="str">
        <x:v>Hafta Sonu</x:v>
      </x:c>
      <x:c r="E2044" s="14" t="str">
        <x:v>Tam gün</x:v>
      </x:c>
      <x:c r="F2044" s="14" t="str">
        <x:v>F3 - Kaynak/MEB Tamamlama</x:v>
      </x:c>
      <x:c r="G2044" s="14" t="str">
        <x:v>11:25</x:v>
      </x:c>
      <x:c r="H2044" s="14" t="str">
        <x:v>11:55</x:v>
      </x:c>
      <x:c r="I2044" s="14" t="str">
        <x:v>Türkçe</x:v>
      </x:c>
      <x:c r="J2044" s="14" t="str">
        <x:v>Paragraf Rutini</x:v>
      </x:c>
      <x:c r="K2044" s="14" t="str">
        <x:v>Paragraf</x:v>
      </x:c>
      <x:c r="L2044" s="14" t="str">
        <x:v>En az 30 paragraf sorusu çöz; ilk 20 soruyu ileri sayımla ölç, D/Y/B + süre kaydet.</x:v>
      </x:c>
      <x:c r="M2044" s="14" t="str">
        <x:v>Hız 8. Sınıf Türkçe Paragraf (ISBN 9786258394498)</x:v>
      </x:c>
      <x:c r="N2044" s="14" t="str"/>
      <x:c r="O2044" s="14" t="n">
        <x:v>30</x:v>
      </x:c>
      <x:c r="P2044" s="14" t="str">
        <x:v>İlk 20 soru</x:v>
      </x:c>
      <x:c r="Q2044" s="14" t="str">
        <x:v>Evet</x:v>
      </x:c>
      <x:c r="R2044" s="14" t="str">
        <x:v>Planlandı</x:v>
      </x:c>
      <x:c r="S2044" s="15" t="str"/>
      <x:c r="T2044" s="14" t="str">
        <x:v>Geri sayım ve hedef süre yok.</x:v>
      </x:c>
    </x:row>
    <x:row r="2045">
      <x:c r="A2045" s="14" t="n">
        <x:v>2044</x:v>
      </x:c>
      <x:c r="B2045" s="15" t="n">
        <x:v>46460</x:v>
      </x:c>
      <x:c r="C2045" s="14" t="str">
        <x:v>Pazar</x:v>
      </x:c>
      <x:c r="D2045" s="14" t="str">
        <x:v>Hafta Sonu</x:v>
      </x:c>
      <x:c r="E2045" s="14" t="str">
        <x:v>Tam gün</x:v>
      </x:c>
      <x:c r="F2045" s="14" t="str">
        <x:v>F3 - Kaynak/MEB Tamamlama</x:v>
      </x:c>
      <x:c r="G2045" s="14" t="str">
        <x:v>14:00</x:v>
      </x:c>
      <x:c r="H2045" s="14" t="str">
        <x:v>14:40</x:v>
      </x:c>
      <x:c r="I2045" s="14" t="str">
        <x:v>Türkçe</x:v>
      </x:c>
      <x:c r="J2045" s="14" t="str">
        <x:v>Konu / Tekrar</x:v>
      </x:c>
      <x:c r="K2045" s="14" t="str">
        <x:v>Kaynak Tamamlama / Zayıf Konu</x:v>
      </x:c>
      <x:c r="L2045" s="14" t="str">
        <x:v>Yeni konu açma. En zayıf/açık konunun ilgili playlist videosunu yalnız gerekiyorsa tekrar izle.</x:v>
      </x:c>
      <x:c r="M2045" s="14" t="str">
        <x:v>Türkçe Ana Oynatma Listesi</x:v>
      </x:c>
      <x:c r="N2045" s="14" t="str">
        <x:v>https://www.youtube.com/watch?v=VYsPntNKVdw&amp;list=PLIBjFaUoJJ91bz7QQEBlxNJNZka5YQRr6</x:v>
      </x:c>
      <x:c r="O2045" s="14" t="n">
        <x:v>0</x:v>
      </x:c>
      <x:c r="P2045" s="14" t="str">
        <x:v>Hayır</x:v>
      </x:c>
      <x:c r="Q2045" s="14" t="str">
        <x:v>Evet</x:v>
      </x:c>
      <x:c r="R2045" s="14" t="str">
        <x:v>Planlandı</x:v>
      </x:c>
      <x:c r="S2045" s="15" t="str"/>
      <x:c r="T2045" s="14" t="str">
        <x:v>TYT etiketli kaynak temelden başlamak için sabittir; LGS dışı gereksiz ayrıntı zorunlu değildir.</x:v>
      </x:c>
    </x:row>
    <x:row r="2046">
      <x:c r="A2046" s="14" t="n">
        <x:v>2045</x:v>
      </x:c>
      <x:c r="B2046" s="15" t="n">
        <x:v>46460</x:v>
      </x:c>
      <x:c r="C2046" s="14" t="str">
        <x:v>Pazar</x:v>
      </x:c>
      <x:c r="D2046" s="14" t="str">
        <x:v>Hafta Sonu</x:v>
      </x:c>
      <x:c r="E2046" s="14" t="str">
        <x:v>Tam gün</x:v>
      </x:c>
      <x:c r="F2046" s="14" t="str">
        <x:v>F3 - Kaynak/MEB Tamamlama</x:v>
      </x:c>
      <x:c r="G2046" s="14" t="str">
        <x:v>14:50</x:v>
      </x:c>
      <x:c r="H2046" s="14" t="str">
        <x:v>15:30</x:v>
      </x:c>
      <x:c r="I2046" s="14" t="str">
        <x:v>Türkçe</x:v>
      </x:c>
      <x:c r="J2046" s="14" t="str">
        <x:v>Kitap / MEB / Mastery</x:v>
      </x:c>
      <x:c r="K2046" s="14" t="str">
        <x:v>Kaynak Tamamlama / Zayıf Konu</x:v>
      </x:c>
      <x:c r="L2046" s="14" t="str">
        <x:v>13 Nisan %100 tamamlama hedefine göre en geride kalan Türkçe soru kaynağını/eksik MEB setini ilerlet; açık yanlışları kapat.</x:v>
      </x:c>
      <x:c r="M2046" s="14" t="str">
        <x:v>Ankara 8. Sınıf Dil Bilgisi Güçlendiren + açık MEB/yanlışlar</x:v>
      </x:c>
      <x:c r="N2046" s="14" t="str">
        <x:v>https://odsgm.meb.gov.tr/www/8sinif-calisma-sorulari/icerik/1632</x:v>
      </x:c>
      <x:c r="O2046" s="14" t="n">
        <x:v>15</x:v>
      </x:c>
      <x:c r="P2046" s="14" t="str">
        <x:v>Hayır</x:v>
      </x:c>
      <x:c r="Q2046" s="14" t="str">
        <x:v>Evet</x:v>
      </x:c>
      <x:c r="R2046" s="14" t="str">
        <x:v>Planlandı</x:v>
      </x:c>
      <x:c r="S2046" s="15" t="str"/>
      <x:c r="T2046" s="14" t="str"/>
    </x:row>
    <x:row r="2047">
      <x:c r="A2047" s="14" t="n">
        <x:v>2046</x:v>
      </x:c>
      <x:c r="B2047" s="15" t="n">
        <x:v>46460</x:v>
      </x:c>
      <x:c r="C2047" s="14" t="str">
        <x:v>Pazar</x:v>
      </x:c>
      <x:c r="D2047" s="14" t="str">
        <x:v>Hafta Sonu</x:v>
      </x:c>
      <x:c r="E2047" s="14" t="str">
        <x:v>Tam gün</x:v>
      </x:c>
      <x:c r="F2047" s="14" t="str">
        <x:v>F3 - Kaynak/MEB Tamamlama</x:v>
      </x:c>
      <x:c r="G2047" s="14" t="str">
        <x:v>15:45</x:v>
      </x:c>
      <x:c r="H2047" s="14" t="str">
        <x:v>16:25</x:v>
      </x:c>
      <x:c r="I2047" s="14" t="str">
        <x:v>Fen</x:v>
      </x:c>
      <x:c r="J2047" s="14" t="str">
        <x:v>Konu / Tekrar</x:v>
      </x:c>
      <x:c r="K2047" s="14" t="str">
        <x:v>Elektrik Yüklü Cisimler</x:v>
      </x:c>
      <x:c r="L2047" s="14" t="str">
        <x:v>Elektrik Yüklü Cisimler — MEB doğrulaması öncesi 5-10 dk aktif hatırlama; gerekiyorsa ilgili playlist videosuna kısa dönüş yap.</x:v>
      </x:c>
      <x:c r="M2047" s="14" t="str">
        <x:v>Fen Soru Çözüm / Tekrar</x:v>
      </x:c>
      <x:c r="N2047" s="14" t="str">
        <x:v>https://www.youtube.com/watch?v=pQXhWnDZ3vM&amp;list=PLrQm7mt99FRXcBnorCttd31HJEvg0En26&amp;index=23</x:v>
      </x:c>
      <x:c r="O2047" s="14" t="n">
        <x:v>0</x:v>
      </x:c>
      <x:c r="P2047" s="14" t="str">
        <x:v>Hayır</x:v>
      </x:c>
      <x:c r="Q2047" s="14" t="str">
        <x:v>Evet</x:v>
      </x:c>
      <x:c r="R2047" s="14" t="str">
        <x:v>Planlandı</x:v>
      </x:c>
      <x:c r="S2047" s="15" t="str"/>
      <x:c r="T2047" s="14" t="str"/>
    </x:row>
    <x:row r="2048">
      <x:c r="A2048" s="14" t="n">
        <x:v>2047</x:v>
      </x:c>
      <x:c r="B2048" s="15" t="n">
        <x:v>46460</x:v>
      </x:c>
      <x:c r="C2048" s="14" t="str">
        <x:v>Pazar</x:v>
      </x:c>
      <x:c r="D2048" s="14" t="str">
        <x:v>Hafta Sonu</x:v>
      </x:c>
      <x:c r="E2048" s="14" t="str">
        <x:v>Tam gün</x:v>
      </x:c>
      <x:c r="F2048" s="14" t="str">
        <x:v>F3 - Kaynak/MEB Tamamlama</x:v>
      </x:c>
      <x:c r="G2048" s="14" t="str">
        <x:v>16:35</x:v>
      </x:c>
      <x:c r="H2048" s="14" t="str">
        <x:v>17:15</x:v>
      </x:c>
      <x:c r="I2048" s="14" t="str">
        <x:v>Fen</x:v>
      </x:c>
      <x:c r="J2048" s="14" t="str">
        <x:v>Kitap / MEB / Mastery</x:v>
      </x:c>
      <x:c r="K2048" s="14" t="str">
        <x:v>Elektrik Yüklü Cisimler</x:v>
      </x:c>
      <x:c r="L2048" s="14" t="str">
        <x:v>Elektrik Yüklü Cisimler için ilgili MEB sorularını TAMAMLA; D/Y/B kaydet. Bu oturum konu mastery gate'idir.</x:v>
      </x:c>
      <x:c r="M2048" s="14" t="str">
        <x:v>MEB 8. Sınıf Fen Soruları</x:v>
      </x:c>
      <x:c r="N2048" s="14" t="str">
        <x:v>https://odsgm.meb.gov.tr/www/8sinif-calisma-sorulari/icerik/1632</x:v>
      </x:c>
      <x:c r="O2048" s="14" t="n">
        <x:v>0</x:v>
      </x:c>
      <x:c r="P2048" s="14" t="str">
        <x:v>Hayır</x:v>
      </x:c>
      <x:c r="Q2048" s="14" t="str">
        <x:v>Evet</x:v>
      </x:c>
      <x:c r="R2048" s="14" t="str">
        <x:v>Planlandı</x:v>
      </x:c>
      <x:c r="S2048" s="15" t="str"/>
      <x:c r="T2048" s="14" t="str">
        <x:v>MEB sonucu Konu_Ustaligi sayfasına işlenir.</x:v>
      </x:c>
    </x:row>
    <x:row r="2049">
      <x:c r="A2049" s="14" t="n">
        <x:v>2048</x:v>
      </x:c>
      <x:c r="B2049" s="15" t="n">
        <x:v>46460</x:v>
      </x:c>
      <x:c r="C2049" s="14" t="str">
        <x:v>Pazar</x:v>
      </x:c>
      <x:c r="D2049" s="14" t="str">
        <x:v>Hafta Sonu</x:v>
      </x:c>
      <x:c r="E2049" s="14" t="str">
        <x:v>Tam gün</x:v>
      </x:c>
      <x:c r="F2049" s="14" t="str">
        <x:v>F3 - Kaynak/MEB Tamamlama</x:v>
      </x:c>
      <x:c r="G2049" s="14" t="str">
        <x:v>17:25</x:v>
      </x:c>
      <x:c r="H2049" s="14" t="str">
        <x:v>18:25</x:v>
      </x:c>
      <x:c r="I2049" s="14" t="str">
        <x:v>Genel</x:v>
      </x:c>
      <x:c r="J2049" s="14" t="str">
        <x:v>Kaynak Tamamlama</x:v>
      </x:c>
      <x:c r="K2049" s="14" t="str">
        <x:v>En Geride Kalan Kaynak</x:v>
      </x:c>
      <x:c r="L2049" s="14" t="str">
        <x:v>Kaynak_Ilerleme sayfasında hedef yüzdesinin en gerisinde kalan ZORUNLU soru kaynağına 60 dk ayır. Öğrenilmemiş konudan ileri gitme.</x:v>
      </x:c>
      <x:c r="M2049" s="14" t="str">
        <x:v>Kaynak İlerleme</x:v>
      </x:c>
      <x:c r="N2049" s="14" t="str"/>
      <x:c r="O2049" s="14" t="n">
        <x:v>0</x:v>
      </x:c>
      <x:c r="P2049" s="14" t="str">
        <x:v>Hayır</x:v>
      </x:c>
      <x:c r="Q2049" s="14" t="str">
        <x:v>Evet</x:v>
      </x:c>
      <x:c r="R2049" s="14" t="str">
        <x:v>Planlandı</x:v>
      </x:c>
      <x:c r="S2049" s="15" t="str"/>
      <x:c r="T2049" s="14" t="str">
        <x:v>Amaç 13.04.2027'de zorunlu soru kitapları + ilgili MEB setlerini %100 tamamlamak.</x:v>
      </x:c>
    </x:row>
    <x:row r="2050">
      <x:c r="A2050" s="14" t="n">
        <x:v>2049</x:v>
      </x:c>
      <x:c r="B2050" s="15" t="n">
        <x:v>46460</x:v>
      </x:c>
      <x:c r="C2050" s="14" t="str">
        <x:v>Pazar</x:v>
      </x:c>
      <x:c r="D2050" s="14" t="str">
        <x:v>Hafta Sonu</x:v>
      </x:c>
      <x:c r="E2050" s="14" t="str">
        <x:v>Tam gün</x:v>
      </x:c>
      <x:c r="F2050" s="14" t="str">
        <x:v>F3 - Kaynak/MEB Tamamlama</x:v>
      </x:c>
      <x:c r="G2050" s="14" t="str">
        <x:v>18:25</x:v>
      </x:c>
      <x:c r="H2050" s="14" t="str">
        <x:v>18:45</x:v>
      </x:c>
      <x:c r="I2050" s="14" t="str">
        <x:v>Genel</x:v>
      </x:c>
      <x:c r="J2050" s="14" t="str">
        <x:v>Yanlış / Boş Analizi</x:v>
      </x:c>
      <x:c r="K2050" s="14" t="str">
        <x:v>Günlük</x:v>
      </x:c>
      <x:c r="L2050" s="14" t="str">
        <x:v>Bugünkü yanlış/boşları kaydet; çözümünü öğrenmeden kapatma. Hata türünü sınıflandır.</x:v>
      </x:c>
      <x:c r="M2050" s="14" t="str">
        <x:v>Yanlış Defteri</x:v>
      </x:c>
      <x:c r="N2050" s="14" t="str"/>
      <x:c r="O2050" s="14" t="n">
        <x:v>0</x:v>
      </x:c>
      <x:c r="P2050" s="14" t="str">
        <x:v>Hayır</x:v>
      </x:c>
      <x:c r="Q2050" s="14" t="str">
        <x:v>Evet</x:v>
      </x:c>
      <x:c r="R2050" s="14" t="str">
        <x:v>Planlandı</x:v>
      </x:c>
      <x:c r="S2050" s="15" t="str"/>
      <x:c r="T2050" s="14" t="str"/>
    </x:row>
    <x:row r="2051">
      <x:c r="A2051" s="14" t="n">
        <x:v>2050</x:v>
      </x:c>
      <x:c r="B2051" s="15" t="n">
        <x:v>46460</x:v>
      </x:c>
      <x:c r="C2051" s="14" t="str">
        <x:v>Pazar</x:v>
      </x:c>
      <x:c r="D2051" s="14" t="str">
        <x:v>Hafta Sonu</x:v>
      </x:c>
      <x:c r="E2051" s="14" t="str">
        <x:v>Tam gün</x:v>
      </x:c>
      <x:c r="F2051" s="14" t="str">
        <x:v>F3 - Kaynak/MEB Tamamlama</x:v>
      </x:c>
      <x:c r="G2051" s="14" t="str">
        <x:v>18:45</x:v>
      </x:c>
      <x:c r="H2051" s="14" t="str">
        <x:v>19:05</x:v>
      </x:c>
      <x:c r="I2051" s="14" t="str">
        <x:v>Genel</x:v>
      </x:c>
      <x:c r="J2051" s="14" t="str">
        <x:v>Aralıklı Hata Tekrarı</x:v>
      </x:c>
      <x:c r="K2051" s="14" t="str">
        <x:v>+1 / +7 / +21</x:v>
      </x:c>
      <x:c r="L2051" s="14" t="str">
        <x:v>Bugün vadesi gelen yanlış soruları tekrar çöz. Vadesi yoksa bu süre serbest/okuma olabilir.</x:v>
      </x:c>
      <x:c r="M2051" s="14" t="str">
        <x:v>Yanlış Defteri</x:v>
      </x:c>
      <x:c r="N2051" s="14" t="str"/>
      <x:c r="O2051" s="14" t="n">
        <x:v>0</x:v>
      </x:c>
      <x:c r="P2051" s="14" t="str">
        <x:v>Hayır</x:v>
      </x:c>
      <x:c r="Q2051" s="14" t="str">
        <x:v>Koşullu</x:v>
      </x:c>
      <x:c r="R2051" s="14" t="str">
        <x:v>Planlandı</x:v>
      </x:c>
      <x:c r="S2051" s="15" t="str"/>
      <x:c r="T2051" s="14" t="str">
        <x:v>Yanlışlar +1, +7 ve +21 gün aralıklarıyla tekrar edilir; hâlâ yanlışsa konu mastery durumu düşürülür.</x:v>
      </x:c>
    </x:row>
    <x:row r="2052">
      <x:c r="A2052" s="14" t="n">
        <x:v>2051</x:v>
      </x:c>
      <x:c r="B2052" s="15" t="n">
        <x:v>46460</x:v>
      </x:c>
      <x:c r="C2052" s="14" t="str">
        <x:v>Pazar</x:v>
      </x:c>
      <x:c r="D2052" s="14" t="str">
        <x:v>Hafta Sonu</x:v>
      </x:c>
      <x:c r="E2052" s="14" t="str">
        <x:v>Tam gün</x:v>
      </x:c>
      <x:c r="F2052" s="14" t="str">
        <x:v>F3 - Kaynak/MEB Tamamlama</x:v>
      </x:c>
      <x:c r="G2052" s="14" t="str">
        <x:v>20:00</x:v>
      </x:c>
      <x:c r="H2052" s="14" t="str">
        <x:v>20:30</x:v>
      </x:c>
      <x:c r="I2052" s="14" t="str">
        <x:v>Okuma</x:v>
      </x:c>
      <x:c r="J2052" s="14" t="str">
        <x:v>İsteğe Bağlı</x:v>
      </x:c>
      <x:c r="K2052" s="14" t="str">
        <x:v>Serbest Kitap</x:v>
      </x:c>
      <x:c r="L2052" s="14" t="str">
        <x:v>Zorunlu çalışmalar bittiyse isteğe bağlı kitap oku.</x:v>
      </x:c>
      <x:c r="M2052" s="14" t="str">
        <x:v>Serbest Kitap</x:v>
      </x:c>
      <x:c r="N2052" s="14" t="str"/>
      <x:c r="O2052" s="14" t="n">
        <x:v>0</x:v>
      </x:c>
      <x:c r="P2052" s="14" t="str">
        <x:v>İsteğe Bağlı</x:v>
      </x:c>
      <x:c r="Q2052" s="14" t="str">
        <x:v>Hayır</x:v>
      </x:c>
      <x:c r="R2052" s="14" t="str">
        <x:v>Planlandı</x:v>
      </x:c>
      <x:c r="S2052" s="15" t="str"/>
      <x:c r="T2052" s="14" t="str">
        <x:v>Minimum süre yok.</x:v>
      </x:c>
    </x:row>
    <x:row r="2053">
      <x:c r="A2053" s="14" t="n">
        <x:v>2052</x:v>
      </x:c>
      <x:c r="B2053" s="15" t="n">
        <x:v>46460</x:v>
      </x:c>
      <x:c r="C2053" s="14" t="str">
        <x:v>Pazar</x:v>
      </x:c>
      <x:c r="D2053" s="14" t="str">
        <x:v>Hafta Sonu</x:v>
      </x:c>
      <x:c r="E2053" s="14" t="str">
        <x:v>Tam gün</x:v>
      </x:c>
      <x:c r="F2053" s="14" t="str">
        <x:v>F3 - Kaynak/MEB Tamamlama</x:v>
      </x:c>
      <x:c r="G2053" s="14" t="str">
        <x:v>21:50</x:v>
      </x:c>
      <x:c r="H2053" s="14" t="str">
        <x:v>22:00</x:v>
      </x:c>
      <x:c r="I2053" s="14" t="str">
        <x:v>Genel</x:v>
      </x:c>
      <x:c r="J2053" s="14" t="str">
        <x:v>Uyku Hazırlığı</x:v>
      </x:c>
      <x:c r="K2053" s="14" t="str"/>
      <x:c r="L2053" s="14" t="str">
        <x:v>22:00'de yatakta ve uyku.</x:v>
      </x:c>
      <x:c r="M2053" s="14" t="str"/>
      <x:c r="N2053" s="14" t="str"/>
      <x:c r="O2053" s="14" t="n">
        <x:v>0</x:v>
      </x:c>
      <x:c r="P2053" s="14" t="str">
        <x:v>Hayır</x:v>
      </x:c>
      <x:c r="Q2053" s="14" t="str">
        <x:v>Hayır</x:v>
      </x:c>
      <x:c r="R2053" s="14" t="str">
        <x:v>Planlandı</x:v>
      </x:c>
      <x:c r="S2053" s="15" t="str"/>
      <x:c r="T2053" s="14" t="str"/>
    </x:row>
    <x:row r="2054">
      <x:c r="A2054" s="14" t="n">
        <x:v>2053</x:v>
      </x:c>
      <x:c r="B2054" s="15" t="n">
        <x:v>46461</x:v>
      </x:c>
      <x:c r="C2054" s="14" t="str">
        <x:v>Pazartesi</x:v>
      </x:c>
      <x:c r="D2054" s="14" t="str">
        <x:v>Okul Günü</x:v>
      </x:c>
      <x:c r="E2054" s="14" t="str">
        <x:v>16:00 sonrası</x:v>
      </x:c>
      <x:c r="F2054" s="14" t="str">
        <x:v>F3 - Kaynak/MEB Tamamlama</x:v>
      </x:c>
      <x:c r="G2054" s="14" t="str">
        <x:v>16:00</x:v>
      </x:c>
      <x:c r="H2054" s="14" t="str">
        <x:v>16:25</x:v>
      </x:c>
      <x:c r="I2054" s="14" t="str">
        <x:v>Genel</x:v>
      </x:c>
      <x:c r="J2054" s="14" t="str">
        <x:v>Dinlenme</x:v>
      </x:c>
      <x:c r="K2054" s="14" t="str"/>
      <x:c r="L2054" s="14" t="str">
        <x:v>Eve geliş, atıştırma ve dinlenme.</x:v>
      </x:c>
      <x:c r="M2054" s="14" t="str"/>
      <x:c r="N2054" s="14" t="str"/>
      <x:c r="O2054" s="14" t="n">
        <x:v>0</x:v>
      </x:c>
      <x:c r="P2054" s="14" t="str">
        <x:v>Hayır</x:v>
      </x:c>
      <x:c r="Q2054" s="14" t="str">
        <x:v>Hayır</x:v>
      </x:c>
      <x:c r="R2054" s="14" t="str">
        <x:v>Planlandı</x:v>
      </x:c>
      <x:c r="S2054" s="15" t="str"/>
      <x:c r="T2054" s="14" t="str"/>
    </x:row>
    <x:row r="2055">
      <x:c r="A2055" s="14" t="n">
        <x:v>2054</x:v>
      </x:c>
      <x:c r="B2055" s="15" t="n">
        <x:v>46461</x:v>
      </x:c>
      <x:c r="C2055" s="14" t="str">
        <x:v>Pazartesi</x:v>
      </x:c>
      <x:c r="D2055" s="14" t="str">
        <x:v>Okul Günü</x:v>
      </x:c>
      <x:c r="E2055" s="14" t="str">
        <x:v>16:00 sonrası</x:v>
      </x:c>
      <x:c r="F2055" s="14" t="str">
        <x:v>F3 - Kaynak/MEB Tamamlama</x:v>
      </x:c>
      <x:c r="G2055" s="14" t="str">
        <x:v>16:25</x:v>
      </x:c>
      <x:c r="H2055" s="14" t="str">
        <x:v>17:05</x:v>
      </x:c>
      <x:c r="I2055" s="14" t="str">
        <x:v>Matematik</x:v>
      </x:c>
      <x:c r="J2055" s="14" t="str">
        <x:v>Konu / Tekrar</x:v>
      </x:c>
      <x:c r="K2055" s="14" t="str">
        <x:v>Kaynak Tamamlama / Zayıf Konu</x:v>
      </x:c>
      <x:c r="L2055" s="14" t="str">
        <x:v>Yeni konu açma. En zayıf/açık konunun ilgili playlist videosunu yalnız gerekiyorsa tekrar izle.</x:v>
      </x:c>
      <x:c r="M2055" s="14" t="str">
        <x:v>Matematik Ana Oynatma Listesi</x:v>
      </x:c>
      <x:c r="N2055" s="14" t="str">
        <x:v>https://www.youtube.com/watch?v=EuJ89QzqrAg&amp;list=PLicNtF7vp6fnfDqrRLH6H7fIbzYT4ct4F&amp;index=11</x:v>
      </x:c>
      <x:c r="O2055" s="14" t="n">
        <x:v>0</x:v>
      </x:c>
      <x:c r="P2055" s="14" t="str">
        <x:v>Hayır</x:v>
      </x:c>
      <x:c r="Q2055" s="14" t="str">
        <x:v>Evet</x:v>
      </x:c>
      <x:c r="R2055" s="14" t="str">
        <x:v>Planlandı</x:v>
      </x:c>
      <x:c r="S2055" s="15" t="str"/>
      <x:c r="T2055" s="14" t="str">
        <x:v>Yeni konu ancak plan sırasıyla açılır; LGS dışı ileri TYT içeriği zorunlu değildir.</x:v>
      </x:c>
    </x:row>
    <x:row r="2056">
      <x:c r="A2056" s="14" t="n">
        <x:v>2055</x:v>
      </x:c>
      <x:c r="B2056" s="15" t="n">
        <x:v>46461</x:v>
      </x:c>
      <x:c r="C2056" s="14" t="str">
        <x:v>Pazartesi</x:v>
      </x:c>
      <x:c r="D2056" s="14" t="str">
        <x:v>Okul Günü</x:v>
      </x:c>
      <x:c r="E2056" s="14" t="str">
        <x:v>16:00 sonrası</x:v>
      </x:c>
      <x:c r="F2056" s="14" t="str">
        <x:v>F3 - Kaynak/MEB Tamamlama</x:v>
      </x:c>
      <x:c r="G2056" s="14" t="str">
        <x:v>17:10</x:v>
      </x:c>
      <x:c r="H2056" s="14" t="str">
        <x:v>17:55</x:v>
      </x:c>
      <x:c r="I2056" s="14" t="str">
        <x:v>Matematik</x:v>
      </x:c>
      <x:c r="J2056" s="14" t="str">
        <x:v>Kitap / MEB / Mastery</x:v>
      </x:c>
      <x:c r="K2056" s="14" t="str">
        <x:v>Kaynak Tamamlama / Zayıf Konu</x:v>
      </x:c>
      <x:c r="L2056" s="14" t="str">
        <x:v>13 Nisan %100 tamamlama hedefine göre en geride kalan Matematik soru kaynağını/eksik MEB setini ilerlet; açık yanlışları kapat.</x:v>
      </x:c>
      <x:c r="M2056" s="14" t="str">
        <x:v>MUBA 8. Sınıf Başlangıç Matematik (ISBN 9789756526972) → tamamlandıysa Mozaik 8. Sınıf Matematik; açık MEB/yanlışlar</x:v>
      </x:c>
      <x:c r="N2056" s="14" t="str">
        <x:v>https://odsgm.meb.gov.tr/www/8sinif-calisma-sorulari/icerik/1632</x:v>
      </x:c>
      <x:c r="O2056" s="14" t="n">
        <x:v>30</x:v>
      </x:c>
      <x:c r="P2056" s="14" t="str">
        <x:v>İlk 20 soru</x:v>
      </x:c>
      <x:c r="Q2056" s="14" t="str">
        <x:v>Evet</x:v>
      </x:c>
      <x:c r="R2056" s="14" t="str">
        <x:v>Planlandı</x:v>
      </x:c>
      <x:c r="S2056" s="15" t="str"/>
      <x:c r="T2056" s="14" t="str">
        <x:v>Ayrı/rastgele matematik benchmark yoktur. Süreli ilk 20 soru o gün çalışılan konunun içindedir.</x:v>
      </x:c>
    </x:row>
    <x:row r="2057">
      <x:c r="A2057" s="14" t="n">
        <x:v>2056</x:v>
      </x:c>
      <x:c r="B2057" s="15" t="n">
        <x:v>46461</x:v>
      </x:c>
      <x:c r="C2057" s="14" t="str">
        <x:v>Pazartesi</x:v>
      </x:c>
      <x:c r="D2057" s="14" t="str">
        <x:v>Okul Günü</x:v>
      </x:c>
      <x:c r="E2057" s="14" t="str">
        <x:v>16:00 sonrası</x:v>
      </x:c>
      <x:c r="F2057" s="14" t="str">
        <x:v>F3 - Kaynak/MEB Tamamlama</x:v>
      </x:c>
      <x:c r="G2057" s="14" t="str">
        <x:v>17:55</x:v>
      </x:c>
      <x:c r="H2057" s="14" t="str">
        <x:v>18:25</x:v>
      </x:c>
      <x:c r="I2057" s="14" t="str">
        <x:v>Genel</x:v>
      </x:c>
      <x:c r="J2057" s="14" t="str">
        <x:v>Yemek / Serbest Zaman</x:v>
      </x:c>
      <x:c r="K2057" s="14" t="str"/>
      <x:c r="L2057" s="14" t="str">
        <x:v>Yemek, hareket ve dinlenme.</x:v>
      </x:c>
      <x:c r="M2057" s="14" t="str"/>
      <x:c r="N2057" s="14" t="str"/>
      <x:c r="O2057" s="14" t="n">
        <x:v>0</x:v>
      </x:c>
      <x:c r="P2057" s="14" t="str">
        <x:v>Hayır</x:v>
      </x:c>
      <x:c r="Q2057" s="14" t="str">
        <x:v>Hayır</x:v>
      </x:c>
      <x:c r="R2057" s="14" t="str">
        <x:v>Planlandı</x:v>
      </x:c>
      <x:c r="S2057" s="15" t="str"/>
      <x:c r="T2057" s="14" t="str"/>
    </x:row>
    <x:row r="2058">
      <x:c r="A2058" s="14" t="n">
        <x:v>2057</x:v>
      </x:c>
      <x:c r="B2058" s="15" t="n">
        <x:v>46461</x:v>
      </x:c>
      <x:c r="C2058" s="14" t="str">
        <x:v>Pazartesi</x:v>
      </x:c>
      <x:c r="D2058" s="14" t="str">
        <x:v>Okul Günü</x:v>
      </x:c>
      <x:c r="E2058" s="14" t="str">
        <x:v>16:00 sonrası</x:v>
      </x:c>
      <x:c r="F2058" s="14" t="str">
        <x:v>F3 - Kaynak/MEB Tamamlama</x:v>
      </x:c>
      <x:c r="G2058" s="14" t="str">
        <x:v>18:25</x:v>
      </x:c>
      <x:c r="H2058" s="14" t="str">
        <x:v>18:55</x:v>
      </x:c>
      <x:c r="I2058" s="14" t="str">
        <x:v>Türkçe</x:v>
      </x:c>
      <x:c r="J2058" s="14" t="str">
        <x:v>Paragraf Rutini</x:v>
      </x:c>
      <x:c r="K2058" s="14" t="str">
        <x:v>Paragraf</x:v>
      </x:c>
      <x:c r="L2058" s="14" t="str">
        <x:v>En az 30 paragraf sorusu çöz; ilk 20 soruyu ileri sayımla ölç, D/Y/B + süre kaydet.</x:v>
      </x:c>
      <x:c r="M2058" s="14" t="str">
        <x:v>Hız 8. Sınıf Türkçe Paragraf (ISBN 9786258394498)</x:v>
      </x:c>
      <x:c r="N2058" s="14" t="str"/>
      <x:c r="O2058" s="14" t="n">
        <x:v>30</x:v>
      </x:c>
      <x:c r="P2058" s="14" t="str">
        <x:v>İlk 20 soru</x:v>
      </x:c>
      <x:c r="Q2058" s="14" t="str">
        <x:v>Evet</x:v>
      </x:c>
      <x:c r="R2058" s="14" t="str">
        <x:v>Planlandı</x:v>
      </x:c>
      <x:c r="S2058" s="15" t="str"/>
      <x:c r="T2058" s="14" t="str">
        <x:v>Geri sayım ve hedef süre yok.</x:v>
      </x:c>
    </x:row>
    <x:row r="2059">
      <x:c r="A2059" s="14" t="n">
        <x:v>2058</x:v>
      </x:c>
      <x:c r="B2059" s="15" t="n">
        <x:v>46461</x:v>
      </x:c>
      <x:c r="C2059" s="14" t="str">
        <x:v>Pazartesi</x:v>
      </x:c>
      <x:c r="D2059" s="14" t="str">
        <x:v>Okul Günü</x:v>
      </x:c>
      <x:c r="E2059" s="14" t="str">
        <x:v>16:00 sonrası</x:v>
      </x:c>
      <x:c r="F2059" s="14" t="str">
        <x:v>F3 - Kaynak/MEB Tamamlama</x:v>
      </x:c>
      <x:c r="G2059" s="14" t="str">
        <x:v>19:00</x:v>
      </x:c>
      <x:c r="H2059" s="14" t="str">
        <x:v>19:35</x:v>
      </x:c>
      <x:c r="I2059" s="14" t="str">
        <x:v>Türkçe</x:v>
      </x:c>
      <x:c r="J2059" s="14" t="str">
        <x:v>Konu / Tekrar</x:v>
      </x:c>
      <x:c r="K2059" s="14" t="str">
        <x:v>Kaynak Tamamlama / Zayıf Konu</x:v>
      </x:c>
      <x:c r="L2059" s="14" t="str">
        <x:v>Yeni konu açma. En zayıf/açık konunun ilgili playlist videosunu yalnız gerekiyorsa tekrar izle.</x:v>
      </x:c>
      <x:c r="M2059" s="14" t="str">
        <x:v>Türkçe Ana Oynatma Listesi</x:v>
      </x:c>
      <x:c r="N2059" s="14" t="str">
        <x:v>https://www.youtube.com/watch?v=VYsPntNKVdw&amp;list=PLIBjFaUoJJ91bz7QQEBlxNJNZka5YQRr6</x:v>
      </x:c>
      <x:c r="O2059" s="14" t="n">
        <x:v>0</x:v>
      </x:c>
      <x:c r="P2059" s="14" t="str">
        <x:v>Hayır</x:v>
      </x:c>
      <x:c r="Q2059" s="14" t="str">
        <x:v>Evet</x:v>
      </x:c>
      <x:c r="R2059" s="14" t="str">
        <x:v>Planlandı</x:v>
      </x:c>
      <x:c r="S2059" s="15" t="str"/>
      <x:c r="T2059" s="14" t="str">
        <x:v>TYT etiketli kaynak temelden başlamak için sabittir; LGS dışı gereksiz ayrıntı zorunlu değildir.</x:v>
      </x:c>
    </x:row>
    <x:row r="2060">
      <x:c r="A2060" s="14" t="n">
        <x:v>2059</x:v>
      </x:c>
      <x:c r="B2060" s="15" t="n">
        <x:v>46461</x:v>
      </x:c>
      <x:c r="C2060" s="14" t="str">
        <x:v>Pazartesi</x:v>
      </x:c>
      <x:c r="D2060" s="14" t="str">
        <x:v>Okul Günü</x:v>
      </x:c>
      <x:c r="E2060" s="14" t="str">
        <x:v>16:00 sonrası</x:v>
      </x:c>
      <x:c r="F2060" s="14" t="str">
        <x:v>F3 - Kaynak/MEB Tamamlama</x:v>
      </x:c>
      <x:c r="G2060" s="14" t="str">
        <x:v>19:40</x:v>
      </x:c>
      <x:c r="H2060" s="14" t="str">
        <x:v>20:10</x:v>
      </x:c>
      <x:c r="I2060" s="14" t="str">
        <x:v>Türkçe</x:v>
      </x:c>
      <x:c r="J2060" s="14" t="str">
        <x:v>Kitap / MEB / Mastery</x:v>
      </x:c>
      <x:c r="K2060" s="14" t="str">
        <x:v>Kaynak Tamamlama / Zayıf Konu</x:v>
      </x:c>
      <x:c r="L2060" s="14" t="str">
        <x:v>13 Nisan %100 tamamlama hedefine göre en geride kalan Türkçe soru kaynağını/eksik MEB setini ilerlet; açık yanlışları kapat.</x:v>
      </x:c>
      <x:c r="M2060" s="14" t="str">
        <x:v>Ankara 8. Sınıf Dil Bilgisi Güçlendiren + açık MEB/yanlışlar</x:v>
      </x:c>
      <x:c r="N2060" s="14" t="str">
        <x:v>https://odsgm.meb.gov.tr/www/8sinif-calisma-sorulari/icerik/1632</x:v>
      </x:c>
      <x:c r="O2060" s="14" t="n">
        <x:v>15</x:v>
      </x:c>
      <x:c r="P2060" s="14" t="str">
        <x:v>Hayır</x:v>
      </x:c>
      <x:c r="Q2060" s="14" t="str">
        <x:v>Evet</x:v>
      </x:c>
      <x:c r="R2060" s="14" t="str">
        <x:v>Planlandı</x:v>
      </x:c>
      <x:c r="S2060" s="15" t="str"/>
      <x:c r="T2060" s="14" t="str"/>
    </x:row>
    <x:row r="2061">
      <x:c r="A2061" s="14" t="n">
        <x:v>2060</x:v>
      </x:c>
      <x:c r="B2061" s="15" t="n">
        <x:v>46461</x:v>
      </x:c>
      <x:c r="C2061" s="14" t="str">
        <x:v>Pazartesi</x:v>
      </x:c>
      <x:c r="D2061" s="14" t="str">
        <x:v>Okul Günü</x:v>
      </x:c>
      <x:c r="E2061" s="14" t="str">
        <x:v>16:00 sonrası</x:v>
      </x:c>
      <x:c r="F2061" s="14" t="str">
        <x:v>F3 - Kaynak/MEB Tamamlama</x:v>
      </x:c>
      <x:c r="G2061" s="14" t="str">
        <x:v>20:15</x:v>
      </x:c>
      <x:c r="H2061" s="14" t="str">
        <x:v>20:50</x:v>
      </x:c>
      <x:c r="I2061" s="14" t="str">
        <x:v>Din</x:v>
      </x:c>
      <x:c r="J2061" s="14" t="str">
        <x:v>Konu / Tekrar</x:v>
      </x:c>
      <x:c r="K2061" s="14" t="str">
        <x:v>Kaynak Tamamlama / Zayıf Konu</x:v>
      </x:c>
      <x:c r="L2061" s="14" t="str">
        <x:v>Yeni konu açma. En zayıf/açık konunun ilgili playlist videosunu yalnız gerekiyorsa tekrar izle.</x:v>
      </x:c>
      <x:c r="M2061" s="14" t="str">
        <x:v>Din Genel Oynatma Listesi</x:v>
      </x:c>
      <x:c r="N2061" s="14" t="str">
        <x:v>https://www.youtube.com/watch?v=wvdOE_75VnA&amp;list=PLbRoPq-Zu-SWXGUbVt4t4UWo-4VjsMUo-&amp;index=2</x:v>
      </x:c>
      <x:c r="O2061" s="14" t="n">
        <x:v>0</x:v>
      </x:c>
      <x:c r="P2061" s="14" t="str">
        <x:v>Hayır</x:v>
      </x:c>
      <x:c r="Q2061" s="14" t="str">
        <x:v>Evet</x:v>
      </x:c>
      <x:c r="R2061" s="14" t="str">
        <x:v>Planlandı</x:v>
      </x:c>
      <x:c r="S2061" s="15" t="str"/>
      <x:c r="T2061" s="14" t="str"/>
    </x:row>
    <x:row r="2062">
      <x:c r="A2062" s="14" t="n">
        <x:v>2061</x:v>
      </x:c>
      <x:c r="B2062" s="15" t="n">
        <x:v>46461</x:v>
      </x:c>
      <x:c r="C2062" s="14" t="str">
        <x:v>Pazartesi</x:v>
      </x:c>
      <x:c r="D2062" s="14" t="str">
        <x:v>Okul Günü</x:v>
      </x:c>
      <x:c r="E2062" s="14" t="str">
        <x:v>16:00 sonrası</x:v>
      </x:c>
      <x:c r="F2062" s="14" t="str">
        <x:v>F3 - Kaynak/MEB Tamamlama</x:v>
      </x:c>
      <x:c r="G2062" s="14" t="str">
        <x:v>20:55</x:v>
      </x:c>
      <x:c r="H2062" s="14" t="str">
        <x:v>21:20</x:v>
      </x:c>
      <x:c r="I2062" s="14" t="str">
        <x:v>Din</x:v>
      </x:c>
      <x:c r="J2062" s="14" t="str">
        <x:v>Kitap / MEB / Mastery</x:v>
      </x:c>
      <x:c r="K2062" s="14" t="str">
        <x:v>Kaynak Tamamlama / Zayıf Konu</x:v>
      </x:c>
      <x:c r="L2062" s="14" t="str">
        <x:v>13 Nisan %100 tamamlama hedefine göre en geride kalan Din soru kaynağını/eksik MEB setini ilerlet; açık yanlışları kapat.</x:v>
      </x:c>
      <x:c r="M2062" s="14" t="str">
        <x:v>Hız 8. Sınıf Din Kültürü ve Ahlak Bilgisi + açık MEB/yanlışlar</x:v>
      </x:c>
      <x:c r="N2062" s="14" t="str">
        <x:v>https://odsgm.meb.gov.tr/www/8sinif-calisma-sorulari/icerik/1632</x:v>
      </x:c>
      <x:c r="O2062" s="14" t="n">
        <x:v>20</x:v>
      </x:c>
      <x:c r="P2062" s="14" t="str">
        <x:v>Hayır</x:v>
      </x:c>
      <x:c r="Q2062" s="14" t="str">
        <x:v>Evet</x:v>
      </x:c>
      <x:c r="R2062" s="14" t="str">
        <x:v>Planlandı</x:v>
      </x:c>
      <x:c r="S2062" s="15" t="str"/>
      <x:c r="T2062" s="14" t="str"/>
    </x:row>
    <x:row r="2063">
      <x:c r="A2063" s="14" t="n">
        <x:v>2062</x:v>
      </x:c>
      <x:c r="B2063" s="15" t="n">
        <x:v>46461</x:v>
      </x:c>
      <x:c r="C2063" s="14" t="str">
        <x:v>Pazartesi</x:v>
      </x:c>
      <x:c r="D2063" s="14" t="str">
        <x:v>Okul Günü</x:v>
      </x:c>
      <x:c r="E2063" s="14" t="str">
        <x:v>16:00 sonrası</x:v>
      </x:c>
      <x:c r="F2063" s="14" t="str">
        <x:v>F3 - Kaynak/MEB Tamamlama</x:v>
      </x:c>
      <x:c r="G2063" s="14" t="str">
        <x:v>21:20</x:v>
      </x:c>
      <x:c r="H2063" s="14" t="str">
        <x:v>21:35</x:v>
      </x:c>
      <x:c r="I2063" s="14" t="str">
        <x:v>Genel</x:v>
      </x:c>
      <x:c r="J2063" s="14" t="str">
        <x:v>Yanlış / Boş Analizi</x:v>
      </x:c>
      <x:c r="K2063" s="14" t="str">
        <x:v>Günlük</x:v>
      </x:c>
      <x:c r="L2063" s="14" t="str">
        <x:v>Bugünkü yanlış/boşları kaydet; çözümünü öğrenmeden kapatma. Hata türünü sınıflandır.</x:v>
      </x:c>
      <x:c r="M2063" s="14" t="str">
        <x:v>Yanlış Defteri</x:v>
      </x:c>
      <x:c r="N2063" s="14" t="str"/>
      <x:c r="O2063" s="14" t="n">
        <x:v>0</x:v>
      </x:c>
      <x:c r="P2063" s="14" t="str">
        <x:v>Hayır</x:v>
      </x:c>
      <x:c r="Q2063" s="14" t="str">
        <x:v>Evet</x:v>
      </x:c>
      <x:c r="R2063" s="14" t="str">
        <x:v>Planlandı</x:v>
      </x:c>
      <x:c r="S2063" s="15" t="str"/>
      <x:c r="T2063" s="14" t="str"/>
    </x:row>
    <x:row r="2064">
      <x:c r="A2064" s="14" t="n">
        <x:v>2063</x:v>
      </x:c>
      <x:c r="B2064" s="15" t="n">
        <x:v>46461</x:v>
      </x:c>
      <x:c r="C2064" s="14" t="str">
        <x:v>Pazartesi</x:v>
      </x:c>
      <x:c r="D2064" s="14" t="str">
        <x:v>Okul Günü</x:v>
      </x:c>
      <x:c r="E2064" s="14" t="str">
        <x:v>16:00 sonrası</x:v>
      </x:c>
      <x:c r="F2064" s="14" t="str">
        <x:v>F3 - Kaynak/MEB Tamamlama</x:v>
      </x:c>
      <x:c r="G2064" s="14" t="str">
        <x:v>21:35</x:v>
      </x:c>
      <x:c r="H2064" s="14" t="str">
        <x:v>21:50</x:v>
      </x:c>
      <x:c r="I2064" s="14" t="str">
        <x:v>Genel</x:v>
      </x:c>
      <x:c r="J2064" s="14" t="str">
        <x:v>Aralıklı Hata Tekrarı</x:v>
      </x:c>
      <x:c r="K2064" s="14" t="str">
        <x:v>+1 / +7 / +21</x:v>
      </x:c>
      <x:c r="L2064" s="14" t="str">
        <x:v>Bugün vadesi gelen yanlış soruları tekrar çöz. Vadesi yoksa bu süre serbest/okuma olabilir.</x:v>
      </x:c>
      <x:c r="M2064" s="14" t="str">
        <x:v>Yanlış Defteri</x:v>
      </x:c>
      <x:c r="N2064" s="14" t="str"/>
      <x:c r="O2064" s="14" t="n">
        <x:v>0</x:v>
      </x:c>
      <x:c r="P2064" s="14" t="str">
        <x:v>Hayır</x:v>
      </x:c>
      <x:c r="Q2064" s="14" t="str">
        <x:v>Koşullu</x:v>
      </x:c>
      <x:c r="R2064" s="14" t="str">
        <x:v>Planlandı</x:v>
      </x:c>
      <x:c r="S2064" s="15" t="str"/>
      <x:c r="T2064" s="14" t="str">
        <x:v>Yanlışlar +1, +7 ve +21 gün aralıklarıyla tekrar edilir; hâlâ yanlışsa konu mastery durumu düşürülür.</x:v>
      </x:c>
    </x:row>
    <x:row r="2065">
      <x:c r="A2065" s="14" t="n">
        <x:v>2064</x:v>
      </x:c>
      <x:c r="B2065" s="15" t="n">
        <x:v>46461</x:v>
      </x:c>
      <x:c r="C2065" s="14" t="str">
        <x:v>Pazartesi</x:v>
      </x:c>
      <x:c r="D2065" s="14" t="str">
        <x:v>Okul Günü</x:v>
      </x:c>
      <x:c r="E2065" s="14" t="str">
        <x:v>16:00 sonrası</x:v>
      </x:c>
      <x:c r="F2065" s="14" t="str">
        <x:v>F3 - Kaynak/MEB Tamamlama</x:v>
      </x:c>
      <x:c r="G2065" s="14" t="str">
        <x:v>21:50</x:v>
      </x:c>
      <x:c r="H2065" s="14" t="str">
        <x:v>22:00</x:v>
      </x:c>
      <x:c r="I2065" s="14" t="str">
        <x:v>Genel</x:v>
      </x:c>
      <x:c r="J2065" s="14" t="str">
        <x:v>Uyku Hazırlığı</x:v>
      </x:c>
      <x:c r="K2065" s="14" t="str"/>
      <x:c r="L2065" s="14" t="str">
        <x:v>22:00'de yatakta ve uyku.</x:v>
      </x:c>
      <x:c r="M2065" s="14" t="str"/>
      <x:c r="N2065" s="14" t="str"/>
      <x:c r="O2065" s="14" t="n">
        <x:v>0</x:v>
      </x:c>
      <x:c r="P2065" s="14" t="str">
        <x:v>Hayır</x:v>
      </x:c>
      <x:c r="Q2065" s="14" t="str">
        <x:v>Hayır</x:v>
      </x:c>
      <x:c r="R2065" s="14" t="str">
        <x:v>Planlandı</x:v>
      </x:c>
      <x:c r="S2065" s="15" t="str"/>
      <x:c r="T2065" s="14" t="str"/>
    </x:row>
    <x:row r="2066">
      <x:c r="A2066" s="14" t="n">
        <x:v>2065</x:v>
      </x:c>
      <x:c r="B2066" s="15" t="n">
        <x:v>46462</x:v>
      </x:c>
      <x:c r="C2066" s="14" t="str">
        <x:v>Salı</x:v>
      </x:c>
      <x:c r="D2066" s="14" t="str">
        <x:v>Okul Günü</x:v>
      </x:c>
      <x:c r="E2066" s="14" t="str">
        <x:v>16:00 sonrası</x:v>
      </x:c>
      <x:c r="F2066" s="14" t="str">
        <x:v>F3 - Kaynak/MEB Tamamlama</x:v>
      </x:c>
      <x:c r="G2066" s="14" t="str">
        <x:v>16:00</x:v>
      </x:c>
      <x:c r="H2066" s="14" t="str">
        <x:v>16:25</x:v>
      </x:c>
      <x:c r="I2066" s="14" t="str">
        <x:v>Genel</x:v>
      </x:c>
      <x:c r="J2066" s="14" t="str">
        <x:v>Dinlenme</x:v>
      </x:c>
      <x:c r="K2066" s="14" t="str"/>
      <x:c r="L2066" s="14" t="str">
        <x:v>Eve geliş, atıştırma ve dinlenme.</x:v>
      </x:c>
      <x:c r="M2066" s="14" t="str"/>
      <x:c r="N2066" s="14" t="str"/>
      <x:c r="O2066" s="14" t="n">
        <x:v>0</x:v>
      </x:c>
      <x:c r="P2066" s="14" t="str">
        <x:v>Hayır</x:v>
      </x:c>
      <x:c r="Q2066" s="14" t="str">
        <x:v>Hayır</x:v>
      </x:c>
      <x:c r="R2066" s="14" t="str">
        <x:v>Planlandı</x:v>
      </x:c>
      <x:c r="S2066" s="15" t="str"/>
      <x:c r="T2066" s="14" t="str"/>
    </x:row>
    <x:row r="2067">
      <x:c r="A2067" s="14" t="n">
        <x:v>2066</x:v>
      </x:c>
      <x:c r="B2067" s="15" t="n">
        <x:v>46462</x:v>
      </x:c>
      <x:c r="C2067" s="14" t="str">
        <x:v>Salı</x:v>
      </x:c>
      <x:c r="D2067" s="14" t="str">
        <x:v>Okul Günü</x:v>
      </x:c>
      <x:c r="E2067" s="14" t="str">
        <x:v>16:00 sonrası</x:v>
      </x:c>
      <x:c r="F2067" s="14" t="str">
        <x:v>F3 - Kaynak/MEB Tamamlama</x:v>
      </x:c>
      <x:c r="G2067" s="14" t="str">
        <x:v>16:25</x:v>
      </x:c>
      <x:c r="H2067" s="14" t="str">
        <x:v>17:05</x:v>
      </x:c>
      <x:c r="I2067" s="14" t="str">
        <x:v>Matematik</x:v>
      </x:c>
      <x:c r="J2067" s="14" t="str">
        <x:v>Konu / Tekrar</x:v>
      </x:c>
      <x:c r="K2067" s="14" t="str">
        <x:v>Kaynak Tamamlama / Zayıf Konu</x:v>
      </x:c>
      <x:c r="L2067" s="14" t="str">
        <x:v>Yeni konu açma. En zayıf/açık konunun ilgili playlist videosunu yalnız gerekiyorsa tekrar izle.</x:v>
      </x:c>
      <x:c r="M2067" s="14" t="str">
        <x:v>Matematik Ana Oynatma Listesi</x:v>
      </x:c>
      <x:c r="N2067" s="14" t="str">
        <x:v>https://www.youtube.com/watch?v=EuJ89QzqrAg&amp;list=PLicNtF7vp6fnfDqrRLH6H7fIbzYT4ct4F&amp;index=11</x:v>
      </x:c>
      <x:c r="O2067" s="14" t="n">
        <x:v>0</x:v>
      </x:c>
      <x:c r="P2067" s="14" t="str">
        <x:v>Hayır</x:v>
      </x:c>
      <x:c r="Q2067" s="14" t="str">
        <x:v>Evet</x:v>
      </x:c>
      <x:c r="R2067" s="14" t="str">
        <x:v>Planlandı</x:v>
      </x:c>
      <x:c r="S2067" s="15" t="str"/>
      <x:c r="T2067" s="14" t="str">
        <x:v>Yeni konu ancak plan sırasıyla açılır; LGS dışı ileri TYT içeriği zorunlu değildir.</x:v>
      </x:c>
    </x:row>
    <x:row r="2068">
      <x:c r="A2068" s="14" t="n">
        <x:v>2067</x:v>
      </x:c>
      <x:c r="B2068" s="15" t="n">
        <x:v>46462</x:v>
      </x:c>
      <x:c r="C2068" s="14" t="str">
        <x:v>Salı</x:v>
      </x:c>
      <x:c r="D2068" s="14" t="str">
        <x:v>Okul Günü</x:v>
      </x:c>
      <x:c r="E2068" s="14" t="str">
        <x:v>16:00 sonrası</x:v>
      </x:c>
      <x:c r="F2068" s="14" t="str">
        <x:v>F3 - Kaynak/MEB Tamamlama</x:v>
      </x:c>
      <x:c r="G2068" s="14" t="str">
        <x:v>17:10</x:v>
      </x:c>
      <x:c r="H2068" s="14" t="str">
        <x:v>17:55</x:v>
      </x:c>
      <x:c r="I2068" s="14" t="str">
        <x:v>Matematik</x:v>
      </x:c>
      <x:c r="J2068" s="14" t="str">
        <x:v>Kitap / MEB / Mastery</x:v>
      </x:c>
      <x:c r="K2068" s="14" t="str">
        <x:v>Kaynak Tamamlama / Zayıf Konu</x:v>
      </x:c>
      <x:c r="L2068" s="14" t="str">
        <x:v>13 Nisan %100 tamamlama hedefine göre en geride kalan Matematik soru kaynağını/eksik MEB setini ilerlet; açık yanlışları kapat.</x:v>
      </x:c>
      <x:c r="M2068" s="14" t="str">
        <x:v>MUBA 8. Sınıf Başlangıç Matematik (ISBN 9789756526972) → tamamlandıysa Mozaik 8. Sınıf Matematik; açık MEB/yanlışlar</x:v>
      </x:c>
      <x:c r="N2068" s="14" t="str">
        <x:v>https://odsgm.meb.gov.tr/www/8sinif-calisma-sorulari/icerik/1632</x:v>
      </x:c>
      <x:c r="O2068" s="14" t="n">
        <x:v>30</x:v>
      </x:c>
      <x:c r="P2068" s="14" t="str">
        <x:v>İlk 20 soru</x:v>
      </x:c>
      <x:c r="Q2068" s="14" t="str">
        <x:v>Evet</x:v>
      </x:c>
      <x:c r="R2068" s="14" t="str">
        <x:v>Planlandı</x:v>
      </x:c>
      <x:c r="S2068" s="15" t="str"/>
      <x:c r="T2068" s="14" t="str">
        <x:v>Ayrı/rastgele matematik benchmark yoktur. Süreli ilk 20 soru o gün çalışılan konunun içindedir.</x:v>
      </x:c>
    </x:row>
    <x:row r="2069">
      <x:c r="A2069" s="14" t="n">
        <x:v>2068</x:v>
      </x:c>
      <x:c r="B2069" s="15" t="n">
        <x:v>46462</x:v>
      </x:c>
      <x:c r="C2069" s="14" t="str">
        <x:v>Salı</x:v>
      </x:c>
      <x:c r="D2069" s="14" t="str">
        <x:v>Okul Günü</x:v>
      </x:c>
      <x:c r="E2069" s="14" t="str">
        <x:v>16:00 sonrası</x:v>
      </x:c>
      <x:c r="F2069" s="14" t="str">
        <x:v>F3 - Kaynak/MEB Tamamlama</x:v>
      </x:c>
      <x:c r="G2069" s="14" t="str">
        <x:v>17:55</x:v>
      </x:c>
      <x:c r="H2069" s="14" t="str">
        <x:v>18:25</x:v>
      </x:c>
      <x:c r="I2069" s="14" t="str">
        <x:v>Genel</x:v>
      </x:c>
      <x:c r="J2069" s="14" t="str">
        <x:v>Yemek / Serbest Zaman</x:v>
      </x:c>
      <x:c r="K2069" s="14" t="str"/>
      <x:c r="L2069" s="14" t="str">
        <x:v>Yemek, hareket ve dinlenme.</x:v>
      </x:c>
      <x:c r="M2069" s="14" t="str"/>
      <x:c r="N2069" s="14" t="str"/>
      <x:c r="O2069" s="14" t="n">
        <x:v>0</x:v>
      </x:c>
      <x:c r="P2069" s="14" t="str">
        <x:v>Hayır</x:v>
      </x:c>
      <x:c r="Q2069" s="14" t="str">
        <x:v>Hayır</x:v>
      </x:c>
      <x:c r="R2069" s="14" t="str">
        <x:v>Planlandı</x:v>
      </x:c>
      <x:c r="S2069" s="15" t="str"/>
      <x:c r="T2069" s="14" t="str"/>
    </x:row>
    <x:row r="2070">
      <x:c r="A2070" s="14" t="n">
        <x:v>2069</x:v>
      </x:c>
      <x:c r="B2070" s="15" t="n">
        <x:v>46462</x:v>
      </x:c>
      <x:c r="C2070" s="14" t="str">
        <x:v>Salı</x:v>
      </x:c>
      <x:c r="D2070" s="14" t="str">
        <x:v>Okul Günü</x:v>
      </x:c>
      <x:c r="E2070" s="14" t="str">
        <x:v>16:00 sonrası</x:v>
      </x:c>
      <x:c r="F2070" s="14" t="str">
        <x:v>F3 - Kaynak/MEB Tamamlama</x:v>
      </x:c>
      <x:c r="G2070" s="14" t="str">
        <x:v>18:25</x:v>
      </x:c>
      <x:c r="H2070" s="14" t="str">
        <x:v>18:55</x:v>
      </x:c>
      <x:c r="I2070" s="14" t="str">
        <x:v>Türkçe</x:v>
      </x:c>
      <x:c r="J2070" s="14" t="str">
        <x:v>Paragraf Rutini</x:v>
      </x:c>
      <x:c r="K2070" s="14" t="str">
        <x:v>Paragraf</x:v>
      </x:c>
      <x:c r="L2070" s="14" t="str">
        <x:v>En az 30 paragraf sorusu çöz; ilk 20 soruyu ileri sayımla ölç, D/Y/B + süre kaydet.</x:v>
      </x:c>
      <x:c r="M2070" s="14" t="str">
        <x:v>Hız 8. Sınıf Türkçe Paragraf (ISBN 9786258394498)</x:v>
      </x:c>
      <x:c r="N2070" s="14" t="str"/>
      <x:c r="O2070" s="14" t="n">
        <x:v>30</x:v>
      </x:c>
      <x:c r="P2070" s="14" t="str">
        <x:v>İlk 20 soru</x:v>
      </x:c>
      <x:c r="Q2070" s="14" t="str">
        <x:v>Evet</x:v>
      </x:c>
      <x:c r="R2070" s="14" t="str">
        <x:v>Planlandı</x:v>
      </x:c>
      <x:c r="S2070" s="15" t="str"/>
      <x:c r="T2070" s="14" t="str">
        <x:v>Geri sayım ve hedef süre yok.</x:v>
      </x:c>
    </x:row>
    <x:row r="2071">
      <x:c r="A2071" s="14" t="n">
        <x:v>2070</x:v>
      </x:c>
      <x:c r="B2071" s="15" t="n">
        <x:v>46462</x:v>
      </x:c>
      <x:c r="C2071" s="14" t="str">
        <x:v>Salı</x:v>
      </x:c>
      <x:c r="D2071" s="14" t="str">
        <x:v>Okul Günü</x:v>
      </x:c>
      <x:c r="E2071" s="14" t="str">
        <x:v>16:00 sonrası</x:v>
      </x:c>
      <x:c r="F2071" s="14" t="str">
        <x:v>F3 - Kaynak/MEB Tamamlama</x:v>
      </x:c>
      <x:c r="G2071" s="14" t="str">
        <x:v>19:00</x:v>
      </x:c>
      <x:c r="H2071" s="14" t="str">
        <x:v>19:35</x:v>
      </x:c>
      <x:c r="I2071" s="14" t="str">
        <x:v>Türkçe</x:v>
      </x:c>
      <x:c r="J2071" s="14" t="str">
        <x:v>Konu / Tekrar</x:v>
      </x:c>
      <x:c r="K2071" s="14" t="str">
        <x:v>Kaynak Tamamlama / Zayıf Konu</x:v>
      </x:c>
      <x:c r="L2071" s="14" t="str">
        <x:v>Yeni konu açma. En zayıf/açık konunun ilgili playlist videosunu yalnız gerekiyorsa tekrar izle.</x:v>
      </x:c>
      <x:c r="M2071" s="14" t="str">
        <x:v>Türkçe Ana Oynatma Listesi</x:v>
      </x:c>
      <x:c r="N2071" s="14" t="str">
        <x:v>https://www.youtube.com/watch?v=VYsPntNKVdw&amp;list=PLIBjFaUoJJ91bz7QQEBlxNJNZka5YQRr6</x:v>
      </x:c>
      <x:c r="O2071" s="14" t="n">
        <x:v>0</x:v>
      </x:c>
      <x:c r="P2071" s="14" t="str">
        <x:v>Hayır</x:v>
      </x:c>
      <x:c r="Q2071" s="14" t="str">
        <x:v>Evet</x:v>
      </x:c>
      <x:c r="R2071" s="14" t="str">
        <x:v>Planlandı</x:v>
      </x:c>
      <x:c r="S2071" s="15" t="str"/>
      <x:c r="T2071" s="14" t="str">
        <x:v>TYT etiketli kaynak temelden başlamak için sabittir; LGS dışı gereksiz ayrıntı zorunlu değildir.</x:v>
      </x:c>
    </x:row>
    <x:row r="2072">
      <x:c r="A2072" s="14" t="n">
        <x:v>2071</x:v>
      </x:c>
      <x:c r="B2072" s="15" t="n">
        <x:v>46462</x:v>
      </x:c>
      <x:c r="C2072" s="14" t="str">
        <x:v>Salı</x:v>
      </x:c>
      <x:c r="D2072" s="14" t="str">
        <x:v>Okul Günü</x:v>
      </x:c>
      <x:c r="E2072" s="14" t="str">
        <x:v>16:00 sonrası</x:v>
      </x:c>
      <x:c r="F2072" s="14" t="str">
        <x:v>F3 - Kaynak/MEB Tamamlama</x:v>
      </x:c>
      <x:c r="G2072" s="14" t="str">
        <x:v>19:40</x:v>
      </x:c>
      <x:c r="H2072" s="14" t="str">
        <x:v>20:10</x:v>
      </x:c>
      <x:c r="I2072" s="14" t="str">
        <x:v>Türkçe</x:v>
      </x:c>
      <x:c r="J2072" s="14" t="str">
        <x:v>Kitap / MEB / Mastery</x:v>
      </x:c>
      <x:c r="K2072" s="14" t="str">
        <x:v>Kaynak Tamamlama / Zayıf Konu</x:v>
      </x:c>
      <x:c r="L2072" s="14" t="str">
        <x:v>13 Nisan %100 tamamlama hedefine göre en geride kalan Türkçe soru kaynağını/eksik MEB setini ilerlet; açık yanlışları kapat.</x:v>
      </x:c>
      <x:c r="M2072" s="14" t="str">
        <x:v>Ankara 8. Sınıf Dil Bilgisi Güçlendiren + açık MEB/yanlışlar</x:v>
      </x:c>
      <x:c r="N2072" s="14" t="str">
        <x:v>https://odsgm.meb.gov.tr/www/8sinif-calisma-sorulari/icerik/1632</x:v>
      </x:c>
      <x:c r="O2072" s="14" t="n">
        <x:v>20</x:v>
      </x:c>
      <x:c r="P2072" s="14" t="str">
        <x:v>Hayır</x:v>
      </x:c>
      <x:c r="Q2072" s="14" t="str">
        <x:v>Evet</x:v>
      </x:c>
      <x:c r="R2072" s="14" t="str">
        <x:v>Planlandı</x:v>
      </x:c>
      <x:c r="S2072" s="15" t="str"/>
      <x:c r="T2072" s="14" t="str"/>
    </x:row>
    <x:row r="2073">
      <x:c r="A2073" s="14" t="n">
        <x:v>2072</x:v>
      </x:c>
      <x:c r="B2073" s="15" t="n">
        <x:v>46462</x:v>
      </x:c>
      <x:c r="C2073" s="14" t="str">
        <x:v>Salı</x:v>
      </x:c>
      <x:c r="D2073" s="14" t="str">
        <x:v>Okul Günü</x:v>
      </x:c>
      <x:c r="E2073" s="14" t="str">
        <x:v>16:00 sonrası</x:v>
      </x:c>
      <x:c r="F2073" s="14" t="str">
        <x:v>F3 - Kaynak/MEB Tamamlama</x:v>
      </x:c>
      <x:c r="G2073" s="14" t="str">
        <x:v>20:15</x:v>
      </x:c>
      <x:c r="H2073" s="14" t="str">
        <x:v>20:50</x:v>
      </x:c>
      <x:c r="I2073" s="14" t="str">
        <x:v>İnkılap</x:v>
      </x:c>
      <x:c r="J2073" s="14" t="str">
        <x:v>Konu / Tekrar</x:v>
      </x:c>
      <x:c r="K2073" s="14" t="str">
        <x:v>Kaynak Tamamlama / Zayıf Konu</x:v>
      </x:c>
      <x:c r="L2073" s="14" t="str">
        <x:v>Yeni konu açma. En zayıf/açık konunun ilgili playlist videosunu yalnız gerekiyorsa tekrar izle.</x:v>
      </x:c>
      <x:c r="M2073" s="14" t="str">
        <x:v>İnkılap Genel Oynatma Listesi</x:v>
      </x:c>
      <x:c r="N2073" s="14" t="str">
        <x:v>https://www.youtube.com/watch?v=MltIX0oKpYU&amp;list=PLsAsBPsriHNbXit4Ra3iuBrk1ZHZWxsOR&amp;index=78</x:v>
      </x:c>
      <x:c r="O2073" s="14" t="n">
        <x:v>0</x:v>
      </x:c>
      <x:c r="P2073" s="14" t="str">
        <x:v>Hayır</x:v>
      </x:c>
      <x:c r="Q2073" s="14" t="str">
        <x:v>Evet</x:v>
      </x:c>
      <x:c r="R2073" s="14" t="str">
        <x:v>Planlandı</x:v>
      </x:c>
      <x:c r="S2073" s="15" t="str"/>
      <x:c r="T2073" s="14" t="str">
        <x:v>İnkılapta okul yazılısı videoları zorunlu değildir.</x:v>
      </x:c>
    </x:row>
    <x:row r="2074">
      <x:c r="A2074" s="14" t="n">
        <x:v>2073</x:v>
      </x:c>
      <x:c r="B2074" s="15" t="n">
        <x:v>46462</x:v>
      </x:c>
      <x:c r="C2074" s="14" t="str">
        <x:v>Salı</x:v>
      </x:c>
      <x:c r="D2074" s="14" t="str">
        <x:v>Okul Günü</x:v>
      </x:c>
      <x:c r="E2074" s="14" t="str">
        <x:v>16:00 sonrası</x:v>
      </x:c>
      <x:c r="F2074" s="14" t="str">
        <x:v>F3 - Kaynak/MEB Tamamlama</x:v>
      </x:c>
      <x:c r="G2074" s="14" t="str">
        <x:v>20:55</x:v>
      </x:c>
      <x:c r="H2074" s="14" t="str">
        <x:v>21:20</x:v>
      </x:c>
      <x:c r="I2074" s="14" t="str">
        <x:v>İnkılap</x:v>
      </x:c>
      <x:c r="J2074" s="14" t="str">
        <x:v>Kitap / MEB / Mastery</x:v>
      </x:c>
      <x:c r="K2074" s="14" t="str">
        <x:v>Kaynak Tamamlama / Zayıf Konu</x:v>
      </x:c>
      <x:c r="L2074" s="14" t="str">
        <x:v>13 Nisan %100 tamamlama hedefine göre en geride kalan İnkılap soru kaynağını/eksik MEB setini ilerlet; açık yanlışları kapat.</x:v>
      </x:c>
      <x:c r="M2074" s="14" t="str">
        <x:v>Hız 8. Sınıf T.C. İnkılap Tarihi ve Atatürkçülük + açık MEB/yanlışlar</x:v>
      </x:c>
      <x:c r="N2074" s="14" t="str">
        <x:v>https://odsgm.meb.gov.tr/www/8sinif-calisma-sorulari/icerik/1632</x:v>
      </x:c>
      <x:c r="O2074" s="14" t="n">
        <x:v>20</x:v>
      </x:c>
      <x:c r="P2074" s="14" t="str">
        <x:v>Hayır</x:v>
      </x:c>
      <x:c r="Q2074" s="14" t="str">
        <x:v>Evet</x:v>
      </x:c>
      <x:c r="R2074" s="14" t="str">
        <x:v>Planlandı</x:v>
      </x:c>
      <x:c r="S2074" s="15" t="str"/>
      <x:c r="T2074" s="14" t="str"/>
    </x:row>
    <x:row r="2075">
      <x:c r="A2075" s="14" t="n">
        <x:v>2074</x:v>
      </x:c>
      <x:c r="B2075" s="15" t="n">
        <x:v>46462</x:v>
      </x:c>
      <x:c r="C2075" s="14" t="str">
        <x:v>Salı</x:v>
      </x:c>
      <x:c r="D2075" s="14" t="str">
        <x:v>Okul Günü</x:v>
      </x:c>
      <x:c r="E2075" s="14" t="str">
        <x:v>16:00 sonrası</x:v>
      </x:c>
      <x:c r="F2075" s="14" t="str">
        <x:v>F3 - Kaynak/MEB Tamamlama</x:v>
      </x:c>
      <x:c r="G2075" s="14" t="str">
        <x:v>21:20</x:v>
      </x:c>
      <x:c r="H2075" s="14" t="str">
        <x:v>21:35</x:v>
      </x:c>
      <x:c r="I2075" s="14" t="str">
        <x:v>Genel</x:v>
      </x:c>
      <x:c r="J2075" s="14" t="str">
        <x:v>Yanlış / Boş Analizi</x:v>
      </x:c>
      <x:c r="K2075" s="14" t="str">
        <x:v>Günlük</x:v>
      </x:c>
      <x:c r="L2075" s="14" t="str">
        <x:v>Bugünkü yanlış/boşları kaydet; çözümünü öğrenmeden kapatma. Hata türünü sınıflandır.</x:v>
      </x:c>
      <x:c r="M2075" s="14" t="str">
        <x:v>Yanlış Defteri</x:v>
      </x:c>
      <x:c r="N2075" s="14" t="str"/>
      <x:c r="O2075" s="14" t="n">
        <x:v>0</x:v>
      </x:c>
      <x:c r="P2075" s="14" t="str">
        <x:v>Hayır</x:v>
      </x:c>
      <x:c r="Q2075" s="14" t="str">
        <x:v>Evet</x:v>
      </x:c>
      <x:c r="R2075" s="14" t="str">
        <x:v>Planlandı</x:v>
      </x:c>
      <x:c r="S2075" s="15" t="str"/>
      <x:c r="T2075" s="14" t="str"/>
    </x:row>
    <x:row r="2076">
      <x:c r="A2076" s="14" t="n">
        <x:v>2075</x:v>
      </x:c>
      <x:c r="B2076" s="15" t="n">
        <x:v>46462</x:v>
      </x:c>
      <x:c r="C2076" s="14" t="str">
        <x:v>Salı</x:v>
      </x:c>
      <x:c r="D2076" s="14" t="str">
        <x:v>Okul Günü</x:v>
      </x:c>
      <x:c r="E2076" s="14" t="str">
        <x:v>16:00 sonrası</x:v>
      </x:c>
      <x:c r="F2076" s="14" t="str">
        <x:v>F3 - Kaynak/MEB Tamamlama</x:v>
      </x:c>
      <x:c r="G2076" s="14" t="str">
        <x:v>21:35</x:v>
      </x:c>
      <x:c r="H2076" s="14" t="str">
        <x:v>21:50</x:v>
      </x:c>
      <x:c r="I2076" s="14" t="str">
        <x:v>Genel</x:v>
      </x:c>
      <x:c r="J2076" s="14" t="str">
        <x:v>Aralıklı Hata Tekrarı</x:v>
      </x:c>
      <x:c r="K2076" s="14" t="str">
        <x:v>+1 / +7 / +21</x:v>
      </x:c>
      <x:c r="L2076" s="14" t="str">
        <x:v>Bugün vadesi gelen yanlış soruları tekrar çöz. Vadesi yoksa bu süre serbest/okuma olabilir.</x:v>
      </x:c>
      <x:c r="M2076" s="14" t="str">
        <x:v>Yanlış Defteri</x:v>
      </x:c>
      <x:c r="N2076" s="14" t="str"/>
      <x:c r="O2076" s="14" t="n">
        <x:v>0</x:v>
      </x:c>
      <x:c r="P2076" s="14" t="str">
        <x:v>Hayır</x:v>
      </x:c>
      <x:c r="Q2076" s="14" t="str">
        <x:v>Koşullu</x:v>
      </x:c>
      <x:c r="R2076" s="14" t="str">
        <x:v>Planlandı</x:v>
      </x:c>
      <x:c r="S2076" s="15" t="str"/>
      <x:c r="T2076" s="14" t="str">
        <x:v>Yanlışlar +1, +7 ve +21 gün aralıklarıyla tekrar edilir; hâlâ yanlışsa konu mastery durumu düşürülür.</x:v>
      </x:c>
    </x:row>
    <x:row r="2077">
      <x:c r="A2077" s="14" t="n">
        <x:v>2076</x:v>
      </x:c>
      <x:c r="B2077" s="15" t="n">
        <x:v>46462</x:v>
      </x:c>
      <x:c r="C2077" s="14" t="str">
        <x:v>Salı</x:v>
      </x:c>
      <x:c r="D2077" s="14" t="str">
        <x:v>Okul Günü</x:v>
      </x:c>
      <x:c r="E2077" s="14" t="str">
        <x:v>16:00 sonrası</x:v>
      </x:c>
      <x:c r="F2077" s="14" t="str">
        <x:v>F3 - Kaynak/MEB Tamamlama</x:v>
      </x:c>
      <x:c r="G2077" s="14" t="str">
        <x:v>21:50</x:v>
      </x:c>
      <x:c r="H2077" s="14" t="str">
        <x:v>22:00</x:v>
      </x:c>
      <x:c r="I2077" s="14" t="str">
        <x:v>Genel</x:v>
      </x:c>
      <x:c r="J2077" s="14" t="str">
        <x:v>Uyku Hazırlığı</x:v>
      </x:c>
      <x:c r="K2077" s="14" t="str"/>
      <x:c r="L2077" s="14" t="str">
        <x:v>22:00'de yatakta ve uyku.</x:v>
      </x:c>
      <x:c r="M2077" s="14" t="str"/>
      <x:c r="N2077" s="14" t="str"/>
      <x:c r="O2077" s="14" t="n">
        <x:v>0</x:v>
      </x:c>
      <x:c r="P2077" s="14" t="str">
        <x:v>Hayır</x:v>
      </x:c>
      <x:c r="Q2077" s="14" t="str">
        <x:v>Hayır</x:v>
      </x:c>
      <x:c r="R2077" s="14" t="str">
        <x:v>Planlandı</x:v>
      </x:c>
      <x:c r="S2077" s="15" t="str"/>
      <x:c r="T2077" s="14" t="str"/>
    </x:row>
    <x:row r="2078">
      <x:c r="A2078" s="14" t="n">
        <x:v>2077</x:v>
      </x:c>
      <x:c r="B2078" s="15" t="n">
        <x:v>46463</x:v>
      </x:c>
      <x:c r="C2078" s="14" t="str">
        <x:v>Çarşamba</x:v>
      </x:c>
      <x:c r="D2078" s="14" t="str">
        <x:v>Okul Günü</x:v>
      </x:c>
      <x:c r="E2078" s="14" t="str">
        <x:v>16:00 sonrası</x:v>
      </x:c>
      <x:c r="F2078" s="14" t="str">
        <x:v>F3 - Kaynak/MEB Tamamlama</x:v>
      </x:c>
      <x:c r="G2078" s="14" t="str">
        <x:v>16:00</x:v>
      </x:c>
      <x:c r="H2078" s="14" t="str">
        <x:v>16:25</x:v>
      </x:c>
      <x:c r="I2078" s="14" t="str">
        <x:v>Genel</x:v>
      </x:c>
      <x:c r="J2078" s="14" t="str">
        <x:v>Dinlenme</x:v>
      </x:c>
      <x:c r="K2078" s="14" t="str"/>
      <x:c r="L2078" s="14" t="str">
        <x:v>Eve geliş, atıştırma ve dinlenme.</x:v>
      </x:c>
      <x:c r="M2078" s="14" t="str"/>
      <x:c r="N2078" s="14" t="str"/>
      <x:c r="O2078" s="14" t="n">
        <x:v>0</x:v>
      </x:c>
      <x:c r="P2078" s="14" t="str">
        <x:v>Hayır</x:v>
      </x:c>
      <x:c r="Q2078" s="14" t="str">
        <x:v>Hayır</x:v>
      </x:c>
      <x:c r="R2078" s="14" t="str">
        <x:v>Planlandı</x:v>
      </x:c>
      <x:c r="S2078" s="15" t="str"/>
      <x:c r="T2078" s="14" t="str"/>
    </x:row>
    <x:row r="2079">
      <x:c r="A2079" s="14" t="n">
        <x:v>2078</x:v>
      </x:c>
      <x:c r="B2079" s="15" t="n">
        <x:v>46463</x:v>
      </x:c>
      <x:c r="C2079" s="14" t="str">
        <x:v>Çarşamba</x:v>
      </x:c>
      <x:c r="D2079" s="14" t="str">
        <x:v>Okul Günü</x:v>
      </x:c>
      <x:c r="E2079" s="14" t="str">
        <x:v>16:00 sonrası</x:v>
      </x:c>
      <x:c r="F2079" s="14" t="str">
        <x:v>F3 - Kaynak/MEB Tamamlama</x:v>
      </x:c>
      <x:c r="G2079" s="14" t="str">
        <x:v>16:25</x:v>
      </x:c>
      <x:c r="H2079" s="14" t="str">
        <x:v>17:05</x:v>
      </x:c>
      <x:c r="I2079" s="14" t="str">
        <x:v>Matematik</x:v>
      </x:c>
      <x:c r="J2079" s="14" t="str">
        <x:v>Konu / Tekrar</x:v>
      </x:c>
      <x:c r="K2079" s="14" t="str">
        <x:v>Kaynak Tamamlama / Zayıf Konu</x:v>
      </x:c>
      <x:c r="L2079" s="14" t="str">
        <x:v>Yeni konu açma. En zayıf/açık konunun ilgili playlist videosunu yalnız gerekiyorsa tekrar izle.</x:v>
      </x:c>
      <x:c r="M2079" s="14" t="str">
        <x:v>Matematik Ana Oynatma Listesi</x:v>
      </x:c>
      <x:c r="N2079" s="14" t="str">
        <x:v>https://www.youtube.com/watch?v=EuJ89QzqrAg&amp;list=PLicNtF7vp6fnfDqrRLH6H7fIbzYT4ct4F&amp;index=11</x:v>
      </x:c>
      <x:c r="O2079" s="14" t="n">
        <x:v>0</x:v>
      </x:c>
      <x:c r="P2079" s="14" t="str">
        <x:v>Hayır</x:v>
      </x:c>
      <x:c r="Q2079" s="14" t="str">
        <x:v>Evet</x:v>
      </x:c>
      <x:c r="R2079" s="14" t="str">
        <x:v>Planlandı</x:v>
      </x:c>
      <x:c r="S2079" s="15" t="str"/>
      <x:c r="T2079" s="14" t="str">
        <x:v>Yeni konu ancak plan sırasıyla açılır; LGS dışı ileri TYT içeriği zorunlu değildir.</x:v>
      </x:c>
    </x:row>
    <x:row r="2080">
      <x:c r="A2080" s="14" t="n">
        <x:v>2079</x:v>
      </x:c>
      <x:c r="B2080" s="15" t="n">
        <x:v>46463</x:v>
      </x:c>
      <x:c r="C2080" s="14" t="str">
        <x:v>Çarşamba</x:v>
      </x:c>
      <x:c r="D2080" s="14" t="str">
        <x:v>Okul Günü</x:v>
      </x:c>
      <x:c r="E2080" s="14" t="str">
        <x:v>16:00 sonrası</x:v>
      </x:c>
      <x:c r="F2080" s="14" t="str">
        <x:v>F3 - Kaynak/MEB Tamamlama</x:v>
      </x:c>
      <x:c r="G2080" s="14" t="str">
        <x:v>17:10</x:v>
      </x:c>
      <x:c r="H2080" s="14" t="str">
        <x:v>17:55</x:v>
      </x:c>
      <x:c r="I2080" s="14" t="str">
        <x:v>Matematik</x:v>
      </x:c>
      <x:c r="J2080" s="14" t="str">
        <x:v>Kitap / MEB / Mastery</x:v>
      </x:c>
      <x:c r="K2080" s="14" t="str">
        <x:v>Kaynak Tamamlama / Zayıf Konu</x:v>
      </x:c>
      <x:c r="L2080" s="14" t="str">
        <x:v>13 Nisan %100 tamamlama hedefine göre en geride kalan Matematik soru kaynağını/eksik MEB setini ilerlet; açık yanlışları kapat.</x:v>
      </x:c>
      <x:c r="M2080" s="14" t="str">
        <x:v>MUBA 8. Sınıf Başlangıç Matematik (ISBN 9789756526972) → tamamlandıysa Mozaik 8. Sınıf Matematik; açık MEB/yanlışlar</x:v>
      </x:c>
      <x:c r="N2080" s="14" t="str">
        <x:v>https://odsgm.meb.gov.tr/www/8sinif-calisma-sorulari/icerik/1632</x:v>
      </x:c>
      <x:c r="O2080" s="14" t="n">
        <x:v>30</x:v>
      </x:c>
      <x:c r="P2080" s="14" t="str">
        <x:v>İlk 20 soru</x:v>
      </x:c>
      <x:c r="Q2080" s="14" t="str">
        <x:v>Evet</x:v>
      </x:c>
      <x:c r="R2080" s="14" t="str">
        <x:v>Planlandı</x:v>
      </x:c>
      <x:c r="S2080" s="15" t="str"/>
      <x:c r="T2080" s="14" t="str">
        <x:v>Ayrı/rastgele matematik benchmark yoktur. Süreli ilk 20 soru o gün çalışılan konunun içindedir.</x:v>
      </x:c>
    </x:row>
    <x:row r="2081">
      <x:c r="A2081" s="14" t="n">
        <x:v>2080</x:v>
      </x:c>
      <x:c r="B2081" s="15" t="n">
        <x:v>46463</x:v>
      </x:c>
      <x:c r="C2081" s="14" t="str">
        <x:v>Çarşamba</x:v>
      </x:c>
      <x:c r="D2081" s="14" t="str">
        <x:v>Okul Günü</x:v>
      </x:c>
      <x:c r="E2081" s="14" t="str">
        <x:v>16:00 sonrası</x:v>
      </x:c>
      <x:c r="F2081" s="14" t="str">
        <x:v>F3 - Kaynak/MEB Tamamlama</x:v>
      </x:c>
      <x:c r="G2081" s="14" t="str">
        <x:v>17:55</x:v>
      </x:c>
      <x:c r="H2081" s="14" t="str">
        <x:v>18:25</x:v>
      </x:c>
      <x:c r="I2081" s="14" t="str">
        <x:v>Genel</x:v>
      </x:c>
      <x:c r="J2081" s="14" t="str">
        <x:v>Yemek / Serbest Zaman</x:v>
      </x:c>
      <x:c r="K2081" s="14" t="str"/>
      <x:c r="L2081" s="14" t="str">
        <x:v>Yemek, hareket ve dinlenme.</x:v>
      </x:c>
      <x:c r="M2081" s="14" t="str"/>
      <x:c r="N2081" s="14" t="str"/>
      <x:c r="O2081" s="14" t="n">
        <x:v>0</x:v>
      </x:c>
      <x:c r="P2081" s="14" t="str">
        <x:v>Hayır</x:v>
      </x:c>
      <x:c r="Q2081" s="14" t="str">
        <x:v>Hayır</x:v>
      </x:c>
      <x:c r="R2081" s="14" t="str">
        <x:v>Planlandı</x:v>
      </x:c>
      <x:c r="S2081" s="15" t="str"/>
      <x:c r="T2081" s="14" t="str"/>
    </x:row>
    <x:row r="2082">
      <x:c r="A2082" s="14" t="n">
        <x:v>2081</x:v>
      </x:c>
      <x:c r="B2082" s="15" t="n">
        <x:v>46463</x:v>
      </x:c>
      <x:c r="C2082" s="14" t="str">
        <x:v>Çarşamba</x:v>
      </x:c>
      <x:c r="D2082" s="14" t="str">
        <x:v>Okul Günü</x:v>
      </x:c>
      <x:c r="E2082" s="14" t="str">
        <x:v>16:00 sonrası</x:v>
      </x:c>
      <x:c r="F2082" s="14" t="str">
        <x:v>F3 - Kaynak/MEB Tamamlama</x:v>
      </x:c>
      <x:c r="G2082" s="14" t="str">
        <x:v>18:25</x:v>
      </x:c>
      <x:c r="H2082" s="14" t="str">
        <x:v>18:55</x:v>
      </x:c>
      <x:c r="I2082" s="14" t="str">
        <x:v>Türkçe</x:v>
      </x:c>
      <x:c r="J2082" s="14" t="str">
        <x:v>Paragraf Rutini</x:v>
      </x:c>
      <x:c r="K2082" s="14" t="str">
        <x:v>Paragraf</x:v>
      </x:c>
      <x:c r="L2082" s="14" t="str">
        <x:v>En az 30 paragraf sorusu çöz; ilk 20 soruyu ileri sayımla ölç, D/Y/B + süre kaydet.</x:v>
      </x:c>
      <x:c r="M2082" s="14" t="str">
        <x:v>Hız 8. Sınıf Türkçe Paragraf (ISBN 9786258394498)</x:v>
      </x:c>
      <x:c r="N2082" s="14" t="str"/>
      <x:c r="O2082" s="14" t="n">
        <x:v>30</x:v>
      </x:c>
      <x:c r="P2082" s="14" t="str">
        <x:v>İlk 20 soru</x:v>
      </x:c>
      <x:c r="Q2082" s="14" t="str">
        <x:v>Evet</x:v>
      </x:c>
      <x:c r="R2082" s="14" t="str">
        <x:v>Planlandı</x:v>
      </x:c>
      <x:c r="S2082" s="15" t="str"/>
      <x:c r="T2082" s="14" t="str">
        <x:v>Geri sayım ve hedef süre yok.</x:v>
      </x:c>
    </x:row>
    <x:row r="2083">
      <x:c r="A2083" s="14" t="n">
        <x:v>2082</x:v>
      </x:c>
      <x:c r="B2083" s="15" t="n">
        <x:v>46463</x:v>
      </x:c>
      <x:c r="C2083" s="14" t="str">
        <x:v>Çarşamba</x:v>
      </x:c>
      <x:c r="D2083" s="14" t="str">
        <x:v>Okul Günü</x:v>
      </x:c>
      <x:c r="E2083" s="14" t="str">
        <x:v>16:00 sonrası</x:v>
      </x:c>
      <x:c r="F2083" s="14" t="str">
        <x:v>F3 - Kaynak/MEB Tamamlama</x:v>
      </x:c>
      <x:c r="G2083" s="14" t="str">
        <x:v>19:00</x:v>
      </x:c>
      <x:c r="H2083" s="14" t="str">
        <x:v>19:35</x:v>
      </x:c>
      <x:c r="I2083" s="14" t="str">
        <x:v>Türkçe</x:v>
      </x:c>
      <x:c r="J2083" s="14" t="str">
        <x:v>Konu / Tekrar</x:v>
      </x:c>
      <x:c r="K2083" s="14" t="str">
        <x:v>Kaynak Tamamlama / Zayıf Konu</x:v>
      </x:c>
      <x:c r="L2083" s="14" t="str">
        <x:v>Yeni konu açma. En zayıf/açık konunun ilgili playlist videosunu yalnız gerekiyorsa tekrar izle.</x:v>
      </x:c>
      <x:c r="M2083" s="14" t="str">
        <x:v>Türkçe Ana Oynatma Listesi</x:v>
      </x:c>
      <x:c r="N2083" s="14" t="str">
        <x:v>https://www.youtube.com/watch?v=VYsPntNKVdw&amp;list=PLIBjFaUoJJ91bz7QQEBlxNJNZka5YQRr6</x:v>
      </x:c>
      <x:c r="O2083" s="14" t="n">
        <x:v>0</x:v>
      </x:c>
      <x:c r="P2083" s="14" t="str">
        <x:v>Hayır</x:v>
      </x:c>
      <x:c r="Q2083" s="14" t="str">
        <x:v>Evet</x:v>
      </x:c>
      <x:c r="R2083" s="14" t="str">
        <x:v>Planlandı</x:v>
      </x:c>
      <x:c r="S2083" s="15" t="str"/>
      <x:c r="T2083" s="14" t="str">
        <x:v>TYT etiketli kaynak temelden başlamak için sabittir; LGS dışı gereksiz ayrıntı zorunlu değildir.</x:v>
      </x:c>
    </x:row>
    <x:row r="2084">
      <x:c r="A2084" s="14" t="n">
        <x:v>2083</x:v>
      </x:c>
      <x:c r="B2084" s="15" t="n">
        <x:v>46463</x:v>
      </x:c>
      <x:c r="C2084" s="14" t="str">
        <x:v>Çarşamba</x:v>
      </x:c>
      <x:c r="D2084" s="14" t="str">
        <x:v>Okul Günü</x:v>
      </x:c>
      <x:c r="E2084" s="14" t="str">
        <x:v>16:00 sonrası</x:v>
      </x:c>
      <x:c r="F2084" s="14" t="str">
        <x:v>F3 - Kaynak/MEB Tamamlama</x:v>
      </x:c>
      <x:c r="G2084" s="14" t="str">
        <x:v>19:40</x:v>
      </x:c>
      <x:c r="H2084" s="14" t="str">
        <x:v>20:10</x:v>
      </x:c>
      <x:c r="I2084" s="14" t="str">
        <x:v>Türkçe</x:v>
      </x:c>
      <x:c r="J2084" s="14" t="str">
        <x:v>Kitap / MEB / Mastery</x:v>
      </x:c>
      <x:c r="K2084" s="14" t="str">
        <x:v>Kaynak Tamamlama / Zayıf Konu</x:v>
      </x:c>
      <x:c r="L2084" s="14" t="str">
        <x:v>13 Nisan %100 tamamlama hedefine göre en geride kalan Türkçe soru kaynağını/eksik MEB setini ilerlet; açık yanlışları kapat.</x:v>
      </x:c>
      <x:c r="M2084" s="14" t="str">
        <x:v>Ankara 8. Sınıf Dil Bilgisi Güçlendiren + açık MEB/yanlışlar</x:v>
      </x:c>
      <x:c r="N2084" s="14" t="str">
        <x:v>https://odsgm.meb.gov.tr/www/8sinif-calisma-sorulari/icerik/1632</x:v>
      </x:c>
      <x:c r="O2084" s="14" t="n">
        <x:v>20</x:v>
      </x:c>
      <x:c r="P2084" s="14" t="str">
        <x:v>Hayır</x:v>
      </x:c>
      <x:c r="Q2084" s="14" t="str">
        <x:v>Evet</x:v>
      </x:c>
      <x:c r="R2084" s="14" t="str">
        <x:v>Planlandı</x:v>
      </x:c>
      <x:c r="S2084" s="15" t="str"/>
      <x:c r="T2084" s="14" t="str"/>
    </x:row>
    <x:row r="2085">
      <x:c r="A2085" s="14" t="n">
        <x:v>2084</x:v>
      </x:c>
      <x:c r="B2085" s="15" t="n">
        <x:v>46463</x:v>
      </x:c>
      <x:c r="C2085" s="14" t="str">
        <x:v>Çarşamba</x:v>
      </x:c>
      <x:c r="D2085" s="14" t="str">
        <x:v>Okul Günü</x:v>
      </x:c>
      <x:c r="E2085" s="14" t="str">
        <x:v>16:00 sonrası</x:v>
      </x:c>
      <x:c r="F2085" s="14" t="str">
        <x:v>F3 - Kaynak/MEB Tamamlama</x:v>
      </x:c>
      <x:c r="G2085" s="14" t="str">
        <x:v>20:15</x:v>
      </x:c>
      <x:c r="H2085" s="14" t="str">
        <x:v>20:50</x:v>
      </x:c>
      <x:c r="I2085" s="14" t="str">
        <x:v>İngilizce</x:v>
      </x:c>
      <x:c r="J2085" s="14" t="str">
        <x:v>Konu / Tekrar</x:v>
      </x:c>
      <x:c r="K2085" s="14" t="str">
        <x:v>Kaynak Tamamlama / Zayıf Konu</x:v>
      </x:c>
      <x:c r="L2085" s="14" t="str">
        <x:v>Yeni konu açma. En zayıf/açık konunun ilgili playlist videosunu yalnız gerekiyorsa tekrar izle.</x:v>
      </x:c>
      <x:c r="M2085" s="14" t="str">
        <x:v>İngilizce Genel Oynatma Listesi</x:v>
      </x:c>
      <x:c r="N2085" s="14" t="str">
        <x:v>https://www.youtube.com/watch?v=FaY3dFjZbns&amp;list=PLSgpQDrUSYp94WgE9pzpHiOG5FwxnZBrr</x:v>
      </x:c>
      <x:c r="O2085" s="14" t="n">
        <x:v>0</x:v>
      </x:c>
      <x:c r="P2085" s="14" t="str">
        <x:v>Hayır</x:v>
      </x:c>
      <x:c r="Q2085" s="14" t="str">
        <x:v>Evet</x:v>
      </x:c>
      <x:c r="R2085" s="14" t="str">
        <x:v>Planlandı</x:v>
      </x:c>
      <x:c r="S2085" s="15" t="str"/>
      <x:c r="T2085" s="14" t="str"/>
    </x:row>
    <x:row r="2086">
      <x:c r="A2086" s="14" t="n">
        <x:v>2085</x:v>
      </x:c>
      <x:c r="B2086" s="15" t="n">
        <x:v>46463</x:v>
      </x:c>
      <x:c r="C2086" s="14" t="str">
        <x:v>Çarşamba</x:v>
      </x:c>
      <x:c r="D2086" s="14" t="str">
        <x:v>Okul Günü</x:v>
      </x:c>
      <x:c r="E2086" s="14" t="str">
        <x:v>16:00 sonrası</x:v>
      </x:c>
      <x:c r="F2086" s="14" t="str">
        <x:v>F3 - Kaynak/MEB Tamamlama</x:v>
      </x:c>
      <x:c r="G2086" s="14" t="str">
        <x:v>20:55</x:v>
      </x:c>
      <x:c r="H2086" s="14" t="str">
        <x:v>21:20</x:v>
      </x:c>
      <x:c r="I2086" s="14" t="str">
        <x:v>İngilizce</x:v>
      </x:c>
      <x:c r="J2086" s="14" t="str">
        <x:v>Kitap / MEB / Mastery</x:v>
      </x:c>
      <x:c r="K2086" s="14" t="str">
        <x:v>Kaynak Tamamlama / Zayıf Konu</x:v>
      </x:c>
      <x:c r="L2086" s="14" t="str">
        <x:v>13 Nisan %100 tamamlama hedefine göre en geride kalan İngilizce soru kaynağını/eksik MEB setini ilerlet; açık yanlışları kapat.</x:v>
      </x:c>
      <x:c r="M2086" s="14" t="str">
        <x:v>More &amp; More 8 Worksheets Notebook + açık MEB/yanlışlar</x:v>
      </x:c>
      <x:c r="N2086" s="14" t="str">
        <x:v>https://odsgm.meb.gov.tr/www/8sinif-calisma-sorulari/icerik/1632</x:v>
      </x:c>
      <x:c r="O2086" s="14" t="n">
        <x:v>20</x:v>
      </x:c>
      <x:c r="P2086" s="14" t="str">
        <x:v>Hayır</x:v>
      </x:c>
      <x:c r="Q2086" s="14" t="str">
        <x:v>Evet</x:v>
      </x:c>
      <x:c r="R2086" s="14" t="str">
        <x:v>Planlandı</x:v>
      </x:c>
      <x:c r="S2086" s="15" t="str"/>
      <x:c r="T2086" s="14" t="str"/>
    </x:row>
    <x:row r="2087">
      <x:c r="A2087" s="14" t="n">
        <x:v>2086</x:v>
      </x:c>
      <x:c r="B2087" s="15" t="n">
        <x:v>46463</x:v>
      </x:c>
      <x:c r="C2087" s="14" t="str">
        <x:v>Çarşamba</x:v>
      </x:c>
      <x:c r="D2087" s="14" t="str">
        <x:v>Okul Günü</x:v>
      </x:c>
      <x:c r="E2087" s="14" t="str">
        <x:v>16:00 sonrası</x:v>
      </x:c>
      <x:c r="F2087" s="14" t="str">
        <x:v>F3 - Kaynak/MEB Tamamlama</x:v>
      </x:c>
      <x:c r="G2087" s="14" t="str">
        <x:v>21:20</x:v>
      </x:c>
      <x:c r="H2087" s="14" t="str">
        <x:v>21:35</x:v>
      </x:c>
      <x:c r="I2087" s="14" t="str">
        <x:v>Genel</x:v>
      </x:c>
      <x:c r="J2087" s="14" t="str">
        <x:v>Yanlış / Boş Analizi</x:v>
      </x:c>
      <x:c r="K2087" s="14" t="str">
        <x:v>Günlük</x:v>
      </x:c>
      <x:c r="L2087" s="14" t="str">
        <x:v>Bugünkü yanlış/boşları kaydet; çözümünü öğrenmeden kapatma. Hata türünü sınıflandır.</x:v>
      </x:c>
      <x:c r="M2087" s="14" t="str">
        <x:v>Yanlış Defteri</x:v>
      </x:c>
      <x:c r="N2087" s="14" t="str"/>
      <x:c r="O2087" s="14" t="n">
        <x:v>0</x:v>
      </x:c>
      <x:c r="P2087" s="14" t="str">
        <x:v>Hayır</x:v>
      </x:c>
      <x:c r="Q2087" s="14" t="str">
        <x:v>Evet</x:v>
      </x:c>
      <x:c r="R2087" s="14" t="str">
        <x:v>Planlandı</x:v>
      </x:c>
      <x:c r="S2087" s="15" t="str"/>
      <x:c r="T2087" s="14" t="str"/>
    </x:row>
    <x:row r="2088">
      <x:c r="A2088" s="14" t="n">
        <x:v>2087</x:v>
      </x:c>
      <x:c r="B2088" s="15" t="n">
        <x:v>46463</x:v>
      </x:c>
      <x:c r="C2088" s="14" t="str">
        <x:v>Çarşamba</x:v>
      </x:c>
      <x:c r="D2088" s="14" t="str">
        <x:v>Okul Günü</x:v>
      </x:c>
      <x:c r="E2088" s="14" t="str">
        <x:v>16:00 sonrası</x:v>
      </x:c>
      <x:c r="F2088" s="14" t="str">
        <x:v>F3 - Kaynak/MEB Tamamlama</x:v>
      </x:c>
      <x:c r="G2088" s="14" t="str">
        <x:v>21:35</x:v>
      </x:c>
      <x:c r="H2088" s="14" t="str">
        <x:v>21:50</x:v>
      </x:c>
      <x:c r="I2088" s="14" t="str">
        <x:v>Genel</x:v>
      </x:c>
      <x:c r="J2088" s="14" t="str">
        <x:v>Aralıklı Hata Tekrarı</x:v>
      </x:c>
      <x:c r="K2088" s="14" t="str">
        <x:v>+1 / +7 / +21</x:v>
      </x:c>
      <x:c r="L2088" s="14" t="str">
        <x:v>Bugün vadesi gelen yanlış soruları tekrar çöz. Vadesi yoksa bu süre serbest/okuma olabilir.</x:v>
      </x:c>
      <x:c r="M2088" s="14" t="str">
        <x:v>Yanlış Defteri</x:v>
      </x:c>
      <x:c r="N2088" s="14" t="str"/>
      <x:c r="O2088" s="14" t="n">
        <x:v>0</x:v>
      </x:c>
      <x:c r="P2088" s="14" t="str">
        <x:v>Hayır</x:v>
      </x:c>
      <x:c r="Q2088" s="14" t="str">
        <x:v>Koşullu</x:v>
      </x:c>
      <x:c r="R2088" s="14" t="str">
        <x:v>Planlandı</x:v>
      </x:c>
      <x:c r="S2088" s="15" t="str"/>
      <x:c r="T2088" s="14" t="str">
        <x:v>Yanlışlar +1, +7 ve +21 gün aralıklarıyla tekrar edilir; hâlâ yanlışsa konu mastery durumu düşürülür.</x:v>
      </x:c>
    </x:row>
    <x:row r="2089">
      <x:c r="A2089" s="14" t="n">
        <x:v>2088</x:v>
      </x:c>
      <x:c r="B2089" s="15" t="n">
        <x:v>46463</x:v>
      </x:c>
      <x:c r="C2089" s="14" t="str">
        <x:v>Çarşamba</x:v>
      </x:c>
      <x:c r="D2089" s="14" t="str">
        <x:v>Okul Günü</x:v>
      </x:c>
      <x:c r="E2089" s="14" t="str">
        <x:v>16:00 sonrası</x:v>
      </x:c>
      <x:c r="F2089" s="14" t="str">
        <x:v>F3 - Kaynak/MEB Tamamlama</x:v>
      </x:c>
      <x:c r="G2089" s="14" t="str">
        <x:v>21:50</x:v>
      </x:c>
      <x:c r="H2089" s="14" t="str">
        <x:v>22:00</x:v>
      </x:c>
      <x:c r="I2089" s="14" t="str">
        <x:v>Genel</x:v>
      </x:c>
      <x:c r="J2089" s="14" t="str">
        <x:v>Uyku Hazırlığı</x:v>
      </x:c>
      <x:c r="K2089" s="14" t="str"/>
      <x:c r="L2089" s="14" t="str">
        <x:v>22:00'de yatakta ve uyku.</x:v>
      </x:c>
      <x:c r="M2089" s="14" t="str"/>
      <x:c r="N2089" s="14" t="str"/>
      <x:c r="O2089" s="14" t="n">
        <x:v>0</x:v>
      </x:c>
      <x:c r="P2089" s="14" t="str">
        <x:v>Hayır</x:v>
      </x:c>
      <x:c r="Q2089" s="14" t="str">
        <x:v>Hayır</x:v>
      </x:c>
      <x:c r="R2089" s="14" t="str">
        <x:v>Planlandı</x:v>
      </x:c>
      <x:c r="S2089" s="15" t="str"/>
      <x:c r="T2089" s="14" t="str"/>
    </x:row>
    <x:row r="2090">
      <x:c r="A2090" s="14" t="n">
        <x:v>2089</x:v>
      </x:c>
      <x:c r="B2090" s="15" t="n">
        <x:v>46464</x:v>
      </x:c>
      <x:c r="C2090" s="14" t="str">
        <x:v>Perşembe</x:v>
      </x:c>
      <x:c r="D2090" s="14" t="str">
        <x:v>Okul Günü</x:v>
      </x:c>
      <x:c r="E2090" s="14" t="str">
        <x:v>16:00 sonrası</x:v>
      </x:c>
      <x:c r="F2090" s="14" t="str">
        <x:v>F3 - Kaynak/MEB Tamamlama</x:v>
      </x:c>
      <x:c r="G2090" s="14" t="str">
        <x:v>16:00</x:v>
      </x:c>
      <x:c r="H2090" s="14" t="str">
        <x:v>16:25</x:v>
      </x:c>
      <x:c r="I2090" s="14" t="str">
        <x:v>Genel</x:v>
      </x:c>
      <x:c r="J2090" s="14" t="str">
        <x:v>Dinlenme</x:v>
      </x:c>
      <x:c r="K2090" s="14" t="str"/>
      <x:c r="L2090" s="14" t="str">
        <x:v>Eve geliş, atıştırma ve dinlenme.</x:v>
      </x:c>
      <x:c r="M2090" s="14" t="str"/>
      <x:c r="N2090" s="14" t="str"/>
      <x:c r="O2090" s="14" t="n">
        <x:v>0</x:v>
      </x:c>
      <x:c r="P2090" s="14" t="str">
        <x:v>Hayır</x:v>
      </x:c>
      <x:c r="Q2090" s="14" t="str">
        <x:v>Hayır</x:v>
      </x:c>
      <x:c r="R2090" s="14" t="str">
        <x:v>Planlandı</x:v>
      </x:c>
      <x:c r="S2090" s="15" t="str"/>
      <x:c r="T2090" s="14" t="str"/>
    </x:row>
    <x:row r="2091">
      <x:c r="A2091" s="14" t="n">
        <x:v>2090</x:v>
      </x:c>
      <x:c r="B2091" s="15" t="n">
        <x:v>46464</x:v>
      </x:c>
      <x:c r="C2091" s="14" t="str">
        <x:v>Perşembe</x:v>
      </x:c>
      <x:c r="D2091" s="14" t="str">
        <x:v>Okul Günü</x:v>
      </x:c>
      <x:c r="E2091" s="14" t="str">
        <x:v>16:00 sonrası</x:v>
      </x:c>
      <x:c r="F2091" s="14" t="str">
        <x:v>F3 - Kaynak/MEB Tamamlama</x:v>
      </x:c>
      <x:c r="G2091" s="14" t="str">
        <x:v>16:25</x:v>
      </x:c>
      <x:c r="H2091" s="14" t="str">
        <x:v>17:05</x:v>
      </x:c>
      <x:c r="I2091" s="14" t="str">
        <x:v>Matematik</x:v>
      </x:c>
      <x:c r="J2091" s="14" t="str">
        <x:v>Konu / Tekrar</x:v>
      </x:c>
      <x:c r="K2091" s="14" t="str">
        <x:v>Kaynak Tamamlama / Zayıf Konu</x:v>
      </x:c>
      <x:c r="L2091" s="14" t="str">
        <x:v>Yeni konu açma. En zayıf/açık konunun ilgili playlist videosunu yalnız gerekiyorsa tekrar izle.</x:v>
      </x:c>
      <x:c r="M2091" s="14" t="str">
        <x:v>Matematik Ana Oynatma Listesi</x:v>
      </x:c>
      <x:c r="N2091" s="14" t="str">
        <x:v>https://www.youtube.com/watch?v=EuJ89QzqrAg&amp;list=PLicNtF7vp6fnfDqrRLH6H7fIbzYT4ct4F&amp;index=11</x:v>
      </x:c>
      <x:c r="O2091" s="14" t="n">
        <x:v>0</x:v>
      </x:c>
      <x:c r="P2091" s="14" t="str">
        <x:v>Hayır</x:v>
      </x:c>
      <x:c r="Q2091" s="14" t="str">
        <x:v>Evet</x:v>
      </x:c>
      <x:c r="R2091" s="14" t="str">
        <x:v>Planlandı</x:v>
      </x:c>
      <x:c r="S2091" s="15" t="str"/>
      <x:c r="T2091" s="14" t="str">
        <x:v>Yeni konu ancak plan sırasıyla açılır; LGS dışı ileri TYT içeriği zorunlu değildir.</x:v>
      </x:c>
    </x:row>
    <x:row r="2092">
      <x:c r="A2092" s="14" t="n">
        <x:v>2091</x:v>
      </x:c>
      <x:c r="B2092" s="15" t="n">
        <x:v>46464</x:v>
      </x:c>
      <x:c r="C2092" s="14" t="str">
        <x:v>Perşembe</x:v>
      </x:c>
      <x:c r="D2092" s="14" t="str">
        <x:v>Okul Günü</x:v>
      </x:c>
      <x:c r="E2092" s="14" t="str">
        <x:v>16:00 sonrası</x:v>
      </x:c>
      <x:c r="F2092" s="14" t="str">
        <x:v>F3 - Kaynak/MEB Tamamlama</x:v>
      </x:c>
      <x:c r="G2092" s="14" t="str">
        <x:v>17:10</x:v>
      </x:c>
      <x:c r="H2092" s="14" t="str">
        <x:v>17:55</x:v>
      </x:c>
      <x:c r="I2092" s="14" t="str">
        <x:v>Matematik</x:v>
      </x:c>
      <x:c r="J2092" s="14" t="str">
        <x:v>Kitap / MEB / Mastery</x:v>
      </x:c>
      <x:c r="K2092" s="14" t="str">
        <x:v>Kaynak Tamamlama / Zayıf Konu</x:v>
      </x:c>
      <x:c r="L2092" s="14" t="str">
        <x:v>13 Nisan %100 tamamlama hedefine göre en geride kalan Matematik soru kaynağını/eksik MEB setini ilerlet; açık yanlışları kapat.</x:v>
      </x:c>
      <x:c r="M2092" s="14" t="str">
        <x:v>MUBA 8. Sınıf Başlangıç Matematik (ISBN 9789756526972) → tamamlandıysa Mozaik 8. Sınıf Matematik; açık MEB/yanlışlar</x:v>
      </x:c>
      <x:c r="N2092" s="14" t="str">
        <x:v>https://odsgm.meb.gov.tr/www/8sinif-calisma-sorulari/icerik/1632</x:v>
      </x:c>
      <x:c r="O2092" s="14" t="n">
        <x:v>30</x:v>
      </x:c>
      <x:c r="P2092" s="14" t="str">
        <x:v>İlk 20 soru</x:v>
      </x:c>
      <x:c r="Q2092" s="14" t="str">
        <x:v>Evet</x:v>
      </x:c>
      <x:c r="R2092" s="14" t="str">
        <x:v>Planlandı</x:v>
      </x:c>
      <x:c r="S2092" s="15" t="str"/>
      <x:c r="T2092" s="14" t="str">
        <x:v>Ayrı/rastgele matematik benchmark yoktur. Süreli ilk 20 soru o gün çalışılan konunun içindedir.</x:v>
      </x:c>
    </x:row>
    <x:row r="2093">
      <x:c r="A2093" s="14" t="n">
        <x:v>2092</x:v>
      </x:c>
      <x:c r="B2093" s="15" t="n">
        <x:v>46464</x:v>
      </x:c>
      <x:c r="C2093" s="14" t="str">
        <x:v>Perşembe</x:v>
      </x:c>
      <x:c r="D2093" s="14" t="str">
        <x:v>Okul Günü</x:v>
      </x:c>
      <x:c r="E2093" s="14" t="str">
        <x:v>16:00 sonrası</x:v>
      </x:c>
      <x:c r="F2093" s="14" t="str">
        <x:v>F3 - Kaynak/MEB Tamamlama</x:v>
      </x:c>
      <x:c r="G2093" s="14" t="str">
        <x:v>17:55</x:v>
      </x:c>
      <x:c r="H2093" s="14" t="str">
        <x:v>18:25</x:v>
      </x:c>
      <x:c r="I2093" s="14" t="str">
        <x:v>Genel</x:v>
      </x:c>
      <x:c r="J2093" s="14" t="str">
        <x:v>Yemek / Serbest Zaman</x:v>
      </x:c>
      <x:c r="K2093" s="14" t="str"/>
      <x:c r="L2093" s="14" t="str">
        <x:v>Yemek, hareket ve dinlenme.</x:v>
      </x:c>
      <x:c r="M2093" s="14" t="str"/>
      <x:c r="N2093" s="14" t="str"/>
      <x:c r="O2093" s="14" t="n">
        <x:v>0</x:v>
      </x:c>
      <x:c r="P2093" s="14" t="str">
        <x:v>Hayır</x:v>
      </x:c>
      <x:c r="Q2093" s="14" t="str">
        <x:v>Hayır</x:v>
      </x:c>
      <x:c r="R2093" s="14" t="str">
        <x:v>Planlandı</x:v>
      </x:c>
      <x:c r="S2093" s="15" t="str"/>
      <x:c r="T2093" s="14" t="str"/>
    </x:row>
    <x:row r="2094">
      <x:c r="A2094" s="14" t="n">
        <x:v>2093</x:v>
      </x:c>
      <x:c r="B2094" s="15" t="n">
        <x:v>46464</x:v>
      </x:c>
      <x:c r="C2094" s="14" t="str">
        <x:v>Perşembe</x:v>
      </x:c>
      <x:c r="D2094" s="14" t="str">
        <x:v>Okul Günü</x:v>
      </x:c>
      <x:c r="E2094" s="14" t="str">
        <x:v>16:00 sonrası</x:v>
      </x:c>
      <x:c r="F2094" s="14" t="str">
        <x:v>F3 - Kaynak/MEB Tamamlama</x:v>
      </x:c>
      <x:c r="G2094" s="14" t="str">
        <x:v>18:25</x:v>
      </x:c>
      <x:c r="H2094" s="14" t="str">
        <x:v>18:55</x:v>
      </x:c>
      <x:c r="I2094" s="14" t="str">
        <x:v>Türkçe</x:v>
      </x:c>
      <x:c r="J2094" s="14" t="str">
        <x:v>Paragraf Rutini</x:v>
      </x:c>
      <x:c r="K2094" s="14" t="str">
        <x:v>Paragraf</x:v>
      </x:c>
      <x:c r="L2094" s="14" t="str">
        <x:v>En az 30 paragraf sorusu çöz; ilk 20 soruyu ileri sayımla ölç, D/Y/B + süre kaydet.</x:v>
      </x:c>
      <x:c r="M2094" s="14" t="str">
        <x:v>Hız 8. Sınıf Türkçe Paragraf (ISBN 9786258394498)</x:v>
      </x:c>
      <x:c r="N2094" s="14" t="str"/>
      <x:c r="O2094" s="14" t="n">
        <x:v>30</x:v>
      </x:c>
      <x:c r="P2094" s="14" t="str">
        <x:v>İlk 20 soru</x:v>
      </x:c>
      <x:c r="Q2094" s="14" t="str">
        <x:v>Evet</x:v>
      </x:c>
      <x:c r="R2094" s="14" t="str">
        <x:v>Planlandı</x:v>
      </x:c>
      <x:c r="S2094" s="15" t="str"/>
      <x:c r="T2094" s="14" t="str">
        <x:v>Geri sayım ve hedef süre yok.</x:v>
      </x:c>
    </x:row>
    <x:row r="2095">
      <x:c r="A2095" s="14" t="n">
        <x:v>2094</x:v>
      </x:c>
      <x:c r="B2095" s="15" t="n">
        <x:v>46464</x:v>
      </x:c>
      <x:c r="C2095" s="14" t="str">
        <x:v>Perşembe</x:v>
      </x:c>
      <x:c r="D2095" s="14" t="str">
        <x:v>Okul Günü</x:v>
      </x:c>
      <x:c r="E2095" s="14" t="str">
        <x:v>16:00 sonrası</x:v>
      </x:c>
      <x:c r="F2095" s="14" t="str">
        <x:v>F3 - Kaynak/MEB Tamamlama</x:v>
      </x:c>
      <x:c r="G2095" s="14" t="str">
        <x:v>19:00</x:v>
      </x:c>
      <x:c r="H2095" s="14" t="str">
        <x:v>19:35</x:v>
      </x:c>
      <x:c r="I2095" s="14" t="str">
        <x:v>Türkçe</x:v>
      </x:c>
      <x:c r="J2095" s="14" t="str">
        <x:v>Konu / Tekrar</x:v>
      </x:c>
      <x:c r="K2095" s="14" t="str">
        <x:v>Kaynak Tamamlama / Zayıf Konu</x:v>
      </x:c>
      <x:c r="L2095" s="14" t="str">
        <x:v>Yeni konu açma. En zayıf/açık konunun ilgili playlist videosunu yalnız gerekiyorsa tekrar izle.</x:v>
      </x:c>
      <x:c r="M2095" s="14" t="str">
        <x:v>Türkçe Ana Oynatma Listesi</x:v>
      </x:c>
      <x:c r="N2095" s="14" t="str">
        <x:v>https://www.youtube.com/watch?v=VYsPntNKVdw&amp;list=PLIBjFaUoJJ91bz7QQEBlxNJNZka5YQRr6</x:v>
      </x:c>
      <x:c r="O2095" s="14" t="n">
        <x:v>0</x:v>
      </x:c>
      <x:c r="P2095" s="14" t="str">
        <x:v>Hayır</x:v>
      </x:c>
      <x:c r="Q2095" s="14" t="str">
        <x:v>Evet</x:v>
      </x:c>
      <x:c r="R2095" s="14" t="str">
        <x:v>Planlandı</x:v>
      </x:c>
      <x:c r="S2095" s="15" t="str"/>
      <x:c r="T2095" s="14" t="str">
        <x:v>TYT etiketli kaynak temelden başlamak için sabittir; LGS dışı gereksiz ayrıntı zorunlu değildir.</x:v>
      </x:c>
    </x:row>
    <x:row r="2096">
      <x:c r="A2096" s="14" t="n">
        <x:v>2095</x:v>
      </x:c>
      <x:c r="B2096" s="15" t="n">
        <x:v>46464</x:v>
      </x:c>
      <x:c r="C2096" s="14" t="str">
        <x:v>Perşembe</x:v>
      </x:c>
      <x:c r="D2096" s="14" t="str">
        <x:v>Okul Günü</x:v>
      </x:c>
      <x:c r="E2096" s="14" t="str">
        <x:v>16:00 sonrası</x:v>
      </x:c>
      <x:c r="F2096" s="14" t="str">
        <x:v>F3 - Kaynak/MEB Tamamlama</x:v>
      </x:c>
      <x:c r="G2096" s="14" t="str">
        <x:v>19:40</x:v>
      </x:c>
      <x:c r="H2096" s="14" t="str">
        <x:v>20:10</x:v>
      </x:c>
      <x:c r="I2096" s="14" t="str">
        <x:v>Türkçe</x:v>
      </x:c>
      <x:c r="J2096" s="14" t="str">
        <x:v>Kitap / MEB / Mastery</x:v>
      </x:c>
      <x:c r="K2096" s="14" t="str">
        <x:v>Kaynak Tamamlama / Zayıf Konu</x:v>
      </x:c>
      <x:c r="L2096" s="14" t="str">
        <x:v>13 Nisan %100 tamamlama hedefine göre en geride kalan Türkçe soru kaynağını/eksik MEB setini ilerlet; açık yanlışları kapat.</x:v>
      </x:c>
      <x:c r="M2096" s="14" t="str">
        <x:v>Ankara 8. Sınıf Dil Bilgisi Güçlendiren + açık MEB/yanlışlar</x:v>
      </x:c>
      <x:c r="N2096" s="14" t="str">
        <x:v>https://odsgm.meb.gov.tr/www/8sinif-calisma-sorulari/icerik/1632</x:v>
      </x:c>
      <x:c r="O2096" s="14" t="n">
        <x:v>20</x:v>
      </x:c>
      <x:c r="P2096" s="14" t="str">
        <x:v>Hayır</x:v>
      </x:c>
      <x:c r="Q2096" s="14" t="str">
        <x:v>Evet</x:v>
      </x:c>
      <x:c r="R2096" s="14" t="str">
        <x:v>Planlandı</x:v>
      </x:c>
      <x:c r="S2096" s="15" t="str"/>
      <x:c r="T2096" s="14" t="str"/>
    </x:row>
    <x:row r="2097">
      <x:c r="A2097" s="14" t="n">
        <x:v>2096</x:v>
      </x:c>
      <x:c r="B2097" s="15" t="n">
        <x:v>46464</x:v>
      </x:c>
      <x:c r="C2097" s="14" t="str">
        <x:v>Perşembe</x:v>
      </x:c>
      <x:c r="D2097" s="14" t="str">
        <x:v>Okul Günü</x:v>
      </x:c>
      <x:c r="E2097" s="14" t="str">
        <x:v>16:00 sonrası</x:v>
      </x:c>
      <x:c r="F2097" s="14" t="str">
        <x:v>F3 - Kaynak/MEB Tamamlama</x:v>
      </x:c>
      <x:c r="G2097" s="14" t="str">
        <x:v>20:15</x:v>
      </x:c>
      <x:c r="H2097" s="14" t="str">
        <x:v>20:50</x:v>
      </x:c>
      <x:c r="I2097" s="14" t="str">
        <x:v>Fen</x:v>
      </x:c>
      <x:c r="J2097" s="14" t="str">
        <x:v>Konu / Tekrar</x:v>
      </x:c>
      <x:c r="K2097" s="14" t="str">
        <x:v>Elektrik Enerjisinin Dönüşümü</x:v>
      </x:c>
      <x:c r="L2097" s="14" t="str">
        <x:v>Elektrik Enerjisinin Dönüşümü — Fen konu anlatım playlistinden ilgili videoyu izle.</x:v>
      </x:c>
      <x:c r="M2097" s="14" t="str">
        <x:v>Fen Konu Anlatım</x:v>
      </x:c>
      <x:c r="N2097" s="14" t="str">
        <x:v>https://www.youtube.com/watch?v=AHdk01aR4Ko&amp;list=PLrQm7mt99FRV_Oe9xFavWzFpCIl7_XiWj</x:v>
      </x:c>
      <x:c r="O2097" s="14" t="n">
        <x:v>0</x:v>
      </x:c>
      <x:c r="P2097" s="14" t="str">
        <x:v>Hayır</x:v>
      </x:c>
      <x:c r="Q2097" s="14" t="str">
        <x:v>Evet</x:v>
      </x:c>
      <x:c r="R2097" s="14" t="str">
        <x:v>Planlandı</x:v>
      </x:c>
      <x:c r="S2097" s="15" t="str"/>
      <x:c r="T2097" s="14" t="str"/>
    </x:row>
    <x:row r="2098">
      <x:c r="A2098" s="14" t="n">
        <x:v>2097</x:v>
      </x:c>
      <x:c r="B2098" s="15" t="n">
        <x:v>46464</x:v>
      </x:c>
      <x:c r="C2098" s="14" t="str">
        <x:v>Perşembe</x:v>
      </x:c>
      <x:c r="D2098" s="14" t="str">
        <x:v>Okul Günü</x:v>
      </x:c>
      <x:c r="E2098" s="14" t="str">
        <x:v>16:00 sonrası</x:v>
      </x:c>
      <x:c r="F2098" s="14" t="str">
        <x:v>F3 - Kaynak/MEB Tamamlama</x:v>
      </x:c>
      <x:c r="G2098" s="14" t="str">
        <x:v>20:55</x:v>
      </x:c>
      <x:c r="H2098" s="14" t="str">
        <x:v>21:20</x:v>
      </x:c>
      <x:c r="I2098" s="14" t="str">
        <x:v>Fen</x:v>
      </x:c>
      <x:c r="J2098" s="14" t="str">
        <x:v>Kitap / MEB / Mastery</x:v>
      </x:c>
      <x:c r="K2098" s="14" t="str">
        <x:v>Elektrik Enerjisinin Dönüşümü</x:v>
      </x:c>
      <x:c r="L2098" s="14" t="str">
        <x:v>Elektrik Enerjisinin Dönüşümü ile ilgili soru kitabından en az 20 soru / bugünkü test payını çöz.</x:v>
      </x:c>
      <x:c r="M2098" s="14" t="str">
        <x:v>Hız 8. Sınıf Fen (ISBN 9786257514859); tamamlandıysa Mozaik 8. Sınıf Fen</x:v>
      </x:c>
      <x:c r="N2098" s="14" t="str">
        <x:v>https://www.youtube.com/watch?v=AHdk01aR4Ko&amp;list=PLrQm7mt99FRV_Oe9xFavWzFpCIl7_XiWj</x:v>
      </x:c>
      <x:c r="O2098" s="14" t="n">
        <x:v>20</x:v>
      </x:c>
      <x:c r="P2098" s="14" t="str">
        <x:v>Hayır</x:v>
      </x:c>
      <x:c r="Q2098" s="14" t="str">
        <x:v>Evet</x:v>
      </x:c>
      <x:c r="R2098" s="14" t="str">
        <x:v>Planlandı</x:v>
      </x:c>
      <x:c r="S2098" s="15" t="str"/>
      <x:c r="T2098" s="14" t="str"/>
    </x:row>
    <x:row r="2099">
      <x:c r="A2099" s="14" t="n">
        <x:v>2098</x:v>
      </x:c>
      <x:c r="B2099" s="15" t="n">
        <x:v>46464</x:v>
      </x:c>
      <x:c r="C2099" s="14" t="str">
        <x:v>Perşembe</x:v>
      </x:c>
      <x:c r="D2099" s="14" t="str">
        <x:v>Okul Günü</x:v>
      </x:c>
      <x:c r="E2099" s="14" t="str">
        <x:v>16:00 sonrası</x:v>
      </x:c>
      <x:c r="F2099" s="14" t="str">
        <x:v>F3 - Kaynak/MEB Tamamlama</x:v>
      </x:c>
      <x:c r="G2099" s="14" t="str">
        <x:v>21:20</x:v>
      </x:c>
      <x:c r="H2099" s="14" t="str">
        <x:v>21:35</x:v>
      </x:c>
      <x:c r="I2099" s="14" t="str">
        <x:v>Genel</x:v>
      </x:c>
      <x:c r="J2099" s="14" t="str">
        <x:v>Yanlış / Boş Analizi</x:v>
      </x:c>
      <x:c r="K2099" s="14" t="str">
        <x:v>Günlük</x:v>
      </x:c>
      <x:c r="L2099" s="14" t="str">
        <x:v>Bugünkü yanlış/boşları kaydet; çözümünü öğrenmeden kapatma. Hata türünü sınıflandır.</x:v>
      </x:c>
      <x:c r="M2099" s="14" t="str">
        <x:v>Yanlış Defteri</x:v>
      </x:c>
      <x:c r="N2099" s="14" t="str"/>
      <x:c r="O2099" s="14" t="n">
        <x:v>0</x:v>
      </x:c>
      <x:c r="P2099" s="14" t="str">
        <x:v>Hayır</x:v>
      </x:c>
      <x:c r="Q2099" s="14" t="str">
        <x:v>Evet</x:v>
      </x:c>
      <x:c r="R2099" s="14" t="str">
        <x:v>Planlandı</x:v>
      </x:c>
      <x:c r="S2099" s="15" t="str"/>
      <x:c r="T2099" s="14" t="str"/>
    </x:row>
    <x:row r="2100">
      <x:c r="A2100" s="14" t="n">
        <x:v>2099</x:v>
      </x:c>
      <x:c r="B2100" s="15" t="n">
        <x:v>46464</x:v>
      </x:c>
      <x:c r="C2100" s="14" t="str">
        <x:v>Perşembe</x:v>
      </x:c>
      <x:c r="D2100" s="14" t="str">
        <x:v>Okul Günü</x:v>
      </x:c>
      <x:c r="E2100" s="14" t="str">
        <x:v>16:00 sonrası</x:v>
      </x:c>
      <x:c r="F2100" s="14" t="str">
        <x:v>F3 - Kaynak/MEB Tamamlama</x:v>
      </x:c>
      <x:c r="G2100" s="14" t="str">
        <x:v>21:35</x:v>
      </x:c>
      <x:c r="H2100" s="14" t="str">
        <x:v>21:50</x:v>
      </x:c>
      <x:c r="I2100" s="14" t="str">
        <x:v>Genel</x:v>
      </x:c>
      <x:c r="J2100" s="14" t="str">
        <x:v>Aralıklı Hata Tekrarı</x:v>
      </x:c>
      <x:c r="K2100" s="14" t="str">
        <x:v>+1 / +7 / +21</x:v>
      </x:c>
      <x:c r="L2100" s="14" t="str">
        <x:v>Bugün vadesi gelen yanlış soruları tekrar çöz. Vadesi yoksa bu süre serbest/okuma olabilir.</x:v>
      </x:c>
      <x:c r="M2100" s="14" t="str">
        <x:v>Yanlış Defteri</x:v>
      </x:c>
      <x:c r="N2100" s="14" t="str"/>
      <x:c r="O2100" s="14" t="n">
        <x:v>0</x:v>
      </x:c>
      <x:c r="P2100" s="14" t="str">
        <x:v>Hayır</x:v>
      </x:c>
      <x:c r="Q2100" s="14" t="str">
        <x:v>Koşullu</x:v>
      </x:c>
      <x:c r="R2100" s="14" t="str">
        <x:v>Planlandı</x:v>
      </x:c>
      <x:c r="S2100" s="15" t="str"/>
      <x:c r="T2100" s="14" t="str">
        <x:v>Yanlışlar +1, +7 ve +21 gün aralıklarıyla tekrar edilir; hâlâ yanlışsa konu mastery durumu düşürülür.</x:v>
      </x:c>
    </x:row>
    <x:row r="2101">
      <x:c r="A2101" s="14" t="n">
        <x:v>2100</x:v>
      </x:c>
      <x:c r="B2101" s="15" t="n">
        <x:v>46464</x:v>
      </x:c>
      <x:c r="C2101" s="14" t="str">
        <x:v>Perşembe</x:v>
      </x:c>
      <x:c r="D2101" s="14" t="str">
        <x:v>Okul Günü</x:v>
      </x:c>
      <x:c r="E2101" s="14" t="str">
        <x:v>16:00 sonrası</x:v>
      </x:c>
      <x:c r="F2101" s="14" t="str">
        <x:v>F3 - Kaynak/MEB Tamamlama</x:v>
      </x:c>
      <x:c r="G2101" s="14" t="str">
        <x:v>21:50</x:v>
      </x:c>
      <x:c r="H2101" s="14" t="str">
        <x:v>22:00</x:v>
      </x:c>
      <x:c r="I2101" s="14" t="str">
        <x:v>Genel</x:v>
      </x:c>
      <x:c r="J2101" s="14" t="str">
        <x:v>Uyku Hazırlığı</x:v>
      </x:c>
      <x:c r="K2101" s="14" t="str"/>
      <x:c r="L2101" s="14" t="str">
        <x:v>22:00'de yatakta ve uyku.</x:v>
      </x:c>
      <x:c r="M2101" s="14" t="str"/>
      <x:c r="N2101" s="14" t="str"/>
      <x:c r="O2101" s="14" t="n">
        <x:v>0</x:v>
      </x:c>
      <x:c r="P2101" s="14" t="str">
        <x:v>Hayır</x:v>
      </x:c>
      <x:c r="Q2101" s="14" t="str">
        <x:v>Hayır</x:v>
      </x:c>
      <x:c r="R2101" s="14" t="str">
        <x:v>Planlandı</x:v>
      </x:c>
      <x:c r="S2101" s="15" t="str"/>
      <x:c r="T2101" s="14" t="str"/>
    </x:row>
    <x:row r="2102">
      <x:c r="A2102" s="14" t="n">
        <x:v>2101</x:v>
      </x:c>
      <x:c r="B2102" s="15" t="n">
        <x:v>46465</x:v>
      </x:c>
      <x:c r="C2102" s="14" t="str">
        <x:v>Cuma</x:v>
      </x:c>
      <x:c r="D2102" s="14" t="str">
        <x:v>Okul Günü</x:v>
      </x:c>
      <x:c r="E2102" s="14" t="str">
        <x:v>16:00 sonrası</x:v>
      </x:c>
      <x:c r="F2102" s="14" t="str">
        <x:v>F3 - Kaynak/MEB Tamamlama</x:v>
      </x:c>
      <x:c r="G2102" s="14" t="str">
        <x:v>16:00</x:v>
      </x:c>
      <x:c r="H2102" s="14" t="str">
        <x:v>16:25</x:v>
      </x:c>
      <x:c r="I2102" s="14" t="str">
        <x:v>Genel</x:v>
      </x:c>
      <x:c r="J2102" s="14" t="str">
        <x:v>Dinlenme</x:v>
      </x:c>
      <x:c r="K2102" s="14" t="str"/>
      <x:c r="L2102" s="14" t="str">
        <x:v>Eve geliş, atıştırma ve dinlenme.</x:v>
      </x:c>
      <x:c r="M2102" s="14" t="str"/>
      <x:c r="N2102" s="14" t="str"/>
      <x:c r="O2102" s="14" t="n">
        <x:v>0</x:v>
      </x:c>
      <x:c r="P2102" s="14" t="str">
        <x:v>Hayır</x:v>
      </x:c>
      <x:c r="Q2102" s="14" t="str">
        <x:v>Hayır</x:v>
      </x:c>
      <x:c r="R2102" s="14" t="str">
        <x:v>Planlandı</x:v>
      </x:c>
      <x:c r="S2102" s="15" t="str"/>
      <x:c r="T2102" s="14" t="str"/>
    </x:row>
    <x:row r="2103">
      <x:c r="A2103" s="14" t="n">
        <x:v>2102</x:v>
      </x:c>
      <x:c r="B2103" s="15" t="n">
        <x:v>46465</x:v>
      </x:c>
      <x:c r="C2103" s="14" t="str">
        <x:v>Cuma</x:v>
      </x:c>
      <x:c r="D2103" s="14" t="str">
        <x:v>Okul Günü</x:v>
      </x:c>
      <x:c r="E2103" s="14" t="str">
        <x:v>16:00 sonrası</x:v>
      </x:c>
      <x:c r="F2103" s="14" t="str">
        <x:v>F3 - Kaynak/MEB Tamamlama</x:v>
      </x:c>
      <x:c r="G2103" s="14" t="str">
        <x:v>16:25</x:v>
      </x:c>
      <x:c r="H2103" s="14" t="str">
        <x:v>17:05</x:v>
      </x:c>
      <x:c r="I2103" s="14" t="str">
        <x:v>Matematik</x:v>
      </x:c>
      <x:c r="J2103" s="14" t="str">
        <x:v>Konu / Tekrar</x:v>
      </x:c>
      <x:c r="K2103" s="14" t="str">
        <x:v>Kaynak Tamamlama / Zayıf Konu</x:v>
      </x:c>
      <x:c r="L2103" s="14" t="str">
        <x:v>Yeni konu açma. En zayıf/açık konunun ilgili playlist videosunu yalnız gerekiyorsa tekrar izle.</x:v>
      </x:c>
      <x:c r="M2103" s="14" t="str">
        <x:v>Matematik Ana Oynatma Listesi</x:v>
      </x:c>
      <x:c r="N2103" s="14" t="str">
        <x:v>https://www.youtube.com/watch?v=EuJ89QzqrAg&amp;list=PLicNtF7vp6fnfDqrRLH6H7fIbzYT4ct4F&amp;index=11</x:v>
      </x:c>
      <x:c r="O2103" s="14" t="n">
        <x:v>0</x:v>
      </x:c>
      <x:c r="P2103" s="14" t="str">
        <x:v>Hayır</x:v>
      </x:c>
      <x:c r="Q2103" s="14" t="str">
        <x:v>Evet</x:v>
      </x:c>
      <x:c r="R2103" s="14" t="str">
        <x:v>Planlandı</x:v>
      </x:c>
      <x:c r="S2103" s="15" t="str"/>
      <x:c r="T2103" s="14" t="str">
        <x:v>Yeni konu ancak plan sırasıyla açılır; LGS dışı ileri TYT içeriği zorunlu değildir.</x:v>
      </x:c>
    </x:row>
    <x:row r="2104">
      <x:c r="A2104" s="14" t="n">
        <x:v>2103</x:v>
      </x:c>
      <x:c r="B2104" s="15" t="n">
        <x:v>46465</x:v>
      </x:c>
      <x:c r="C2104" s="14" t="str">
        <x:v>Cuma</x:v>
      </x:c>
      <x:c r="D2104" s="14" t="str">
        <x:v>Okul Günü</x:v>
      </x:c>
      <x:c r="E2104" s="14" t="str">
        <x:v>16:00 sonrası</x:v>
      </x:c>
      <x:c r="F2104" s="14" t="str">
        <x:v>F3 - Kaynak/MEB Tamamlama</x:v>
      </x:c>
      <x:c r="G2104" s="14" t="str">
        <x:v>17:10</x:v>
      </x:c>
      <x:c r="H2104" s="14" t="str">
        <x:v>17:55</x:v>
      </x:c>
      <x:c r="I2104" s="14" t="str">
        <x:v>Matematik</x:v>
      </x:c>
      <x:c r="J2104" s="14" t="str">
        <x:v>Kitap / MEB / Mastery</x:v>
      </x:c>
      <x:c r="K2104" s="14" t="str">
        <x:v>Kaynak Tamamlama / Zayıf Konu</x:v>
      </x:c>
      <x:c r="L2104" s="14" t="str">
        <x:v>13 Nisan %100 tamamlama hedefine göre en geride kalan Matematik soru kaynağını/eksik MEB setini ilerlet; açık yanlışları kapat.</x:v>
      </x:c>
      <x:c r="M2104" s="14" t="str">
        <x:v>MUBA 8. Sınıf Başlangıç Matematik (ISBN 9789756526972) → tamamlandıysa Mozaik 8. Sınıf Matematik; açık MEB/yanlışlar</x:v>
      </x:c>
      <x:c r="N2104" s="14" t="str">
        <x:v>https://odsgm.meb.gov.tr/www/8sinif-calisma-sorulari/icerik/1632</x:v>
      </x:c>
      <x:c r="O2104" s="14" t="n">
        <x:v>30</x:v>
      </x:c>
      <x:c r="P2104" s="14" t="str">
        <x:v>İlk 20 soru</x:v>
      </x:c>
      <x:c r="Q2104" s="14" t="str">
        <x:v>Evet</x:v>
      </x:c>
      <x:c r="R2104" s="14" t="str">
        <x:v>Planlandı</x:v>
      </x:c>
      <x:c r="S2104" s="15" t="str"/>
      <x:c r="T2104" s="14" t="str">
        <x:v>Ayrı/rastgele matematik benchmark yoktur. Süreli ilk 20 soru o gün çalışılan konunun içindedir.</x:v>
      </x:c>
    </x:row>
    <x:row r="2105">
      <x:c r="A2105" s="14" t="n">
        <x:v>2104</x:v>
      </x:c>
      <x:c r="B2105" s="15" t="n">
        <x:v>46465</x:v>
      </x:c>
      <x:c r="C2105" s="14" t="str">
        <x:v>Cuma</x:v>
      </x:c>
      <x:c r="D2105" s="14" t="str">
        <x:v>Okul Günü</x:v>
      </x:c>
      <x:c r="E2105" s="14" t="str">
        <x:v>16:00 sonrası</x:v>
      </x:c>
      <x:c r="F2105" s="14" t="str">
        <x:v>F3 - Kaynak/MEB Tamamlama</x:v>
      </x:c>
      <x:c r="G2105" s="14" t="str">
        <x:v>17:55</x:v>
      </x:c>
      <x:c r="H2105" s="14" t="str">
        <x:v>18:25</x:v>
      </x:c>
      <x:c r="I2105" s="14" t="str">
        <x:v>Genel</x:v>
      </x:c>
      <x:c r="J2105" s="14" t="str">
        <x:v>Yemek / Serbest Zaman</x:v>
      </x:c>
      <x:c r="K2105" s="14" t="str"/>
      <x:c r="L2105" s="14" t="str">
        <x:v>Yemek, hareket ve dinlenme.</x:v>
      </x:c>
      <x:c r="M2105" s="14" t="str"/>
      <x:c r="N2105" s="14" t="str"/>
      <x:c r="O2105" s="14" t="n">
        <x:v>0</x:v>
      </x:c>
      <x:c r="P2105" s="14" t="str">
        <x:v>Hayır</x:v>
      </x:c>
      <x:c r="Q2105" s="14" t="str">
        <x:v>Hayır</x:v>
      </x:c>
      <x:c r="R2105" s="14" t="str">
        <x:v>Planlandı</x:v>
      </x:c>
      <x:c r="S2105" s="15" t="str"/>
      <x:c r="T2105" s="14" t="str"/>
    </x:row>
    <x:row r="2106">
      <x:c r="A2106" s="14" t="n">
        <x:v>2105</x:v>
      </x:c>
      <x:c r="B2106" s="15" t="n">
        <x:v>46465</x:v>
      </x:c>
      <x:c r="C2106" s="14" t="str">
        <x:v>Cuma</x:v>
      </x:c>
      <x:c r="D2106" s="14" t="str">
        <x:v>Okul Günü</x:v>
      </x:c>
      <x:c r="E2106" s="14" t="str">
        <x:v>16:00 sonrası</x:v>
      </x:c>
      <x:c r="F2106" s="14" t="str">
        <x:v>F3 - Kaynak/MEB Tamamlama</x:v>
      </x:c>
      <x:c r="G2106" s="14" t="str">
        <x:v>18:25</x:v>
      </x:c>
      <x:c r="H2106" s="14" t="str">
        <x:v>18:55</x:v>
      </x:c>
      <x:c r="I2106" s="14" t="str">
        <x:v>Türkçe</x:v>
      </x:c>
      <x:c r="J2106" s="14" t="str">
        <x:v>Paragraf Rutini</x:v>
      </x:c>
      <x:c r="K2106" s="14" t="str">
        <x:v>Paragraf</x:v>
      </x:c>
      <x:c r="L2106" s="14" t="str">
        <x:v>En az 30 paragraf sorusu çöz; ilk 20 soruyu ileri sayımla ölç, D/Y/B + süre kaydet.</x:v>
      </x:c>
      <x:c r="M2106" s="14" t="str">
        <x:v>Hız 8. Sınıf Türkçe Paragraf (ISBN 9786258394498)</x:v>
      </x:c>
      <x:c r="N2106" s="14" t="str"/>
      <x:c r="O2106" s="14" t="n">
        <x:v>30</x:v>
      </x:c>
      <x:c r="P2106" s="14" t="str">
        <x:v>İlk 20 soru</x:v>
      </x:c>
      <x:c r="Q2106" s="14" t="str">
        <x:v>Evet</x:v>
      </x:c>
      <x:c r="R2106" s="14" t="str">
        <x:v>Planlandı</x:v>
      </x:c>
      <x:c r="S2106" s="15" t="str"/>
      <x:c r="T2106" s="14" t="str">
        <x:v>Geri sayım ve hedef süre yok.</x:v>
      </x:c>
    </x:row>
    <x:row r="2107">
      <x:c r="A2107" s="14" t="n">
        <x:v>2106</x:v>
      </x:c>
      <x:c r="B2107" s="15" t="n">
        <x:v>46465</x:v>
      </x:c>
      <x:c r="C2107" s="14" t="str">
        <x:v>Cuma</x:v>
      </x:c>
      <x:c r="D2107" s="14" t="str">
        <x:v>Okul Günü</x:v>
      </x:c>
      <x:c r="E2107" s="14" t="str">
        <x:v>16:00 sonrası</x:v>
      </x:c>
      <x:c r="F2107" s="14" t="str">
        <x:v>F3 - Kaynak/MEB Tamamlama</x:v>
      </x:c>
      <x:c r="G2107" s="14" t="str">
        <x:v>19:00</x:v>
      </x:c>
      <x:c r="H2107" s="14" t="str">
        <x:v>19:35</x:v>
      </x:c>
      <x:c r="I2107" s="14" t="str">
        <x:v>Türkçe</x:v>
      </x:c>
      <x:c r="J2107" s="14" t="str">
        <x:v>Konu / Tekrar</x:v>
      </x:c>
      <x:c r="K2107" s="14" t="str">
        <x:v>Kaynak Tamamlama / Zayıf Konu</x:v>
      </x:c>
      <x:c r="L2107" s="14" t="str">
        <x:v>Yeni konu açma. En zayıf/açık konunun ilgili playlist videosunu yalnız gerekiyorsa tekrar izle.</x:v>
      </x:c>
      <x:c r="M2107" s="14" t="str">
        <x:v>Türkçe Ana Oynatma Listesi</x:v>
      </x:c>
      <x:c r="N2107" s="14" t="str">
        <x:v>https://www.youtube.com/watch?v=VYsPntNKVdw&amp;list=PLIBjFaUoJJ91bz7QQEBlxNJNZka5YQRr6</x:v>
      </x:c>
      <x:c r="O2107" s="14" t="n">
        <x:v>0</x:v>
      </x:c>
      <x:c r="P2107" s="14" t="str">
        <x:v>Hayır</x:v>
      </x:c>
      <x:c r="Q2107" s="14" t="str">
        <x:v>Evet</x:v>
      </x:c>
      <x:c r="R2107" s="14" t="str">
        <x:v>Planlandı</x:v>
      </x:c>
      <x:c r="S2107" s="15" t="str"/>
      <x:c r="T2107" s="14" t="str">
        <x:v>TYT etiketli kaynak temelden başlamak için sabittir; LGS dışı gereksiz ayrıntı zorunlu değildir.</x:v>
      </x:c>
    </x:row>
    <x:row r="2108">
      <x:c r="A2108" s="14" t="n">
        <x:v>2107</x:v>
      </x:c>
      <x:c r="B2108" s="15" t="n">
        <x:v>46465</x:v>
      </x:c>
      <x:c r="C2108" s="14" t="str">
        <x:v>Cuma</x:v>
      </x:c>
      <x:c r="D2108" s="14" t="str">
        <x:v>Okul Günü</x:v>
      </x:c>
      <x:c r="E2108" s="14" t="str">
        <x:v>16:00 sonrası</x:v>
      </x:c>
      <x:c r="F2108" s="14" t="str">
        <x:v>F3 - Kaynak/MEB Tamamlama</x:v>
      </x:c>
      <x:c r="G2108" s="14" t="str">
        <x:v>19:40</x:v>
      </x:c>
      <x:c r="H2108" s="14" t="str">
        <x:v>20:10</x:v>
      </x:c>
      <x:c r="I2108" s="14" t="str">
        <x:v>Türkçe</x:v>
      </x:c>
      <x:c r="J2108" s="14" t="str">
        <x:v>Kitap / MEB / Mastery</x:v>
      </x:c>
      <x:c r="K2108" s="14" t="str">
        <x:v>Kaynak Tamamlama / Zayıf Konu</x:v>
      </x:c>
      <x:c r="L2108" s="14" t="str">
        <x:v>13 Nisan %100 tamamlama hedefine göre en geride kalan Türkçe soru kaynağını/eksik MEB setini ilerlet; açık yanlışları kapat.</x:v>
      </x:c>
      <x:c r="M2108" s="14" t="str">
        <x:v>Ankara 8. Sınıf Dil Bilgisi Güçlendiren + açık MEB/yanlışlar</x:v>
      </x:c>
      <x:c r="N2108" s="14" t="str">
        <x:v>https://odsgm.meb.gov.tr/www/8sinif-calisma-sorulari/icerik/1632</x:v>
      </x:c>
      <x:c r="O2108" s="14" t="n">
        <x:v>20</x:v>
      </x:c>
      <x:c r="P2108" s="14" t="str">
        <x:v>Hayır</x:v>
      </x:c>
      <x:c r="Q2108" s="14" t="str">
        <x:v>Evet</x:v>
      </x:c>
      <x:c r="R2108" s="14" t="str">
        <x:v>Planlandı</x:v>
      </x:c>
      <x:c r="S2108" s="15" t="str"/>
      <x:c r="T2108" s="14" t="str"/>
    </x:row>
    <x:row r="2109">
      <x:c r="A2109" s="14" t="n">
        <x:v>2108</x:v>
      </x:c>
      <x:c r="B2109" s="15" t="n">
        <x:v>46465</x:v>
      </x:c>
      <x:c r="C2109" s="14" t="str">
        <x:v>Cuma</x:v>
      </x:c>
      <x:c r="D2109" s="14" t="str">
        <x:v>Okul Günü</x:v>
      </x:c>
      <x:c r="E2109" s="14" t="str">
        <x:v>16:00 sonrası</x:v>
      </x:c>
      <x:c r="F2109" s="14" t="str">
        <x:v>F3 - Kaynak/MEB Tamamlama</x:v>
      </x:c>
      <x:c r="G2109" s="14" t="str">
        <x:v>20:15</x:v>
      </x:c>
      <x:c r="H2109" s="14" t="str">
        <x:v>20:50</x:v>
      </x:c>
      <x:c r="I2109" s="14" t="str">
        <x:v>Din</x:v>
      </x:c>
      <x:c r="J2109" s="14" t="str">
        <x:v>Konu / Tekrar</x:v>
      </x:c>
      <x:c r="K2109" s="14" t="str">
        <x:v>Kaynak Tamamlama / Zayıf Konu</x:v>
      </x:c>
      <x:c r="L2109" s="14" t="str">
        <x:v>Yeni konu açma. En zayıf/açık konunun ilgili playlist videosunu yalnız gerekiyorsa tekrar izle.</x:v>
      </x:c>
      <x:c r="M2109" s="14" t="str">
        <x:v>Din Genel Oynatma Listesi</x:v>
      </x:c>
      <x:c r="N2109" s="14" t="str">
        <x:v>https://www.youtube.com/watch?v=wvdOE_75VnA&amp;list=PLbRoPq-Zu-SWXGUbVt4t4UWo-4VjsMUo-&amp;index=2</x:v>
      </x:c>
      <x:c r="O2109" s="14" t="n">
        <x:v>0</x:v>
      </x:c>
      <x:c r="P2109" s="14" t="str">
        <x:v>Hayır</x:v>
      </x:c>
      <x:c r="Q2109" s="14" t="str">
        <x:v>Evet</x:v>
      </x:c>
      <x:c r="R2109" s="14" t="str">
        <x:v>Planlandı</x:v>
      </x:c>
      <x:c r="S2109" s="15" t="str"/>
      <x:c r="T2109" s="14" t="str"/>
    </x:row>
    <x:row r="2110">
      <x:c r="A2110" s="14" t="n">
        <x:v>2109</x:v>
      </x:c>
      <x:c r="B2110" s="15" t="n">
        <x:v>46465</x:v>
      </x:c>
      <x:c r="C2110" s="14" t="str">
        <x:v>Cuma</x:v>
      </x:c>
      <x:c r="D2110" s="14" t="str">
        <x:v>Okul Günü</x:v>
      </x:c>
      <x:c r="E2110" s="14" t="str">
        <x:v>16:00 sonrası</x:v>
      </x:c>
      <x:c r="F2110" s="14" t="str">
        <x:v>F3 - Kaynak/MEB Tamamlama</x:v>
      </x:c>
      <x:c r="G2110" s="14" t="str">
        <x:v>20:55</x:v>
      </x:c>
      <x:c r="H2110" s="14" t="str">
        <x:v>21:20</x:v>
      </x:c>
      <x:c r="I2110" s="14" t="str">
        <x:v>Din</x:v>
      </x:c>
      <x:c r="J2110" s="14" t="str">
        <x:v>Kitap / MEB / Mastery</x:v>
      </x:c>
      <x:c r="K2110" s="14" t="str">
        <x:v>Kaynak Tamamlama / Zayıf Konu</x:v>
      </x:c>
      <x:c r="L2110" s="14" t="str">
        <x:v>13 Nisan %100 tamamlama hedefine göre en geride kalan Din soru kaynağını/eksik MEB setini ilerlet; açık yanlışları kapat.</x:v>
      </x:c>
      <x:c r="M2110" s="14" t="str">
        <x:v>Hız 8. Sınıf Din Kültürü ve Ahlak Bilgisi + açık MEB/yanlışlar</x:v>
      </x:c>
      <x:c r="N2110" s="14" t="str">
        <x:v>https://odsgm.meb.gov.tr/www/8sinif-calisma-sorulari/icerik/1632</x:v>
      </x:c>
      <x:c r="O2110" s="14" t="n">
        <x:v>20</x:v>
      </x:c>
      <x:c r="P2110" s="14" t="str">
        <x:v>Hayır</x:v>
      </x:c>
      <x:c r="Q2110" s="14" t="str">
        <x:v>Evet</x:v>
      </x:c>
      <x:c r="R2110" s="14" t="str">
        <x:v>Planlandı</x:v>
      </x:c>
      <x:c r="S2110" s="15" t="str"/>
      <x:c r="T2110" s="14" t="str"/>
    </x:row>
    <x:row r="2111">
      <x:c r="A2111" s="14" t="n">
        <x:v>2110</x:v>
      </x:c>
      <x:c r="B2111" s="15" t="n">
        <x:v>46465</x:v>
      </x:c>
      <x:c r="C2111" s="14" t="str">
        <x:v>Cuma</x:v>
      </x:c>
      <x:c r="D2111" s="14" t="str">
        <x:v>Okul Günü</x:v>
      </x:c>
      <x:c r="E2111" s="14" t="str">
        <x:v>16:00 sonrası</x:v>
      </x:c>
      <x:c r="F2111" s="14" t="str">
        <x:v>F3 - Kaynak/MEB Tamamlama</x:v>
      </x:c>
      <x:c r="G2111" s="14" t="str">
        <x:v>21:20</x:v>
      </x:c>
      <x:c r="H2111" s="14" t="str">
        <x:v>21:35</x:v>
      </x:c>
      <x:c r="I2111" s="14" t="str">
        <x:v>Genel</x:v>
      </x:c>
      <x:c r="J2111" s="14" t="str">
        <x:v>Yanlış / Boş Analizi</x:v>
      </x:c>
      <x:c r="K2111" s="14" t="str">
        <x:v>Günlük</x:v>
      </x:c>
      <x:c r="L2111" s="14" t="str">
        <x:v>Bugünkü yanlış/boşları kaydet; çözümünü öğrenmeden kapatma. Hata türünü sınıflandır.</x:v>
      </x:c>
      <x:c r="M2111" s="14" t="str">
        <x:v>Yanlış Defteri</x:v>
      </x:c>
      <x:c r="N2111" s="14" t="str"/>
      <x:c r="O2111" s="14" t="n">
        <x:v>0</x:v>
      </x:c>
      <x:c r="P2111" s="14" t="str">
        <x:v>Hayır</x:v>
      </x:c>
      <x:c r="Q2111" s="14" t="str">
        <x:v>Evet</x:v>
      </x:c>
      <x:c r="R2111" s="14" t="str">
        <x:v>Planlandı</x:v>
      </x:c>
      <x:c r="S2111" s="15" t="str"/>
      <x:c r="T2111" s="14" t="str"/>
    </x:row>
    <x:row r="2112">
      <x:c r="A2112" s="14" t="n">
        <x:v>2111</x:v>
      </x:c>
      <x:c r="B2112" s="15" t="n">
        <x:v>46465</x:v>
      </x:c>
      <x:c r="C2112" s="14" t="str">
        <x:v>Cuma</x:v>
      </x:c>
      <x:c r="D2112" s="14" t="str">
        <x:v>Okul Günü</x:v>
      </x:c>
      <x:c r="E2112" s="14" t="str">
        <x:v>16:00 sonrası</x:v>
      </x:c>
      <x:c r="F2112" s="14" t="str">
        <x:v>F3 - Kaynak/MEB Tamamlama</x:v>
      </x:c>
      <x:c r="G2112" s="14" t="str">
        <x:v>21:35</x:v>
      </x:c>
      <x:c r="H2112" s="14" t="str">
        <x:v>21:50</x:v>
      </x:c>
      <x:c r="I2112" s="14" t="str">
        <x:v>Genel</x:v>
      </x:c>
      <x:c r="J2112" s="14" t="str">
        <x:v>Aralıklı Hata Tekrarı</x:v>
      </x:c>
      <x:c r="K2112" s="14" t="str">
        <x:v>+1 / +7 / +21</x:v>
      </x:c>
      <x:c r="L2112" s="14" t="str">
        <x:v>Bugün vadesi gelen yanlış soruları tekrar çöz. Vadesi yoksa bu süre serbest/okuma olabilir.</x:v>
      </x:c>
      <x:c r="M2112" s="14" t="str">
        <x:v>Yanlış Defteri</x:v>
      </x:c>
      <x:c r="N2112" s="14" t="str"/>
      <x:c r="O2112" s="14" t="n">
        <x:v>0</x:v>
      </x:c>
      <x:c r="P2112" s="14" t="str">
        <x:v>Hayır</x:v>
      </x:c>
      <x:c r="Q2112" s="14" t="str">
        <x:v>Koşullu</x:v>
      </x:c>
      <x:c r="R2112" s="14" t="str">
        <x:v>Planlandı</x:v>
      </x:c>
      <x:c r="S2112" s="15" t="str"/>
      <x:c r="T2112" s="14" t="str">
        <x:v>Yanlışlar +1, +7 ve +21 gün aralıklarıyla tekrar edilir; hâlâ yanlışsa konu mastery durumu düşürülür.</x:v>
      </x:c>
    </x:row>
    <x:row r="2113">
      <x:c r="A2113" s="14" t="n">
        <x:v>2112</x:v>
      </x:c>
      <x:c r="B2113" s="15" t="n">
        <x:v>46465</x:v>
      </x:c>
      <x:c r="C2113" s="14" t="str">
        <x:v>Cuma</x:v>
      </x:c>
      <x:c r="D2113" s="14" t="str">
        <x:v>Okul Günü</x:v>
      </x:c>
      <x:c r="E2113" s="14" t="str">
        <x:v>16:00 sonrası</x:v>
      </x:c>
      <x:c r="F2113" s="14" t="str">
        <x:v>F3 - Kaynak/MEB Tamamlama</x:v>
      </x:c>
      <x:c r="G2113" s="14" t="str">
        <x:v>21:50</x:v>
      </x:c>
      <x:c r="H2113" s="14" t="str">
        <x:v>22:00</x:v>
      </x:c>
      <x:c r="I2113" s="14" t="str">
        <x:v>Genel</x:v>
      </x:c>
      <x:c r="J2113" s="14" t="str">
        <x:v>Uyku Hazırlığı</x:v>
      </x:c>
      <x:c r="K2113" s="14" t="str"/>
      <x:c r="L2113" s="14" t="str">
        <x:v>22:00'de yatakta ve uyku.</x:v>
      </x:c>
      <x:c r="M2113" s="14" t="str"/>
      <x:c r="N2113" s="14" t="str"/>
      <x:c r="O2113" s="14" t="n">
        <x:v>0</x:v>
      </x:c>
      <x:c r="P2113" s="14" t="str">
        <x:v>Hayır</x:v>
      </x:c>
      <x:c r="Q2113" s="14" t="str">
        <x:v>Hayır</x:v>
      </x:c>
      <x:c r="R2113" s="14" t="str">
        <x:v>Planlandı</x:v>
      </x:c>
      <x:c r="S2113" s="15" t="str"/>
      <x:c r="T2113" s="14" t="str"/>
    </x:row>
    <x:row r="2114">
      <x:c r="A2114" s="14" t="n">
        <x:v>2113</x:v>
      </x:c>
      <x:c r="B2114" s="15" t="n">
        <x:v>46466</x:v>
      </x:c>
      <x:c r="C2114" s="14" t="str">
        <x:v>Cumartesi</x:v>
      </x:c>
      <x:c r="D2114" s="14" t="str">
        <x:v>Hafta Sonu</x:v>
      </x:c>
      <x:c r="E2114" s="14" t="str">
        <x:v>Tam gün</x:v>
      </x:c>
      <x:c r="F2114" s="14" t="str">
        <x:v>F3 - Kaynak/MEB Tamamlama</x:v>
      </x:c>
      <x:c r="G2114" s="14" t="str">
        <x:v>09:30</x:v>
      </x:c>
      <x:c r="H2114" s="14" t="str">
        <x:v>10:15</x:v>
      </x:c>
      <x:c r="I2114" s="14" t="str">
        <x:v>Matematik</x:v>
      </x:c>
      <x:c r="J2114" s="14" t="str">
        <x:v>Konu / Tekrar</x:v>
      </x:c>
      <x:c r="K2114" s="14" t="str">
        <x:v>Kaynak Tamamlama / Zayıf Konu</x:v>
      </x:c>
      <x:c r="L2114" s="14" t="str">
        <x:v>Yeni konu açma. En zayıf/açık konunun ilgili playlist videosunu yalnız gerekiyorsa tekrar izle.</x:v>
      </x:c>
      <x:c r="M2114" s="14" t="str">
        <x:v>Matematik Ana Oynatma Listesi</x:v>
      </x:c>
      <x:c r="N2114" s="14" t="str">
        <x:v>https://www.youtube.com/watch?v=EuJ89QzqrAg&amp;list=PLicNtF7vp6fnfDqrRLH6H7fIbzYT4ct4F&amp;index=11</x:v>
      </x:c>
      <x:c r="O2114" s="14" t="n">
        <x:v>0</x:v>
      </x:c>
      <x:c r="P2114" s="14" t="str">
        <x:v>Hayır</x:v>
      </x:c>
      <x:c r="Q2114" s="14" t="str">
        <x:v>Evet</x:v>
      </x:c>
      <x:c r="R2114" s="14" t="str">
        <x:v>Planlandı</x:v>
      </x:c>
      <x:c r="S2114" s="15" t="str"/>
      <x:c r="T2114" s="14" t="str">
        <x:v>Yeni konu ancak plan sırasıyla açılır; LGS dışı ileri TYT içeriği zorunlu değildir.</x:v>
      </x:c>
    </x:row>
    <x:row r="2115">
      <x:c r="A2115" s="14" t="n">
        <x:v>2114</x:v>
      </x:c>
      <x:c r="B2115" s="15" t="n">
        <x:v>46466</x:v>
      </x:c>
      <x:c r="C2115" s="14" t="str">
        <x:v>Cumartesi</x:v>
      </x:c>
      <x:c r="D2115" s="14" t="str">
        <x:v>Hafta Sonu</x:v>
      </x:c>
      <x:c r="E2115" s="14" t="str">
        <x:v>Tam gün</x:v>
      </x:c>
      <x:c r="F2115" s="14" t="str">
        <x:v>F3 - Kaynak/MEB Tamamlama</x:v>
      </x:c>
      <x:c r="G2115" s="14" t="str">
        <x:v>10:25</x:v>
      </x:c>
      <x:c r="H2115" s="14" t="str">
        <x:v>11:15</x:v>
      </x:c>
      <x:c r="I2115" s="14" t="str">
        <x:v>Matematik</x:v>
      </x:c>
      <x:c r="J2115" s="14" t="str">
        <x:v>Kitap / MEB / Mastery</x:v>
      </x:c>
      <x:c r="K2115" s="14" t="str">
        <x:v>Kaynak Tamamlama / Zayıf Konu</x:v>
      </x:c>
      <x:c r="L2115" s="14" t="str">
        <x:v>13 Nisan %100 tamamlama hedefine göre en geride kalan Matematik soru kaynağını/eksik MEB setini ilerlet; açık yanlışları kapat.</x:v>
      </x:c>
      <x:c r="M2115" s="14" t="str">
        <x:v>MUBA 8. Sınıf Başlangıç Matematik (ISBN 9789756526972) → tamamlandıysa Mozaik 8. Sınıf Matematik; açık MEB/yanlışlar</x:v>
      </x:c>
      <x:c r="N2115" s="14" t="str">
        <x:v>https://odsgm.meb.gov.tr/www/8sinif-calisma-sorulari/icerik/1632</x:v>
      </x:c>
      <x:c r="O2115" s="14" t="n">
        <x:v>30</x:v>
      </x:c>
      <x:c r="P2115" s="14" t="str">
        <x:v>İlk 20 soru</x:v>
      </x:c>
      <x:c r="Q2115" s="14" t="str">
        <x:v>Evet</x:v>
      </x:c>
      <x:c r="R2115" s="14" t="str">
        <x:v>Planlandı</x:v>
      </x:c>
      <x:c r="S2115" s="15" t="str"/>
      <x:c r="T2115" s="14" t="str">
        <x:v>Ayrı/rastgele matematik benchmark yoktur. Süreli ilk 20 soru o gün çalışılan konunun içindedir.</x:v>
      </x:c>
    </x:row>
    <x:row r="2116">
      <x:c r="A2116" s="14" t="n">
        <x:v>2115</x:v>
      </x:c>
      <x:c r="B2116" s="15" t="n">
        <x:v>46466</x:v>
      </x:c>
      <x:c r="C2116" s="14" t="str">
        <x:v>Cumartesi</x:v>
      </x:c>
      <x:c r="D2116" s="14" t="str">
        <x:v>Hafta Sonu</x:v>
      </x:c>
      <x:c r="E2116" s="14" t="str">
        <x:v>Tam gün</x:v>
      </x:c>
      <x:c r="F2116" s="14" t="str">
        <x:v>F3 - Kaynak/MEB Tamamlama</x:v>
      </x:c>
      <x:c r="G2116" s="14" t="str">
        <x:v>12:00</x:v>
      </x:c>
      <x:c r="H2116" s="14" t="str">
        <x:v>14:00</x:v>
      </x:c>
      <x:c r="I2116" s="14" t="str">
        <x:v>Genel</x:v>
      </x:c>
      <x:c r="J2116" s="14" t="str">
        <x:v>Yemek / Serbest Zaman</x:v>
      </x:c>
      <x:c r="K2116" s="14" t="str"/>
      <x:c r="L2116" s="14" t="str">
        <x:v>Yemek, hareket ve dinlenme.</x:v>
      </x:c>
      <x:c r="M2116" s="14" t="str"/>
      <x:c r="N2116" s="14" t="str"/>
      <x:c r="O2116" s="14" t="n">
        <x:v>0</x:v>
      </x:c>
      <x:c r="P2116" s="14" t="str">
        <x:v>Hayır</x:v>
      </x:c>
      <x:c r="Q2116" s="14" t="str">
        <x:v>Hayır</x:v>
      </x:c>
      <x:c r="R2116" s="14" t="str">
        <x:v>Planlandı</x:v>
      </x:c>
      <x:c r="S2116" s="15" t="str"/>
      <x:c r="T2116" s="14" t="str"/>
    </x:row>
    <x:row r="2117">
      <x:c r="A2117" s="14" t="n">
        <x:v>2116</x:v>
      </x:c>
      <x:c r="B2117" s="15" t="n">
        <x:v>46466</x:v>
      </x:c>
      <x:c r="C2117" s="14" t="str">
        <x:v>Cumartesi</x:v>
      </x:c>
      <x:c r="D2117" s="14" t="str">
        <x:v>Hafta Sonu</x:v>
      </x:c>
      <x:c r="E2117" s="14" t="str">
        <x:v>Tam gün</x:v>
      </x:c>
      <x:c r="F2117" s="14" t="str">
        <x:v>F3 - Kaynak/MEB Tamamlama</x:v>
      </x:c>
      <x:c r="G2117" s="14" t="str">
        <x:v>11:25</x:v>
      </x:c>
      <x:c r="H2117" s="14" t="str">
        <x:v>11:55</x:v>
      </x:c>
      <x:c r="I2117" s="14" t="str">
        <x:v>Türkçe</x:v>
      </x:c>
      <x:c r="J2117" s="14" t="str">
        <x:v>Paragraf Rutini</x:v>
      </x:c>
      <x:c r="K2117" s="14" t="str">
        <x:v>Paragraf</x:v>
      </x:c>
      <x:c r="L2117" s="14" t="str">
        <x:v>En az 30 paragraf sorusu çöz; ilk 20 soruyu ileri sayımla ölç, D/Y/B + süre kaydet.</x:v>
      </x:c>
      <x:c r="M2117" s="14" t="str">
        <x:v>Hız 8. Sınıf Türkçe Paragraf (ISBN 9786258394498)</x:v>
      </x:c>
      <x:c r="N2117" s="14" t="str"/>
      <x:c r="O2117" s="14" t="n">
        <x:v>30</x:v>
      </x:c>
      <x:c r="P2117" s="14" t="str">
        <x:v>İlk 20 soru</x:v>
      </x:c>
      <x:c r="Q2117" s="14" t="str">
        <x:v>Evet</x:v>
      </x:c>
      <x:c r="R2117" s="14" t="str">
        <x:v>Planlandı</x:v>
      </x:c>
      <x:c r="S2117" s="15" t="str"/>
      <x:c r="T2117" s="14" t="str">
        <x:v>Geri sayım ve hedef süre yok.</x:v>
      </x:c>
    </x:row>
    <x:row r="2118">
      <x:c r="A2118" s="14" t="n">
        <x:v>2117</x:v>
      </x:c>
      <x:c r="B2118" s="15" t="n">
        <x:v>46466</x:v>
      </x:c>
      <x:c r="C2118" s="14" t="str">
        <x:v>Cumartesi</x:v>
      </x:c>
      <x:c r="D2118" s="14" t="str">
        <x:v>Hafta Sonu</x:v>
      </x:c>
      <x:c r="E2118" s="14" t="str">
        <x:v>Tam gün</x:v>
      </x:c>
      <x:c r="F2118" s="14" t="str">
        <x:v>F3 - Kaynak/MEB Tamamlama</x:v>
      </x:c>
      <x:c r="G2118" s="14" t="str">
        <x:v>14:00</x:v>
      </x:c>
      <x:c r="H2118" s="14" t="str">
        <x:v>14:40</x:v>
      </x:c>
      <x:c r="I2118" s="14" t="str">
        <x:v>Türkçe</x:v>
      </x:c>
      <x:c r="J2118" s="14" t="str">
        <x:v>Konu / Tekrar</x:v>
      </x:c>
      <x:c r="K2118" s="14" t="str">
        <x:v>Kaynak Tamamlama / Zayıf Konu</x:v>
      </x:c>
      <x:c r="L2118" s="14" t="str">
        <x:v>Yeni konu açma. En zayıf/açık konunun ilgili playlist videosunu yalnız gerekiyorsa tekrar izle.</x:v>
      </x:c>
      <x:c r="M2118" s="14" t="str">
        <x:v>Türkçe Ana Oynatma Listesi</x:v>
      </x:c>
      <x:c r="N2118" s="14" t="str">
        <x:v>https://www.youtube.com/watch?v=VYsPntNKVdw&amp;list=PLIBjFaUoJJ91bz7QQEBlxNJNZka5YQRr6</x:v>
      </x:c>
      <x:c r="O2118" s="14" t="n">
        <x:v>0</x:v>
      </x:c>
      <x:c r="P2118" s="14" t="str">
        <x:v>Hayır</x:v>
      </x:c>
      <x:c r="Q2118" s="14" t="str">
        <x:v>Evet</x:v>
      </x:c>
      <x:c r="R2118" s="14" t="str">
        <x:v>Planlandı</x:v>
      </x:c>
      <x:c r="S2118" s="15" t="str"/>
      <x:c r="T2118" s="14" t="str">
        <x:v>TYT etiketli kaynak temelden başlamak için sabittir; LGS dışı gereksiz ayrıntı zorunlu değildir.</x:v>
      </x:c>
    </x:row>
    <x:row r="2119">
      <x:c r="A2119" s="14" t="n">
        <x:v>2118</x:v>
      </x:c>
      <x:c r="B2119" s="15" t="n">
        <x:v>46466</x:v>
      </x:c>
      <x:c r="C2119" s="14" t="str">
        <x:v>Cumartesi</x:v>
      </x:c>
      <x:c r="D2119" s="14" t="str">
        <x:v>Hafta Sonu</x:v>
      </x:c>
      <x:c r="E2119" s="14" t="str">
        <x:v>Tam gün</x:v>
      </x:c>
      <x:c r="F2119" s="14" t="str">
        <x:v>F3 - Kaynak/MEB Tamamlama</x:v>
      </x:c>
      <x:c r="G2119" s="14" t="str">
        <x:v>14:50</x:v>
      </x:c>
      <x:c r="H2119" s="14" t="str">
        <x:v>15:30</x:v>
      </x:c>
      <x:c r="I2119" s="14" t="str">
        <x:v>Türkçe</x:v>
      </x:c>
      <x:c r="J2119" s="14" t="str">
        <x:v>Kitap / MEB / Mastery</x:v>
      </x:c>
      <x:c r="K2119" s="14" t="str">
        <x:v>Kaynak Tamamlama / Zayıf Konu</x:v>
      </x:c>
      <x:c r="L2119" s="14" t="str">
        <x:v>13 Nisan %100 tamamlama hedefine göre en geride kalan Türkçe soru kaynağını/eksik MEB setini ilerlet; açık yanlışları kapat.</x:v>
      </x:c>
      <x:c r="M2119" s="14" t="str">
        <x:v>Ankara 8. Sınıf Dil Bilgisi Güçlendiren + açık MEB/yanlışlar</x:v>
      </x:c>
      <x:c r="N2119" s="14" t="str">
        <x:v>https://odsgm.meb.gov.tr/www/8sinif-calisma-sorulari/icerik/1632</x:v>
      </x:c>
      <x:c r="O2119" s="14" t="n">
        <x:v>20</x:v>
      </x:c>
      <x:c r="P2119" s="14" t="str">
        <x:v>Hayır</x:v>
      </x:c>
      <x:c r="Q2119" s="14" t="str">
        <x:v>Evet</x:v>
      </x:c>
      <x:c r="R2119" s="14" t="str">
        <x:v>Planlandı</x:v>
      </x:c>
      <x:c r="S2119" s="15" t="str"/>
      <x:c r="T2119" s="14" t="str"/>
    </x:row>
    <x:row r="2120">
      <x:c r="A2120" s="14" t="n">
        <x:v>2119</x:v>
      </x:c>
      <x:c r="B2120" s="15" t="n">
        <x:v>46466</x:v>
      </x:c>
      <x:c r="C2120" s="14" t="str">
        <x:v>Cumartesi</x:v>
      </x:c>
      <x:c r="D2120" s="14" t="str">
        <x:v>Hafta Sonu</x:v>
      </x:c>
      <x:c r="E2120" s="14" t="str">
        <x:v>Tam gün</x:v>
      </x:c>
      <x:c r="F2120" s="14" t="str">
        <x:v>F3 - Kaynak/MEB Tamamlama</x:v>
      </x:c>
      <x:c r="G2120" s="14" t="str">
        <x:v>15:45</x:v>
      </x:c>
      <x:c r="H2120" s="14" t="str">
        <x:v>16:25</x:v>
      </x:c>
      <x:c r="I2120" s="14" t="str">
        <x:v>İnkılap</x:v>
      </x:c>
      <x:c r="J2120" s="14" t="str">
        <x:v>Konu / Tekrar</x:v>
      </x:c>
      <x:c r="K2120" s="14" t="str">
        <x:v>Kaynak Tamamlama / Zayıf Konu</x:v>
      </x:c>
      <x:c r="L2120" s="14" t="str">
        <x:v>Yeni konu açma. En zayıf/açık konunun ilgili playlist videosunu yalnız gerekiyorsa tekrar izle.</x:v>
      </x:c>
      <x:c r="M2120" s="14" t="str">
        <x:v>İnkılap Genel Oynatma Listesi</x:v>
      </x:c>
      <x:c r="N2120" s="14" t="str">
        <x:v>https://www.youtube.com/watch?v=MltIX0oKpYU&amp;list=PLsAsBPsriHNbXit4Ra3iuBrk1ZHZWxsOR&amp;index=78</x:v>
      </x:c>
      <x:c r="O2120" s="14" t="n">
        <x:v>0</x:v>
      </x:c>
      <x:c r="P2120" s="14" t="str">
        <x:v>Hayır</x:v>
      </x:c>
      <x:c r="Q2120" s="14" t="str">
        <x:v>Evet</x:v>
      </x:c>
      <x:c r="R2120" s="14" t="str">
        <x:v>Planlandı</x:v>
      </x:c>
      <x:c r="S2120" s="15" t="str"/>
      <x:c r="T2120" s="14" t="str">
        <x:v>İnkılapta okul yazılısı videoları zorunlu değildir.</x:v>
      </x:c>
    </x:row>
    <x:row r="2121">
      <x:c r="A2121" s="14" t="n">
        <x:v>2120</x:v>
      </x:c>
      <x:c r="B2121" s="15" t="n">
        <x:v>46466</x:v>
      </x:c>
      <x:c r="C2121" s="14" t="str">
        <x:v>Cumartesi</x:v>
      </x:c>
      <x:c r="D2121" s="14" t="str">
        <x:v>Hafta Sonu</x:v>
      </x:c>
      <x:c r="E2121" s="14" t="str">
        <x:v>Tam gün</x:v>
      </x:c>
      <x:c r="F2121" s="14" t="str">
        <x:v>F3 - Kaynak/MEB Tamamlama</x:v>
      </x:c>
      <x:c r="G2121" s="14" t="str">
        <x:v>16:35</x:v>
      </x:c>
      <x:c r="H2121" s="14" t="str">
        <x:v>17:15</x:v>
      </x:c>
      <x:c r="I2121" s="14" t="str">
        <x:v>İnkılap</x:v>
      </x:c>
      <x:c r="J2121" s="14" t="str">
        <x:v>Kitap / MEB / Mastery</x:v>
      </x:c>
      <x:c r="K2121" s="14" t="str">
        <x:v>Kaynak Tamamlama / Zayıf Konu</x:v>
      </x:c>
      <x:c r="L2121" s="14" t="str">
        <x:v>13 Nisan %100 tamamlama hedefine göre en geride kalan İnkılap soru kaynağını/eksik MEB setini ilerlet; açık yanlışları kapat.</x:v>
      </x:c>
      <x:c r="M2121" s="14" t="str">
        <x:v>Hız 8. Sınıf T.C. İnkılap Tarihi ve Atatürkçülük + açık MEB/yanlışlar</x:v>
      </x:c>
      <x:c r="N2121" s="14" t="str">
        <x:v>https://odsgm.meb.gov.tr/www/8sinif-calisma-sorulari/icerik/1632</x:v>
      </x:c>
      <x:c r="O2121" s="14" t="n">
        <x:v>20</x:v>
      </x:c>
      <x:c r="P2121" s="14" t="str">
        <x:v>Hayır</x:v>
      </x:c>
      <x:c r="Q2121" s="14" t="str">
        <x:v>Evet</x:v>
      </x:c>
      <x:c r="R2121" s="14" t="str">
        <x:v>Planlandı</x:v>
      </x:c>
      <x:c r="S2121" s="15" t="str"/>
      <x:c r="T2121" s="14" t="str"/>
    </x:row>
    <x:row r="2122">
      <x:c r="A2122" s="14" t="n">
        <x:v>2121</x:v>
      </x:c>
      <x:c r="B2122" s="15" t="n">
        <x:v>46466</x:v>
      </x:c>
      <x:c r="C2122" s="14" t="str">
        <x:v>Cumartesi</x:v>
      </x:c>
      <x:c r="D2122" s="14" t="str">
        <x:v>Hafta Sonu</x:v>
      </x:c>
      <x:c r="E2122" s="14" t="str">
        <x:v>Tam gün</x:v>
      </x:c>
      <x:c r="F2122" s="14" t="str">
        <x:v>F3 - Kaynak/MEB Tamamlama</x:v>
      </x:c>
      <x:c r="G2122" s="14" t="str">
        <x:v>17:25</x:v>
      </x:c>
      <x:c r="H2122" s="14" t="str">
        <x:v>17:55</x:v>
      </x:c>
      <x:c r="I2122" s="14" t="str">
        <x:v>Fen</x:v>
      </x:c>
      <x:c r="J2122" s="14" t="str">
        <x:v>Ek Fen Pekiştirme</x:v>
      </x:c>
      <x:c r="K2122" s="14" t="str">
        <x:v>Elektrik Enerjisinin Dönüşümü</x:v>
      </x:c>
      <x:c r="L2122" s="14" t="str">
        <x:v>Elektrik Enerjisinin Dönüşümü — Fen soru çözüm playlistinden ilgili videoyu izle.</x:v>
      </x:c>
      <x:c r="M2122" s="14" t="str">
        <x:v>Fen Konu/Soru Oynatma Listesi</x:v>
      </x:c>
      <x:c r="N2122" s="14" t="str">
        <x:v>https://www.youtube.com/watch?v=pQXhWnDZ3vM&amp;list=PLrQm7mt99FRXcBnorCttd31HJEvg0En26&amp;index=23</x:v>
      </x:c>
      <x:c r="O2122" s="14" t="n">
        <x:v>0</x:v>
      </x:c>
      <x:c r="P2122" s="14" t="str">
        <x:v>Hayır</x:v>
      </x:c>
      <x:c r="Q2122" s="14" t="str">
        <x:v>Evet</x:v>
      </x:c>
      <x:c r="R2122" s="14" t="str">
        <x:v>Planlandı</x:v>
      </x:c>
      <x:c r="S2122" s="15" t="str"/>
      <x:c r="T2122" s="14" t="str">
        <x:v>Fen haftalık temas sıklığını artırmak için ek Cumartesi oturumu.</x:v>
      </x:c>
    </x:row>
    <x:row r="2123">
      <x:c r="A2123" s="14" t="n">
        <x:v>2122</x:v>
      </x:c>
      <x:c r="B2123" s="15" t="n">
        <x:v>46466</x:v>
      </x:c>
      <x:c r="C2123" s="14" t="str">
        <x:v>Cumartesi</x:v>
      </x:c>
      <x:c r="D2123" s="14" t="str">
        <x:v>Hafta Sonu</x:v>
      </x:c>
      <x:c r="E2123" s="14" t="str">
        <x:v>Tam gün</x:v>
      </x:c>
      <x:c r="F2123" s="14" t="str">
        <x:v>F3 - Kaynak/MEB Tamamlama</x:v>
      </x:c>
      <x:c r="G2123" s="14" t="str">
        <x:v>17:55</x:v>
      </x:c>
      <x:c r="H2123" s="14" t="str">
        <x:v>18:25</x:v>
      </x:c>
      <x:c r="I2123" s="14" t="str">
        <x:v>Fen</x:v>
      </x:c>
      <x:c r="J2123" s="14" t="str">
        <x:v>Ek Fen Kitap / MEB</x:v>
      </x:c>
      <x:c r="K2123" s="14" t="str">
        <x:v>Elektrik Enerjisinin Dönüşümü</x:v>
      </x:c>
      <x:c r="L2123" s="14" t="str">
        <x:v>Elektrik Enerjisinin Dönüşümü ile ilgili soru kitabından en az 20 soru / bugünkü test payını çöz.</x:v>
      </x:c>
      <x:c r="M2123" s="14" t="str">
        <x:v>Hız 8. Sınıf Fen (ISBN 9786257514859); tamamlandıysa Mozaik 8. Sınıf Fen</x:v>
      </x:c>
      <x:c r="N2123" s="14" t="str">
        <x:v>https://www.youtube.com/watch?v=pQXhWnDZ3vM&amp;list=PLrQm7mt99FRXcBnorCttd31HJEvg0En26&amp;index=23</x:v>
      </x:c>
      <x:c r="O2123" s="14" t="n">
        <x:v>20</x:v>
      </x:c>
      <x:c r="P2123" s="14" t="str">
        <x:v>Hayır</x:v>
      </x:c>
      <x:c r="Q2123" s="14" t="str">
        <x:v>Evet</x:v>
      </x:c>
      <x:c r="R2123" s="14" t="str">
        <x:v>Planlandı</x:v>
      </x:c>
      <x:c r="S2123" s="15" t="str"/>
      <x:c r="T2123" s="14" t="str">
        <x:v>Fen için Hız → gerekiyorsa Mozaik; MEB doğrulaması konu bitiminde.</x:v>
      </x:c>
    </x:row>
    <x:row r="2124">
      <x:c r="A2124" s="14" t="n">
        <x:v>2123</x:v>
      </x:c>
      <x:c r="B2124" s="15" t="n">
        <x:v>46466</x:v>
      </x:c>
      <x:c r="C2124" s="14" t="str">
        <x:v>Cumartesi</x:v>
      </x:c>
      <x:c r="D2124" s="14" t="str">
        <x:v>Hafta Sonu</x:v>
      </x:c>
      <x:c r="E2124" s="14" t="str">
        <x:v>Tam gün</x:v>
      </x:c>
      <x:c r="F2124" s="14" t="str">
        <x:v>F3 - Kaynak/MEB Tamamlama</x:v>
      </x:c>
      <x:c r="G2124" s="14" t="str">
        <x:v>18:25</x:v>
      </x:c>
      <x:c r="H2124" s="14" t="str">
        <x:v>18:45</x:v>
      </x:c>
      <x:c r="I2124" s="14" t="str">
        <x:v>Genel</x:v>
      </x:c>
      <x:c r="J2124" s="14" t="str">
        <x:v>Yanlış / Boş Analizi</x:v>
      </x:c>
      <x:c r="K2124" s="14" t="str">
        <x:v>Günlük</x:v>
      </x:c>
      <x:c r="L2124" s="14" t="str">
        <x:v>Bugünkü yanlış/boşları kaydet; çözümünü öğrenmeden kapatma. Hata türünü sınıflandır.</x:v>
      </x:c>
      <x:c r="M2124" s="14" t="str">
        <x:v>Yanlış Defteri</x:v>
      </x:c>
      <x:c r="N2124" s="14" t="str"/>
      <x:c r="O2124" s="14" t="n">
        <x:v>0</x:v>
      </x:c>
      <x:c r="P2124" s="14" t="str">
        <x:v>Hayır</x:v>
      </x:c>
      <x:c r="Q2124" s="14" t="str">
        <x:v>Evet</x:v>
      </x:c>
      <x:c r="R2124" s="14" t="str">
        <x:v>Planlandı</x:v>
      </x:c>
      <x:c r="S2124" s="15" t="str"/>
      <x:c r="T2124" s="14" t="str"/>
    </x:row>
    <x:row r="2125">
      <x:c r="A2125" s="14" t="n">
        <x:v>2124</x:v>
      </x:c>
      <x:c r="B2125" s="15" t="n">
        <x:v>46466</x:v>
      </x:c>
      <x:c r="C2125" s="14" t="str">
        <x:v>Cumartesi</x:v>
      </x:c>
      <x:c r="D2125" s="14" t="str">
        <x:v>Hafta Sonu</x:v>
      </x:c>
      <x:c r="E2125" s="14" t="str">
        <x:v>Tam gün</x:v>
      </x:c>
      <x:c r="F2125" s="14" t="str">
        <x:v>F3 - Kaynak/MEB Tamamlama</x:v>
      </x:c>
      <x:c r="G2125" s="14" t="str">
        <x:v>18:45</x:v>
      </x:c>
      <x:c r="H2125" s="14" t="str">
        <x:v>19:05</x:v>
      </x:c>
      <x:c r="I2125" s="14" t="str">
        <x:v>Genel</x:v>
      </x:c>
      <x:c r="J2125" s="14" t="str">
        <x:v>Aralıklı Hata Tekrarı</x:v>
      </x:c>
      <x:c r="K2125" s="14" t="str">
        <x:v>+1 / +7 / +21</x:v>
      </x:c>
      <x:c r="L2125" s="14" t="str">
        <x:v>Bugün vadesi gelen yanlış soruları tekrar çöz. Vadesi yoksa bu süre serbest/okuma olabilir.</x:v>
      </x:c>
      <x:c r="M2125" s="14" t="str">
        <x:v>Yanlış Defteri</x:v>
      </x:c>
      <x:c r="N2125" s="14" t="str"/>
      <x:c r="O2125" s="14" t="n">
        <x:v>0</x:v>
      </x:c>
      <x:c r="P2125" s="14" t="str">
        <x:v>Hayır</x:v>
      </x:c>
      <x:c r="Q2125" s="14" t="str">
        <x:v>Koşullu</x:v>
      </x:c>
      <x:c r="R2125" s="14" t="str">
        <x:v>Planlandı</x:v>
      </x:c>
      <x:c r="S2125" s="15" t="str"/>
      <x:c r="T2125" s="14" t="str">
        <x:v>Yanlışlar +1, +7 ve +21 gün aralıklarıyla tekrar edilir; hâlâ yanlışsa konu mastery durumu düşürülür.</x:v>
      </x:c>
    </x:row>
    <x:row r="2126">
      <x:c r="A2126" s="14" t="n">
        <x:v>2125</x:v>
      </x:c>
      <x:c r="B2126" s="15" t="n">
        <x:v>46466</x:v>
      </x:c>
      <x:c r="C2126" s="14" t="str">
        <x:v>Cumartesi</x:v>
      </x:c>
      <x:c r="D2126" s="14" t="str">
        <x:v>Hafta Sonu</x:v>
      </x:c>
      <x:c r="E2126" s="14" t="str">
        <x:v>Tam gün</x:v>
      </x:c>
      <x:c r="F2126" s="14" t="str">
        <x:v>F3 - Kaynak/MEB Tamamlama</x:v>
      </x:c>
      <x:c r="G2126" s="14" t="str">
        <x:v>20:00</x:v>
      </x:c>
      <x:c r="H2126" s="14" t="str">
        <x:v>20:30</x:v>
      </x:c>
      <x:c r="I2126" s="14" t="str">
        <x:v>Okuma</x:v>
      </x:c>
      <x:c r="J2126" s="14" t="str">
        <x:v>İsteğe Bağlı</x:v>
      </x:c>
      <x:c r="K2126" s="14" t="str">
        <x:v>Serbest Kitap</x:v>
      </x:c>
      <x:c r="L2126" s="14" t="str">
        <x:v>Zorunlu çalışmalar bittiyse isteğe bağlı kitap oku.</x:v>
      </x:c>
      <x:c r="M2126" s="14" t="str">
        <x:v>Serbest Kitap</x:v>
      </x:c>
      <x:c r="N2126" s="14" t="str"/>
      <x:c r="O2126" s="14" t="n">
        <x:v>0</x:v>
      </x:c>
      <x:c r="P2126" s="14" t="str">
        <x:v>İsteğe Bağlı</x:v>
      </x:c>
      <x:c r="Q2126" s="14" t="str">
        <x:v>Hayır</x:v>
      </x:c>
      <x:c r="R2126" s="14" t="str">
        <x:v>Planlandı</x:v>
      </x:c>
      <x:c r="S2126" s="15" t="str"/>
      <x:c r="T2126" s="14" t="str">
        <x:v>Minimum süre yok.</x:v>
      </x:c>
    </x:row>
    <x:row r="2127">
      <x:c r="A2127" s="14" t="n">
        <x:v>2126</x:v>
      </x:c>
      <x:c r="B2127" s="15" t="n">
        <x:v>46466</x:v>
      </x:c>
      <x:c r="C2127" s="14" t="str">
        <x:v>Cumartesi</x:v>
      </x:c>
      <x:c r="D2127" s="14" t="str">
        <x:v>Hafta Sonu</x:v>
      </x:c>
      <x:c r="E2127" s="14" t="str">
        <x:v>Tam gün</x:v>
      </x:c>
      <x:c r="F2127" s="14" t="str">
        <x:v>F3 - Kaynak/MEB Tamamlama</x:v>
      </x:c>
      <x:c r="G2127" s="14" t="str">
        <x:v>21:50</x:v>
      </x:c>
      <x:c r="H2127" s="14" t="str">
        <x:v>22:00</x:v>
      </x:c>
      <x:c r="I2127" s="14" t="str">
        <x:v>Genel</x:v>
      </x:c>
      <x:c r="J2127" s="14" t="str">
        <x:v>Uyku Hazırlığı</x:v>
      </x:c>
      <x:c r="K2127" s="14" t="str"/>
      <x:c r="L2127" s="14" t="str">
        <x:v>22:00'de yatakta ve uyku.</x:v>
      </x:c>
      <x:c r="M2127" s="14" t="str"/>
      <x:c r="N2127" s="14" t="str"/>
      <x:c r="O2127" s="14" t="n">
        <x:v>0</x:v>
      </x:c>
      <x:c r="P2127" s="14" t="str">
        <x:v>Hayır</x:v>
      </x:c>
      <x:c r="Q2127" s="14" t="str">
        <x:v>Hayır</x:v>
      </x:c>
      <x:c r="R2127" s="14" t="str">
        <x:v>Planlandı</x:v>
      </x:c>
      <x:c r="S2127" s="15" t="str"/>
      <x:c r="T2127" s="14" t="str"/>
    </x:row>
    <x:row r="2128">
      <x:c r="A2128" s="14" t="n">
        <x:v>2127</x:v>
      </x:c>
      <x:c r="B2128" s="15" t="n">
        <x:v>46467</x:v>
      </x:c>
      <x:c r="C2128" s="14" t="str">
        <x:v>Pazar</x:v>
      </x:c>
      <x:c r="D2128" s="14" t="str">
        <x:v>Hafta Sonu</x:v>
      </x:c>
      <x:c r="E2128" s="14" t="str">
        <x:v>Tam gün</x:v>
      </x:c>
      <x:c r="F2128" s="14" t="str">
        <x:v>F3 - Kaynak/MEB Tamamlama</x:v>
      </x:c>
      <x:c r="G2128" s="14" t="str">
        <x:v>09:30</x:v>
      </x:c>
      <x:c r="H2128" s="14" t="str">
        <x:v>10:15</x:v>
      </x:c>
      <x:c r="I2128" s="14" t="str">
        <x:v>Matematik</x:v>
      </x:c>
      <x:c r="J2128" s="14" t="str">
        <x:v>Konu / Tekrar</x:v>
      </x:c>
      <x:c r="K2128" s="14" t="str">
        <x:v>Kaynak Tamamlama / Zayıf Konu</x:v>
      </x:c>
      <x:c r="L2128" s="14" t="str">
        <x:v>Yeni konu açma. En zayıf/açık konunun ilgili playlist videosunu yalnız gerekiyorsa tekrar izle.</x:v>
      </x:c>
      <x:c r="M2128" s="14" t="str">
        <x:v>Matematik Ana Oynatma Listesi</x:v>
      </x:c>
      <x:c r="N2128" s="14" t="str">
        <x:v>https://www.youtube.com/watch?v=EuJ89QzqrAg&amp;list=PLicNtF7vp6fnfDqrRLH6H7fIbzYT4ct4F&amp;index=11</x:v>
      </x:c>
      <x:c r="O2128" s="14" t="n">
        <x:v>0</x:v>
      </x:c>
      <x:c r="P2128" s="14" t="str">
        <x:v>Hayır</x:v>
      </x:c>
      <x:c r="Q2128" s="14" t="str">
        <x:v>Evet</x:v>
      </x:c>
      <x:c r="R2128" s="14" t="str">
        <x:v>Planlandı</x:v>
      </x:c>
      <x:c r="S2128" s="15" t="str"/>
      <x:c r="T2128" s="14" t="str">
        <x:v>Yeni konu ancak plan sırasıyla açılır; LGS dışı ileri TYT içeriği zorunlu değildir.</x:v>
      </x:c>
    </x:row>
    <x:row r="2129">
      <x:c r="A2129" s="14" t="n">
        <x:v>2128</x:v>
      </x:c>
      <x:c r="B2129" s="15" t="n">
        <x:v>46467</x:v>
      </x:c>
      <x:c r="C2129" s="14" t="str">
        <x:v>Pazar</x:v>
      </x:c>
      <x:c r="D2129" s="14" t="str">
        <x:v>Hafta Sonu</x:v>
      </x:c>
      <x:c r="E2129" s="14" t="str">
        <x:v>Tam gün</x:v>
      </x:c>
      <x:c r="F2129" s="14" t="str">
        <x:v>F3 - Kaynak/MEB Tamamlama</x:v>
      </x:c>
      <x:c r="G2129" s="14" t="str">
        <x:v>10:25</x:v>
      </x:c>
      <x:c r="H2129" s="14" t="str">
        <x:v>11:15</x:v>
      </x:c>
      <x:c r="I2129" s="14" t="str">
        <x:v>Matematik</x:v>
      </x:c>
      <x:c r="J2129" s="14" t="str">
        <x:v>Kitap / MEB / Mastery</x:v>
      </x:c>
      <x:c r="K2129" s="14" t="str">
        <x:v>Kaynak Tamamlama / Zayıf Konu</x:v>
      </x:c>
      <x:c r="L2129" s="14" t="str">
        <x:v>13 Nisan %100 tamamlama hedefine göre en geride kalan Matematik soru kaynağını/eksik MEB setini ilerlet; açık yanlışları kapat.</x:v>
      </x:c>
      <x:c r="M2129" s="14" t="str">
        <x:v>MUBA 8. Sınıf Başlangıç Matematik (ISBN 9789756526972) → tamamlandıysa Mozaik 8. Sınıf Matematik; açık MEB/yanlışlar</x:v>
      </x:c>
      <x:c r="N2129" s="14" t="str">
        <x:v>https://odsgm.meb.gov.tr/www/8sinif-calisma-sorulari/icerik/1632</x:v>
      </x:c>
      <x:c r="O2129" s="14" t="n">
        <x:v>30</x:v>
      </x:c>
      <x:c r="P2129" s="14" t="str">
        <x:v>İlk 20 soru</x:v>
      </x:c>
      <x:c r="Q2129" s="14" t="str">
        <x:v>Evet</x:v>
      </x:c>
      <x:c r="R2129" s="14" t="str">
        <x:v>Planlandı</x:v>
      </x:c>
      <x:c r="S2129" s="15" t="str"/>
      <x:c r="T2129" s="14" t="str">
        <x:v>Ayrı/rastgele matematik benchmark yoktur. Süreli ilk 20 soru o gün çalışılan konunun içindedir.</x:v>
      </x:c>
    </x:row>
    <x:row r="2130">
      <x:c r="A2130" s="14" t="n">
        <x:v>2129</x:v>
      </x:c>
      <x:c r="B2130" s="15" t="n">
        <x:v>46467</x:v>
      </x:c>
      <x:c r="C2130" s="14" t="str">
        <x:v>Pazar</x:v>
      </x:c>
      <x:c r="D2130" s="14" t="str">
        <x:v>Hafta Sonu</x:v>
      </x:c>
      <x:c r="E2130" s="14" t="str">
        <x:v>Tam gün</x:v>
      </x:c>
      <x:c r="F2130" s="14" t="str">
        <x:v>F3 - Kaynak/MEB Tamamlama</x:v>
      </x:c>
      <x:c r="G2130" s="14" t="str">
        <x:v>12:00</x:v>
      </x:c>
      <x:c r="H2130" s="14" t="str">
        <x:v>14:00</x:v>
      </x:c>
      <x:c r="I2130" s="14" t="str">
        <x:v>Genel</x:v>
      </x:c>
      <x:c r="J2130" s="14" t="str">
        <x:v>Yemek / Serbest Zaman</x:v>
      </x:c>
      <x:c r="K2130" s="14" t="str"/>
      <x:c r="L2130" s="14" t="str">
        <x:v>Yemek, hareket ve dinlenme.</x:v>
      </x:c>
      <x:c r="M2130" s="14" t="str"/>
      <x:c r="N2130" s="14" t="str"/>
      <x:c r="O2130" s="14" t="n">
        <x:v>0</x:v>
      </x:c>
      <x:c r="P2130" s="14" t="str">
        <x:v>Hayır</x:v>
      </x:c>
      <x:c r="Q2130" s="14" t="str">
        <x:v>Hayır</x:v>
      </x:c>
      <x:c r="R2130" s="14" t="str">
        <x:v>Planlandı</x:v>
      </x:c>
      <x:c r="S2130" s="15" t="str"/>
      <x:c r="T2130" s="14" t="str"/>
    </x:row>
    <x:row r="2131">
      <x:c r="A2131" s="14" t="n">
        <x:v>2130</x:v>
      </x:c>
      <x:c r="B2131" s="15" t="n">
        <x:v>46467</x:v>
      </x:c>
      <x:c r="C2131" s="14" t="str">
        <x:v>Pazar</x:v>
      </x:c>
      <x:c r="D2131" s="14" t="str">
        <x:v>Hafta Sonu</x:v>
      </x:c>
      <x:c r="E2131" s="14" t="str">
        <x:v>Tam gün</x:v>
      </x:c>
      <x:c r="F2131" s="14" t="str">
        <x:v>F3 - Kaynak/MEB Tamamlama</x:v>
      </x:c>
      <x:c r="G2131" s="14" t="str">
        <x:v>11:25</x:v>
      </x:c>
      <x:c r="H2131" s="14" t="str">
        <x:v>11:55</x:v>
      </x:c>
      <x:c r="I2131" s="14" t="str">
        <x:v>Türkçe</x:v>
      </x:c>
      <x:c r="J2131" s="14" t="str">
        <x:v>Paragraf Rutini</x:v>
      </x:c>
      <x:c r="K2131" s="14" t="str">
        <x:v>Paragraf</x:v>
      </x:c>
      <x:c r="L2131" s="14" t="str">
        <x:v>En az 30 paragraf sorusu çöz; ilk 20 soruyu ileri sayımla ölç, D/Y/B + süre kaydet.</x:v>
      </x:c>
      <x:c r="M2131" s="14" t="str">
        <x:v>Hız 8. Sınıf Türkçe Paragraf (ISBN 9786258394498)</x:v>
      </x:c>
      <x:c r="N2131" s="14" t="str"/>
      <x:c r="O2131" s="14" t="n">
        <x:v>30</x:v>
      </x:c>
      <x:c r="P2131" s="14" t="str">
        <x:v>İlk 20 soru</x:v>
      </x:c>
      <x:c r="Q2131" s="14" t="str">
        <x:v>Evet</x:v>
      </x:c>
      <x:c r="R2131" s="14" t="str">
        <x:v>Planlandı</x:v>
      </x:c>
      <x:c r="S2131" s="15" t="str"/>
      <x:c r="T2131" s="14" t="str">
        <x:v>Geri sayım ve hedef süre yok.</x:v>
      </x:c>
    </x:row>
    <x:row r="2132">
      <x:c r="A2132" s="14" t="n">
        <x:v>2131</x:v>
      </x:c>
      <x:c r="B2132" s="15" t="n">
        <x:v>46467</x:v>
      </x:c>
      <x:c r="C2132" s="14" t="str">
        <x:v>Pazar</x:v>
      </x:c>
      <x:c r="D2132" s="14" t="str">
        <x:v>Hafta Sonu</x:v>
      </x:c>
      <x:c r="E2132" s="14" t="str">
        <x:v>Tam gün</x:v>
      </x:c>
      <x:c r="F2132" s="14" t="str">
        <x:v>F3 - Kaynak/MEB Tamamlama</x:v>
      </x:c>
      <x:c r="G2132" s="14" t="str">
        <x:v>14:00</x:v>
      </x:c>
      <x:c r="H2132" s="14" t="str">
        <x:v>14:40</x:v>
      </x:c>
      <x:c r="I2132" s="14" t="str">
        <x:v>Türkçe</x:v>
      </x:c>
      <x:c r="J2132" s="14" t="str">
        <x:v>Konu / Tekrar</x:v>
      </x:c>
      <x:c r="K2132" s="14" t="str">
        <x:v>Kaynak Tamamlama / Zayıf Konu</x:v>
      </x:c>
      <x:c r="L2132" s="14" t="str">
        <x:v>Yeni konu açma. En zayıf/açık konunun ilgili playlist videosunu yalnız gerekiyorsa tekrar izle.</x:v>
      </x:c>
      <x:c r="M2132" s="14" t="str">
        <x:v>Türkçe Ana Oynatma Listesi</x:v>
      </x:c>
      <x:c r="N2132" s="14" t="str">
        <x:v>https://www.youtube.com/watch?v=VYsPntNKVdw&amp;list=PLIBjFaUoJJ91bz7QQEBlxNJNZka5YQRr6</x:v>
      </x:c>
      <x:c r="O2132" s="14" t="n">
        <x:v>0</x:v>
      </x:c>
      <x:c r="P2132" s="14" t="str">
        <x:v>Hayır</x:v>
      </x:c>
      <x:c r="Q2132" s="14" t="str">
        <x:v>Evet</x:v>
      </x:c>
      <x:c r="R2132" s="14" t="str">
        <x:v>Planlandı</x:v>
      </x:c>
      <x:c r="S2132" s="15" t="str"/>
      <x:c r="T2132" s="14" t="str">
        <x:v>TYT etiketli kaynak temelden başlamak için sabittir; LGS dışı gereksiz ayrıntı zorunlu değildir.</x:v>
      </x:c>
    </x:row>
    <x:row r="2133">
      <x:c r="A2133" s="14" t="n">
        <x:v>2132</x:v>
      </x:c>
      <x:c r="B2133" s="15" t="n">
        <x:v>46467</x:v>
      </x:c>
      <x:c r="C2133" s="14" t="str">
        <x:v>Pazar</x:v>
      </x:c>
      <x:c r="D2133" s="14" t="str">
        <x:v>Hafta Sonu</x:v>
      </x:c>
      <x:c r="E2133" s="14" t="str">
        <x:v>Tam gün</x:v>
      </x:c>
      <x:c r="F2133" s="14" t="str">
        <x:v>F3 - Kaynak/MEB Tamamlama</x:v>
      </x:c>
      <x:c r="G2133" s="14" t="str">
        <x:v>14:50</x:v>
      </x:c>
      <x:c r="H2133" s="14" t="str">
        <x:v>15:30</x:v>
      </x:c>
      <x:c r="I2133" s="14" t="str">
        <x:v>Türkçe</x:v>
      </x:c>
      <x:c r="J2133" s="14" t="str">
        <x:v>Kitap / MEB / Mastery</x:v>
      </x:c>
      <x:c r="K2133" s="14" t="str">
        <x:v>Kaynak Tamamlama / Zayıf Konu</x:v>
      </x:c>
      <x:c r="L2133" s="14" t="str">
        <x:v>13 Nisan %100 tamamlama hedefine göre en geride kalan Türkçe soru kaynağını/eksik MEB setini ilerlet; açık yanlışları kapat.</x:v>
      </x:c>
      <x:c r="M2133" s="14" t="str">
        <x:v>Ankara 8. Sınıf Dil Bilgisi Güçlendiren + açık MEB/yanlışlar</x:v>
      </x:c>
      <x:c r="N2133" s="14" t="str">
        <x:v>https://odsgm.meb.gov.tr/www/8sinif-calisma-sorulari/icerik/1632</x:v>
      </x:c>
      <x:c r="O2133" s="14" t="n">
        <x:v>20</x:v>
      </x:c>
      <x:c r="P2133" s="14" t="str">
        <x:v>Hayır</x:v>
      </x:c>
      <x:c r="Q2133" s="14" t="str">
        <x:v>Evet</x:v>
      </x:c>
      <x:c r="R2133" s="14" t="str">
        <x:v>Planlandı</x:v>
      </x:c>
      <x:c r="S2133" s="15" t="str"/>
      <x:c r="T2133" s="14" t="str"/>
    </x:row>
    <x:row r="2134">
      <x:c r="A2134" s="14" t="n">
        <x:v>2133</x:v>
      </x:c>
      <x:c r="B2134" s="15" t="n">
        <x:v>46467</x:v>
      </x:c>
      <x:c r="C2134" s="14" t="str">
        <x:v>Pazar</x:v>
      </x:c>
      <x:c r="D2134" s="14" t="str">
        <x:v>Hafta Sonu</x:v>
      </x:c>
      <x:c r="E2134" s="14" t="str">
        <x:v>Tam gün</x:v>
      </x:c>
      <x:c r="F2134" s="14" t="str">
        <x:v>F3 - Kaynak/MEB Tamamlama</x:v>
      </x:c>
      <x:c r="G2134" s="14" t="str">
        <x:v>15:45</x:v>
      </x:c>
      <x:c r="H2134" s="14" t="str">
        <x:v>16:25</x:v>
      </x:c>
      <x:c r="I2134" s="14" t="str">
        <x:v>İngilizce</x:v>
      </x:c>
      <x:c r="J2134" s="14" t="str">
        <x:v>Konu / Tekrar</x:v>
      </x:c>
      <x:c r="K2134" s="14" t="str">
        <x:v>Kaynak Tamamlama / Zayıf Konu</x:v>
      </x:c>
      <x:c r="L2134" s="14" t="str">
        <x:v>Yeni konu açma. En zayıf/açık konunun ilgili playlist videosunu yalnız gerekiyorsa tekrar izle.</x:v>
      </x:c>
      <x:c r="M2134" s="14" t="str">
        <x:v>İngilizce Genel Oynatma Listesi</x:v>
      </x:c>
      <x:c r="N2134" s="14" t="str">
        <x:v>https://www.youtube.com/watch?v=FaY3dFjZbns&amp;list=PLSgpQDrUSYp94WgE9pzpHiOG5FwxnZBrr</x:v>
      </x:c>
      <x:c r="O2134" s="14" t="n">
        <x:v>0</x:v>
      </x:c>
      <x:c r="P2134" s="14" t="str">
        <x:v>Hayır</x:v>
      </x:c>
      <x:c r="Q2134" s="14" t="str">
        <x:v>Evet</x:v>
      </x:c>
      <x:c r="R2134" s="14" t="str">
        <x:v>Planlandı</x:v>
      </x:c>
      <x:c r="S2134" s="15" t="str"/>
      <x:c r="T2134" s="14" t="str"/>
    </x:row>
    <x:row r="2135">
      <x:c r="A2135" s="14" t="n">
        <x:v>2134</x:v>
      </x:c>
      <x:c r="B2135" s="15" t="n">
        <x:v>46467</x:v>
      </x:c>
      <x:c r="C2135" s="14" t="str">
        <x:v>Pazar</x:v>
      </x:c>
      <x:c r="D2135" s="14" t="str">
        <x:v>Hafta Sonu</x:v>
      </x:c>
      <x:c r="E2135" s="14" t="str">
        <x:v>Tam gün</x:v>
      </x:c>
      <x:c r="F2135" s="14" t="str">
        <x:v>F3 - Kaynak/MEB Tamamlama</x:v>
      </x:c>
      <x:c r="G2135" s="14" t="str">
        <x:v>16:35</x:v>
      </x:c>
      <x:c r="H2135" s="14" t="str">
        <x:v>17:15</x:v>
      </x:c>
      <x:c r="I2135" s="14" t="str">
        <x:v>İngilizce</x:v>
      </x:c>
      <x:c r="J2135" s="14" t="str">
        <x:v>Kitap / MEB / Mastery</x:v>
      </x:c>
      <x:c r="K2135" s="14" t="str">
        <x:v>Kaynak Tamamlama / Zayıf Konu</x:v>
      </x:c>
      <x:c r="L2135" s="14" t="str">
        <x:v>13 Nisan %100 tamamlama hedefine göre en geride kalan İngilizce soru kaynağını/eksik MEB setini ilerlet; açık yanlışları kapat.</x:v>
      </x:c>
      <x:c r="M2135" s="14" t="str">
        <x:v>More &amp; More 8 Worksheets Notebook + açık MEB/yanlışlar</x:v>
      </x:c>
      <x:c r="N2135" s="14" t="str">
        <x:v>https://odsgm.meb.gov.tr/www/8sinif-calisma-sorulari/icerik/1632</x:v>
      </x:c>
      <x:c r="O2135" s="14" t="n">
        <x:v>20</x:v>
      </x:c>
      <x:c r="P2135" s="14" t="str">
        <x:v>Hayır</x:v>
      </x:c>
      <x:c r="Q2135" s="14" t="str">
        <x:v>Evet</x:v>
      </x:c>
      <x:c r="R2135" s="14" t="str">
        <x:v>Planlandı</x:v>
      </x:c>
      <x:c r="S2135" s="15" t="str"/>
      <x:c r="T2135" s="14" t="str"/>
    </x:row>
    <x:row r="2136">
      <x:c r="A2136" s="14" t="n">
        <x:v>2135</x:v>
      </x:c>
      <x:c r="B2136" s="15" t="n">
        <x:v>46467</x:v>
      </x:c>
      <x:c r="C2136" s="14" t="str">
        <x:v>Pazar</x:v>
      </x:c>
      <x:c r="D2136" s="14" t="str">
        <x:v>Hafta Sonu</x:v>
      </x:c>
      <x:c r="E2136" s="14" t="str">
        <x:v>Tam gün</x:v>
      </x:c>
      <x:c r="F2136" s="14" t="str">
        <x:v>F3 - Kaynak/MEB Tamamlama</x:v>
      </x:c>
      <x:c r="G2136" s="14" t="str">
        <x:v>17:25</x:v>
      </x:c>
      <x:c r="H2136" s="14" t="str">
        <x:v>18:25</x:v>
      </x:c>
      <x:c r="I2136" s="14" t="str">
        <x:v>Genel</x:v>
      </x:c>
      <x:c r="J2136" s="14" t="str">
        <x:v>Kaynak Tamamlama</x:v>
      </x:c>
      <x:c r="K2136" s="14" t="str">
        <x:v>En Geride Kalan Kaynak</x:v>
      </x:c>
      <x:c r="L2136" s="14" t="str">
        <x:v>Kaynak_Ilerleme sayfasında hedef yüzdesinin en gerisinde kalan ZORUNLU soru kaynağına 60 dk ayır. Öğrenilmemiş konudan ileri gitme.</x:v>
      </x:c>
      <x:c r="M2136" s="14" t="str">
        <x:v>Kaynak İlerleme</x:v>
      </x:c>
      <x:c r="N2136" s="14" t="str"/>
      <x:c r="O2136" s="14" t="n">
        <x:v>0</x:v>
      </x:c>
      <x:c r="P2136" s="14" t="str">
        <x:v>Hayır</x:v>
      </x:c>
      <x:c r="Q2136" s="14" t="str">
        <x:v>Evet</x:v>
      </x:c>
      <x:c r="R2136" s="14" t="str">
        <x:v>Planlandı</x:v>
      </x:c>
      <x:c r="S2136" s="15" t="str"/>
      <x:c r="T2136" s="14" t="str">
        <x:v>Amaç 13.04.2027'de zorunlu soru kitapları + ilgili MEB setlerini %100 tamamlamak.</x:v>
      </x:c>
    </x:row>
    <x:row r="2137">
      <x:c r="A2137" s="14" t="n">
        <x:v>2136</x:v>
      </x:c>
      <x:c r="B2137" s="15" t="n">
        <x:v>46467</x:v>
      </x:c>
      <x:c r="C2137" s="14" t="str">
        <x:v>Pazar</x:v>
      </x:c>
      <x:c r="D2137" s="14" t="str">
        <x:v>Hafta Sonu</x:v>
      </x:c>
      <x:c r="E2137" s="14" t="str">
        <x:v>Tam gün</x:v>
      </x:c>
      <x:c r="F2137" s="14" t="str">
        <x:v>F3 - Kaynak/MEB Tamamlama</x:v>
      </x:c>
      <x:c r="G2137" s="14" t="str">
        <x:v>18:25</x:v>
      </x:c>
      <x:c r="H2137" s="14" t="str">
        <x:v>18:45</x:v>
      </x:c>
      <x:c r="I2137" s="14" t="str">
        <x:v>Genel</x:v>
      </x:c>
      <x:c r="J2137" s="14" t="str">
        <x:v>Yanlış / Boş Analizi</x:v>
      </x:c>
      <x:c r="K2137" s="14" t="str">
        <x:v>Günlük</x:v>
      </x:c>
      <x:c r="L2137" s="14" t="str">
        <x:v>Bugünkü yanlış/boşları kaydet; çözümünü öğrenmeden kapatma. Hata türünü sınıflandır.</x:v>
      </x:c>
      <x:c r="M2137" s="14" t="str">
        <x:v>Yanlış Defteri</x:v>
      </x:c>
      <x:c r="N2137" s="14" t="str"/>
      <x:c r="O2137" s="14" t="n">
        <x:v>0</x:v>
      </x:c>
      <x:c r="P2137" s="14" t="str">
        <x:v>Hayır</x:v>
      </x:c>
      <x:c r="Q2137" s="14" t="str">
        <x:v>Evet</x:v>
      </x:c>
      <x:c r="R2137" s="14" t="str">
        <x:v>Planlandı</x:v>
      </x:c>
      <x:c r="S2137" s="15" t="str"/>
      <x:c r="T2137" s="14" t="str"/>
    </x:row>
    <x:row r="2138">
      <x:c r="A2138" s="14" t="n">
        <x:v>2137</x:v>
      </x:c>
      <x:c r="B2138" s="15" t="n">
        <x:v>46467</x:v>
      </x:c>
      <x:c r="C2138" s="14" t="str">
        <x:v>Pazar</x:v>
      </x:c>
      <x:c r="D2138" s="14" t="str">
        <x:v>Hafta Sonu</x:v>
      </x:c>
      <x:c r="E2138" s="14" t="str">
        <x:v>Tam gün</x:v>
      </x:c>
      <x:c r="F2138" s="14" t="str">
        <x:v>F3 - Kaynak/MEB Tamamlama</x:v>
      </x:c>
      <x:c r="G2138" s="14" t="str">
        <x:v>18:45</x:v>
      </x:c>
      <x:c r="H2138" s="14" t="str">
        <x:v>19:05</x:v>
      </x:c>
      <x:c r="I2138" s="14" t="str">
        <x:v>Genel</x:v>
      </x:c>
      <x:c r="J2138" s="14" t="str">
        <x:v>Aralıklı Hata Tekrarı</x:v>
      </x:c>
      <x:c r="K2138" s="14" t="str">
        <x:v>+1 / +7 / +21</x:v>
      </x:c>
      <x:c r="L2138" s="14" t="str">
        <x:v>Bugün vadesi gelen yanlış soruları tekrar çöz. Vadesi yoksa bu süre serbest/okuma olabilir.</x:v>
      </x:c>
      <x:c r="M2138" s="14" t="str">
        <x:v>Yanlış Defteri</x:v>
      </x:c>
      <x:c r="N2138" s="14" t="str"/>
      <x:c r="O2138" s="14" t="n">
        <x:v>0</x:v>
      </x:c>
      <x:c r="P2138" s="14" t="str">
        <x:v>Hayır</x:v>
      </x:c>
      <x:c r="Q2138" s="14" t="str">
        <x:v>Koşullu</x:v>
      </x:c>
      <x:c r="R2138" s="14" t="str">
        <x:v>Planlandı</x:v>
      </x:c>
      <x:c r="S2138" s="15" t="str"/>
      <x:c r="T2138" s="14" t="str">
        <x:v>Yanlışlar +1, +7 ve +21 gün aralıklarıyla tekrar edilir; hâlâ yanlışsa konu mastery durumu düşürülür.</x:v>
      </x:c>
    </x:row>
    <x:row r="2139">
      <x:c r="A2139" s="14" t="n">
        <x:v>2138</x:v>
      </x:c>
      <x:c r="B2139" s="15" t="n">
        <x:v>46467</x:v>
      </x:c>
      <x:c r="C2139" s="14" t="str">
        <x:v>Pazar</x:v>
      </x:c>
      <x:c r="D2139" s="14" t="str">
        <x:v>Hafta Sonu</x:v>
      </x:c>
      <x:c r="E2139" s="14" t="str">
        <x:v>Tam gün</x:v>
      </x:c>
      <x:c r="F2139" s="14" t="str">
        <x:v>F3 - Kaynak/MEB Tamamlama</x:v>
      </x:c>
      <x:c r="G2139" s="14" t="str">
        <x:v>20:00</x:v>
      </x:c>
      <x:c r="H2139" s="14" t="str">
        <x:v>20:30</x:v>
      </x:c>
      <x:c r="I2139" s="14" t="str">
        <x:v>Okuma</x:v>
      </x:c>
      <x:c r="J2139" s="14" t="str">
        <x:v>İsteğe Bağlı</x:v>
      </x:c>
      <x:c r="K2139" s="14" t="str">
        <x:v>Serbest Kitap</x:v>
      </x:c>
      <x:c r="L2139" s="14" t="str">
        <x:v>Zorunlu çalışmalar bittiyse isteğe bağlı kitap oku.</x:v>
      </x:c>
      <x:c r="M2139" s="14" t="str">
        <x:v>Serbest Kitap</x:v>
      </x:c>
      <x:c r="N2139" s="14" t="str"/>
      <x:c r="O2139" s="14" t="n">
        <x:v>0</x:v>
      </x:c>
      <x:c r="P2139" s="14" t="str">
        <x:v>İsteğe Bağlı</x:v>
      </x:c>
      <x:c r="Q2139" s="14" t="str">
        <x:v>Hayır</x:v>
      </x:c>
      <x:c r="R2139" s="14" t="str">
        <x:v>Planlandı</x:v>
      </x:c>
      <x:c r="S2139" s="15" t="str"/>
      <x:c r="T2139" s="14" t="str">
        <x:v>Minimum süre yok.</x:v>
      </x:c>
    </x:row>
    <x:row r="2140">
      <x:c r="A2140" s="14" t="n">
        <x:v>2139</x:v>
      </x:c>
      <x:c r="B2140" s="15" t="n">
        <x:v>46467</x:v>
      </x:c>
      <x:c r="C2140" s="14" t="str">
        <x:v>Pazar</x:v>
      </x:c>
      <x:c r="D2140" s="14" t="str">
        <x:v>Hafta Sonu</x:v>
      </x:c>
      <x:c r="E2140" s="14" t="str">
        <x:v>Tam gün</x:v>
      </x:c>
      <x:c r="F2140" s="14" t="str">
        <x:v>F3 - Kaynak/MEB Tamamlama</x:v>
      </x:c>
      <x:c r="G2140" s="14" t="str">
        <x:v>21:50</x:v>
      </x:c>
      <x:c r="H2140" s="14" t="str">
        <x:v>22:00</x:v>
      </x:c>
      <x:c r="I2140" s="14" t="str">
        <x:v>Genel</x:v>
      </x:c>
      <x:c r="J2140" s="14" t="str">
        <x:v>Uyku Hazırlığı</x:v>
      </x:c>
      <x:c r="K2140" s="14" t="str"/>
      <x:c r="L2140" s="14" t="str">
        <x:v>22:00'de yatakta ve uyku.</x:v>
      </x:c>
      <x:c r="M2140" s="14" t="str"/>
      <x:c r="N2140" s="14" t="str"/>
      <x:c r="O2140" s="14" t="n">
        <x:v>0</x:v>
      </x:c>
      <x:c r="P2140" s="14" t="str">
        <x:v>Hayır</x:v>
      </x:c>
      <x:c r="Q2140" s="14" t="str">
        <x:v>Hayır</x:v>
      </x:c>
      <x:c r="R2140" s="14" t="str">
        <x:v>Planlandı</x:v>
      </x:c>
      <x:c r="S2140" s="15" t="str"/>
      <x:c r="T2140" s="14" t="str"/>
    </x:row>
    <x:row r="2141">
      <x:c r="A2141" s="14" t="n">
        <x:v>2140</x:v>
      </x:c>
      <x:c r="B2141" s="15" t="n">
        <x:v>46468</x:v>
      </x:c>
      <x:c r="C2141" s="14" t="str">
        <x:v>Pazartesi</x:v>
      </x:c>
      <x:c r="D2141" s="14" t="str">
        <x:v>Okul Günü</x:v>
      </x:c>
      <x:c r="E2141" s="14" t="str">
        <x:v>16:00 sonrası</x:v>
      </x:c>
      <x:c r="F2141" s="14" t="str">
        <x:v>F3 - Kaynak/MEB Tamamlama</x:v>
      </x:c>
      <x:c r="G2141" s="14" t="str">
        <x:v>16:00</x:v>
      </x:c>
      <x:c r="H2141" s="14" t="str">
        <x:v>16:25</x:v>
      </x:c>
      <x:c r="I2141" s="14" t="str">
        <x:v>Genel</x:v>
      </x:c>
      <x:c r="J2141" s="14" t="str">
        <x:v>Dinlenme</x:v>
      </x:c>
      <x:c r="K2141" s="14" t="str"/>
      <x:c r="L2141" s="14" t="str">
        <x:v>Eve geliş, atıştırma ve dinlenme.</x:v>
      </x:c>
      <x:c r="M2141" s="14" t="str"/>
      <x:c r="N2141" s="14" t="str"/>
      <x:c r="O2141" s="14" t="n">
        <x:v>0</x:v>
      </x:c>
      <x:c r="P2141" s="14" t="str">
        <x:v>Hayır</x:v>
      </x:c>
      <x:c r="Q2141" s="14" t="str">
        <x:v>Hayır</x:v>
      </x:c>
      <x:c r="R2141" s="14" t="str">
        <x:v>Planlandı</x:v>
      </x:c>
      <x:c r="S2141" s="15" t="str"/>
      <x:c r="T2141" s="14" t="str"/>
    </x:row>
    <x:row r="2142">
      <x:c r="A2142" s="14" t="n">
        <x:v>2141</x:v>
      </x:c>
      <x:c r="B2142" s="15" t="n">
        <x:v>46468</x:v>
      </x:c>
      <x:c r="C2142" s="14" t="str">
        <x:v>Pazartesi</x:v>
      </x:c>
      <x:c r="D2142" s="14" t="str">
        <x:v>Okul Günü</x:v>
      </x:c>
      <x:c r="E2142" s="14" t="str">
        <x:v>16:00 sonrası</x:v>
      </x:c>
      <x:c r="F2142" s="14" t="str">
        <x:v>F3 - Kaynak/MEB Tamamlama</x:v>
      </x:c>
      <x:c r="G2142" s="14" t="str">
        <x:v>16:25</x:v>
      </x:c>
      <x:c r="H2142" s="14" t="str">
        <x:v>17:05</x:v>
      </x:c>
      <x:c r="I2142" s="14" t="str">
        <x:v>Matematik</x:v>
      </x:c>
      <x:c r="J2142" s="14" t="str">
        <x:v>Konu / Tekrar</x:v>
      </x:c>
      <x:c r="K2142" s="14" t="str">
        <x:v>Kaynak Tamamlama / Zayıf Konu</x:v>
      </x:c>
      <x:c r="L2142" s="14" t="str">
        <x:v>Yeni konu açma. En zayıf/açık konunun ilgili playlist videosunu yalnız gerekiyorsa tekrar izle.</x:v>
      </x:c>
      <x:c r="M2142" s="14" t="str">
        <x:v>Matematik Ana Oynatma Listesi</x:v>
      </x:c>
      <x:c r="N2142" s="14" t="str">
        <x:v>https://www.youtube.com/watch?v=EuJ89QzqrAg&amp;list=PLicNtF7vp6fnfDqrRLH6H7fIbzYT4ct4F&amp;index=11</x:v>
      </x:c>
      <x:c r="O2142" s="14" t="n">
        <x:v>0</x:v>
      </x:c>
      <x:c r="P2142" s="14" t="str">
        <x:v>Hayır</x:v>
      </x:c>
      <x:c r="Q2142" s="14" t="str">
        <x:v>Evet</x:v>
      </x:c>
      <x:c r="R2142" s="14" t="str">
        <x:v>Planlandı</x:v>
      </x:c>
      <x:c r="S2142" s="15" t="str"/>
      <x:c r="T2142" s="14" t="str">
        <x:v>Yeni konu ancak plan sırasıyla açılır; LGS dışı ileri TYT içeriği zorunlu değildir.</x:v>
      </x:c>
    </x:row>
    <x:row r="2143">
      <x:c r="A2143" s="14" t="n">
        <x:v>2142</x:v>
      </x:c>
      <x:c r="B2143" s="15" t="n">
        <x:v>46468</x:v>
      </x:c>
      <x:c r="C2143" s="14" t="str">
        <x:v>Pazartesi</x:v>
      </x:c>
      <x:c r="D2143" s="14" t="str">
        <x:v>Okul Günü</x:v>
      </x:c>
      <x:c r="E2143" s="14" t="str">
        <x:v>16:00 sonrası</x:v>
      </x:c>
      <x:c r="F2143" s="14" t="str">
        <x:v>F3 - Kaynak/MEB Tamamlama</x:v>
      </x:c>
      <x:c r="G2143" s="14" t="str">
        <x:v>17:10</x:v>
      </x:c>
      <x:c r="H2143" s="14" t="str">
        <x:v>17:55</x:v>
      </x:c>
      <x:c r="I2143" s="14" t="str">
        <x:v>Matematik</x:v>
      </x:c>
      <x:c r="J2143" s="14" t="str">
        <x:v>Kitap / MEB / Mastery</x:v>
      </x:c>
      <x:c r="K2143" s="14" t="str">
        <x:v>Kaynak Tamamlama / Zayıf Konu</x:v>
      </x:c>
      <x:c r="L2143" s="14" t="str">
        <x:v>13 Nisan %100 tamamlama hedefine göre en geride kalan Matematik soru kaynağını/eksik MEB setini ilerlet; açık yanlışları kapat.</x:v>
      </x:c>
      <x:c r="M2143" s="14" t="str">
        <x:v>MUBA 8. Sınıf Başlangıç Matematik (ISBN 9789756526972) → tamamlandıysa Mozaik 8. Sınıf Matematik; açık MEB/yanlışlar</x:v>
      </x:c>
      <x:c r="N2143" s="14" t="str">
        <x:v>https://odsgm.meb.gov.tr/www/8sinif-calisma-sorulari/icerik/1632</x:v>
      </x:c>
      <x:c r="O2143" s="14" t="n">
        <x:v>30</x:v>
      </x:c>
      <x:c r="P2143" s="14" t="str">
        <x:v>İlk 20 soru</x:v>
      </x:c>
      <x:c r="Q2143" s="14" t="str">
        <x:v>Evet</x:v>
      </x:c>
      <x:c r="R2143" s="14" t="str">
        <x:v>Planlandı</x:v>
      </x:c>
      <x:c r="S2143" s="15" t="str"/>
      <x:c r="T2143" s="14" t="str">
        <x:v>Ayrı/rastgele matematik benchmark yoktur. Süreli ilk 20 soru o gün çalışılan konunun içindedir.</x:v>
      </x:c>
    </x:row>
    <x:row r="2144">
      <x:c r="A2144" s="14" t="n">
        <x:v>2143</x:v>
      </x:c>
      <x:c r="B2144" s="15" t="n">
        <x:v>46468</x:v>
      </x:c>
      <x:c r="C2144" s="14" t="str">
        <x:v>Pazartesi</x:v>
      </x:c>
      <x:c r="D2144" s="14" t="str">
        <x:v>Okul Günü</x:v>
      </x:c>
      <x:c r="E2144" s="14" t="str">
        <x:v>16:00 sonrası</x:v>
      </x:c>
      <x:c r="F2144" s="14" t="str">
        <x:v>F3 - Kaynak/MEB Tamamlama</x:v>
      </x:c>
      <x:c r="G2144" s="14" t="str">
        <x:v>17:55</x:v>
      </x:c>
      <x:c r="H2144" s="14" t="str">
        <x:v>18:25</x:v>
      </x:c>
      <x:c r="I2144" s="14" t="str">
        <x:v>Genel</x:v>
      </x:c>
      <x:c r="J2144" s="14" t="str">
        <x:v>Yemek / Serbest Zaman</x:v>
      </x:c>
      <x:c r="K2144" s="14" t="str"/>
      <x:c r="L2144" s="14" t="str">
        <x:v>Yemek, hareket ve dinlenme.</x:v>
      </x:c>
      <x:c r="M2144" s="14" t="str"/>
      <x:c r="N2144" s="14" t="str"/>
      <x:c r="O2144" s="14" t="n">
        <x:v>0</x:v>
      </x:c>
      <x:c r="P2144" s="14" t="str">
        <x:v>Hayır</x:v>
      </x:c>
      <x:c r="Q2144" s="14" t="str">
        <x:v>Hayır</x:v>
      </x:c>
      <x:c r="R2144" s="14" t="str">
        <x:v>Planlandı</x:v>
      </x:c>
      <x:c r="S2144" s="15" t="str"/>
      <x:c r="T2144" s="14" t="str"/>
    </x:row>
    <x:row r="2145">
      <x:c r="A2145" s="14" t="n">
        <x:v>2144</x:v>
      </x:c>
      <x:c r="B2145" s="15" t="n">
        <x:v>46468</x:v>
      </x:c>
      <x:c r="C2145" s="14" t="str">
        <x:v>Pazartesi</x:v>
      </x:c>
      <x:c r="D2145" s="14" t="str">
        <x:v>Okul Günü</x:v>
      </x:c>
      <x:c r="E2145" s="14" t="str">
        <x:v>16:00 sonrası</x:v>
      </x:c>
      <x:c r="F2145" s="14" t="str">
        <x:v>F3 - Kaynak/MEB Tamamlama</x:v>
      </x:c>
      <x:c r="G2145" s="14" t="str">
        <x:v>18:25</x:v>
      </x:c>
      <x:c r="H2145" s="14" t="str">
        <x:v>18:55</x:v>
      </x:c>
      <x:c r="I2145" s="14" t="str">
        <x:v>Türkçe</x:v>
      </x:c>
      <x:c r="J2145" s="14" t="str">
        <x:v>Paragraf Rutini</x:v>
      </x:c>
      <x:c r="K2145" s="14" t="str">
        <x:v>Paragraf</x:v>
      </x:c>
      <x:c r="L2145" s="14" t="str">
        <x:v>En az 30 paragraf sorusu çöz; ilk 20 soruyu ileri sayımla ölç, D/Y/B + süre kaydet.</x:v>
      </x:c>
      <x:c r="M2145" s="14" t="str">
        <x:v>Hız 8. Sınıf Türkçe Paragraf (ISBN 9786258394498)</x:v>
      </x:c>
      <x:c r="N2145" s="14" t="str"/>
      <x:c r="O2145" s="14" t="n">
        <x:v>30</x:v>
      </x:c>
      <x:c r="P2145" s="14" t="str">
        <x:v>İlk 20 soru</x:v>
      </x:c>
      <x:c r="Q2145" s="14" t="str">
        <x:v>Evet</x:v>
      </x:c>
      <x:c r="R2145" s="14" t="str">
        <x:v>Planlandı</x:v>
      </x:c>
      <x:c r="S2145" s="15" t="str"/>
      <x:c r="T2145" s="14" t="str">
        <x:v>Geri sayım ve hedef süre yok.</x:v>
      </x:c>
    </x:row>
    <x:row r="2146">
      <x:c r="A2146" s="14" t="n">
        <x:v>2145</x:v>
      </x:c>
      <x:c r="B2146" s="15" t="n">
        <x:v>46468</x:v>
      </x:c>
      <x:c r="C2146" s="14" t="str">
        <x:v>Pazartesi</x:v>
      </x:c>
      <x:c r="D2146" s="14" t="str">
        <x:v>Okul Günü</x:v>
      </x:c>
      <x:c r="E2146" s="14" t="str">
        <x:v>16:00 sonrası</x:v>
      </x:c>
      <x:c r="F2146" s="14" t="str">
        <x:v>F3 - Kaynak/MEB Tamamlama</x:v>
      </x:c>
      <x:c r="G2146" s="14" t="str">
        <x:v>19:00</x:v>
      </x:c>
      <x:c r="H2146" s="14" t="str">
        <x:v>19:35</x:v>
      </x:c>
      <x:c r="I2146" s="14" t="str">
        <x:v>Türkçe</x:v>
      </x:c>
      <x:c r="J2146" s="14" t="str">
        <x:v>Konu / Tekrar</x:v>
      </x:c>
      <x:c r="K2146" s="14" t="str">
        <x:v>Kaynak Tamamlama / Zayıf Konu</x:v>
      </x:c>
      <x:c r="L2146" s="14" t="str">
        <x:v>Yeni konu açma. En zayıf/açık konunun ilgili playlist videosunu yalnız gerekiyorsa tekrar izle.</x:v>
      </x:c>
      <x:c r="M2146" s="14" t="str">
        <x:v>Türkçe Ana Oynatma Listesi</x:v>
      </x:c>
      <x:c r="N2146" s="14" t="str">
        <x:v>https://www.youtube.com/watch?v=VYsPntNKVdw&amp;list=PLIBjFaUoJJ91bz7QQEBlxNJNZka5YQRr6</x:v>
      </x:c>
      <x:c r="O2146" s="14" t="n">
        <x:v>0</x:v>
      </x:c>
      <x:c r="P2146" s="14" t="str">
        <x:v>Hayır</x:v>
      </x:c>
      <x:c r="Q2146" s="14" t="str">
        <x:v>Evet</x:v>
      </x:c>
      <x:c r="R2146" s="14" t="str">
        <x:v>Planlandı</x:v>
      </x:c>
      <x:c r="S2146" s="15" t="str"/>
      <x:c r="T2146" s="14" t="str">
        <x:v>TYT etiketli kaynak temelden başlamak için sabittir; LGS dışı gereksiz ayrıntı zorunlu değildir.</x:v>
      </x:c>
    </x:row>
    <x:row r="2147">
      <x:c r="A2147" s="14" t="n">
        <x:v>2146</x:v>
      </x:c>
      <x:c r="B2147" s="15" t="n">
        <x:v>46468</x:v>
      </x:c>
      <x:c r="C2147" s="14" t="str">
        <x:v>Pazartesi</x:v>
      </x:c>
      <x:c r="D2147" s="14" t="str">
        <x:v>Okul Günü</x:v>
      </x:c>
      <x:c r="E2147" s="14" t="str">
        <x:v>16:00 sonrası</x:v>
      </x:c>
      <x:c r="F2147" s="14" t="str">
        <x:v>F3 - Kaynak/MEB Tamamlama</x:v>
      </x:c>
      <x:c r="G2147" s="14" t="str">
        <x:v>19:40</x:v>
      </x:c>
      <x:c r="H2147" s="14" t="str">
        <x:v>20:10</x:v>
      </x:c>
      <x:c r="I2147" s="14" t="str">
        <x:v>Türkçe</x:v>
      </x:c>
      <x:c r="J2147" s="14" t="str">
        <x:v>Kitap / MEB / Mastery</x:v>
      </x:c>
      <x:c r="K2147" s="14" t="str">
        <x:v>Kaynak Tamamlama / Zayıf Konu</x:v>
      </x:c>
      <x:c r="L2147" s="14" t="str">
        <x:v>13 Nisan %100 tamamlama hedefine göre en geride kalan Türkçe soru kaynağını/eksik MEB setini ilerlet; açık yanlışları kapat.</x:v>
      </x:c>
      <x:c r="M2147" s="14" t="str">
        <x:v>Ankara 8. Sınıf Dil Bilgisi Güçlendiren + açık MEB/yanlışlar</x:v>
      </x:c>
      <x:c r="N2147" s="14" t="str">
        <x:v>https://odsgm.meb.gov.tr/www/8sinif-calisma-sorulari/icerik/1632</x:v>
      </x:c>
      <x:c r="O2147" s="14" t="n">
        <x:v>20</x:v>
      </x:c>
      <x:c r="P2147" s="14" t="str">
        <x:v>Hayır</x:v>
      </x:c>
      <x:c r="Q2147" s="14" t="str">
        <x:v>Evet</x:v>
      </x:c>
      <x:c r="R2147" s="14" t="str">
        <x:v>Planlandı</x:v>
      </x:c>
      <x:c r="S2147" s="15" t="str"/>
      <x:c r="T2147" s="14" t="str"/>
    </x:row>
    <x:row r="2148">
      <x:c r="A2148" s="14" t="n">
        <x:v>2147</x:v>
      </x:c>
      <x:c r="B2148" s="15" t="n">
        <x:v>46468</x:v>
      </x:c>
      <x:c r="C2148" s="14" t="str">
        <x:v>Pazartesi</x:v>
      </x:c>
      <x:c r="D2148" s="14" t="str">
        <x:v>Okul Günü</x:v>
      </x:c>
      <x:c r="E2148" s="14" t="str">
        <x:v>16:00 sonrası</x:v>
      </x:c>
      <x:c r="F2148" s="14" t="str">
        <x:v>F3 - Kaynak/MEB Tamamlama</x:v>
      </x:c>
      <x:c r="G2148" s="14" t="str">
        <x:v>20:15</x:v>
      </x:c>
      <x:c r="H2148" s="14" t="str">
        <x:v>20:50</x:v>
      </x:c>
      <x:c r="I2148" s="14" t="str">
        <x:v>Fen</x:v>
      </x:c>
      <x:c r="J2148" s="14" t="str">
        <x:v>Konu / Tekrar</x:v>
      </x:c>
      <x:c r="K2148" s="14" t="str">
        <x:v>Elektrik Enerjisinin Dönüşümü</x:v>
      </x:c>
      <x:c r="L2148" s="14" t="str">
        <x:v>Elektrik Enerjisinin Dönüşümü — MEB doğrulaması öncesi 5-10 dk aktif hatırlama; gerekiyorsa ilgili playlist videosuna kısa dönüş yap.</x:v>
      </x:c>
      <x:c r="M2148" s="14" t="str">
        <x:v>Fen Soru Çözüm / Tekrar</x:v>
      </x:c>
      <x:c r="N2148" s="14" t="str">
        <x:v>https://www.youtube.com/watch?v=pQXhWnDZ3vM&amp;list=PLrQm7mt99FRXcBnorCttd31HJEvg0En26&amp;index=23</x:v>
      </x:c>
      <x:c r="O2148" s="14" t="n">
        <x:v>0</x:v>
      </x:c>
      <x:c r="P2148" s="14" t="str">
        <x:v>Hayır</x:v>
      </x:c>
      <x:c r="Q2148" s="14" t="str">
        <x:v>Evet</x:v>
      </x:c>
      <x:c r="R2148" s="14" t="str">
        <x:v>Planlandı</x:v>
      </x:c>
      <x:c r="S2148" s="15" t="str"/>
      <x:c r="T2148" s="14" t="str"/>
    </x:row>
    <x:row r="2149">
      <x:c r="A2149" s="14" t="n">
        <x:v>2148</x:v>
      </x:c>
      <x:c r="B2149" s="15" t="n">
        <x:v>46468</x:v>
      </x:c>
      <x:c r="C2149" s="14" t="str">
        <x:v>Pazartesi</x:v>
      </x:c>
      <x:c r="D2149" s="14" t="str">
        <x:v>Okul Günü</x:v>
      </x:c>
      <x:c r="E2149" s="14" t="str">
        <x:v>16:00 sonrası</x:v>
      </x:c>
      <x:c r="F2149" s="14" t="str">
        <x:v>F3 - Kaynak/MEB Tamamlama</x:v>
      </x:c>
      <x:c r="G2149" s="14" t="str">
        <x:v>20:55</x:v>
      </x:c>
      <x:c r="H2149" s="14" t="str">
        <x:v>21:20</x:v>
      </x:c>
      <x:c r="I2149" s="14" t="str">
        <x:v>Fen</x:v>
      </x:c>
      <x:c r="J2149" s="14" t="str">
        <x:v>Kitap / MEB / Mastery</x:v>
      </x:c>
      <x:c r="K2149" s="14" t="str">
        <x:v>Elektrik Enerjisinin Dönüşümü</x:v>
      </x:c>
      <x:c r="L2149" s="14" t="str">
        <x:v>Elektrik Enerjisinin Dönüşümü için ilgili MEB sorularını TAMAMLA; D/Y/B kaydet. Bu oturum konu mastery gate'idir.</x:v>
      </x:c>
      <x:c r="M2149" s="14" t="str">
        <x:v>MEB 8. Sınıf Fen Soruları</x:v>
      </x:c>
      <x:c r="N2149" s="14" t="str">
        <x:v>https://odsgm.meb.gov.tr/www/8sinif-calisma-sorulari/icerik/1632</x:v>
      </x:c>
      <x:c r="O2149" s="14" t="n">
        <x:v>0</x:v>
      </x:c>
      <x:c r="P2149" s="14" t="str">
        <x:v>Hayır</x:v>
      </x:c>
      <x:c r="Q2149" s="14" t="str">
        <x:v>Evet</x:v>
      </x:c>
      <x:c r="R2149" s="14" t="str">
        <x:v>Planlandı</x:v>
      </x:c>
      <x:c r="S2149" s="15" t="str"/>
      <x:c r="T2149" s="14" t="str">
        <x:v>MEB sonucu Konu_Ustaligi sayfasına işlenir.</x:v>
      </x:c>
    </x:row>
    <x:row r="2150">
      <x:c r="A2150" s="14" t="n">
        <x:v>2149</x:v>
      </x:c>
      <x:c r="B2150" s="15" t="n">
        <x:v>46468</x:v>
      </x:c>
      <x:c r="C2150" s="14" t="str">
        <x:v>Pazartesi</x:v>
      </x:c>
      <x:c r="D2150" s="14" t="str">
        <x:v>Okul Günü</x:v>
      </x:c>
      <x:c r="E2150" s="14" t="str">
        <x:v>16:00 sonrası</x:v>
      </x:c>
      <x:c r="F2150" s="14" t="str">
        <x:v>F3 - Kaynak/MEB Tamamlama</x:v>
      </x:c>
      <x:c r="G2150" s="14" t="str">
        <x:v>21:20</x:v>
      </x:c>
      <x:c r="H2150" s="14" t="str">
        <x:v>21:35</x:v>
      </x:c>
      <x:c r="I2150" s="14" t="str">
        <x:v>Genel</x:v>
      </x:c>
      <x:c r="J2150" s="14" t="str">
        <x:v>Yanlış / Boş Analizi</x:v>
      </x:c>
      <x:c r="K2150" s="14" t="str">
        <x:v>Günlük</x:v>
      </x:c>
      <x:c r="L2150" s="14" t="str">
        <x:v>Bugünkü yanlış/boşları kaydet; çözümünü öğrenmeden kapatma. Hata türünü sınıflandır.</x:v>
      </x:c>
      <x:c r="M2150" s="14" t="str">
        <x:v>Yanlış Defteri</x:v>
      </x:c>
      <x:c r="N2150" s="14" t="str"/>
      <x:c r="O2150" s="14" t="n">
        <x:v>0</x:v>
      </x:c>
      <x:c r="P2150" s="14" t="str">
        <x:v>Hayır</x:v>
      </x:c>
      <x:c r="Q2150" s="14" t="str">
        <x:v>Evet</x:v>
      </x:c>
      <x:c r="R2150" s="14" t="str">
        <x:v>Planlandı</x:v>
      </x:c>
      <x:c r="S2150" s="15" t="str"/>
      <x:c r="T2150" s="14" t="str"/>
    </x:row>
    <x:row r="2151">
      <x:c r="A2151" s="14" t="n">
        <x:v>2150</x:v>
      </x:c>
      <x:c r="B2151" s="15" t="n">
        <x:v>46468</x:v>
      </x:c>
      <x:c r="C2151" s="14" t="str">
        <x:v>Pazartesi</x:v>
      </x:c>
      <x:c r="D2151" s="14" t="str">
        <x:v>Okul Günü</x:v>
      </x:c>
      <x:c r="E2151" s="14" t="str">
        <x:v>16:00 sonrası</x:v>
      </x:c>
      <x:c r="F2151" s="14" t="str">
        <x:v>F3 - Kaynak/MEB Tamamlama</x:v>
      </x:c>
      <x:c r="G2151" s="14" t="str">
        <x:v>21:35</x:v>
      </x:c>
      <x:c r="H2151" s="14" t="str">
        <x:v>21:50</x:v>
      </x:c>
      <x:c r="I2151" s="14" t="str">
        <x:v>Genel</x:v>
      </x:c>
      <x:c r="J2151" s="14" t="str">
        <x:v>Aralıklı Hata Tekrarı</x:v>
      </x:c>
      <x:c r="K2151" s="14" t="str">
        <x:v>+1 / +7 / +21</x:v>
      </x:c>
      <x:c r="L2151" s="14" t="str">
        <x:v>Bugün vadesi gelen yanlış soruları tekrar çöz. Vadesi yoksa bu süre serbest/okuma olabilir.</x:v>
      </x:c>
      <x:c r="M2151" s="14" t="str">
        <x:v>Yanlış Defteri</x:v>
      </x:c>
      <x:c r="N2151" s="14" t="str"/>
      <x:c r="O2151" s="14" t="n">
        <x:v>0</x:v>
      </x:c>
      <x:c r="P2151" s="14" t="str">
        <x:v>Hayır</x:v>
      </x:c>
      <x:c r="Q2151" s="14" t="str">
        <x:v>Koşullu</x:v>
      </x:c>
      <x:c r="R2151" s="14" t="str">
        <x:v>Planlandı</x:v>
      </x:c>
      <x:c r="S2151" s="15" t="str"/>
      <x:c r="T2151" s="14" t="str">
        <x:v>Yanlışlar +1, +7 ve +21 gün aralıklarıyla tekrar edilir; hâlâ yanlışsa konu mastery durumu düşürülür.</x:v>
      </x:c>
    </x:row>
    <x:row r="2152">
      <x:c r="A2152" s="14" t="n">
        <x:v>2151</x:v>
      </x:c>
      <x:c r="B2152" s="15" t="n">
        <x:v>46468</x:v>
      </x:c>
      <x:c r="C2152" s="14" t="str">
        <x:v>Pazartesi</x:v>
      </x:c>
      <x:c r="D2152" s="14" t="str">
        <x:v>Okul Günü</x:v>
      </x:c>
      <x:c r="E2152" s="14" t="str">
        <x:v>16:00 sonrası</x:v>
      </x:c>
      <x:c r="F2152" s="14" t="str">
        <x:v>F3 - Kaynak/MEB Tamamlama</x:v>
      </x:c>
      <x:c r="G2152" s="14" t="str">
        <x:v>21:50</x:v>
      </x:c>
      <x:c r="H2152" s="14" t="str">
        <x:v>22:00</x:v>
      </x:c>
      <x:c r="I2152" s="14" t="str">
        <x:v>Genel</x:v>
      </x:c>
      <x:c r="J2152" s="14" t="str">
        <x:v>Uyku Hazırlığı</x:v>
      </x:c>
      <x:c r="K2152" s="14" t="str"/>
      <x:c r="L2152" s="14" t="str">
        <x:v>22:00'de yatakta ve uyku.</x:v>
      </x:c>
      <x:c r="M2152" s="14" t="str"/>
      <x:c r="N2152" s="14" t="str"/>
      <x:c r="O2152" s="14" t="n">
        <x:v>0</x:v>
      </x:c>
      <x:c r="P2152" s="14" t="str">
        <x:v>Hayır</x:v>
      </x:c>
      <x:c r="Q2152" s="14" t="str">
        <x:v>Hayır</x:v>
      </x:c>
      <x:c r="R2152" s="14" t="str">
        <x:v>Planlandı</x:v>
      </x:c>
      <x:c r="S2152" s="15" t="str"/>
      <x:c r="T2152" s="14" t="str"/>
    </x:row>
    <x:row r="2153">
      <x:c r="A2153" s="14" t="n">
        <x:v>2152</x:v>
      </x:c>
      <x:c r="B2153" s="15" t="n">
        <x:v>46469</x:v>
      </x:c>
      <x:c r="C2153" s="14" t="str">
        <x:v>Salı</x:v>
      </x:c>
      <x:c r="D2153" s="14" t="str">
        <x:v>Okul Günü</x:v>
      </x:c>
      <x:c r="E2153" s="14" t="str">
        <x:v>16:00 sonrası</x:v>
      </x:c>
      <x:c r="F2153" s="14" t="str">
        <x:v>F3 - Kaynak/MEB Tamamlama</x:v>
      </x:c>
      <x:c r="G2153" s="14" t="str">
        <x:v>16:00</x:v>
      </x:c>
      <x:c r="H2153" s="14" t="str">
        <x:v>16:25</x:v>
      </x:c>
      <x:c r="I2153" s="14" t="str">
        <x:v>Genel</x:v>
      </x:c>
      <x:c r="J2153" s="14" t="str">
        <x:v>Dinlenme</x:v>
      </x:c>
      <x:c r="K2153" s="14" t="str"/>
      <x:c r="L2153" s="14" t="str">
        <x:v>Eve geliş, atıştırma ve dinlenme.</x:v>
      </x:c>
      <x:c r="M2153" s="14" t="str"/>
      <x:c r="N2153" s="14" t="str"/>
      <x:c r="O2153" s="14" t="n">
        <x:v>0</x:v>
      </x:c>
      <x:c r="P2153" s="14" t="str">
        <x:v>Hayır</x:v>
      </x:c>
      <x:c r="Q2153" s="14" t="str">
        <x:v>Hayır</x:v>
      </x:c>
      <x:c r="R2153" s="14" t="str">
        <x:v>Planlandı</x:v>
      </x:c>
      <x:c r="S2153" s="15" t="str"/>
      <x:c r="T2153" s="14" t="str"/>
    </x:row>
    <x:row r="2154">
      <x:c r="A2154" s="14" t="n">
        <x:v>2153</x:v>
      </x:c>
      <x:c r="B2154" s="15" t="n">
        <x:v>46469</x:v>
      </x:c>
      <x:c r="C2154" s="14" t="str">
        <x:v>Salı</x:v>
      </x:c>
      <x:c r="D2154" s="14" t="str">
        <x:v>Okul Günü</x:v>
      </x:c>
      <x:c r="E2154" s="14" t="str">
        <x:v>16:00 sonrası</x:v>
      </x:c>
      <x:c r="F2154" s="14" t="str">
        <x:v>F3 - Kaynak/MEB Tamamlama</x:v>
      </x:c>
      <x:c r="G2154" s="14" t="str">
        <x:v>16:25</x:v>
      </x:c>
      <x:c r="H2154" s="14" t="str">
        <x:v>17:05</x:v>
      </x:c>
      <x:c r="I2154" s="14" t="str">
        <x:v>Matematik</x:v>
      </x:c>
      <x:c r="J2154" s="14" t="str">
        <x:v>Konu / Tekrar</x:v>
      </x:c>
      <x:c r="K2154" s="14" t="str">
        <x:v>Kaynak Tamamlama / Zayıf Konu</x:v>
      </x:c>
      <x:c r="L2154" s="14" t="str">
        <x:v>Yeni konu açma. En zayıf/açık konunun ilgili playlist videosunu yalnız gerekiyorsa tekrar izle.</x:v>
      </x:c>
      <x:c r="M2154" s="14" t="str">
        <x:v>Matematik Ana Oynatma Listesi</x:v>
      </x:c>
      <x:c r="N2154" s="14" t="str">
        <x:v>https://www.youtube.com/watch?v=EuJ89QzqrAg&amp;list=PLicNtF7vp6fnfDqrRLH6H7fIbzYT4ct4F&amp;index=11</x:v>
      </x:c>
      <x:c r="O2154" s="14" t="n">
        <x:v>0</x:v>
      </x:c>
      <x:c r="P2154" s="14" t="str">
        <x:v>Hayır</x:v>
      </x:c>
      <x:c r="Q2154" s="14" t="str">
        <x:v>Evet</x:v>
      </x:c>
      <x:c r="R2154" s="14" t="str">
        <x:v>Planlandı</x:v>
      </x:c>
      <x:c r="S2154" s="15" t="str"/>
      <x:c r="T2154" s="14" t="str">
        <x:v>Yeni konu ancak plan sırasıyla açılır; LGS dışı ileri TYT içeriği zorunlu değildir.</x:v>
      </x:c>
    </x:row>
    <x:row r="2155">
      <x:c r="A2155" s="14" t="n">
        <x:v>2154</x:v>
      </x:c>
      <x:c r="B2155" s="15" t="n">
        <x:v>46469</x:v>
      </x:c>
      <x:c r="C2155" s="14" t="str">
        <x:v>Salı</x:v>
      </x:c>
      <x:c r="D2155" s="14" t="str">
        <x:v>Okul Günü</x:v>
      </x:c>
      <x:c r="E2155" s="14" t="str">
        <x:v>16:00 sonrası</x:v>
      </x:c>
      <x:c r="F2155" s="14" t="str">
        <x:v>F3 - Kaynak/MEB Tamamlama</x:v>
      </x:c>
      <x:c r="G2155" s="14" t="str">
        <x:v>17:10</x:v>
      </x:c>
      <x:c r="H2155" s="14" t="str">
        <x:v>17:55</x:v>
      </x:c>
      <x:c r="I2155" s="14" t="str">
        <x:v>Matematik</x:v>
      </x:c>
      <x:c r="J2155" s="14" t="str">
        <x:v>Kitap / MEB / Mastery</x:v>
      </x:c>
      <x:c r="K2155" s="14" t="str">
        <x:v>Kaynak Tamamlama / Zayıf Konu</x:v>
      </x:c>
      <x:c r="L2155" s="14" t="str">
        <x:v>13 Nisan %100 tamamlama hedefine göre en geride kalan Matematik soru kaynağını/eksik MEB setini ilerlet; açık yanlışları kapat.</x:v>
      </x:c>
      <x:c r="M2155" s="14" t="str">
        <x:v>MUBA 8. Sınıf Başlangıç Matematik (ISBN 9789756526972) → tamamlandıysa Mozaik 8. Sınıf Matematik; açık MEB/yanlışlar</x:v>
      </x:c>
      <x:c r="N2155" s="14" t="str">
        <x:v>https://odsgm.meb.gov.tr/www/8sinif-calisma-sorulari/icerik/1632</x:v>
      </x:c>
      <x:c r="O2155" s="14" t="n">
        <x:v>30</x:v>
      </x:c>
      <x:c r="P2155" s="14" t="str">
        <x:v>İlk 20 soru</x:v>
      </x:c>
      <x:c r="Q2155" s="14" t="str">
        <x:v>Evet</x:v>
      </x:c>
      <x:c r="R2155" s="14" t="str">
        <x:v>Planlandı</x:v>
      </x:c>
      <x:c r="S2155" s="15" t="str"/>
      <x:c r="T2155" s="14" t="str">
        <x:v>Ayrı/rastgele matematik benchmark yoktur. Süreli ilk 20 soru o gün çalışılan konunun içindedir.</x:v>
      </x:c>
    </x:row>
    <x:row r="2156">
      <x:c r="A2156" s="14" t="n">
        <x:v>2155</x:v>
      </x:c>
      <x:c r="B2156" s="15" t="n">
        <x:v>46469</x:v>
      </x:c>
      <x:c r="C2156" s="14" t="str">
        <x:v>Salı</x:v>
      </x:c>
      <x:c r="D2156" s="14" t="str">
        <x:v>Okul Günü</x:v>
      </x:c>
      <x:c r="E2156" s="14" t="str">
        <x:v>16:00 sonrası</x:v>
      </x:c>
      <x:c r="F2156" s="14" t="str">
        <x:v>F3 - Kaynak/MEB Tamamlama</x:v>
      </x:c>
      <x:c r="G2156" s="14" t="str">
        <x:v>17:55</x:v>
      </x:c>
      <x:c r="H2156" s="14" t="str">
        <x:v>18:25</x:v>
      </x:c>
      <x:c r="I2156" s="14" t="str">
        <x:v>Genel</x:v>
      </x:c>
      <x:c r="J2156" s="14" t="str">
        <x:v>Yemek / Serbest Zaman</x:v>
      </x:c>
      <x:c r="K2156" s="14" t="str"/>
      <x:c r="L2156" s="14" t="str">
        <x:v>Yemek, hareket ve dinlenme.</x:v>
      </x:c>
      <x:c r="M2156" s="14" t="str"/>
      <x:c r="N2156" s="14" t="str"/>
      <x:c r="O2156" s="14" t="n">
        <x:v>0</x:v>
      </x:c>
      <x:c r="P2156" s="14" t="str">
        <x:v>Hayır</x:v>
      </x:c>
      <x:c r="Q2156" s="14" t="str">
        <x:v>Hayır</x:v>
      </x:c>
      <x:c r="R2156" s="14" t="str">
        <x:v>Planlandı</x:v>
      </x:c>
      <x:c r="S2156" s="15" t="str"/>
      <x:c r="T2156" s="14" t="str"/>
    </x:row>
    <x:row r="2157">
      <x:c r="A2157" s="14" t="n">
        <x:v>2156</x:v>
      </x:c>
      <x:c r="B2157" s="15" t="n">
        <x:v>46469</x:v>
      </x:c>
      <x:c r="C2157" s="14" t="str">
        <x:v>Salı</x:v>
      </x:c>
      <x:c r="D2157" s="14" t="str">
        <x:v>Okul Günü</x:v>
      </x:c>
      <x:c r="E2157" s="14" t="str">
        <x:v>16:00 sonrası</x:v>
      </x:c>
      <x:c r="F2157" s="14" t="str">
        <x:v>F3 - Kaynak/MEB Tamamlama</x:v>
      </x:c>
      <x:c r="G2157" s="14" t="str">
        <x:v>18:25</x:v>
      </x:c>
      <x:c r="H2157" s="14" t="str">
        <x:v>18:55</x:v>
      </x:c>
      <x:c r="I2157" s="14" t="str">
        <x:v>Türkçe</x:v>
      </x:c>
      <x:c r="J2157" s="14" t="str">
        <x:v>Paragraf Rutini</x:v>
      </x:c>
      <x:c r="K2157" s="14" t="str">
        <x:v>Paragraf</x:v>
      </x:c>
      <x:c r="L2157" s="14" t="str">
        <x:v>En az 30 paragraf sorusu çöz; ilk 20 soruyu ileri sayımla ölç, D/Y/B + süre kaydet.</x:v>
      </x:c>
      <x:c r="M2157" s="14" t="str">
        <x:v>Hız 8. Sınıf Türkçe Paragraf (ISBN 9786258394498)</x:v>
      </x:c>
      <x:c r="N2157" s="14" t="str"/>
      <x:c r="O2157" s="14" t="n">
        <x:v>30</x:v>
      </x:c>
      <x:c r="P2157" s="14" t="str">
        <x:v>İlk 20 soru</x:v>
      </x:c>
      <x:c r="Q2157" s="14" t="str">
        <x:v>Evet</x:v>
      </x:c>
      <x:c r="R2157" s="14" t="str">
        <x:v>Planlandı</x:v>
      </x:c>
      <x:c r="S2157" s="15" t="str"/>
      <x:c r="T2157" s="14" t="str">
        <x:v>Geri sayım ve hedef süre yok.</x:v>
      </x:c>
    </x:row>
    <x:row r="2158">
      <x:c r="A2158" s="14" t="n">
        <x:v>2157</x:v>
      </x:c>
      <x:c r="B2158" s="15" t="n">
        <x:v>46469</x:v>
      </x:c>
      <x:c r="C2158" s="14" t="str">
        <x:v>Salı</x:v>
      </x:c>
      <x:c r="D2158" s="14" t="str">
        <x:v>Okul Günü</x:v>
      </x:c>
      <x:c r="E2158" s="14" t="str">
        <x:v>16:00 sonrası</x:v>
      </x:c>
      <x:c r="F2158" s="14" t="str">
        <x:v>F3 - Kaynak/MEB Tamamlama</x:v>
      </x:c>
      <x:c r="G2158" s="14" t="str">
        <x:v>19:00</x:v>
      </x:c>
      <x:c r="H2158" s="14" t="str">
        <x:v>19:35</x:v>
      </x:c>
      <x:c r="I2158" s="14" t="str">
        <x:v>Türkçe</x:v>
      </x:c>
      <x:c r="J2158" s="14" t="str">
        <x:v>Konu / Tekrar</x:v>
      </x:c>
      <x:c r="K2158" s="14" t="str">
        <x:v>Kaynak Tamamlama / Zayıf Konu</x:v>
      </x:c>
      <x:c r="L2158" s="14" t="str">
        <x:v>Yeni konu açma. En zayıf/açık konunun ilgili playlist videosunu yalnız gerekiyorsa tekrar izle.</x:v>
      </x:c>
      <x:c r="M2158" s="14" t="str">
        <x:v>Türkçe Ana Oynatma Listesi</x:v>
      </x:c>
      <x:c r="N2158" s="14" t="str">
        <x:v>https://www.youtube.com/watch?v=VYsPntNKVdw&amp;list=PLIBjFaUoJJ91bz7QQEBlxNJNZka5YQRr6</x:v>
      </x:c>
      <x:c r="O2158" s="14" t="n">
        <x:v>0</x:v>
      </x:c>
      <x:c r="P2158" s="14" t="str">
        <x:v>Hayır</x:v>
      </x:c>
      <x:c r="Q2158" s="14" t="str">
        <x:v>Evet</x:v>
      </x:c>
      <x:c r="R2158" s="14" t="str">
        <x:v>Planlandı</x:v>
      </x:c>
      <x:c r="S2158" s="15" t="str"/>
      <x:c r="T2158" s="14" t="str">
        <x:v>TYT etiketli kaynak temelden başlamak için sabittir; LGS dışı gereksiz ayrıntı zorunlu değildir.</x:v>
      </x:c>
    </x:row>
    <x:row r="2159">
      <x:c r="A2159" s="14" t="n">
        <x:v>2158</x:v>
      </x:c>
      <x:c r="B2159" s="15" t="n">
        <x:v>46469</x:v>
      </x:c>
      <x:c r="C2159" s="14" t="str">
        <x:v>Salı</x:v>
      </x:c>
      <x:c r="D2159" s="14" t="str">
        <x:v>Okul Günü</x:v>
      </x:c>
      <x:c r="E2159" s="14" t="str">
        <x:v>16:00 sonrası</x:v>
      </x:c>
      <x:c r="F2159" s="14" t="str">
        <x:v>F3 - Kaynak/MEB Tamamlama</x:v>
      </x:c>
      <x:c r="G2159" s="14" t="str">
        <x:v>19:40</x:v>
      </x:c>
      <x:c r="H2159" s="14" t="str">
        <x:v>20:10</x:v>
      </x:c>
      <x:c r="I2159" s="14" t="str">
        <x:v>Türkçe</x:v>
      </x:c>
      <x:c r="J2159" s="14" t="str">
        <x:v>Kitap / MEB / Mastery</x:v>
      </x:c>
      <x:c r="K2159" s="14" t="str">
        <x:v>Kaynak Tamamlama / Zayıf Konu</x:v>
      </x:c>
      <x:c r="L2159" s="14" t="str">
        <x:v>13 Nisan %100 tamamlama hedefine göre en geride kalan Türkçe soru kaynağını/eksik MEB setini ilerlet; açık yanlışları kapat.</x:v>
      </x:c>
      <x:c r="M2159" s="14" t="str">
        <x:v>Ankara 8. Sınıf Dil Bilgisi Güçlendiren + açık MEB/yanlışlar</x:v>
      </x:c>
      <x:c r="N2159" s="14" t="str">
        <x:v>https://odsgm.meb.gov.tr/www/8sinif-calisma-sorulari/icerik/1632</x:v>
      </x:c>
      <x:c r="O2159" s="14" t="n">
        <x:v>20</x:v>
      </x:c>
      <x:c r="P2159" s="14" t="str">
        <x:v>Hayır</x:v>
      </x:c>
      <x:c r="Q2159" s="14" t="str">
        <x:v>Evet</x:v>
      </x:c>
      <x:c r="R2159" s="14" t="str">
        <x:v>Planlandı</x:v>
      </x:c>
      <x:c r="S2159" s="15" t="str"/>
      <x:c r="T2159" s="14" t="str"/>
    </x:row>
    <x:row r="2160">
      <x:c r="A2160" s="14" t="n">
        <x:v>2159</x:v>
      </x:c>
      <x:c r="B2160" s="15" t="n">
        <x:v>46469</x:v>
      </x:c>
      <x:c r="C2160" s="14" t="str">
        <x:v>Salı</x:v>
      </x:c>
      <x:c r="D2160" s="14" t="str">
        <x:v>Okul Günü</x:v>
      </x:c>
      <x:c r="E2160" s="14" t="str">
        <x:v>16:00 sonrası</x:v>
      </x:c>
      <x:c r="F2160" s="14" t="str">
        <x:v>F3 - Kaynak/MEB Tamamlama</x:v>
      </x:c>
      <x:c r="G2160" s="14" t="str">
        <x:v>20:15</x:v>
      </x:c>
      <x:c r="H2160" s="14" t="str">
        <x:v>20:50</x:v>
      </x:c>
      <x:c r="I2160" s="14" t="str">
        <x:v>Din</x:v>
      </x:c>
      <x:c r="J2160" s="14" t="str">
        <x:v>Konu / Tekrar</x:v>
      </x:c>
      <x:c r="K2160" s="14" t="str">
        <x:v>Kaynak Tamamlama / Zayıf Konu</x:v>
      </x:c>
      <x:c r="L2160" s="14" t="str">
        <x:v>Yeni konu açma. En zayıf/açık konunun ilgili playlist videosunu yalnız gerekiyorsa tekrar izle.</x:v>
      </x:c>
      <x:c r="M2160" s="14" t="str">
        <x:v>Din Genel Oynatma Listesi</x:v>
      </x:c>
      <x:c r="N2160" s="14" t="str">
        <x:v>https://www.youtube.com/watch?v=wvdOE_75VnA&amp;list=PLbRoPq-Zu-SWXGUbVt4t4UWo-4VjsMUo-&amp;index=2</x:v>
      </x:c>
      <x:c r="O2160" s="14" t="n">
        <x:v>0</x:v>
      </x:c>
      <x:c r="P2160" s="14" t="str">
        <x:v>Hayır</x:v>
      </x:c>
      <x:c r="Q2160" s="14" t="str">
        <x:v>Evet</x:v>
      </x:c>
      <x:c r="R2160" s="14" t="str">
        <x:v>Planlandı</x:v>
      </x:c>
      <x:c r="S2160" s="15" t="str"/>
      <x:c r="T2160" s="14" t="str"/>
    </x:row>
    <x:row r="2161">
      <x:c r="A2161" s="14" t="n">
        <x:v>2160</x:v>
      </x:c>
      <x:c r="B2161" s="15" t="n">
        <x:v>46469</x:v>
      </x:c>
      <x:c r="C2161" s="14" t="str">
        <x:v>Salı</x:v>
      </x:c>
      <x:c r="D2161" s="14" t="str">
        <x:v>Okul Günü</x:v>
      </x:c>
      <x:c r="E2161" s="14" t="str">
        <x:v>16:00 sonrası</x:v>
      </x:c>
      <x:c r="F2161" s="14" t="str">
        <x:v>F3 - Kaynak/MEB Tamamlama</x:v>
      </x:c>
      <x:c r="G2161" s="14" t="str">
        <x:v>20:55</x:v>
      </x:c>
      <x:c r="H2161" s="14" t="str">
        <x:v>21:20</x:v>
      </x:c>
      <x:c r="I2161" s="14" t="str">
        <x:v>Din</x:v>
      </x:c>
      <x:c r="J2161" s="14" t="str">
        <x:v>Kitap / MEB / Mastery</x:v>
      </x:c>
      <x:c r="K2161" s="14" t="str">
        <x:v>Kaynak Tamamlama / Zayıf Konu</x:v>
      </x:c>
      <x:c r="L2161" s="14" t="str">
        <x:v>13 Nisan %100 tamamlama hedefine göre en geride kalan Din soru kaynağını/eksik MEB setini ilerlet; açık yanlışları kapat.</x:v>
      </x:c>
      <x:c r="M2161" s="14" t="str">
        <x:v>Hız 8. Sınıf Din Kültürü ve Ahlak Bilgisi + açık MEB/yanlışlar</x:v>
      </x:c>
      <x:c r="N2161" s="14" t="str">
        <x:v>https://odsgm.meb.gov.tr/www/8sinif-calisma-sorulari/icerik/1632</x:v>
      </x:c>
      <x:c r="O2161" s="14" t="n">
        <x:v>20</x:v>
      </x:c>
      <x:c r="P2161" s="14" t="str">
        <x:v>Hayır</x:v>
      </x:c>
      <x:c r="Q2161" s="14" t="str">
        <x:v>Evet</x:v>
      </x:c>
      <x:c r="R2161" s="14" t="str">
        <x:v>Planlandı</x:v>
      </x:c>
      <x:c r="S2161" s="15" t="str"/>
      <x:c r="T2161" s="14" t="str"/>
    </x:row>
    <x:row r="2162">
      <x:c r="A2162" s="14" t="n">
        <x:v>2161</x:v>
      </x:c>
      <x:c r="B2162" s="15" t="n">
        <x:v>46469</x:v>
      </x:c>
      <x:c r="C2162" s="14" t="str">
        <x:v>Salı</x:v>
      </x:c>
      <x:c r="D2162" s="14" t="str">
        <x:v>Okul Günü</x:v>
      </x:c>
      <x:c r="E2162" s="14" t="str">
        <x:v>16:00 sonrası</x:v>
      </x:c>
      <x:c r="F2162" s="14" t="str">
        <x:v>F3 - Kaynak/MEB Tamamlama</x:v>
      </x:c>
      <x:c r="G2162" s="14" t="str">
        <x:v>21:20</x:v>
      </x:c>
      <x:c r="H2162" s="14" t="str">
        <x:v>21:35</x:v>
      </x:c>
      <x:c r="I2162" s="14" t="str">
        <x:v>Genel</x:v>
      </x:c>
      <x:c r="J2162" s="14" t="str">
        <x:v>Yanlış / Boş Analizi</x:v>
      </x:c>
      <x:c r="K2162" s="14" t="str">
        <x:v>Günlük</x:v>
      </x:c>
      <x:c r="L2162" s="14" t="str">
        <x:v>Bugünkü yanlış/boşları kaydet; çözümünü öğrenmeden kapatma. Hata türünü sınıflandır.</x:v>
      </x:c>
      <x:c r="M2162" s="14" t="str">
        <x:v>Yanlış Defteri</x:v>
      </x:c>
      <x:c r="N2162" s="14" t="str"/>
      <x:c r="O2162" s="14" t="n">
        <x:v>0</x:v>
      </x:c>
      <x:c r="P2162" s="14" t="str">
        <x:v>Hayır</x:v>
      </x:c>
      <x:c r="Q2162" s="14" t="str">
        <x:v>Evet</x:v>
      </x:c>
      <x:c r="R2162" s="14" t="str">
        <x:v>Planlandı</x:v>
      </x:c>
      <x:c r="S2162" s="15" t="str"/>
      <x:c r="T2162" s="14" t="str"/>
    </x:row>
    <x:row r="2163">
      <x:c r="A2163" s="14" t="n">
        <x:v>2162</x:v>
      </x:c>
      <x:c r="B2163" s="15" t="n">
        <x:v>46469</x:v>
      </x:c>
      <x:c r="C2163" s="14" t="str">
        <x:v>Salı</x:v>
      </x:c>
      <x:c r="D2163" s="14" t="str">
        <x:v>Okul Günü</x:v>
      </x:c>
      <x:c r="E2163" s="14" t="str">
        <x:v>16:00 sonrası</x:v>
      </x:c>
      <x:c r="F2163" s="14" t="str">
        <x:v>F3 - Kaynak/MEB Tamamlama</x:v>
      </x:c>
      <x:c r="G2163" s="14" t="str">
        <x:v>21:35</x:v>
      </x:c>
      <x:c r="H2163" s="14" t="str">
        <x:v>21:50</x:v>
      </x:c>
      <x:c r="I2163" s="14" t="str">
        <x:v>Genel</x:v>
      </x:c>
      <x:c r="J2163" s="14" t="str">
        <x:v>Aralıklı Hata Tekrarı</x:v>
      </x:c>
      <x:c r="K2163" s="14" t="str">
        <x:v>+1 / +7 / +21</x:v>
      </x:c>
      <x:c r="L2163" s="14" t="str">
        <x:v>Bugün vadesi gelen yanlış soruları tekrar çöz. Vadesi yoksa bu süre serbest/okuma olabilir.</x:v>
      </x:c>
      <x:c r="M2163" s="14" t="str">
        <x:v>Yanlış Defteri</x:v>
      </x:c>
      <x:c r="N2163" s="14" t="str"/>
      <x:c r="O2163" s="14" t="n">
        <x:v>0</x:v>
      </x:c>
      <x:c r="P2163" s="14" t="str">
        <x:v>Hayır</x:v>
      </x:c>
      <x:c r="Q2163" s="14" t="str">
        <x:v>Koşullu</x:v>
      </x:c>
      <x:c r="R2163" s="14" t="str">
        <x:v>Planlandı</x:v>
      </x:c>
      <x:c r="S2163" s="15" t="str"/>
      <x:c r="T2163" s="14" t="str">
        <x:v>Yanlışlar +1, +7 ve +21 gün aralıklarıyla tekrar edilir; hâlâ yanlışsa konu mastery durumu düşürülür.</x:v>
      </x:c>
    </x:row>
    <x:row r="2164">
      <x:c r="A2164" s="14" t="n">
        <x:v>2163</x:v>
      </x:c>
      <x:c r="B2164" s="15" t="n">
        <x:v>46469</x:v>
      </x:c>
      <x:c r="C2164" s="14" t="str">
        <x:v>Salı</x:v>
      </x:c>
      <x:c r="D2164" s="14" t="str">
        <x:v>Okul Günü</x:v>
      </x:c>
      <x:c r="E2164" s="14" t="str">
        <x:v>16:00 sonrası</x:v>
      </x:c>
      <x:c r="F2164" s="14" t="str">
        <x:v>F3 - Kaynak/MEB Tamamlama</x:v>
      </x:c>
      <x:c r="G2164" s="14" t="str">
        <x:v>21:50</x:v>
      </x:c>
      <x:c r="H2164" s="14" t="str">
        <x:v>22:00</x:v>
      </x:c>
      <x:c r="I2164" s="14" t="str">
        <x:v>Genel</x:v>
      </x:c>
      <x:c r="J2164" s="14" t="str">
        <x:v>Uyku Hazırlığı</x:v>
      </x:c>
      <x:c r="K2164" s="14" t="str"/>
      <x:c r="L2164" s="14" t="str">
        <x:v>22:00'de yatakta ve uyku.</x:v>
      </x:c>
      <x:c r="M2164" s="14" t="str"/>
      <x:c r="N2164" s="14" t="str"/>
      <x:c r="O2164" s="14" t="n">
        <x:v>0</x:v>
      </x:c>
      <x:c r="P2164" s="14" t="str">
        <x:v>Hayır</x:v>
      </x:c>
      <x:c r="Q2164" s="14" t="str">
        <x:v>Hayır</x:v>
      </x:c>
      <x:c r="R2164" s="14" t="str">
        <x:v>Planlandı</x:v>
      </x:c>
      <x:c r="S2164" s="15" t="str"/>
      <x:c r="T2164" s="14" t="str"/>
    </x:row>
    <x:row r="2165">
      <x:c r="A2165" s="14" t="n">
        <x:v>2164</x:v>
      </x:c>
      <x:c r="B2165" s="15" t="n">
        <x:v>46470</x:v>
      </x:c>
      <x:c r="C2165" s="14" t="str">
        <x:v>Çarşamba</x:v>
      </x:c>
      <x:c r="D2165" s="14" t="str">
        <x:v>Okul Günü</x:v>
      </x:c>
      <x:c r="E2165" s="14" t="str">
        <x:v>16:00 sonrası</x:v>
      </x:c>
      <x:c r="F2165" s="14" t="str">
        <x:v>F3 - Kaynak/MEB Tamamlama</x:v>
      </x:c>
      <x:c r="G2165" s="14" t="str">
        <x:v>16:00</x:v>
      </x:c>
      <x:c r="H2165" s="14" t="str">
        <x:v>16:25</x:v>
      </x:c>
      <x:c r="I2165" s="14" t="str">
        <x:v>Genel</x:v>
      </x:c>
      <x:c r="J2165" s="14" t="str">
        <x:v>Dinlenme</x:v>
      </x:c>
      <x:c r="K2165" s="14" t="str"/>
      <x:c r="L2165" s="14" t="str">
        <x:v>Eve geliş, atıştırma ve dinlenme.</x:v>
      </x:c>
      <x:c r="M2165" s="14" t="str"/>
      <x:c r="N2165" s="14" t="str"/>
      <x:c r="O2165" s="14" t="n">
        <x:v>0</x:v>
      </x:c>
      <x:c r="P2165" s="14" t="str">
        <x:v>Hayır</x:v>
      </x:c>
      <x:c r="Q2165" s="14" t="str">
        <x:v>Hayır</x:v>
      </x:c>
      <x:c r="R2165" s="14" t="str">
        <x:v>Planlandı</x:v>
      </x:c>
      <x:c r="S2165" s="15" t="str"/>
      <x:c r="T2165" s="14" t="str"/>
    </x:row>
    <x:row r="2166">
      <x:c r="A2166" s="14" t="n">
        <x:v>2165</x:v>
      </x:c>
      <x:c r="B2166" s="15" t="n">
        <x:v>46470</x:v>
      </x:c>
      <x:c r="C2166" s="14" t="str">
        <x:v>Çarşamba</x:v>
      </x:c>
      <x:c r="D2166" s="14" t="str">
        <x:v>Okul Günü</x:v>
      </x:c>
      <x:c r="E2166" s="14" t="str">
        <x:v>16:00 sonrası</x:v>
      </x:c>
      <x:c r="F2166" s="14" t="str">
        <x:v>F3 - Kaynak/MEB Tamamlama</x:v>
      </x:c>
      <x:c r="G2166" s="14" t="str">
        <x:v>16:25</x:v>
      </x:c>
      <x:c r="H2166" s="14" t="str">
        <x:v>17:05</x:v>
      </x:c>
      <x:c r="I2166" s="14" t="str">
        <x:v>Matematik</x:v>
      </x:c>
      <x:c r="J2166" s="14" t="str">
        <x:v>Konu / Tekrar</x:v>
      </x:c>
      <x:c r="K2166" s="14" t="str">
        <x:v>Kaynak Tamamlama / Zayıf Konu</x:v>
      </x:c>
      <x:c r="L2166" s="14" t="str">
        <x:v>Yeni konu açma. En zayıf/açık konunun ilgili playlist videosunu yalnız gerekiyorsa tekrar izle.</x:v>
      </x:c>
      <x:c r="M2166" s="14" t="str">
        <x:v>Matematik Ana Oynatma Listesi</x:v>
      </x:c>
      <x:c r="N2166" s="14" t="str">
        <x:v>https://www.youtube.com/watch?v=EuJ89QzqrAg&amp;list=PLicNtF7vp6fnfDqrRLH6H7fIbzYT4ct4F&amp;index=11</x:v>
      </x:c>
      <x:c r="O2166" s="14" t="n">
        <x:v>0</x:v>
      </x:c>
      <x:c r="P2166" s="14" t="str">
        <x:v>Hayır</x:v>
      </x:c>
      <x:c r="Q2166" s="14" t="str">
        <x:v>Evet</x:v>
      </x:c>
      <x:c r="R2166" s="14" t="str">
        <x:v>Planlandı</x:v>
      </x:c>
      <x:c r="S2166" s="15" t="str"/>
      <x:c r="T2166" s="14" t="str">
        <x:v>Yeni konu ancak plan sırasıyla açılır; LGS dışı ileri TYT içeriği zorunlu değildir.</x:v>
      </x:c>
    </x:row>
    <x:row r="2167">
      <x:c r="A2167" s="14" t="n">
        <x:v>2166</x:v>
      </x:c>
      <x:c r="B2167" s="15" t="n">
        <x:v>46470</x:v>
      </x:c>
      <x:c r="C2167" s="14" t="str">
        <x:v>Çarşamba</x:v>
      </x:c>
      <x:c r="D2167" s="14" t="str">
        <x:v>Okul Günü</x:v>
      </x:c>
      <x:c r="E2167" s="14" t="str">
        <x:v>16:00 sonrası</x:v>
      </x:c>
      <x:c r="F2167" s="14" t="str">
        <x:v>F3 - Kaynak/MEB Tamamlama</x:v>
      </x:c>
      <x:c r="G2167" s="14" t="str">
        <x:v>17:10</x:v>
      </x:c>
      <x:c r="H2167" s="14" t="str">
        <x:v>17:55</x:v>
      </x:c>
      <x:c r="I2167" s="14" t="str">
        <x:v>Matematik</x:v>
      </x:c>
      <x:c r="J2167" s="14" t="str">
        <x:v>Kitap / MEB / Mastery</x:v>
      </x:c>
      <x:c r="K2167" s="14" t="str">
        <x:v>Kaynak Tamamlama / Zayıf Konu</x:v>
      </x:c>
      <x:c r="L2167" s="14" t="str">
        <x:v>13 Nisan %100 tamamlama hedefine göre en geride kalan Matematik soru kaynağını/eksik MEB setini ilerlet; açık yanlışları kapat.</x:v>
      </x:c>
      <x:c r="M2167" s="14" t="str">
        <x:v>MUBA 8. Sınıf Başlangıç Matematik (ISBN 9789756526972) → tamamlandıysa Mozaik 8. Sınıf Matematik; açık MEB/yanlışlar</x:v>
      </x:c>
      <x:c r="N2167" s="14" t="str">
        <x:v>https://odsgm.meb.gov.tr/www/8sinif-calisma-sorulari/icerik/1632</x:v>
      </x:c>
      <x:c r="O2167" s="14" t="n">
        <x:v>30</x:v>
      </x:c>
      <x:c r="P2167" s="14" t="str">
        <x:v>İlk 20 soru</x:v>
      </x:c>
      <x:c r="Q2167" s="14" t="str">
        <x:v>Evet</x:v>
      </x:c>
      <x:c r="R2167" s="14" t="str">
        <x:v>Planlandı</x:v>
      </x:c>
      <x:c r="S2167" s="15" t="str"/>
      <x:c r="T2167" s="14" t="str">
        <x:v>Ayrı/rastgele matematik benchmark yoktur. Süreli ilk 20 soru o gün çalışılan konunun içindedir.</x:v>
      </x:c>
    </x:row>
    <x:row r="2168">
      <x:c r="A2168" s="14" t="n">
        <x:v>2167</x:v>
      </x:c>
      <x:c r="B2168" s="15" t="n">
        <x:v>46470</x:v>
      </x:c>
      <x:c r="C2168" s="14" t="str">
        <x:v>Çarşamba</x:v>
      </x:c>
      <x:c r="D2168" s="14" t="str">
        <x:v>Okul Günü</x:v>
      </x:c>
      <x:c r="E2168" s="14" t="str">
        <x:v>16:00 sonrası</x:v>
      </x:c>
      <x:c r="F2168" s="14" t="str">
        <x:v>F3 - Kaynak/MEB Tamamlama</x:v>
      </x:c>
      <x:c r="G2168" s="14" t="str">
        <x:v>17:55</x:v>
      </x:c>
      <x:c r="H2168" s="14" t="str">
        <x:v>18:25</x:v>
      </x:c>
      <x:c r="I2168" s="14" t="str">
        <x:v>Genel</x:v>
      </x:c>
      <x:c r="J2168" s="14" t="str">
        <x:v>Yemek / Serbest Zaman</x:v>
      </x:c>
      <x:c r="K2168" s="14" t="str"/>
      <x:c r="L2168" s="14" t="str">
        <x:v>Yemek, hareket ve dinlenme.</x:v>
      </x:c>
      <x:c r="M2168" s="14" t="str"/>
      <x:c r="N2168" s="14" t="str"/>
      <x:c r="O2168" s="14" t="n">
        <x:v>0</x:v>
      </x:c>
      <x:c r="P2168" s="14" t="str">
        <x:v>Hayır</x:v>
      </x:c>
      <x:c r="Q2168" s="14" t="str">
        <x:v>Hayır</x:v>
      </x:c>
      <x:c r="R2168" s="14" t="str">
        <x:v>Planlandı</x:v>
      </x:c>
      <x:c r="S2168" s="15" t="str"/>
      <x:c r="T2168" s="14" t="str"/>
    </x:row>
    <x:row r="2169">
      <x:c r="A2169" s="14" t="n">
        <x:v>2168</x:v>
      </x:c>
      <x:c r="B2169" s="15" t="n">
        <x:v>46470</x:v>
      </x:c>
      <x:c r="C2169" s="14" t="str">
        <x:v>Çarşamba</x:v>
      </x:c>
      <x:c r="D2169" s="14" t="str">
        <x:v>Okul Günü</x:v>
      </x:c>
      <x:c r="E2169" s="14" t="str">
        <x:v>16:00 sonrası</x:v>
      </x:c>
      <x:c r="F2169" s="14" t="str">
        <x:v>F3 - Kaynak/MEB Tamamlama</x:v>
      </x:c>
      <x:c r="G2169" s="14" t="str">
        <x:v>18:25</x:v>
      </x:c>
      <x:c r="H2169" s="14" t="str">
        <x:v>18:55</x:v>
      </x:c>
      <x:c r="I2169" s="14" t="str">
        <x:v>Türkçe</x:v>
      </x:c>
      <x:c r="J2169" s="14" t="str">
        <x:v>Paragraf Rutini</x:v>
      </x:c>
      <x:c r="K2169" s="14" t="str">
        <x:v>Paragraf</x:v>
      </x:c>
      <x:c r="L2169" s="14" t="str">
        <x:v>En az 30 paragraf sorusu çöz; ilk 20 soruyu ileri sayımla ölç, D/Y/B + süre kaydet.</x:v>
      </x:c>
      <x:c r="M2169" s="14" t="str">
        <x:v>Hız 8. Sınıf Türkçe Paragraf (ISBN 9786258394498)</x:v>
      </x:c>
      <x:c r="N2169" s="14" t="str"/>
      <x:c r="O2169" s="14" t="n">
        <x:v>30</x:v>
      </x:c>
      <x:c r="P2169" s="14" t="str">
        <x:v>İlk 20 soru</x:v>
      </x:c>
      <x:c r="Q2169" s="14" t="str">
        <x:v>Evet</x:v>
      </x:c>
      <x:c r="R2169" s="14" t="str">
        <x:v>Planlandı</x:v>
      </x:c>
      <x:c r="S2169" s="15" t="str"/>
      <x:c r="T2169" s="14" t="str">
        <x:v>Geri sayım ve hedef süre yok.</x:v>
      </x:c>
    </x:row>
    <x:row r="2170">
      <x:c r="A2170" s="14" t="n">
        <x:v>2169</x:v>
      </x:c>
      <x:c r="B2170" s="15" t="n">
        <x:v>46470</x:v>
      </x:c>
      <x:c r="C2170" s="14" t="str">
        <x:v>Çarşamba</x:v>
      </x:c>
      <x:c r="D2170" s="14" t="str">
        <x:v>Okul Günü</x:v>
      </x:c>
      <x:c r="E2170" s="14" t="str">
        <x:v>16:00 sonrası</x:v>
      </x:c>
      <x:c r="F2170" s="14" t="str">
        <x:v>F3 - Kaynak/MEB Tamamlama</x:v>
      </x:c>
      <x:c r="G2170" s="14" t="str">
        <x:v>19:00</x:v>
      </x:c>
      <x:c r="H2170" s="14" t="str">
        <x:v>19:35</x:v>
      </x:c>
      <x:c r="I2170" s="14" t="str">
        <x:v>Türkçe</x:v>
      </x:c>
      <x:c r="J2170" s="14" t="str">
        <x:v>Konu / Tekrar</x:v>
      </x:c>
      <x:c r="K2170" s="14" t="str">
        <x:v>Kaynak Tamamlama / Zayıf Konu</x:v>
      </x:c>
      <x:c r="L2170" s="14" t="str">
        <x:v>Yeni konu açma. En zayıf/açık konunun ilgili playlist videosunu yalnız gerekiyorsa tekrar izle.</x:v>
      </x:c>
      <x:c r="M2170" s="14" t="str">
        <x:v>Türkçe Ana Oynatma Listesi</x:v>
      </x:c>
      <x:c r="N2170" s="14" t="str">
        <x:v>https://www.youtube.com/watch?v=VYsPntNKVdw&amp;list=PLIBjFaUoJJ91bz7QQEBlxNJNZka5YQRr6</x:v>
      </x:c>
      <x:c r="O2170" s="14" t="n">
        <x:v>0</x:v>
      </x:c>
      <x:c r="P2170" s="14" t="str">
        <x:v>Hayır</x:v>
      </x:c>
      <x:c r="Q2170" s="14" t="str">
        <x:v>Evet</x:v>
      </x:c>
      <x:c r="R2170" s="14" t="str">
        <x:v>Planlandı</x:v>
      </x:c>
      <x:c r="S2170" s="15" t="str"/>
      <x:c r="T2170" s="14" t="str">
        <x:v>TYT etiketli kaynak temelden başlamak için sabittir; LGS dışı gereksiz ayrıntı zorunlu değildir.</x:v>
      </x:c>
    </x:row>
    <x:row r="2171">
      <x:c r="A2171" s="14" t="n">
        <x:v>2170</x:v>
      </x:c>
      <x:c r="B2171" s="15" t="n">
        <x:v>46470</x:v>
      </x:c>
      <x:c r="C2171" s="14" t="str">
        <x:v>Çarşamba</x:v>
      </x:c>
      <x:c r="D2171" s="14" t="str">
        <x:v>Okul Günü</x:v>
      </x:c>
      <x:c r="E2171" s="14" t="str">
        <x:v>16:00 sonrası</x:v>
      </x:c>
      <x:c r="F2171" s="14" t="str">
        <x:v>F3 - Kaynak/MEB Tamamlama</x:v>
      </x:c>
      <x:c r="G2171" s="14" t="str">
        <x:v>19:40</x:v>
      </x:c>
      <x:c r="H2171" s="14" t="str">
        <x:v>20:10</x:v>
      </x:c>
      <x:c r="I2171" s="14" t="str">
        <x:v>Türkçe</x:v>
      </x:c>
      <x:c r="J2171" s="14" t="str">
        <x:v>Kitap / MEB / Mastery</x:v>
      </x:c>
      <x:c r="K2171" s="14" t="str">
        <x:v>Kaynak Tamamlama / Zayıf Konu</x:v>
      </x:c>
      <x:c r="L2171" s="14" t="str">
        <x:v>13 Nisan %100 tamamlama hedefine göre en geride kalan Türkçe soru kaynağını/eksik MEB setini ilerlet; açık yanlışları kapat.</x:v>
      </x:c>
      <x:c r="M2171" s="14" t="str">
        <x:v>Ankara 8. Sınıf Dil Bilgisi Güçlendiren + açık MEB/yanlışlar</x:v>
      </x:c>
      <x:c r="N2171" s="14" t="str">
        <x:v>https://odsgm.meb.gov.tr/www/8sinif-calisma-sorulari/icerik/1632</x:v>
      </x:c>
      <x:c r="O2171" s="14" t="n">
        <x:v>20</x:v>
      </x:c>
      <x:c r="P2171" s="14" t="str">
        <x:v>Hayır</x:v>
      </x:c>
      <x:c r="Q2171" s="14" t="str">
        <x:v>Evet</x:v>
      </x:c>
      <x:c r="R2171" s="14" t="str">
        <x:v>Planlandı</x:v>
      </x:c>
      <x:c r="S2171" s="15" t="str"/>
      <x:c r="T2171" s="14" t="str"/>
    </x:row>
    <x:row r="2172">
      <x:c r="A2172" s="14" t="n">
        <x:v>2171</x:v>
      </x:c>
      <x:c r="B2172" s="15" t="n">
        <x:v>46470</x:v>
      </x:c>
      <x:c r="C2172" s="14" t="str">
        <x:v>Çarşamba</x:v>
      </x:c>
      <x:c r="D2172" s="14" t="str">
        <x:v>Okul Günü</x:v>
      </x:c>
      <x:c r="E2172" s="14" t="str">
        <x:v>16:00 sonrası</x:v>
      </x:c>
      <x:c r="F2172" s="14" t="str">
        <x:v>F3 - Kaynak/MEB Tamamlama</x:v>
      </x:c>
      <x:c r="G2172" s="14" t="str">
        <x:v>20:15</x:v>
      </x:c>
      <x:c r="H2172" s="14" t="str">
        <x:v>20:50</x:v>
      </x:c>
      <x:c r="I2172" s="14" t="str">
        <x:v>İnkılap</x:v>
      </x:c>
      <x:c r="J2172" s="14" t="str">
        <x:v>Konu / Tekrar</x:v>
      </x:c>
      <x:c r="K2172" s="14" t="str">
        <x:v>Kaynak Tamamlama / Zayıf Konu</x:v>
      </x:c>
      <x:c r="L2172" s="14" t="str">
        <x:v>Yeni konu açma. En zayıf/açık konunun ilgili playlist videosunu yalnız gerekiyorsa tekrar izle.</x:v>
      </x:c>
      <x:c r="M2172" s="14" t="str">
        <x:v>İnkılap Genel Oynatma Listesi</x:v>
      </x:c>
      <x:c r="N2172" s="14" t="str">
        <x:v>https://www.youtube.com/watch?v=MltIX0oKpYU&amp;list=PLsAsBPsriHNbXit4Ra3iuBrk1ZHZWxsOR&amp;index=78</x:v>
      </x:c>
      <x:c r="O2172" s="14" t="n">
        <x:v>0</x:v>
      </x:c>
      <x:c r="P2172" s="14" t="str">
        <x:v>Hayır</x:v>
      </x:c>
      <x:c r="Q2172" s="14" t="str">
        <x:v>Evet</x:v>
      </x:c>
      <x:c r="R2172" s="14" t="str">
        <x:v>Planlandı</x:v>
      </x:c>
      <x:c r="S2172" s="15" t="str"/>
      <x:c r="T2172" s="14" t="str">
        <x:v>İnkılapta okul yazılısı videoları zorunlu değildir.</x:v>
      </x:c>
    </x:row>
    <x:row r="2173">
      <x:c r="A2173" s="14" t="n">
        <x:v>2172</x:v>
      </x:c>
      <x:c r="B2173" s="15" t="n">
        <x:v>46470</x:v>
      </x:c>
      <x:c r="C2173" s="14" t="str">
        <x:v>Çarşamba</x:v>
      </x:c>
      <x:c r="D2173" s="14" t="str">
        <x:v>Okul Günü</x:v>
      </x:c>
      <x:c r="E2173" s="14" t="str">
        <x:v>16:00 sonrası</x:v>
      </x:c>
      <x:c r="F2173" s="14" t="str">
        <x:v>F3 - Kaynak/MEB Tamamlama</x:v>
      </x:c>
      <x:c r="G2173" s="14" t="str">
        <x:v>20:55</x:v>
      </x:c>
      <x:c r="H2173" s="14" t="str">
        <x:v>21:20</x:v>
      </x:c>
      <x:c r="I2173" s="14" t="str">
        <x:v>İnkılap</x:v>
      </x:c>
      <x:c r="J2173" s="14" t="str">
        <x:v>Kitap / MEB / Mastery</x:v>
      </x:c>
      <x:c r="K2173" s="14" t="str">
        <x:v>Kaynak Tamamlama / Zayıf Konu</x:v>
      </x:c>
      <x:c r="L2173" s="14" t="str">
        <x:v>13 Nisan %100 tamamlama hedefine göre en geride kalan İnkılap soru kaynağını/eksik MEB setini ilerlet; açık yanlışları kapat.</x:v>
      </x:c>
      <x:c r="M2173" s="14" t="str">
        <x:v>Hız 8. Sınıf T.C. İnkılap Tarihi ve Atatürkçülük + açık MEB/yanlışlar</x:v>
      </x:c>
      <x:c r="N2173" s="14" t="str">
        <x:v>https://odsgm.meb.gov.tr/www/8sinif-calisma-sorulari/icerik/1632</x:v>
      </x:c>
      <x:c r="O2173" s="14" t="n">
        <x:v>20</x:v>
      </x:c>
      <x:c r="P2173" s="14" t="str">
        <x:v>Hayır</x:v>
      </x:c>
      <x:c r="Q2173" s="14" t="str">
        <x:v>Evet</x:v>
      </x:c>
      <x:c r="R2173" s="14" t="str">
        <x:v>Planlandı</x:v>
      </x:c>
      <x:c r="S2173" s="15" t="str"/>
      <x:c r="T2173" s="14" t="str"/>
    </x:row>
    <x:row r="2174">
      <x:c r="A2174" s="14" t="n">
        <x:v>2173</x:v>
      </x:c>
      <x:c r="B2174" s="15" t="n">
        <x:v>46470</x:v>
      </x:c>
      <x:c r="C2174" s="14" t="str">
        <x:v>Çarşamba</x:v>
      </x:c>
      <x:c r="D2174" s="14" t="str">
        <x:v>Okul Günü</x:v>
      </x:c>
      <x:c r="E2174" s="14" t="str">
        <x:v>16:00 sonrası</x:v>
      </x:c>
      <x:c r="F2174" s="14" t="str">
        <x:v>F3 - Kaynak/MEB Tamamlama</x:v>
      </x:c>
      <x:c r="G2174" s="14" t="str">
        <x:v>21:20</x:v>
      </x:c>
      <x:c r="H2174" s="14" t="str">
        <x:v>21:35</x:v>
      </x:c>
      <x:c r="I2174" s="14" t="str">
        <x:v>Genel</x:v>
      </x:c>
      <x:c r="J2174" s="14" t="str">
        <x:v>Yanlış / Boş Analizi</x:v>
      </x:c>
      <x:c r="K2174" s="14" t="str">
        <x:v>Günlük</x:v>
      </x:c>
      <x:c r="L2174" s="14" t="str">
        <x:v>Bugünkü yanlış/boşları kaydet; çözümünü öğrenmeden kapatma. Hata türünü sınıflandır.</x:v>
      </x:c>
      <x:c r="M2174" s="14" t="str">
        <x:v>Yanlış Defteri</x:v>
      </x:c>
      <x:c r="N2174" s="14" t="str"/>
      <x:c r="O2174" s="14" t="n">
        <x:v>0</x:v>
      </x:c>
      <x:c r="P2174" s="14" t="str">
        <x:v>Hayır</x:v>
      </x:c>
      <x:c r="Q2174" s="14" t="str">
        <x:v>Evet</x:v>
      </x:c>
      <x:c r="R2174" s="14" t="str">
        <x:v>Planlandı</x:v>
      </x:c>
      <x:c r="S2174" s="15" t="str"/>
      <x:c r="T2174" s="14" t="str"/>
    </x:row>
    <x:row r="2175">
      <x:c r="A2175" s="14" t="n">
        <x:v>2174</x:v>
      </x:c>
      <x:c r="B2175" s="15" t="n">
        <x:v>46470</x:v>
      </x:c>
      <x:c r="C2175" s="14" t="str">
        <x:v>Çarşamba</x:v>
      </x:c>
      <x:c r="D2175" s="14" t="str">
        <x:v>Okul Günü</x:v>
      </x:c>
      <x:c r="E2175" s="14" t="str">
        <x:v>16:00 sonrası</x:v>
      </x:c>
      <x:c r="F2175" s="14" t="str">
        <x:v>F3 - Kaynak/MEB Tamamlama</x:v>
      </x:c>
      <x:c r="G2175" s="14" t="str">
        <x:v>21:35</x:v>
      </x:c>
      <x:c r="H2175" s="14" t="str">
        <x:v>21:50</x:v>
      </x:c>
      <x:c r="I2175" s="14" t="str">
        <x:v>Genel</x:v>
      </x:c>
      <x:c r="J2175" s="14" t="str">
        <x:v>Aralıklı Hata Tekrarı</x:v>
      </x:c>
      <x:c r="K2175" s="14" t="str">
        <x:v>+1 / +7 / +21</x:v>
      </x:c>
      <x:c r="L2175" s="14" t="str">
        <x:v>Bugün vadesi gelen yanlış soruları tekrar çöz. Vadesi yoksa bu süre serbest/okuma olabilir.</x:v>
      </x:c>
      <x:c r="M2175" s="14" t="str">
        <x:v>Yanlış Defteri</x:v>
      </x:c>
      <x:c r="N2175" s="14" t="str"/>
      <x:c r="O2175" s="14" t="n">
        <x:v>0</x:v>
      </x:c>
      <x:c r="P2175" s="14" t="str">
        <x:v>Hayır</x:v>
      </x:c>
      <x:c r="Q2175" s="14" t="str">
        <x:v>Koşullu</x:v>
      </x:c>
      <x:c r="R2175" s="14" t="str">
        <x:v>Planlandı</x:v>
      </x:c>
      <x:c r="S2175" s="15" t="str"/>
      <x:c r="T2175" s="14" t="str">
        <x:v>Yanlışlar +1, +7 ve +21 gün aralıklarıyla tekrar edilir; hâlâ yanlışsa konu mastery durumu düşürülür.</x:v>
      </x:c>
    </x:row>
    <x:row r="2176">
      <x:c r="A2176" s="14" t="n">
        <x:v>2175</x:v>
      </x:c>
      <x:c r="B2176" s="15" t="n">
        <x:v>46470</x:v>
      </x:c>
      <x:c r="C2176" s="14" t="str">
        <x:v>Çarşamba</x:v>
      </x:c>
      <x:c r="D2176" s="14" t="str">
        <x:v>Okul Günü</x:v>
      </x:c>
      <x:c r="E2176" s="14" t="str">
        <x:v>16:00 sonrası</x:v>
      </x:c>
      <x:c r="F2176" s="14" t="str">
        <x:v>F3 - Kaynak/MEB Tamamlama</x:v>
      </x:c>
      <x:c r="G2176" s="14" t="str">
        <x:v>21:50</x:v>
      </x:c>
      <x:c r="H2176" s="14" t="str">
        <x:v>22:00</x:v>
      </x:c>
      <x:c r="I2176" s="14" t="str">
        <x:v>Genel</x:v>
      </x:c>
      <x:c r="J2176" s="14" t="str">
        <x:v>Uyku Hazırlığı</x:v>
      </x:c>
      <x:c r="K2176" s="14" t="str"/>
      <x:c r="L2176" s="14" t="str">
        <x:v>22:00'de yatakta ve uyku.</x:v>
      </x:c>
      <x:c r="M2176" s="14" t="str"/>
      <x:c r="N2176" s="14" t="str"/>
      <x:c r="O2176" s="14" t="n">
        <x:v>0</x:v>
      </x:c>
      <x:c r="P2176" s="14" t="str">
        <x:v>Hayır</x:v>
      </x:c>
      <x:c r="Q2176" s="14" t="str">
        <x:v>Hayır</x:v>
      </x:c>
      <x:c r="R2176" s="14" t="str">
        <x:v>Planlandı</x:v>
      </x:c>
      <x:c r="S2176" s="15" t="str"/>
      <x:c r="T2176" s="14" t="str"/>
    </x:row>
    <x:row r="2177">
      <x:c r="A2177" s="14" t="n">
        <x:v>2176</x:v>
      </x:c>
      <x:c r="B2177" s="15" t="n">
        <x:v>46471</x:v>
      </x:c>
      <x:c r="C2177" s="14" t="str">
        <x:v>Perşembe</x:v>
      </x:c>
      <x:c r="D2177" s="14" t="str">
        <x:v>Okul Günü</x:v>
      </x:c>
      <x:c r="E2177" s="14" t="str">
        <x:v>16:00 sonrası</x:v>
      </x:c>
      <x:c r="F2177" s="14" t="str">
        <x:v>F3 - Kaynak/MEB Tamamlama</x:v>
      </x:c>
      <x:c r="G2177" s="14" t="str">
        <x:v>16:00</x:v>
      </x:c>
      <x:c r="H2177" s="14" t="str">
        <x:v>16:25</x:v>
      </x:c>
      <x:c r="I2177" s="14" t="str">
        <x:v>Genel</x:v>
      </x:c>
      <x:c r="J2177" s="14" t="str">
        <x:v>Dinlenme</x:v>
      </x:c>
      <x:c r="K2177" s="14" t="str"/>
      <x:c r="L2177" s="14" t="str">
        <x:v>Eve geliş, atıştırma ve dinlenme.</x:v>
      </x:c>
      <x:c r="M2177" s="14" t="str"/>
      <x:c r="N2177" s="14" t="str"/>
      <x:c r="O2177" s="14" t="n">
        <x:v>0</x:v>
      </x:c>
      <x:c r="P2177" s="14" t="str">
        <x:v>Hayır</x:v>
      </x:c>
      <x:c r="Q2177" s="14" t="str">
        <x:v>Hayır</x:v>
      </x:c>
      <x:c r="R2177" s="14" t="str">
        <x:v>Planlandı</x:v>
      </x:c>
      <x:c r="S2177" s="15" t="str"/>
      <x:c r="T2177" s="14" t="str"/>
    </x:row>
    <x:row r="2178">
      <x:c r="A2178" s="14" t="n">
        <x:v>2177</x:v>
      </x:c>
      <x:c r="B2178" s="15" t="n">
        <x:v>46471</x:v>
      </x:c>
      <x:c r="C2178" s="14" t="str">
        <x:v>Perşembe</x:v>
      </x:c>
      <x:c r="D2178" s="14" t="str">
        <x:v>Okul Günü</x:v>
      </x:c>
      <x:c r="E2178" s="14" t="str">
        <x:v>16:00 sonrası</x:v>
      </x:c>
      <x:c r="F2178" s="14" t="str">
        <x:v>F3 - Kaynak/MEB Tamamlama</x:v>
      </x:c>
      <x:c r="G2178" s="14" t="str">
        <x:v>16:25</x:v>
      </x:c>
      <x:c r="H2178" s="14" t="str">
        <x:v>17:05</x:v>
      </x:c>
      <x:c r="I2178" s="14" t="str">
        <x:v>Matematik</x:v>
      </x:c>
      <x:c r="J2178" s="14" t="str">
        <x:v>Konu / Tekrar</x:v>
      </x:c>
      <x:c r="K2178" s="14" t="str">
        <x:v>Kaynak Tamamlama / Zayıf Konu</x:v>
      </x:c>
      <x:c r="L2178" s="14" t="str">
        <x:v>Yeni konu açma. En zayıf/açık konunun ilgili playlist videosunu yalnız gerekiyorsa tekrar izle.</x:v>
      </x:c>
      <x:c r="M2178" s="14" t="str">
        <x:v>Matematik Ana Oynatma Listesi</x:v>
      </x:c>
      <x:c r="N2178" s="14" t="str">
        <x:v>https://www.youtube.com/watch?v=EuJ89QzqrAg&amp;list=PLicNtF7vp6fnfDqrRLH6H7fIbzYT4ct4F&amp;index=11</x:v>
      </x:c>
      <x:c r="O2178" s="14" t="n">
        <x:v>0</x:v>
      </x:c>
      <x:c r="P2178" s="14" t="str">
        <x:v>Hayır</x:v>
      </x:c>
      <x:c r="Q2178" s="14" t="str">
        <x:v>Evet</x:v>
      </x:c>
      <x:c r="R2178" s="14" t="str">
        <x:v>Planlandı</x:v>
      </x:c>
      <x:c r="S2178" s="15" t="str"/>
      <x:c r="T2178" s="14" t="str">
        <x:v>Yeni konu ancak plan sırasıyla açılır; LGS dışı ileri TYT içeriği zorunlu değildir.</x:v>
      </x:c>
    </x:row>
    <x:row r="2179">
      <x:c r="A2179" s="14" t="n">
        <x:v>2178</x:v>
      </x:c>
      <x:c r="B2179" s="15" t="n">
        <x:v>46471</x:v>
      </x:c>
      <x:c r="C2179" s="14" t="str">
        <x:v>Perşembe</x:v>
      </x:c>
      <x:c r="D2179" s="14" t="str">
        <x:v>Okul Günü</x:v>
      </x:c>
      <x:c r="E2179" s="14" t="str">
        <x:v>16:00 sonrası</x:v>
      </x:c>
      <x:c r="F2179" s="14" t="str">
        <x:v>F3 - Kaynak/MEB Tamamlama</x:v>
      </x:c>
      <x:c r="G2179" s="14" t="str">
        <x:v>17:10</x:v>
      </x:c>
      <x:c r="H2179" s="14" t="str">
        <x:v>17:55</x:v>
      </x:c>
      <x:c r="I2179" s="14" t="str">
        <x:v>Matematik</x:v>
      </x:c>
      <x:c r="J2179" s="14" t="str">
        <x:v>Kitap / MEB / Mastery</x:v>
      </x:c>
      <x:c r="K2179" s="14" t="str">
        <x:v>Kaynak Tamamlama / Zayıf Konu</x:v>
      </x:c>
      <x:c r="L2179" s="14" t="str">
        <x:v>13 Nisan %100 tamamlama hedefine göre en geride kalan Matematik soru kaynağını/eksik MEB setini ilerlet; açık yanlışları kapat.</x:v>
      </x:c>
      <x:c r="M2179" s="14" t="str">
        <x:v>MUBA 8. Sınıf Başlangıç Matematik (ISBN 9789756526972) → tamamlandıysa Mozaik 8. Sınıf Matematik; açık MEB/yanlışlar</x:v>
      </x:c>
      <x:c r="N2179" s="14" t="str">
        <x:v>https://odsgm.meb.gov.tr/www/8sinif-calisma-sorulari/icerik/1632</x:v>
      </x:c>
      <x:c r="O2179" s="14" t="n">
        <x:v>30</x:v>
      </x:c>
      <x:c r="P2179" s="14" t="str">
        <x:v>İlk 20 soru</x:v>
      </x:c>
      <x:c r="Q2179" s="14" t="str">
        <x:v>Evet</x:v>
      </x:c>
      <x:c r="R2179" s="14" t="str">
        <x:v>Planlandı</x:v>
      </x:c>
      <x:c r="S2179" s="15" t="str"/>
      <x:c r="T2179" s="14" t="str">
        <x:v>Ayrı/rastgele matematik benchmark yoktur. Süreli ilk 20 soru o gün çalışılan konunun içindedir.</x:v>
      </x:c>
    </x:row>
    <x:row r="2180">
      <x:c r="A2180" s="14" t="n">
        <x:v>2179</x:v>
      </x:c>
      <x:c r="B2180" s="15" t="n">
        <x:v>46471</x:v>
      </x:c>
      <x:c r="C2180" s="14" t="str">
        <x:v>Perşembe</x:v>
      </x:c>
      <x:c r="D2180" s="14" t="str">
        <x:v>Okul Günü</x:v>
      </x:c>
      <x:c r="E2180" s="14" t="str">
        <x:v>16:00 sonrası</x:v>
      </x:c>
      <x:c r="F2180" s="14" t="str">
        <x:v>F3 - Kaynak/MEB Tamamlama</x:v>
      </x:c>
      <x:c r="G2180" s="14" t="str">
        <x:v>17:55</x:v>
      </x:c>
      <x:c r="H2180" s="14" t="str">
        <x:v>18:25</x:v>
      </x:c>
      <x:c r="I2180" s="14" t="str">
        <x:v>Genel</x:v>
      </x:c>
      <x:c r="J2180" s="14" t="str">
        <x:v>Yemek / Serbest Zaman</x:v>
      </x:c>
      <x:c r="K2180" s="14" t="str"/>
      <x:c r="L2180" s="14" t="str">
        <x:v>Yemek, hareket ve dinlenme.</x:v>
      </x:c>
      <x:c r="M2180" s="14" t="str"/>
      <x:c r="N2180" s="14" t="str"/>
      <x:c r="O2180" s="14" t="n">
        <x:v>0</x:v>
      </x:c>
      <x:c r="P2180" s="14" t="str">
        <x:v>Hayır</x:v>
      </x:c>
      <x:c r="Q2180" s="14" t="str">
        <x:v>Hayır</x:v>
      </x:c>
      <x:c r="R2180" s="14" t="str">
        <x:v>Planlandı</x:v>
      </x:c>
      <x:c r="S2180" s="15" t="str"/>
      <x:c r="T2180" s="14" t="str"/>
    </x:row>
    <x:row r="2181">
      <x:c r="A2181" s="14" t="n">
        <x:v>2180</x:v>
      </x:c>
      <x:c r="B2181" s="15" t="n">
        <x:v>46471</x:v>
      </x:c>
      <x:c r="C2181" s="14" t="str">
        <x:v>Perşembe</x:v>
      </x:c>
      <x:c r="D2181" s="14" t="str">
        <x:v>Okul Günü</x:v>
      </x:c>
      <x:c r="E2181" s="14" t="str">
        <x:v>16:00 sonrası</x:v>
      </x:c>
      <x:c r="F2181" s="14" t="str">
        <x:v>F3 - Kaynak/MEB Tamamlama</x:v>
      </x:c>
      <x:c r="G2181" s="14" t="str">
        <x:v>18:25</x:v>
      </x:c>
      <x:c r="H2181" s="14" t="str">
        <x:v>18:55</x:v>
      </x:c>
      <x:c r="I2181" s="14" t="str">
        <x:v>Türkçe</x:v>
      </x:c>
      <x:c r="J2181" s="14" t="str">
        <x:v>Paragraf Rutini</x:v>
      </x:c>
      <x:c r="K2181" s="14" t="str">
        <x:v>Paragraf</x:v>
      </x:c>
      <x:c r="L2181" s="14" t="str">
        <x:v>En az 30 paragraf sorusu çöz; ilk 20 soruyu ileri sayımla ölç, D/Y/B + süre kaydet.</x:v>
      </x:c>
      <x:c r="M2181" s="14" t="str">
        <x:v>Hız 8. Sınıf Türkçe Paragraf (ISBN 9786258394498)</x:v>
      </x:c>
      <x:c r="N2181" s="14" t="str"/>
      <x:c r="O2181" s="14" t="n">
        <x:v>30</x:v>
      </x:c>
      <x:c r="P2181" s="14" t="str">
        <x:v>İlk 20 soru</x:v>
      </x:c>
      <x:c r="Q2181" s="14" t="str">
        <x:v>Evet</x:v>
      </x:c>
      <x:c r="R2181" s="14" t="str">
        <x:v>Planlandı</x:v>
      </x:c>
      <x:c r="S2181" s="15" t="str"/>
      <x:c r="T2181" s="14" t="str">
        <x:v>Geri sayım ve hedef süre yok.</x:v>
      </x:c>
    </x:row>
    <x:row r="2182">
      <x:c r="A2182" s="14" t="n">
        <x:v>2181</x:v>
      </x:c>
      <x:c r="B2182" s="15" t="n">
        <x:v>46471</x:v>
      </x:c>
      <x:c r="C2182" s="14" t="str">
        <x:v>Perşembe</x:v>
      </x:c>
      <x:c r="D2182" s="14" t="str">
        <x:v>Okul Günü</x:v>
      </x:c>
      <x:c r="E2182" s="14" t="str">
        <x:v>16:00 sonrası</x:v>
      </x:c>
      <x:c r="F2182" s="14" t="str">
        <x:v>F3 - Kaynak/MEB Tamamlama</x:v>
      </x:c>
      <x:c r="G2182" s="14" t="str">
        <x:v>19:00</x:v>
      </x:c>
      <x:c r="H2182" s="14" t="str">
        <x:v>19:35</x:v>
      </x:c>
      <x:c r="I2182" s="14" t="str">
        <x:v>Türkçe</x:v>
      </x:c>
      <x:c r="J2182" s="14" t="str">
        <x:v>Konu / Tekrar</x:v>
      </x:c>
      <x:c r="K2182" s="14" t="str">
        <x:v>Kaynak Tamamlama / Zayıf Konu</x:v>
      </x:c>
      <x:c r="L2182" s="14" t="str">
        <x:v>Yeni konu açma. En zayıf/açık konunun ilgili playlist videosunu yalnız gerekiyorsa tekrar izle.</x:v>
      </x:c>
      <x:c r="M2182" s="14" t="str">
        <x:v>Türkçe Ana Oynatma Listesi</x:v>
      </x:c>
      <x:c r="N2182" s="14" t="str">
        <x:v>https://www.youtube.com/watch?v=VYsPntNKVdw&amp;list=PLIBjFaUoJJ91bz7QQEBlxNJNZka5YQRr6</x:v>
      </x:c>
      <x:c r="O2182" s="14" t="n">
        <x:v>0</x:v>
      </x:c>
      <x:c r="P2182" s="14" t="str">
        <x:v>Hayır</x:v>
      </x:c>
      <x:c r="Q2182" s="14" t="str">
        <x:v>Evet</x:v>
      </x:c>
      <x:c r="R2182" s="14" t="str">
        <x:v>Planlandı</x:v>
      </x:c>
      <x:c r="S2182" s="15" t="str"/>
      <x:c r="T2182" s="14" t="str">
        <x:v>TYT etiketli kaynak temelden başlamak için sabittir; LGS dışı gereksiz ayrıntı zorunlu değildir.</x:v>
      </x:c>
    </x:row>
    <x:row r="2183">
      <x:c r="A2183" s="14" t="n">
        <x:v>2182</x:v>
      </x:c>
      <x:c r="B2183" s="15" t="n">
        <x:v>46471</x:v>
      </x:c>
      <x:c r="C2183" s="14" t="str">
        <x:v>Perşembe</x:v>
      </x:c>
      <x:c r="D2183" s="14" t="str">
        <x:v>Okul Günü</x:v>
      </x:c>
      <x:c r="E2183" s="14" t="str">
        <x:v>16:00 sonrası</x:v>
      </x:c>
      <x:c r="F2183" s="14" t="str">
        <x:v>F3 - Kaynak/MEB Tamamlama</x:v>
      </x:c>
      <x:c r="G2183" s="14" t="str">
        <x:v>19:40</x:v>
      </x:c>
      <x:c r="H2183" s="14" t="str">
        <x:v>20:10</x:v>
      </x:c>
      <x:c r="I2183" s="14" t="str">
        <x:v>Türkçe</x:v>
      </x:c>
      <x:c r="J2183" s="14" t="str">
        <x:v>Kitap / MEB / Mastery</x:v>
      </x:c>
      <x:c r="K2183" s="14" t="str">
        <x:v>Kaynak Tamamlama / Zayıf Konu</x:v>
      </x:c>
      <x:c r="L2183" s="14" t="str">
        <x:v>13 Nisan %100 tamamlama hedefine göre en geride kalan Türkçe soru kaynağını/eksik MEB setini ilerlet; açık yanlışları kapat.</x:v>
      </x:c>
      <x:c r="M2183" s="14" t="str">
        <x:v>Ankara 8. Sınıf Dil Bilgisi Güçlendiren + açık MEB/yanlışlar</x:v>
      </x:c>
      <x:c r="N2183" s="14" t="str">
        <x:v>https://odsgm.meb.gov.tr/www/8sinif-calisma-sorulari/icerik/1632</x:v>
      </x:c>
      <x:c r="O2183" s="14" t="n">
        <x:v>20</x:v>
      </x:c>
      <x:c r="P2183" s="14" t="str">
        <x:v>Hayır</x:v>
      </x:c>
      <x:c r="Q2183" s="14" t="str">
        <x:v>Evet</x:v>
      </x:c>
      <x:c r="R2183" s="14" t="str">
        <x:v>Planlandı</x:v>
      </x:c>
      <x:c r="S2183" s="15" t="str"/>
      <x:c r="T2183" s="14" t="str"/>
    </x:row>
    <x:row r="2184">
      <x:c r="A2184" s="14" t="n">
        <x:v>2183</x:v>
      </x:c>
      <x:c r="B2184" s="15" t="n">
        <x:v>46471</x:v>
      </x:c>
      <x:c r="C2184" s="14" t="str">
        <x:v>Perşembe</x:v>
      </x:c>
      <x:c r="D2184" s="14" t="str">
        <x:v>Okul Günü</x:v>
      </x:c>
      <x:c r="E2184" s="14" t="str">
        <x:v>16:00 sonrası</x:v>
      </x:c>
      <x:c r="F2184" s="14" t="str">
        <x:v>F3 - Kaynak/MEB Tamamlama</x:v>
      </x:c>
      <x:c r="G2184" s="14" t="str">
        <x:v>20:15</x:v>
      </x:c>
      <x:c r="H2184" s="14" t="str">
        <x:v>20:50</x:v>
      </x:c>
      <x:c r="I2184" s="14" t="str">
        <x:v>İngilizce</x:v>
      </x:c>
      <x:c r="J2184" s="14" t="str">
        <x:v>Konu / Tekrar</x:v>
      </x:c>
      <x:c r="K2184" s="14" t="str">
        <x:v>Kaynak Tamamlama / Zayıf Konu</x:v>
      </x:c>
      <x:c r="L2184" s="14" t="str">
        <x:v>Yeni konu açma. En zayıf/açık konunun ilgili playlist videosunu yalnız gerekiyorsa tekrar izle.</x:v>
      </x:c>
      <x:c r="M2184" s="14" t="str">
        <x:v>İngilizce Genel Oynatma Listesi</x:v>
      </x:c>
      <x:c r="N2184" s="14" t="str">
        <x:v>https://www.youtube.com/watch?v=FaY3dFjZbns&amp;list=PLSgpQDrUSYp94WgE9pzpHiOG5FwxnZBrr</x:v>
      </x:c>
      <x:c r="O2184" s="14" t="n">
        <x:v>0</x:v>
      </x:c>
      <x:c r="P2184" s="14" t="str">
        <x:v>Hayır</x:v>
      </x:c>
      <x:c r="Q2184" s="14" t="str">
        <x:v>Evet</x:v>
      </x:c>
      <x:c r="R2184" s="14" t="str">
        <x:v>Planlandı</x:v>
      </x:c>
      <x:c r="S2184" s="15" t="str"/>
      <x:c r="T2184" s="14" t="str"/>
    </x:row>
    <x:row r="2185">
      <x:c r="A2185" s="14" t="n">
        <x:v>2184</x:v>
      </x:c>
      <x:c r="B2185" s="15" t="n">
        <x:v>46471</x:v>
      </x:c>
      <x:c r="C2185" s="14" t="str">
        <x:v>Perşembe</x:v>
      </x:c>
      <x:c r="D2185" s="14" t="str">
        <x:v>Okul Günü</x:v>
      </x:c>
      <x:c r="E2185" s="14" t="str">
        <x:v>16:00 sonrası</x:v>
      </x:c>
      <x:c r="F2185" s="14" t="str">
        <x:v>F3 - Kaynak/MEB Tamamlama</x:v>
      </x:c>
      <x:c r="G2185" s="14" t="str">
        <x:v>20:55</x:v>
      </x:c>
      <x:c r="H2185" s="14" t="str">
        <x:v>21:20</x:v>
      </x:c>
      <x:c r="I2185" s="14" t="str">
        <x:v>İngilizce</x:v>
      </x:c>
      <x:c r="J2185" s="14" t="str">
        <x:v>Kitap / MEB / Mastery</x:v>
      </x:c>
      <x:c r="K2185" s="14" t="str">
        <x:v>Kaynak Tamamlama / Zayıf Konu</x:v>
      </x:c>
      <x:c r="L2185" s="14" t="str">
        <x:v>13 Nisan %100 tamamlama hedefine göre en geride kalan İngilizce soru kaynağını/eksik MEB setini ilerlet; açık yanlışları kapat.</x:v>
      </x:c>
      <x:c r="M2185" s="14" t="str">
        <x:v>More &amp; More 8 Worksheets Notebook + açık MEB/yanlışlar</x:v>
      </x:c>
      <x:c r="N2185" s="14" t="str">
        <x:v>https://odsgm.meb.gov.tr/www/8sinif-calisma-sorulari/icerik/1632</x:v>
      </x:c>
      <x:c r="O2185" s="14" t="n">
        <x:v>20</x:v>
      </x:c>
      <x:c r="P2185" s="14" t="str">
        <x:v>Hayır</x:v>
      </x:c>
      <x:c r="Q2185" s="14" t="str">
        <x:v>Evet</x:v>
      </x:c>
      <x:c r="R2185" s="14" t="str">
        <x:v>Planlandı</x:v>
      </x:c>
      <x:c r="S2185" s="15" t="str"/>
      <x:c r="T2185" s="14" t="str"/>
    </x:row>
    <x:row r="2186">
      <x:c r="A2186" s="14" t="n">
        <x:v>2185</x:v>
      </x:c>
      <x:c r="B2186" s="15" t="n">
        <x:v>46471</x:v>
      </x:c>
      <x:c r="C2186" s="14" t="str">
        <x:v>Perşembe</x:v>
      </x:c>
      <x:c r="D2186" s="14" t="str">
        <x:v>Okul Günü</x:v>
      </x:c>
      <x:c r="E2186" s="14" t="str">
        <x:v>16:00 sonrası</x:v>
      </x:c>
      <x:c r="F2186" s="14" t="str">
        <x:v>F3 - Kaynak/MEB Tamamlama</x:v>
      </x:c>
      <x:c r="G2186" s="14" t="str">
        <x:v>21:20</x:v>
      </x:c>
      <x:c r="H2186" s="14" t="str">
        <x:v>21:35</x:v>
      </x:c>
      <x:c r="I2186" s="14" t="str">
        <x:v>Genel</x:v>
      </x:c>
      <x:c r="J2186" s="14" t="str">
        <x:v>Yanlış / Boş Analizi</x:v>
      </x:c>
      <x:c r="K2186" s="14" t="str">
        <x:v>Günlük</x:v>
      </x:c>
      <x:c r="L2186" s="14" t="str">
        <x:v>Bugünkü yanlış/boşları kaydet; çözümünü öğrenmeden kapatma. Hata türünü sınıflandır.</x:v>
      </x:c>
      <x:c r="M2186" s="14" t="str">
        <x:v>Yanlış Defteri</x:v>
      </x:c>
      <x:c r="N2186" s="14" t="str"/>
      <x:c r="O2186" s="14" t="n">
        <x:v>0</x:v>
      </x:c>
      <x:c r="P2186" s="14" t="str">
        <x:v>Hayır</x:v>
      </x:c>
      <x:c r="Q2186" s="14" t="str">
        <x:v>Evet</x:v>
      </x:c>
      <x:c r="R2186" s="14" t="str">
        <x:v>Planlandı</x:v>
      </x:c>
      <x:c r="S2186" s="15" t="str"/>
      <x:c r="T2186" s="14" t="str"/>
    </x:row>
    <x:row r="2187">
      <x:c r="A2187" s="14" t="n">
        <x:v>2186</x:v>
      </x:c>
      <x:c r="B2187" s="15" t="n">
        <x:v>46471</x:v>
      </x:c>
      <x:c r="C2187" s="14" t="str">
        <x:v>Perşembe</x:v>
      </x:c>
      <x:c r="D2187" s="14" t="str">
        <x:v>Okul Günü</x:v>
      </x:c>
      <x:c r="E2187" s="14" t="str">
        <x:v>16:00 sonrası</x:v>
      </x:c>
      <x:c r="F2187" s="14" t="str">
        <x:v>F3 - Kaynak/MEB Tamamlama</x:v>
      </x:c>
      <x:c r="G2187" s="14" t="str">
        <x:v>21:35</x:v>
      </x:c>
      <x:c r="H2187" s="14" t="str">
        <x:v>21:50</x:v>
      </x:c>
      <x:c r="I2187" s="14" t="str">
        <x:v>Genel</x:v>
      </x:c>
      <x:c r="J2187" s="14" t="str">
        <x:v>Aralıklı Hata Tekrarı</x:v>
      </x:c>
      <x:c r="K2187" s="14" t="str">
        <x:v>+1 / +7 / +21</x:v>
      </x:c>
      <x:c r="L2187" s="14" t="str">
        <x:v>Bugün vadesi gelen yanlış soruları tekrar çöz. Vadesi yoksa bu süre serbest/okuma olabilir.</x:v>
      </x:c>
      <x:c r="M2187" s="14" t="str">
        <x:v>Yanlış Defteri</x:v>
      </x:c>
      <x:c r="N2187" s="14" t="str"/>
      <x:c r="O2187" s="14" t="n">
        <x:v>0</x:v>
      </x:c>
      <x:c r="P2187" s="14" t="str">
        <x:v>Hayır</x:v>
      </x:c>
      <x:c r="Q2187" s="14" t="str">
        <x:v>Koşullu</x:v>
      </x:c>
      <x:c r="R2187" s="14" t="str">
        <x:v>Planlandı</x:v>
      </x:c>
      <x:c r="S2187" s="15" t="str"/>
      <x:c r="T2187" s="14" t="str">
        <x:v>Yanlışlar +1, +7 ve +21 gün aralıklarıyla tekrar edilir; hâlâ yanlışsa konu mastery durumu düşürülür.</x:v>
      </x:c>
    </x:row>
    <x:row r="2188">
      <x:c r="A2188" s="14" t="n">
        <x:v>2187</x:v>
      </x:c>
      <x:c r="B2188" s="15" t="n">
        <x:v>46471</x:v>
      </x:c>
      <x:c r="C2188" s="14" t="str">
        <x:v>Perşembe</x:v>
      </x:c>
      <x:c r="D2188" s="14" t="str">
        <x:v>Okul Günü</x:v>
      </x:c>
      <x:c r="E2188" s="14" t="str">
        <x:v>16:00 sonrası</x:v>
      </x:c>
      <x:c r="F2188" s="14" t="str">
        <x:v>F3 - Kaynak/MEB Tamamlama</x:v>
      </x:c>
      <x:c r="G2188" s="14" t="str">
        <x:v>21:50</x:v>
      </x:c>
      <x:c r="H2188" s="14" t="str">
        <x:v>22:00</x:v>
      </x:c>
      <x:c r="I2188" s="14" t="str">
        <x:v>Genel</x:v>
      </x:c>
      <x:c r="J2188" s="14" t="str">
        <x:v>Uyku Hazırlığı</x:v>
      </x:c>
      <x:c r="K2188" s="14" t="str"/>
      <x:c r="L2188" s="14" t="str">
        <x:v>22:00'de yatakta ve uyku.</x:v>
      </x:c>
      <x:c r="M2188" s="14" t="str"/>
      <x:c r="N2188" s="14" t="str"/>
      <x:c r="O2188" s="14" t="n">
        <x:v>0</x:v>
      </x:c>
      <x:c r="P2188" s="14" t="str">
        <x:v>Hayır</x:v>
      </x:c>
      <x:c r="Q2188" s="14" t="str">
        <x:v>Hayır</x:v>
      </x:c>
      <x:c r="R2188" s="14" t="str">
        <x:v>Planlandı</x:v>
      </x:c>
      <x:c r="S2188" s="15" t="str"/>
      <x:c r="T2188" s="14" t="str"/>
    </x:row>
    <x:row r="2189">
      <x:c r="A2189" s="14" t="n">
        <x:v>2188</x:v>
      </x:c>
      <x:c r="B2189" s="15" t="n">
        <x:v>46472</x:v>
      </x:c>
      <x:c r="C2189" s="14" t="str">
        <x:v>Cuma</x:v>
      </x:c>
      <x:c r="D2189" s="14" t="str">
        <x:v>Okul Günü</x:v>
      </x:c>
      <x:c r="E2189" s="14" t="str">
        <x:v>16:00 sonrası</x:v>
      </x:c>
      <x:c r="F2189" s="14" t="str">
        <x:v>F3 - Kaynak/MEB Tamamlama</x:v>
      </x:c>
      <x:c r="G2189" s="14" t="str">
        <x:v>16:00</x:v>
      </x:c>
      <x:c r="H2189" s="14" t="str">
        <x:v>16:25</x:v>
      </x:c>
      <x:c r="I2189" s="14" t="str">
        <x:v>Genel</x:v>
      </x:c>
      <x:c r="J2189" s="14" t="str">
        <x:v>Dinlenme</x:v>
      </x:c>
      <x:c r="K2189" s="14" t="str"/>
      <x:c r="L2189" s="14" t="str">
        <x:v>Eve geliş, atıştırma ve dinlenme.</x:v>
      </x:c>
      <x:c r="M2189" s="14" t="str"/>
      <x:c r="N2189" s="14" t="str"/>
      <x:c r="O2189" s="14" t="n">
        <x:v>0</x:v>
      </x:c>
      <x:c r="P2189" s="14" t="str">
        <x:v>Hayır</x:v>
      </x:c>
      <x:c r="Q2189" s="14" t="str">
        <x:v>Hayır</x:v>
      </x:c>
      <x:c r="R2189" s="14" t="str">
        <x:v>Planlandı</x:v>
      </x:c>
      <x:c r="S2189" s="15" t="str"/>
      <x:c r="T2189" s="14" t="str"/>
    </x:row>
    <x:row r="2190">
      <x:c r="A2190" s="14" t="n">
        <x:v>2189</x:v>
      </x:c>
      <x:c r="B2190" s="15" t="n">
        <x:v>46472</x:v>
      </x:c>
      <x:c r="C2190" s="14" t="str">
        <x:v>Cuma</x:v>
      </x:c>
      <x:c r="D2190" s="14" t="str">
        <x:v>Okul Günü</x:v>
      </x:c>
      <x:c r="E2190" s="14" t="str">
        <x:v>16:00 sonrası</x:v>
      </x:c>
      <x:c r="F2190" s="14" t="str">
        <x:v>F3 - Kaynak/MEB Tamamlama</x:v>
      </x:c>
      <x:c r="G2190" s="14" t="str">
        <x:v>16:25</x:v>
      </x:c>
      <x:c r="H2190" s="14" t="str">
        <x:v>17:05</x:v>
      </x:c>
      <x:c r="I2190" s="14" t="str">
        <x:v>Matematik</x:v>
      </x:c>
      <x:c r="J2190" s="14" t="str">
        <x:v>Konu / Tekrar</x:v>
      </x:c>
      <x:c r="K2190" s="14" t="str">
        <x:v>Kaynak Tamamlama / Zayıf Konu</x:v>
      </x:c>
      <x:c r="L2190" s="14" t="str">
        <x:v>Yeni konu açma. En zayıf/açık konunun ilgili playlist videosunu yalnız gerekiyorsa tekrar izle.</x:v>
      </x:c>
      <x:c r="M2190" s="14" t="str">
        <x:v>Matematik Ana Oynatma Listesi</x:v>
      </x:c>
      <x:c r="N2190" s="14" t="str">
        <x:v>https://www.youtube.com/watch?v=EuJ89QzqrAg&amp;list=PLicNtF7vp6fnfDqrRLH6H7fIbzYT4ct4F&amp;index=11</x:v>
      </x:c>
      <x:c r="O2190" s="14" t="n">
        <x:v>0</x:v>
      </x:c>
      <x:c r="P2190" s="14" t="str">
        <x:v>Hayır</x:v>
      </x:c>
      <x:c r="Q2190" s="14" t="str">
        <x:v>Evet</x:v>
      </x:c>
      <x:c r="R2190" s="14" t="str">
        <x:v>Planlandı</x:v>
      </x:c>
      <x:c r="S2190" s="15" t="str"/>
      <x:c r="T2190" s="14" t="str">
        <x:v>Yeni konu ancak plan sırasıyla açılır; LGS dışı ileri TYT içeriği zorunlu değildir.</x:v>
      </x:c>
    </x:row>
    <x:row r="2191">
      <x:c r="A2191" s="14" t="n">
        <x:v>2190</x:v>
      </x:c>
      <x:c r="B2191" s="15" t="n">
        <x:v>46472</x:v>
      </x:c>
      <x:c r="C2191" s="14" t="str">
        <x:v>Cuma</x:v>
      </x:c>
      <x:c r="D2191" s="14" t="str">
        <x:v>Okul Günü</x:v>
      </x:c>
      <x:c r="E2191" s="14" t="str">
        <x:v>16:00 sonrası</x:v>
      </x:c>
      <x:c r="F2191" s="14" t="str">
        <x:v>F3 - Kaynak/MEB Tamamlama</x:v>
      </x:c>
      <x:c r="G2191" s="14" t="str">
        <x:v>17:10</x:v>
      </x:c>
      <x:c r="H2191" s="14" t="str">
        <x:v>17:55</x:v>
      </x:c>
      <x:c r="I2191" s="14" t="str">
        <x:v>Matematik</x:v>
      </x:c>
      <x:c r="J2191" s="14" t="str">
        <x:v>Kitap / MEB / Mastery</x:v>
      </x:c>
      <x:c r="K2191" s="14" t="str">
        <x:v>Kaynak Tamamlama / Zayıf Konu</x:v>
      </x:c>
      <x:c r="L2191" s="14" t="str">
        <x:v>13 Nisan %100 tamamlama hedefine göre en geride kalan Matematik soru kaynağını/eksik MEB setini ilerlet; açık yanlışları kapat.</x:v>
      </x:c>
      <x:c r="M2191" s="14" t="str">
        <x:v>MUBA 8. Sınıf Başlangıç Matematik (ISBN 9789756526972) → tamamlandıysa Mozaik 8. Sınıf Matematik; açık MEB/yanlışlar</x:v>
      </x:c>
      <x:c r="N2191" s="14" t="str">
        <x:v>https://odsgm.meb.gov.tr/www/8sinif-calisma-sorulari/icerik/1632</x:v>
      </x:c>
      <x:c r="O2191" s="14" t="n">
        <x:v>30</x:v>
      </x:c>
      <x:c r="P2191" s="14" t="str">
        <x:v>İlk 20 soru</x:v>
      </x:c>
      <x:c r="Q2191" s="14" t="str">
        <x:v>Evet</x:v>
      </x:c>
      <x:c r="R2191" s="14" t="str">
        <x:v>Planlandı</x:v>
      </x:c>
      <x:c r="S2191" s="15" t="str"/>
      <x:c r="T2191" s="14" t="str">
        <x:v>Ayrı/rastgele matematik benchmark yoktur. Süreli ilk 20 soru o gün çalışılan konunun içindedir.</x:v>
      </x:c>
    </x:row>
    <x:row r="2192">
      <x:c r="A2192" s="14" t="n">
        <x:v>2191</x:v>
      </x:c>
      <x:c r="B2192" s="15" t="n">
        <x:v>46472</x:v>
      </x:c>
      <x:c r="C2192" s="14" t="str">
        <x:v>Cuma</x:v>
      </x:c>
      <x:c r="D2192" s="14" t="str">
        <x:v>Okul Günü</x:v>
      </x:c>
      <x:c r="E2192" s="14" t="str">
        <x:v>16:00 sonrası</x:v>
      </x:c>
      <x:c r="F2192" s="14" t="str">
        <x:v>F3 - Kaynak/MEB Tamamlama</x:v>
      </x:c>
      <x:c r="G2192" s="14" t="str">
        <x:v>17:55</x:v>
      </x:c>
      <x:c r="H2192" s="14" t="str">
        <x:v>18:25</x:v>
      </x:c>
      <x:c r="I2192" s="14" t="str">
        <x:v>Genel</x:v>
      </x:c>
      <x:c r="J2192" s="14" t="str">
        <x:v>Yemek / Serbest Zaman</x:v>
      </x:c>
      <x:c r="K2192" s="14" t="str"/>
      <x:c r="L2192" s="14" t="str">
        <x:v>Yemek, hareket ve dinlenme.</x:v>
      </x:c>
      <x:c r="M2192" s="14" t="str"/>
      <x:c r="N2192" s="14" t="str"/>
      <x:c r="O2192" s="14" t="n">
        <x:v>0</x:v>
      </x:c>
      <x:c r="P2192" s="14" t="str">
        <x:v>Hayır</x:v>
      </x:c>
      <x:c r="Q2192" s="14" t="str">
        <x:v>Hayır</x:v>
      </x:c>
      <x:c r="R2192" s="14" t="str">
        <x:v>Planlandı</x:v>
      </x:c>
      <x:c r="S2192" s="15" t="str"/>
      <x:c r="T2192" s="14" t="str"/>
    </x:row>
    <x:row r="2193">
      <x:c r="A2193" s="14" t="n">
        <x:v>2192</x:v>
      </x:c>
      <x:c r="B2193" s="15" t="n">
        <x:v>46472</x:v>
      </x:c>
      <x:c r="C2193" s="14" t="str">
        <x:v>Cuma</x:v>
      </x:c>
      <x:c r="D2193" s="14" t="str">
        <x:v>Okul Günü</x:v>
      </x:c>
      <x:c r="E2193" s="14" t="str">
        <x:v>16:00 sonrası</x:v>
      </x:c>
      <x:c r="F2193" s="14" t="str">
        <x:v>F3 - Kaynak/MEB Tamamlama</x:v>
      </x:c>
      <x:c r="G2193" s="14" t="str">
        <x:v>18:25</x:v>
      </x:c>
      <x:c r="H2193" s="14" t="str">
        <x:v>18:55</x:v>
      </x:c>
      <x:c r="I2193" s="14" t="str">
        <x:v>Türkçe</x:v>
      </x:c>
      <x:c r="J2193" s="14" t="str">
        <x:v>Paragraf Rutini</x:v>
      </x:c>
      <x:c r="K2193" s="14" t="str">
        <x:v>Paragraf</x:v>
      </x:c>
      <x:c r="L2193" s="14" t="str">
        <x:v>En az 30 paragraf sorusu çöz; ilk 20 soruyu ileri sayımla ölç, D/Y/B + süre kaydet.</x:v>
      </x:c>
      <x:c r="M2193" s="14" t="str">
        <x:v>Hız 8. Sınıf Türkçe Paragraf (ISBN 9786258394498)</x:v>
      </x:c>
      <x:c r="N2193" s="14" t="str"/>
      <x:c r="O2193" s="14" t="n">
        <x:v>30</x:v>
      </x:c>
      <x:c r="P2193" s="14" t="str">
        <x:v>İlk 20 soru</x:v>
      </x:c>
      <x:c r="Q2193" s="14" t="str">
        <x:v>Evet</x:v>
      </x:c>
      <x:c r="R2193" s="14" t="str">
        <x:v>Planlandı</x:v>
      </x:c>
      <x:c r="S2193" s="15" t="str"/>
      <x:c r="T2193" s="14" t="str">
        <x:v>Geri sayım ve hedef süre yok.</x:v>
      </x:c>
    </x:row>
    <x:row r="2194">
      <x:c r="A2194" s="14" t="n">
        <x:v>2193</x:v>
      </x:c>
      <x:c r="B2194" s="15" t="n">
        <x:v>46472</x:v>
      </x:c>
      <x:c r="C2194" s="14" t="str">
        <x:v>Cuma</x:v>
      </x:c>
      <x:c r="D2194" s="14" t="str">
        <x:v>Okul Günü</x:v>
      </x:c>
      <x:c r="E2194" s="14" t="str">
        <x:v>16:00 sonrası</x:v>
      </x:c>
      <x:c r="F2194" s="14" t="str">
        <x:v>F3 - Kaynak/MEB Tamamlama</x:v>
      </x:c>
      <x:c r="G2194" s="14" t="str">
        <x:v>19:00</x:v>
      </x:c>
      <x:c r="H2194" s="14" t="str">
        <x:v>19:35</x:v>
      </x:c>
      <x:c r="I2194" s="14" t="str">
        <x:v>Türkçe</x:v>
      </x:c>
      <x:c r="J2194" s="14" t="str">
        <x:v>Konu / Tekrar</x:v>
      </x:c>
      <x:c r="K2194" s="14" t="str">
        <x:v>Kaynak Tamamlama / Zayıf Konu</x:v>
      </x:c>
      <x:c r="L2194" s="14" t="str">
        <x:v>Yeni konu açma. En zayıf/açık konunun ilgili playlist videosunu yalnız gerekiyorsa tekrar izle.</x:v>
      </x:c>
      <x:c r="M2194" s="14" t="str">
        <x:v>Türkçe Ana Oynatma Listesi</x:v>
      </x:c>
      <x:c r="N2194" s="14" t="str">
        <x:v>https://www.youtube.com/watch?v=VYsPntNKVdw&amp;list=PLIBjFaUoJJ91bz7QQEBlxNJNZka5YQRr6</x:v>
      </x:c>
      <x:c r="O2194" s="14" t="n">
        <x:v>0</x:v>
      </x:c>
      <x:c r="P2194" s="14" t="str">
        <x:v>Hayır</x:v>
      </x:c>
      <x:c r="Q2194" s="14" t="str">
        <x:v>Evet</x:v>
      </x:c>
      <x:c r="R2194" s="14" t="str">
        <x:v>Planlandı</x:v>
      </x:c>
      <x:c r="S2194" s="15" t="str"/>
      <x:c r="T2194" s="14" t="str">
        <x:v>TYT etiketli kaynak temelden başlamak için sabittir; LGS dışı gereksiz ayrıntı zorunlu değildir.</x:v>
      </x:c>
    </x:row>
    <x:row r="2195">
      <x:c r="A2195" s="14" t="n">
        <x:v>2194</x:v>
      </x:c>
      <x:c r="B2195" s="15" t="n">
        <x:v>46472</x:v>
      </x:c>
      <x:c r="C2195" s="14" t="str">
        <x:v>Cuma</x:v>
      </x:c>
      <x:c r="D2195" s="14" t="str">
        <x:v>Okul Günü</x:v>
      </x:c>
      <x:c r="E2195" s="14" t="str">
        <x:v>16:00 sonrası</x:v>
      </x:c>
      <x:c r="F2195" s="14" t="str">
        <x:v>F3 - Kaynak/MEB Tamamlama</x:v>
      </x:c>
      <x:c r="G2195" s="14" t="str">
        <x:v>19:40</x:v>
      </x:c>
      <x:c r="H2195" s="14" t="str">
        <x:v>20:10</x:v>
      </x:c>
      <x:c r="I2195" s="14" t="str">
        <x:v>Türkçe</x:v>
      </x:c>
      <x:c r="J2195" s="14" t="str">
        <x:v>Kitap / MEB / Mastery</x:v>
      </x:c>
      <x:c r="K2195" s="14" t="str">
        <x:v>Kaynak Tamamlama / Zayıf Konu</x:v>
      </x:c>
      <x:c r="L2195" s="14" t="str">
        <x:v>13 Nisan %100 tamamlama hedefine göre en geride kalan Türkçe soru kaynağını/eksik MEB setini ilerlet; açık yanlışları kapat.</x:v>
      </x:c>
      <x:c r="M2195" s="14" t="str">
        <x:v>Ankara 8. Sınıf Dil Bilgisi Güçlendiren + açık MEB/yanlışlar</x:v>
      </x:c>
      <x:c r="N2195" s="14" t="str">
        <x:v>https://odsgm.meb.gov.tr/www/8sinif-calisma-sorulari/icerik/1632</x:v>
      </x:c>
      <x:c r="O2195" s="14" t="n">
        <x:v>20</x:v>
      </x:c>
      <x:c r="P2195" s="14" t="str">
        <x:v>Hayır</x:v>
      </x:c>
      <x:c r="Q2195" s="14" t="str">
        <x:v>Evet</x:v>
      </x:c>
      <x:c r="R2195" s="14" t="str">
        <x:v>Planlandı</x:v>
      </x:c>
      <x:c r="S2195" s="15" t="str"/>
      <x:c r="T2195" s="14" t="str"/>
    </x:row>
    <x:row r="2196">
      <x:c r="A2196" s="14" t="n">
        <x:v>2195</x:v>
      </x:c>
      <x:c r="B2196" s="15" t="n">
        <x:v>46472</x:v>
      </x:c>
      <x:c r="C2196" s="14" t="str">
        <x:v>Cuma</x:v>
      </x:c>
      <x:c r="D2196" s="14" t="str">
        <x:v>Okul Günü</x:v>
      </x:c>
      <x:c r="E2196" s="14" t="str">
        <x:v>16:00 sonrası</x:v>
      </x:c>
      <x:c r="F2196" s="14" t="str">
        <x:v>F3 - Kaynak/MEB Tamamlama</x:v>
      </x:c>
      <x:c r="G2196" s="14" t="str">
        <x:v>20:15</x:v>
      </x:c>
      <x:c r="H2196" s="14" t="str">
        <x:v>20:50</x:v>
      </x:c>
      <x:c r="I2196" s="14" t="str">
        <x:v>Fen</x:v>
      </x:c>
      <x:c r="J2196" s="14" t="str">
        <x:v>Konu / Tekrar</x:v>
      </x:c>
      <x:c r="K2196" s="14" t="str">
        <x:v>Kaynak Tamamlama / Zayıf Konu</x:v>
      </x:c>
      <x:c r="L2196" s="14" t="str">
        <x:v>Yeni konu açma. En zayıf/açık konunun ilgili playlist videosunu yalnız gerekiyorsa tekrar izle.</x:v>
      </x:c>
      <x:c r="M2196" s="14" t="str">
        <x:v>Fen Soru Çözüm / Tekrar</x:v>
      </x:c>
      <x:c r="N2196" s="14" t="str">
        <x:v>https://www.youtube.com/watch?v=pQXhWnDZ3vM&amp;list=PLrQm7mt99FRXcBnorCttd31HJEvg0En26&amp;index=23</x:v>
      </x:c>
      <x:c r="O2196" s="14" t="n">
        <x:v>0</x:v>
      </x:c>
      <x:c r="P2196" s="14" t="str">
        <x:v>Hayır</x:v>
      </x:c>
      <x:c r="Q2196" s="14" t="str">
        <x:v>Evet</x:v>
      </x:c>
      <x:c r="R2196" s="14" t="str">
        <x:v>Planlandı</x:v>
      </x:c>
      <x:c r="S2196" s="15" t="str"/>
      <x:c r="T2196" s="14" t="str"/>
    </x:row>
    <x:row r="2197">
      <x:c r="A2197" s="14" t="n">
        <x:v>2196</x:v>
      </x:c>
      <x:c r="B2197" s="15" t="n">
        <x:v>46472</x:v>
      </x:c>
      <x:c r="C2197" s="14" t="str">
        <x:v>Cuma</x:v>
      </x:c>
      <x:c r="D2197" s="14" t="str">
        <x:v>Okul Günü</x:v>
      </x:c>
      <x:c r="E2197" s="14" t="str">
        <x:v>16:00 sonrası</x:v>
      </x:c>
      <x:c r="F2197" s="14" t="str">
        <x:v>F3 - Kaynak/MEB Tamamlama</x:v>
      </x:c>
      <x:c r="G2197" s="14" t="str">
        <x:v>20:55</x:v>
      </x:c>
      <x:c r="H2197" s="14" t="str">
        <x:v>21:20</x:v>
      </x:c>
      <x:c r="I2197" s="14" t="str">
        <x:v>Fen</x:v>
      </x:c>
      <x:c r="J2197" s="14" t="str">
        <x:v>Kitap / MEB / Mastery</x:v>
      </x:c>
      <x:c r="K2197" s="14" t="str">
        <x:v>Kaynak Tamamlama / Zayıf Konu</x:v>
      </x:c>
      <x:c r="L2197" s="14" t="str">
        <x:v>13 Nisan %100 tamamlama hedefine göre en geride kalan Fen soru kaynağını/eksik MEB setini ilerlet; açık yanlışları kapat.</x:v>
      </x:c>
      <x:c r="M2197" s="14" t="str">
        <x:v>Hız 8. Sınıf Fen (ISBN 9786257514859); tamamlandıysa Mozaik 8. Sınıf Fen + açık MEB/yanlışlar</x:v>
      </x:c>
      <x:c r="N2197" s="14" t="str">
        <x:v>https://odsgm.meb.gov.tr/www/8sinif-calisma-sorulari/icerik/1632</x:v>
      </x:c>
      <x:c r="O2197" s="14" t="n">
        <x:v>20</x:v>
      </x:c>
      <x:c r="P2197" s="14" t="str">
        <x:v>Hayır</x:v>
      </x:c>
      <x:c r="Q2197" s="14" t="str">
        <x:v>Evet</x:v>
      </x:c>
      <x:c r="R2197" s="14" t="str">
        <x:v>Planlandı</x:v>
      </x:c>
      <x:c r="S2197" s="15" t="str"/>
      <x:c r="T2197" s="14" t="str"/>
    </x:row>
    <x:row r="2198">
      <x:c r="A2198" s="14" t="n">
        <x:v>2197</x:v>
      </x:c>
      <x:c r="B2198" s="15" t="n">
        <x:v>46472</x:v>
      </x:c>
      <x:c r="C2198" s="14" t="str">
        <x:v>Cuma</x:v>
      </x:c>
      <x:c r="D2198" s="14" t="str">
        <x:v>Okul Günü</x:v>
      </x:c>
      <x:c r="E2198" s="14" t="str">
        <x:v>16:00 sonrası</x:v>
      </x:c>
      <x:c r="F2198" s="14" t="str">
        <x:v>F3 - Kaynak/MEB Tamamlama</x:v>
      </x:c>
      <x:c r="G2198" s="14" t="str">
        <x:v>21:20</x:v>
      </x:c>
      <x:c r="H2198" s="14" t="str">
        <x:v>21:35</x:v>
      </x:c>
      <x:c r="I2198" s="14" t="str">
        <x:v>Genel</x:v>
      </x:c>
      <x:c r="J2198" s="14" t="str">
        <x:v>Yanlış / Boş Analizi</x:v>
      </x:c>
      <x:c r="K2198" s="14" t="str">
        <x:v>Günlük</x:v>
      </x:c>
      <x:c r="L2198" s="14" t="str">
        <x:v>Bugünkü yanlış/boşları kaydet; çözümünü öğrenmeden kapatma. Hata türünü sınıflandır.</x:v>
      </x:c>
      <x:c r="M2198" s="14" t="str">
        <x:v>Yanlış Defteri</x:v>
      </x:c>
      <x:c r="N2198" s="14" t="str"/>
      <x:c r="O2198" s="14" t="n">
        <x:v>0</x:v>
      </x:c>
      <x:c r="P2198" s="14" t="str">
        <x:v>Hayır</x:v>
      </x:c>
      <x:c r="Q2198" s="14" t="str">
        <x:v>Evet</x:v>
      </x:c>
      <x:c r="R2198" s="14" t="str">
        <x:v>Planlandı</x:v>
      </x:c>
      <x:c r="S2198" s="15" t="str"/>
      <x:c r="T2198" s="14" t="str"/>
    </x:row>
    <x:row r="2199">
      <x:c r="A2199" s="14" t="n">
        <x:v>2198</x:v>
      </x:c>
      <x:c r="B2199" s="15" t="n">
        <x:v>46472</x:v>
      </x:c>
      <x:c r="C2199" s="14" t="str">
        <x:v>Cuma</x:v>
      </x:c>
      <x:c r="D2199" s="14" t="str">
        <x:v>Okul Günü</x:v>
      </x:c>
      <x:c r="E2199" s="14" t="str">
        <x:v>16:00 sonrası</x:v>
      </x:c>
      <x:c r="F2199" s="14" t="str">
        <x:v>F3 - Kaynak/MEB Tamamlama</x:v>
      </x:c>
      <x:c r="G2199" s="14" t="str">
        <x:v>21:35</x:v>
      </x:c>
      <x:c r="H2199" s="14" t="str">
        <x:v>21:50</x:v>
      </x:c>
      <x:c r="I2199" s="14" t="str">
        <x:v>Genel</x:v>
      </x:c>
      <x:c r="J2199" s="14" t="str">
        <x:v>Aralıklı Hata Tekrarı</x:v>
      </x:c>
      <x:c r="K2199" s="14" t="str">
        <x:v>+1 / +7 / +21</x:v>
      </x:c>
      <x:c r="L2199" s="14" t="str">
        <x:v>Bugün vadesi gelen yanlış soruları tekrar çöz. Vadesi yoksa bu süre serbest/okuma olabilir.</x:v>
      </x:c>
      <x:c r="M2199" s="14" t="str">
        <x:v>Yanlış Defteri</x:v>
      </x:c>
      <x:c r="N2199" s="14" t="str"/>
      <x:c r="O2199" s="14" t="n">
        <x:v>0</x:v>
      </x:c>
      <x:c r="P2199" s="14" t="str">
        <x:v>Hayır</x:v>
      </x:c>
      <x:c r="Q2199" s="14" t="str">
        <x:v>Koşullu</x:v>
      </x:c>
      <x:c r="R2199" s="14" t="str">
        <x:v>Planlandı</x:v>
      </x:c>
      <x:c r="S2199" s="15" t="str"/>
      <x:c r="T2199" s="14" t="str">
        <x:v>Yanlışlar +1, +7 ve +21 gün aralıklarıyla tekrar edilir; hâlâ yanlışsa konu mastery durumu düşürülür.</x:v>
      </x:c>
    </x:row>
    <x:row r="2200">
      <x:c r="A2200" s="14" t="n">
        <x:v>2199</x:v>
      </x:c>
      <x:c r="B2200" s="15" t="n">
        <x:v>46472</x:v>
      </x:c>
      <x:c r="C2200" s="14" t="str">
        <x:v>Cuma</x:v>
      </x:c>
      <x:c r="D2200" s="14" t="str">
        <x:v>Okul Günü</x:v>
      </x:c>
      <x:c r="E2200" s="14" t="str">
        <x:v>16:00 sonrası</x:v>
      </x:c>
      <x:c r="F2200" s="14" t="str">
        <x:v>F3 - Kaynak/MEB Tamamlama</x:v>
      </x:c>
      <x:c r="G2200" s="14" t="str">
        <x:v>21:50</x:v>
      </x:c>
      <x:c r="H2200" s="14" t="str">
        <x:v>22:00</x:v>
      </x:c>
      <x:c r="I2200" s="14" t="str">
        <x:v>Genel</x:v>
      </x:c>
      <x:c r="J2200" s="14" t="str">
        <x:v>Uyku Hazırlığı</x:v>
      </x:c>
      <x:c r="K2200" s="14" t="str"/>
      <x:c r="L2200" s="14" t="str">
        <x:v>22:00'de yatakta ve uyku.</x:v>
      </x:c>
      <x:c r="M2200" s="14" t="str"/>
      <x:c r="N2200" s="14" t="str"/>
      <x:c r="O2200" s="14" t="n">
        <x:v>0</x:v>
      </x:c>
      <x:c r="P2200" s="14" t="str">
        <x:v>Hayır</x:v>
      </x:c>
      <x:c r="Q2200" s="14" t="str">
        <x:v>Hayır</x:v>
      </x:c>
      <x:c r="R2200" s="14" t="str">
        <x:v>Planlandı</x:v>
      </x:c>
      <x:c r="S2200" s="15" t="str"/>
      <x:c r="T2200" s="14" t="str"/>
    </x:row>
    <x:row r="2201">
      <x:c r="A2201" s="14" t="n">
        <x:v>2200</x:v>
      </x:c>
      <x:c r="B2201" s="15" t="n">
        <x:v>46473</x:v>
      </x:c>
      <x:c r="C2201" s="14" t="str">
        <x:v>Cumartesi</x:v>
      </x:c>
      <x:c r="D2201" s="14" t="str">
        <x:v>Hafta Sonu</x:v>
      </x:c>
      <x:c r="E2201" s="14" t="str">
        <x:v>Tam gün</x:v>
      </x:c>
      <x:c r="F2201" s="14" t="str">
        <x:v>F3 - Kaynak/MEB Tamamlama</x:v>
      </x:c>
      <x:c r="G2201" s="14" t="str">
        <x:v>09:30</x:v>
      </x:c>
      <x:c r="H2201" s="14" t="str">
        <x:v>10:15</x:v>
      </x:c>
      <x:c r="I2201" s="14" t="str">
        <x:v>Matematik</x:v>
      </x:c>
      <x:c r="J2201" s="14" t="str">
        <x:v>Konu / Tekrar</x:v>
      </x:c>
      <x:c r="K2201" s="14" t="str">
        <x:v>Kaynak Tamamlama / Zayıf Konu</x:v>
      </x:c>
      <x:c r="L2201" s="14" t="str">
        <x:v>Yeni konu açma. En zayıf/açık konunun ilgili playlist videosunu yalnız gerekiyorsa tekrar izle.</x:v>
      </x:c>
      <x:c r="M2201" s="14" t="str">
        <x:v>Matematik Ana Oynatma Listesi</x:v>
      </x:c>
      <x:c r="N2201" s="14" t="str">
        <x:v>https://www.youtube.com/watch?v=EuJ89QzqrAg&amp;list=PLicNtF7vp6fnfDqrRLH6H7fIbzYT4ct4F&amp;index=11</x:v>
      </x:c>
      <x:c r="O2201" s="14" t="n">
        <x:v>0</x:v>
      </x:c>
      <x:c r="P2201" s="14" t="str">
        <x:v>Hayır</x:v>
      </x:c>
      <x:c r="Q2201" s="14" t="str">
        <x:v>Evet</x:v>
      </x:c>
      <x:c r="R2201" s="14" t="str">
        <x:v>Planlandı</x:v>
      </x:c>
      <x:c r="S2201" s="15" t="str"/>
      <x:c r="T2201" s="14" t="str">
        <x:v>Yeni konu ancak plan sırasıyla açılır; LGS dışı ileri TYT içeriği zorunlu değildir.</x:v>
      </x:c>
    </x:row>
    <x:row r="2202">
      <x:c r="A2202" s="14" t="n">
        <x:v>2201</x:v>
      </x:c>
      <x:c r="B2202" s="15" t="n">
        <x:v>46473</x:v>
      </x:c>
      <x:c r="C2202" s="14" t="str">
        <x:v>Cumartesi</x:v>
      </x:c>
      <x:c r="D2202" s="14" t="str">
        <x:v>Hafta Sonu</x:v>
      </x:c>
      <x:c r="E2202" s="14" t="str">
        <x:v>Tam gün</x:v>
      </x:c>
      <x:c r="F2202" s="14" t="str">
        <x:v>F3 - Kaynak/MEB Tamamlama</x:v>
      </x:c>
      <x:c r="G2202" s="14" t="str">
        <x:v>10:25</x:v>
      </x:c>
      <x:c r="H2202" s="14" t="str">
        <x:v>11:15</x:v>
      </x:c>
      <x:c r="I2202" s="14" t="str">
        <x:v>Matematik</x:v>
      </x:c>
      <x:c r="J2202" s="14" t="str">
        <x:v>Kitap / MEB / Mastery</x:v>
      </x:c>
      <x:c r="K2202" s="14" t="str">
        <x:v>Kaynak Tamamlama / Zayıf Konu</x:v>
      </x:c>
      <x:c r="L2202" s="14" t="str">
        <x:v>13 Nisan %100 tamamlama hedefine göre en geride kalan Matematik soru kaynağını/eksik MEB setini ilerlet; açık yanlışları kapat.</x:v>
      </x:c>
      <x:c r="M2202" s="14" t="str">
        <x:v>MUBA 8. Sınıf Başlangıç Matematik (ISBN 9789756526972) → tamamlandıysa Mozaik 8. Sınıf Matematik; açık MEB/yanlışlar</x:v>
      </x:c>
      <x:c r="N2202" s="14" t="str">
        <x:v>https://odsgm.meb.gov.tr/www/8sinif-calisma-sorulari/icerik/1632</x:v>
      </x:c>
      <x:c r="O2202" s="14" t="n">
        <x:v>30</x:v>
      </x:c>
      <x:c r="P2202" s="14" t="str">
        <x:v>İlk 20 soru</x:v>
      </x:c>
      <x:c r="Q2202" s="14" t="str">
        <x:v>Evet</x:v>
      </x:c>
      <x:c r="R2202" s="14" t="str">
        <x:v>Planlandı</x:v>
      </x:c>
      <x:c r="S2202" s="15" t="str"/>
      <x:c r="T2202" s="14" t="str">
        <x:v>Ayrı/rastgele matematik benchmark yoktur. Süreli ilk 20 soru o gün çalışılan konunun içindedir.</x:v>
      </x:c>
    </x:row>
    <x:row r="2203">
      <x:c r="A2203" s="14" t="n">
        <x:v>2202</x:v>
      </x:c>
      <x:c r="B2203" s="15" t="n">
        <x:v>46473</x:v>
      </x:c>
      <x:c r="C2203" s="14" t="str">
        <x:v>Cumartesi</x:v>
      </x:c>
      <x:c r="D2203" s="14" t="str">
        <x:v>Hafta Sonu</x:v>
      </x:c>
      <x:c r="E2203" s="14" t="str">
        <x:v>Tam gün</x:v>
      </x:c>
      <x:c r="F2203" s="14" t="str">
        <x:v>F3 - Kaynak/MEB Tamamlama</x:v>
      </x:c>
      <x:c r="G2203" s="14" t="str">
        <x:v>12:00</x:v>
      </x:c>
      <x:c r="H2203" s="14" t="str">
        <x:v>14:00</x:v>
      </x:c>
      <x:c r="I2203" s="14" t="str">
        <x:v>Genel</x:v>
      </x:c>
      <x:c r="J2203" s="14" t="str">
        <x:v>Yemek / Serbest Zaman</x:v>
      </x:c>
      <x:c r="K2203" s="14" t="str"/>
      <x:c r="L2203" s="14" t="str">
        <x:v>Yemek, hareket ve dinlenme.</x:v>
      </x:c>
      <x:c r="M2203" s="14" t="str"/>
      <x:c r="N2203" s="14" t="str"/>
      <x:c r="O2203" s="14" t="n">
        <x:v>0</x:v>
      </x:c>
      <x:c r="P2203" s="14" t="str">
        <x:v>Hayır</x:v>
      </x:c>
      <x:c r="Q2203" s="14" t="str">
        <x:v>Hayır</x:v>
      </x:c>
      <x:c r="R2203" s="14" t="str">
        <x:v>Planlandı</x:v>
      </x:c>
      <x:c r="S2203" s="15" t="str"/>
      <x:c r="T2203" s="14" t="str"/>
    </x:row>
    <x:row r="2204">
      <x:c r="A2204" s="14" t="n">
        <x:v>2203</x:v>
      </x:c>
      <x:c r="B2204" s="15" t="n">
        <x:v>46473</x:v>
      </x:c>
      <x:c r="C2204" s="14" t="str">
        <x:v>Cumartesi</x:v>
      </x:c>
      <x:c r="D2204" s="14" t="str">
        <x:v>Hafta Sonu</x:v>
      </x:c>
      <x:c r="E2204" s="14" t="str">
        <x:v>Tam gün</x:v>
      </x:c>
      <x:c r="F2204" s="14" t="str">
        <x:v>F3 - Kaynak/MEB Tamamlama</x:v>
      </x:c>
      <x:c r="G2204" s="14" t="str">
        <x:v>11:25</x:v>
      </x:c>
      <x:c r="H2204" s="14" t="str">
        <x:v>11:55</x:v>
      </x:c>
      <x:c r="I2204" s="14" t="str">
        <x:v>Türkçe</x:v>
      </x:c>
      <x:c r="J2204" s="14" t="str">
        <x:v>Paragraf Rutini</x:v>
      </x:c>
      <x:c r="K2204" s="14" t="str">
        <x:v>Paragraf</x:v>
      </x:c>
      <x:c r="L2204" s="14" t="str">
        <x:v>En az 30 paragraf sorusu çöz; ilk 20 soruyu ileri sayımla ölç, D/Y/B + süre kaydet.</x:v>
      </x:c>
      <x:c r="M2204" s="14" t="str">
        <x:v>Hız 8. Sınıf Türkçe Paragraf (ISBN 9786258394498)</x:v>
      </x:c>
      <x:c r="N2204" s="14" t="str"/>
      <x:c r="O2204" s="14" t="n">
        <x:v>30</x:v>
      </x:c>
      <x:c r="P2204" s="14" t="str">
        <x:v>İlk 20 soru</x:v>
      </x:c>
      <x:c r="Q2204" s="14" t="str">
        <x:v>Evet</x:v>
      </x:c>
      <x:c r="R2204" s="14" t="str">
        <x:v>Planlandı</x:v>
      </x:c>
      <x:c r="S2204" s="15" t="str"/>
      <x:c r="T2204" s="14" t="str">
        <x:v>Geri sayım ve hedef süre yok.</x:v>
      </x:c>
    </x:row>
    <x:row r="2205">
      <x:c r="A2205" s="14" t="n">
        <x:v>2204</x:v>
      </x:c>
      <x:c r="B2205" s="15" t="n">
        <x:v>46473</x:v>
      </x:c>
      <x:c r="C2205" s="14" t="str">
        <x:v>Cumartesi</x:v>
      </x:c>
      <x:c r="D2205" s="14" t="str">
        <x:v>Hafta Sonu</x:v>
      </x:c>
      <x:c r="E2205" s="14" t="str">
        <x:v>Tam gün</x:v>
      </x:c>
      <x:c r="F2205" s="14" t="str">
        <x:v>F3 - Kaynak/MEB Tamamlama</x:v>
      </x:c>
      <x:c r="G2205" s="14" t="str">
        <x:v>14:00</x:v>
      </x:c>
      <x:c r="H2205" s="14" t="str">
        <x:v>14:40</x:v>
      </x:c>
      <x:c r="I2205" s="14" t="str">
        <x:v>Türkçe</x:v>
      </x:c>
      <x:c r="J2205" s="14" t="str">
        <x:v>Konu / Tekrar</x:v>
      </x:c>
      <x:c r="K2205" s="14" t="str">
        <x:v>Kaynak Tamamlama / Zayıf Konu</x:v>
      </x:c>
      <x:c r="L2205" s="14" t="str">
        <x:v>Yeni konu açma. En zayıf/açık konunun ilgili playlist videosunu yalnız gerekiyorsa tekrar izle.</x:v>
      </x:c>
      <x:c r="M2205" s="14" t="str">
        <x:v>Türkçe Ana Oynatma Listesi</x:v>
      </x:c>
      <x:c r="N2205" s="14" t="str">
        <x:v>https://www.youtube.com/watch?v=VYsPntNKVdw&amp;list=PLIBjFaUoJJ91bz7QQEBlxNJNZka5YQRr6</x:v>
      </x:c>
      <x:c r="O2205" s="14" t="n">
        <x:v>0</x:v>
      </x:c>
      <x:c r="P2205" s="14" t="str">
        <x:v>Hayır</x:v>
      </x:c>
      <x:c r="Q2205" s="14" t="str">
        <x:v>Evet</x:v>
      </x:c>
      <x:c r="R2205" s="14" t="str">
        <x:v>Planlandı</x:v>
      </x:c>
      <x:c r="S2205" s="15" t="str"/>
      <x:c r="T2205" s="14" t="str">
        <x:v>TYT etiketli kaynak temelden başlamak için sabittir; LGS dışı gereksiz ayrıntı zorunlu değildir.</x:v>
      </x:c>
    </x:row>
    <x:row r="2206">
      <x:c r="A2206" s="14" t="n">
        <x:v>2205</x:v>
      </x:c>
      <x:c r="B2206" s="15" t="n">
        <x:v>46473</x:v>
      </x:c>
      <x:c r="C2206" s="14" t="str">
        <x:v>Cumartesi</x:v>
      </x:c>
      <x:c r="D2206" s="14" t="str">
        <x:v>Hafta Sonu</x:v>
      </x:c>
      <x:c r="E2206" s="14" t="str">
        <x:v>Tam gün</x:v>
      </x:c>
      <x:c r="F2206" s="14" t="str">
        <x:v>F3 - Kaynak/MEB Tamamlama</x:v>
      </x:c>
      <x:c r="G2206" s="14" t="str">
        <x:v>14:50</x:v>
      </x:c>
      <x:c r="H2206" s="14" t="str">
        <x:v>15:30</x:v>
      </x:c>
      <x:c r="I2206" s="14" t="str">
        <x:v>Türkçe</x:v>
      </x:c>
      <x:c r="J2206" s="14" t="str">
        <x:v>Kitap / MEB / Mastery</x:v>
      </x:c>
      <x:c r="K2206" s="14" t="str">
        <x:v>Kaynak Tamamlama / Zayıf Konu</x:v>
      </x:c>
      <x:c r="L2206" s="14" t="str">
        <x:v>13 Nisan %100 tamamlama hedefine göre en geride kalan Türkçe soru kaynağını/eksik MEB setini ilerlet; açık yanlışları kapat.</x:v>
      </x:c>
      <x:c r="M2206" s="14" t="str">
        <x:v>Ankara 8. Sınıf Dil Bilgisi Güçlendiren + açık MEB/yanlışlar</x:v>
      </x:c>
      <x:c r="N2206" s="14" t="str">
        <x:v>https://odsgm.meb.gov.tr/www/8sinif-calisma-sorulari/icerik/1632</x:v>
      </x:c>
      <x:c r="O2206" s="14" t="n">
        <x:v>20</x:v>
      </x:c>
      <x:c r="P2206" s="14" t="str">
        <x:v>Hayır</x:v>
      </x:c>
      <x:c r="Q2206" s="14" t="str">
        <x:v>Evet</x:v>
      </x:c>
      <x:c r="R2206" s="14" t="str">
        <x:v>Planlandı</x:v>
      </x:c>
      <x:c r="S2206" s="15" t="str"/>
      <x:c r="T2206" s="14" t="str"/>
    </x:row>
    <x:row r="2207">
      <x:c r="A2207" s="14" t="n">
        <x:v>2206</x:v>
      </x:c>
      <x:c r="B2207" s="15" t="n">
        <x:v>46473</x:v>
      </x:c>
      <x:c r="C2207" s="14" t="str">
        <x:v>Cumartesi</x:v>
      </x:c>
      <x:c r="D2207" s="14" t="str">
        <x:v>Hafta Sonu</x:v>
      </x:c>
      <x:c r="E2207" s="14" t="str">
        <x:v>Tam gün</x:v>
      </x:c>
      <x:c r="F2207" s="14" t="str">
        <x:v>F3 - Kaynak/MEB Tamamlama</x:v>
      </x:c>
      <x:c r="G2207" s="14" t="str">
        <x:v>15:45</x:v>
      </x:c>
      <x:c r="H2207" s="14" t="str">
        <x:v>16:25</x:v>
      </x:c>
      <x:c r="I2207" s="14" t="str">
        <x:v>Din</x:v>
      </x:c>
      <x:c r="J2207" s="14" t="str">
        <x:v>Konu / Tekrar</x:v>
      </x:c>
      <x:c r="K2207" s="14" t="str">
        <x:v>Kaynak Tamamlama / Zayıf Konu</x:v>
      </x:c>
      <x:c r="L2207" s="14" t="str">
        <x:v>Yeni konu açma. En zayıf/açık konunun ilgili playlist videosunu yalnız gerekiyorsa tekrar izle.</x:v>
      </x:c>
      <x:c r="M2207" s="14" t="str">
        <x:v>Din Genel Oynatma Listesi</x:v>
      </x:c>
      <x:c r="N2207" s="14" t="str">
        <x:v>https://www.youtube.com/watch?v=wvdOE_75VnA&amp;list=PLbRoPq-Zu-SWXGUbVt4t4UWo-4VjsMUo-&amp;index=2</x:v>
      </x:c>
      <x:c r="O2207" s="14" t="n">
        <x:v>0</x:v>
      </x:c>
      <x:c r="P2207" s="14" t="str">
        <x:v>Hayır</x:v>
      </x:c>
      <x:c r="Q2207" s="14" t="str">
        <x:v>Evet</x:v>
      </x:c>
      <x:c r="R2207" s="14" t="str">
        <x:v>Planlandı</x:v>
      </x:c>
      <x:c r="S2207" s="15" t="str"/>
      <x:c r="T2207" s="14" t="str"/>
    </x:row>
    <x:row r="2208">
      <x:c r="A2208" s="14" t="n">
        <x:v>2207</x:v>
      </x:c>
      <x:c r="B2208" s="15" t="n">
        <x:v>46473</x:v>
      </x:c>
      <x:c r="C2208" s="14" t="str">
        <x:v>Cumartesi</x:v>
      </x:c>
      <x:c r="D2208" s="14" t="str">
        <x:v>Hafta Sonu</x:v>
      </x:c>
      <x:c r="E2208" s="14" t="str">
        <x:v>Tam gün</x:v>
      </x:c>
      <x:c r="F2208" s="14" t="str">
        <x:v>F3 - Kaynak/MEB Tamamlama</x:v>
      </x:c>
      <x:c r="G2208" s="14" t="str">
        <x:v>16:35</x:v>
      </x:c>
      <x:c r="H2208" s="14" t="str">
        <x:v>17:15</x:v>
      </x:c>
      <x:c r="I2208" s="14" t="str">
        <x:v>Din</x:v>
      </x:c>
      <x:c r="J2208" s="14" t="str">
        <x:v>Kitap / MEB / Mastery</x:v>
      </x:c>
      <x:c r="K2208" s="14" t="str">
        <x:v>Kaynak Tamamlama / Zayıf Konu</x:v>
      </x:c>
      <x:c r="L2208" s="14" t="str">
        <x:v>13 Nisan %100 tamamlama hedefine göre en geride kalan Din soru kaynağını/eksik MEB setini ilerlet; açık yanlışları kapat.</x:v>
      </x:c>
      <x:c r="M2208" s="14" t="str">
        <x:v>Hız 8. Sınıf Din Kültürü ve Ahlak Bilgisi + açık MEB/yanlışlar</x:v>
      </x:c>
      <x:c r="N2208" s="14" t="str">
        <x:v>https://odsgm.meb.gov.tr/www/8sinif-calisma-sorulari/icerik/1632</x:v>
      </x:c>
      <x:c r="O2208" s="14" t="n">
        <x:v>20</x:v>
      </x:c>
      <x:c r="P2208" s="14" t="str">
        <x:v>Hayır</x:v>
      </x:c>
      <x:c r="Q2208" s="14" t="str">
        <x:v>Evet</x:v>
      </x:c>
      <x:c r="R2208" s="14" t="str">
        <x:v>Planlandı</x:v>
      </x:c>
      <x:c r="S2208" s="15" t="str"/>
      <x:c r="T2208" s="14" t="str"/>
    </x:row>
    <x:row r="2209">
      <x:c r="A2209" s="14" t="n">
        <x:v>2208</x:v>
      </x:c>
      <x:c r="B2209" s="15" t="n">
        <x:v>46473</x:v>
      </x:c>
      <x:c r="C2209" s="14" t="str">
        <x:v>Cumartesi</x:v>
      </x:c>
      <x:c r="D2209" s="14" t="str">
        <x:v>Hafta Sonu</x:v>
      </x:c>
      <x:c r="E2209" s="14" t="str">
        <x:v>Tam gün</x:v>
      </x:c>
      <x:c r="F2209" s="14" t="str">
        <x:v>F3 - Kaynak/MEB Tamamlama</x:v>
      </x:c>
      <x:c r="G2209" s="14" t="str">
        <x:v>17:25</x:v>
      </x:c>
      <x:c r="H2209" s="14" t="str">
        <x:v>17:55</x:v>
      </x:c>
      <x:c r="I2209" s="14" t="str">
        <x:v>Fen</x:v>
      </x:c>
      <x:c r="J2209" s="14" t="str">
        <x:v>Ek Fen Pekiştirme</x:v>
      </x:c>
      <x:c r="K2209" s="14" t="str">
        <x:v>Kaynak Tamamlama / Zayıf Konu</x:v>
      </x:c>
      <x:c r="L2209" s="14" t="str">
        <x:v>Yeni konu açma. En zayıf/açık konunun ilgili playlist videosunu yalnız gerekiyorsa tekrar izle.</x:v>
      </x:c>
      <x:c r="M2209" s="14" t="str">
        <x:v>Fen Konu/Soru Oynatma Listesi</x:v>
      </x:c>
      <x:c r="N2209" s="14" t="str">
        <x:v>https://www.youtube.com/watch?v=pQXhWnDZ3vM&amp;list=PLrQm7mt99FRXcBnorCttd31HJEvg0En26&amp;index=23</x:v>
      </x:c>
      <x:c r="O2209" s="14" t="n">
        <x:v>0</x:v>
      </x:c>
      <x:c r="P2209" s="14" t="str">
        <x:v>Hayır</x:v>
      </x:c>
      <x:c r="Q2209" s="14" t="str">
        <x:v>Evet</x:v>
      </x:c>
      <x:c r="R2209" s="14" t="str">
        <x:v>Planlandı</x:v>
      </x:c>
      <x:c r="S2209" s="15" t="str"/>
      <x:c r="T2209" s="14" t="str">
        <x:v>Fen haftalık temas sıklığını artırmak için ek Cumartesi oturumu.</x:v>
      </x:c>
    </x:row>
    <x:row r="2210">
      <x:c r="A2210" s="14" t="n">
        <x:v>2209</x:v>
      </x:c>
      <x:c r="B2210" s="15" t="n">
        <x:v>46473</x:v>
      </x:c>
      <x:c r="C2210" s="14" t="str">
        <x:v>Cumartesi</x:v>
      </x:c>
      <x:c r="D2210" s="14" t="str">
        <x:v>Hafta Sonu</x:v>
      </x:c>
      <x:c r="E2210" s="14" t="str">
        <x:v>Tam gün</x:v>
      </x:c>
      <x:c r="F2210" s="14" t="str">
        <x:v>F3 - Kaynak/MEB Tamamlama</x:v>
      </x:c>
      <x:c r="G2210" s="14" t="str">
        <x:v>17:55</x:v>
      </x:c>
      <x:c r="H2210" s="14" t="str">
        <x:v>18:25</x:v>
      </x:c>
      <x:c r="I2210" s="14" t="str">
        <x:v>Fen</x:v>
      </x:c>
      <x:c r="J2210" s="14" t="str">
        <x:v>Ek Fen Kitap / MEB</x:v>
      </x:c>
      <x:c r="K2210" s="14" t="str">
        <x:v>Kaynak Tamamlama / Zayıf Konu</x:v>
      </x:c>
      <x:c r="L2210" s="14" t="str">
        <x:v>13 Nisan %100 tamamlama hedefine göre en geride kalan Fen soru kaynağını/eksik MEB setini ilerlet; açık yanlışları kapat.</x:v>
      </x:c>
      <x:c r="M2210" s="14" t="str">
        <x:v>Hız 8. Sınıf Fen (ISBN 9786257514859); tamamlandıysa Mozaik 8. Sınıf Fen + açık MEB/yanlışlar</x:v>
      </x:c>
      <x:c r="N2210" s="14" t="str">
        <x:v>https://odsgm.meb.gov.tr/www/8sinif-calisma-sorulari/icerik/1632</x:v>
      </x:c>
      <x:c r="O2210" s="14" t="n">
        <x:v>20</x:v>
      </x:c>
      <x:c r="P2210" s="14" t="str">
        <x:v>Hayır</x:v>
      </x:c>
      <x:c r="Q2210" s="14" t="str">
        <x:v>Evet</x:v>
      </x:c>
      <x:c r="R2210" s="14" t="str">
        <x:v>Planlandı</x:v>
      </x:c>
      <x:c r="S2210" s="15" t="str"/>
      <x:c r="T2210" s="14" t="str">
        <x:v>Fen için Hız → gerekiyorsa Mozaik; MEB doğrulaması konu bitiminde.</x:v>
      </x:c>
    </x:row>
    <x:row r="2211">
      <x:c r="A2211" s="14" t="n">
        <x:v>2210</x:v>
      </x:c>
      <x:c r="B2211" s="15" t="n">
        <x:v>46473</x:v>
      </x:c>
      <x:c r="C2211" s="14" t="str">
        <x:v>Cumartesi</x:v>
      </x:c>
      <x:c r="D2211" s="14" t="str">
        <x:v>Hafta Sonu</x:v>
      </x:c>
      <x:c r="E2211" s="14" t="str">
        <x:v>Tam gün</x:v>
      </x:c>
      <x:c r="F2211" s="14" t="str">
        <x:v>F3 - Kaynak/MEB Tamamlama</x:v>
      </x:c>
      <x:c r="G2211" s="14" t="str">
        <x:v>18:25</x:v>
      </x:c>
      <x:c r="H2211" s="14" t="str">
        <x:v>18:45</x:v>
      </x:c>
      <x:c r="I2211" s="14" t="str">
        <x:v>Genel</x:v>
      </x:c>
      <x:c r="J2211" s="14" t="str">
        <x:v>Yanlış / Boş Analizi</x:v>
      </x:c>
      <x:c r="K2211" s="14" t="str">
        <x:v>Günlük</x:v>
      </x:c>
      <x:c r="L2211" s="14" t="str">
        <x:v>Bugünkü yanlış/boşları kaydet; çözümünü öğrenmeden kapatma. Hata türünü sınıflandır.</x:v>
      </x:c>
      <x:c r="M2211" s="14" t="str">
        <x:v>Yanlış Defteri</x:v>
      </x:c>
      <x:c r="N2211" s="14" t="str"/>
      <x:c r="O2211" s="14" t="n">
        <x:v>0</x:v>
      </x:c>
      <x:c r="P2211" s="14" t="str">
        <x:v>Hayır</x:v>
      </x:c>
      <x:c r="Q2211" s="14" t="str">
        <x:v>Evet</x:v>
      </x:c>
      <x:c r="R2211" s="14" t="str">
        <x:v>Planlandı</x:v>
      </x:c>
      <x:c r="S2211" s="15" t="str"/>
      <x:c r="T2211" s="14" t="str"/>
    </x:row>
    <x:row r="2212">
      <x:c r="A2212" s="14" t="n">
        <x:v>2211</x:v>
      </x:c>
      <x:c r="B2212" s="15" t="n">
        <x:v>46473</x:v>
      </x:c>
      <x:c r="C2212" s="14" t="str">
        <x:v>Cumartesi</x:v>
      </x:c>
      <x:c r="D2212" s="14" t="str">
        <x:v>Hafta Sonu</x:v>
      </x:c>
      <x:c r="E2212" s="14" t="str">
        <x:v>Tam gün</x:v>
      </x:c>
      <x:c r="F2212" s="14" t="str">
        <x:v>F3 - Kaynak/MEB Tamamlama</x:v>
      </x:c>
      <x:c r="G2212" s="14" t="str">
        <x:v>18:45</x:v>
      </x:c>
      <x:c r="H2212" s="14" t="str">
        <x:v>19:05</x:v>
      </x:c>
      <x:c r="I2212" s="14" t="str">
        <x:v>Genel</x:v>
      </x:c>
      <x:c r="J2212" s="14" t="str">
        <x:v>Aralıklı Hata Tekrarı</x:v>
      </x:c>
      <x:c r="K2212" s="14" t="str">
        <x:v>+1 / +7 / +21</x:v>
      </x:c>
      <x:c r="L2212" s="14" t="str">
        <x:v>Bugün vadesi gelen yanlış soruları tekrar çöz. Vadesi yoksa bu süre serbest/okuma olabilir.</x:v>
      </x:c>
      <x:c r="M2212" s="14" t="str">
        <x:v>Yanlış Defteri</x:v>
      </x:c>
      <x:c r="N2212" s="14" t="str"/>
      <x:c r="O2212" s="14" t="n">
        <x:v>0</x:v>
      </x:c>
      <x:c r="P2212" s="14" t="str">
        <x:v>Hayır</x:v>
      </x:c>
      <x:c r="Q2212" s="14" t="str">
        <x:v>Koşullu</x:v>
      </x:c>
      <x:c r="R2212" s="14" t="str">
        <x:v>Planlandı</x:v>
      </x:c>
      <x:c r="S2212" s="15" t="str"/>
      <x:c r="T2212" s="14" t="str">
        <x:v>Yanlışlar +1, +7 ve +21 gün aralıklarıyla tekrar edilir; hâlâ yanlışsa konu mastery durumu düşürülür.</x:v>
      </x:c>
    </x:row>
    <x:row r="2213">
      <x:c r="A2213" s="14" t="n">
        <x:v>2212</x:v>
      </x:c>
      <x:c r="B2213" s="15" t="n">
        <x:v>46473</x:v>
      </x:c>
      <x:c r="C2213" s="14" t="str">
        <x:v>Cumartesi</x:v>
      </x:c>
      <x:c r="D2213" s="14" t="str">
        <x:v>Hafta Sonu</x:v>
      </x:c>
      <x:c r="E2213" s="14" t="str">
        <x:v>Tam gün</x:v>
      </x:c>
      <x:c r="F2213" s="14" t="str">
        <x:v>F3 - Kaynak/MEB Tamamlama</x:v>
      </x:c>
      <x:c r="G2213" s="14" t="str">
        <x:v>20:00</x:v>
      </x:c>
      <x:c r="H2213" s="14" t="str">
        <x:v>20:30</x:v>
      </x:c>
      <x:c r="I2213" s="14" t="str">
        <x:v>Okuma</x:v>
      </x:c>
      <x:c r="J2213" s="14" t="str">
        <x:v>İsteğe Bağlı</x:v>
      </x:c>
      <x:c r="K2213" s="14" t="str">
        <x:v>Serbest Kitap</x:v>
      </x:c>
      <x:c r="L2213" s="14" t="str">
        <x:v>Zorunlu çalışmalar bittiyse isteğe bağlı kitap oku.</x:v>
      </x:c>
      <x:c r="M2213" s="14" t="str">
        <x:v>Serbest Kitap</x:v>
      </x:c>
      <x:c r="N2213" s="14" t="str"/>
      <x:c r="O2213" s="14" t="n">
        <x:v>0</x:v>
      </x:c>
      <x:c r="P2213" s="14" t="str">
        <x:v>İsteğe Bağlı</x:v>
      </x:c>
      <x:c r="Q2213" s="14" t="str">
        <x:v>Hayır</x:v>
      </x:c>
      <x:c r="R2213" s="14" t="str">
        <x:v>Planlandı</x:v>
      </x:c>
      <x:c r="S2213" s="15" t="str"/>
      <x:c r="T2213" s="14" t="str">
        <x:v>Minimum süre yok.</x:v>
      </x:c>
    </x:row>
    <x:row r="2214">
      <x:c r="A2214" s="14" t="n">
        <x:v>2213</x:v>
      </x:c>
      <x:c r="B2214" s="15" t="n">
        <x:v>46473</x:v>
      </x:c>
      <x:c r="C2214" s="14" t="str">
        <x:v>Cumartesi</x:v>
      </x:c>
      <x:c r="D2214" s="14" t="str">
        <x:v>Hafta Sonu</x:v>
      </x:c>
      <x:c r="E2214" s="14" t="str">
        <x:v>Tam gün</x:v>
      </x:c>
      <x:c r="F2214" s="14" t="str">
        <x:v>F3 - Kaynak/MEB Tamamlama</x:v>
      </x:c>
      <x:c r="G2214" s="14" t="str">
        <x:v>21:50</x:v>
      </x:c>
      <x:c r="H2214" s="14" t="str">
        <x:v>22:00</x:v>
      </x:c>
      <x:c r="I2214" s="14" t="str">
        <x:v>Genel</x:v>
      </x:c>
      <x:c r="J2214" s="14" t="str">
        <x:v>Uyku Hazırlığı</x:v>
      </x:c>
      <x:c r="K2214" s="14" t="str"/>
      <x:c r="L2214" s="14" t="str">
        <x:v>22:00'de yatakta ve uyku.</x:v>
      </x:c>
      <x:c r="M2214" s="14" t="str"/>
      <x:c r="N2214" s="14" t="str"/>
      <x:c r="O2214" s="14" t="n">
        <x:v>0</x:v>
      </x:c>
      <x:c r="P2214" s="14" t="str">
        <x:v>Hayır</x:v>
      </x:c>
      <x:c r="Q2214" s="14" t="str">
        <x:v>Hayır</x:v>
      </x:c>
      <x:c r="R2214" s="14" t="str">
        <x:v>Planlandı</x:v>
      </x:c>
      <x:c r="S2214" s="15" t="str"/>
      <x:c r="T2214" s="14" t="str"/>
    </x:row>
    <x:row r="2215">
      <x:c r="A2215" s="14" t="n">
        <x:v>2214</x:v>
      </x:c>
      <x:c r="B2215" s="15" t="n">
        <x:v>46474</x:v>
      </x:c>
      <x:c r="C2215" s="14" t="str">
        <x:v>Pazar</x:v>
      </x:c>
      <x:c r="D2215" s="14" t="str">
        <x:v>Hafta Sonu</x:v>
      </x:c>
      <x:c r="E2215" s="14" t="str">
        <x:v>Tam gün</x:v>
      </x:c>
      <x:c r="F2215" s="14" t="str">
        <x:v>F3 - Kaynak/MEB Tamamlama</x:v>
      </x:c>
      <x:c r="G2215" s="14" t="str">
        <x:v>09:30</x:v>
      </x:c>
      <x:c r="H2215" s="14" t="str">
        <x:v>10:15</x:v>
      </x:c>
      <x:c r="I2215" s="14" t="str">
        <x:v>Matematik</x:v>
      </x:c>
      <x:c r="J2215" s="14" t="str">
        <x:v>Konu / Tekrar</x:v>
      </x:c>
      <x:c r="K2215" s="14" t="str">
        <x:v>Kaynak Tamamlama / Zayıf Konu</x:v>
      </x:c>
      <x:c r="L2215" s="14" t="str">
        <x:v>Yeni konu açma. En zayıf/açık konunun ilgili playlist videosunu yalnız gerekiyorsa tekrar izle.</x:v>
      </x:c>
      <x:c r="M2215" s="14" t="str">
        <x:v>Matematik Ana Oynatma Listesi</x:v>
      </x:c>
      <x:c r="N2215" s="14" t="str">
        <x:v>https://www.youtube.com/watch?v=EuJ89QzqrAg&amp;list=PLicNtF7vp6fnfDqrRLH6H7fIbzYT4ct4F&amp;index=11</x:v>
      </x:c>
      <x:c r="O2215" s="14" t="n">
        <x:v>0</x:v>
      </x:c>
      <x:c r="P2215" s="14" t="str">
        <x:v>Hayır</x:v>
      </x:c>
      <x:c r="Q2215" s="14" t="str">
        <x:v>Evet</x:v>
      </x:c>
      <x:c r="R2215" s="14" t="str">
        <x:v>Planlandı</x:v>
      </x:c>
      <x:c r="S2215" s="15" t="str"/>
      <x:c r="T2215" s="14" t="str">
        <x:v>Yeni konu ancak plan sırasıyla açılır; LGS dışı ileri TYT içeriği zorunlu değildir.</x:v>
      </x:c>
    </x:row>
    <x:row r="2216">
      <x:c r="A2216" s="14" t="n">
        <x:v>2215</x:v>
      </x:c>
      <x:c r="B2216" s="15" t="n">
        <x:v>46474</x:v>
      </x:c>
      <x:c r="C2216" s="14" t="str">
        <x:v>Pazar</x:v>
      </x:c>
      <x:c r="D2216" s="14" t="str">
        <x:v>Hafta Sonu</x:v>
      </x:c>
      <x:c r="E2216" s="14" t="str">
        <x:v>Tam gün</x:v>
      </x:c>
      <x:c r="F2216" s="14" t="str">
        <x:v>F3 - Kaynak/MEB Tamamlama</x:v>
      </x:c>
      <x:c r="G2216" s="14" t="str">
        <x:v>10:25</x:v>
      </x:c>
      <x:c r="H2216" s="14" t="str">
        <x:v>11:15</x:v>
      </x:c>
      <x:c r="I2216" s="14" t="str">
        <x:v>Matematik</x:v>
      </x:c>
      <x:c r="J2216" s="14" t="str">
        <x:v>Kitap / MEB / Mastery</x:v>
      </x:c>
      <x:c r="K2216" s="14" t="str">
        <x:v>Kaynak Tamamlama / Zayıf Konu</x:v>
      </x:c>
      <x:c r="L2216" s="14" t="str">
        <x:v>13 Nisan %100 tamamlama hedefine göre en geride kalan Matematik soru kaynağını/eksik MEB setini ilerlet; açık yanlışları kapat.</x:v>
      </x:c>
      <x:c r="M2216" s="14" t="str">
        <x:v>MUBA 8. Sınıf Başlangıç Matematik (ISBN 9789756526972) → tamamlandıysa Mozaik 8. Sınıf Matematik; açık MEB/yanlışlar</x:v>
      </x:c>
      <x:c r="N2216" s="14" t="str">
        <x:v>https://odsgm.meb.gov.tr/www/8sinif-calisma-sorulari/icerik/1632</x:v>
      </x:c>
      <x:c r="O2216" s="14" t="n">
        <x:v>30</x:v>
      </x:c>
      <x:c r="P2216" s="14" t="str">
        <x:v>İlk 20 soru</x:v>
      </x:c>
      <x:c r="Q2216" s="14" t="str">
        <x:v>Evet</x:v>
      </x:c>
      <x:c r="R2216" s="14" t="str">
        <x:v>Planlandı</x:v>
      </x:c>
      <x:c r="S2216" s="15" t="str"/>
      <x:c r="T2216" s="14" t="str">
        <x:v>Ayrı/rastgele matematik benchmark yoktur. Süreli ilk 20 soru o gün çalışılan konunun içindedir.</x:v>
      </x:c>
    </x:row>
    <x:row r="2217">
      <x:c r="A2217" s="14" t="n">
        <x:v>2216</x:v>
      </x:c>
      <x:c r="B2217" s="15" t="n">
        <x:v>46474</x:v>
      </x:c>
      <x:c r="C2217" s="14" t="str">
        <x:v>Pazar</x:v>
      </x:c>
      <x:c r="D2217" s="14" t="str">
        <x:v>Hafta Sonu</x:v>
      </x:c>
      <x:c r="E2217" s="14" t="str">
        <x:v>Tam gün</x:v>
      </x:c>
      <x:c r="F2217" s="14" t="str">
        <x:v>F3 - Kaynak/MEB Tamamlama</x:v>
      </x:c>
      <x:c r="G2217" s="14" t="str">
        <x:v>12:00</x:v>
      </x:c>
      <x:c r="H2217" s="14" t="str">
        <x:v>14:00</x:v>
      </x:c>
      <x:c r="I2217" s="14" t="str">
        <x:v>Genel</x:v>
      </x:c>
      <x:c r="J2217" s="14" t="str">
        <x:v>Yemek / Serbest Zaman</x:v>
      </x:c>
      <x:c r="K2217" s="14" t="str"/>
      <x:c r="L2217" s="14" t="str">
        <x:v>Yemek, hareket ve dinlenme.</x:v>
      </x:c>
      <x:c r="M2217" s="14" t="str"/>
      <x:c r="N2217" s="14" t="str"/>
      <x:c r="O2217" s="14" t="n">
        <x:v>0</x:v>
      </x:c>
      <x:c r="P2217" s="14" t="str">
        <x:v>Hayır</x:v>
      </x:c>
      <x:c r="Q2217" s="14" t="str">
        <x:v>Hayır</x:v>
      </x:c>
      <x:c r="R2217" s="14" t="str">
        <x:v>Planlandı</x:v>
      </x:c>
      <x:c r="S2217" s="15" t="str"/>
      <x:c r="T2217" s="14" t="str"/>
    </x:row>
    <x:row r="2218">
      <x:c r="A2218" s="14" t="n">
        <x:v>2217</x:v>
      </x:c>
      <x:c r="B2218" s="15" t="n">
        <x:v>46474</x:v>
      </x:c>
      <x:c r="C2218" s="14" t="str">
        <x:v>Pazar</x:v>
      </x:c>
      <x:c r="D2218" s="14" t="str">
        <x:v>Hafta Sonu</x:v>
      </x:c>
      <x:c r="E2218" s="14" t="str">
        <x:v>Tam gün</x:v>
      </x:c>
      <x:c r="F2218" s="14" t="str">
        <x:v>F3 - Kaynak/MEB Tamamlama</x:v>
      </x:c>
      <x:c r="G2218" s="14" t="str">
        <x:v>11:25</x:v>
      </x:c>
      <x:c r="H2218" s="14" t="str">
        <x:v>11:55</x:v>
      </x:c>
      <x:c r="I2218" s="14" t="str">
        <x:v>Türkçe</x:v>
      </x:c>
      <x:c r="J2218" s="14" t="str">
        <x:v>Paragraf Rutini</x:v>
      </x:c>
      <x:c r="K2218" s="14" t="str">
        <x:v>Paragraf</x:v>
      </x:c>
      <x:c r="L2218" s="14" t="str">
        <x:v>En az 30 paragraf sorusu çöz; ilk 20 soruyu ileri sayımla ölç, D/Y/B + süre kaydet.</x:v>
      </x:c>
      <x:c r="M2218" s="14" t="str">
        <x:v>Hız 8. Sınıf Türkçe Paragraf (ISBN 9786258394498)</x:v>
      </x:c>
      <x:c r="N2218" s="14" t="str"/>
      <x:c r="O2218" s="14" t="n">
        <x:v>30</x:v>
      </x:c>
      <x:c r="P2218" s="14" t="str">
        <x:v>İlk 20 soru</x:v>
      </x:c>
      <x:c r="Q2218" s="14" t="str">
        <x:v>Evet</x:v>
      </x:c>
      <x:c r="R2218" s="14" t="str">
        <x:v>Planlandı</x:v>
      </x:c>
      <x:c r="S2218" s="15" t="str"/>
      <x:c r="T2218" s="14" t="str">
        <x:v>Geri sayım ve hedef süre yok.</x:v>
      </x:c>
    </x:row>
    <x:row r="2219">
      <x:c r="A2219" s="14" t="n">
        <x:v>2218</x:v>
      </x:c>
      <x:c r="B2219" s="15" t="n">
        <x:v>46474</x:v>
      </x:c>
      <x:c r="C2219" s="14" t="str">
        <x:v>Pazar</x:v>
      </x:c>
      <x:c r="D2219" s="14" t="str">
        <x:v>Hafta Sonu</x:v>
      </x:c>
      <x:c r="E2219" s="14" t="str">
        <x:v>Tam gün</x:v>
      </x:c>
      <x:c r="F2219" s="14" t="str">
        <x:v>F3 - Kaynak/MEB Tamamlama</x:v>
      </x:c>
      <x:c r="G2219" s="14" t="str">
        <x:v>14:00</x:v>
      </x:c>
      <x:c r="H2219" s="14" t="str">
        <x:v>14:40</x:v>
      </x:c>
      <x:c r="I2219" s="14" t="str">
        <x:v>Türkçe</x:v>
      </x:c>
      <x:c r="J2219" s="14" t="str">
        <x:v>Konu / Tekrar</x:v>
      </x:c>
      <x:c r="K2219" s="14" t="str">
        <x:v>Kaynak Tamamlama / Zayıf Konu</x:v>
      </x:c>
      <x:c r="L2219" s="14" t="str">
        <x:v>Yeni konu açma. En zayıf/açık konunun ilgili playlist videosunu yalnız gerekiyorsa tekrar izle.</x:v>
      </x:c>
      <x:c r="M2219" s="14" t="str">
        <x:v>Türkçe Ana Oynatma Listesi</x:v>
      </x:c>
      <x:c r="N2219" s="14" t="str">
        <x:v>https://www.youtube.com/watch?v=VYsPntNKVdw&amp;list=PLIBjFaUoJJ91bz7QQEBlxNJNZka5YQRr6</x:v>
      </x:c>
      <x:c r="O2219" s="14" t="n">
        <x:v>0</x:v>
      </x:c>
      <x:c r="P2219" s="14" t="str">
        <x:v>Hayır</x:v>
      </x:c>
      <x:c r="Q2219" s="14" t="str">
        <x:v>Evet</x:v>
      </x:c>
      <x:c r="R2219" s="14" t="str">
        <x:v>Planlandı</x:v>
      </x:c>
      <x:c r="S2219" s="15" t="str"/>
      <x:c r="T2219" s="14" t="str">
        <x:v>TYT etiketli kaynak temelden başlamak için sabittir; LGS dışı gereksiz ayrıntı zorunlu değildir.</x:v>
      </x:c>
    </x:row>
    <x:row r="2220">
      <x:c r="A2220" s="14" t="n">
        <x:v>2219</x:v>
      </x:c>
      <x:c r="B2220" s="15" t="n">
        <x:v>46474</x:v>
      </x:c>
      <x:c r="C2220" s="14" t="str">
        <x:v>Pazar</x:v>
      </x:c>
      <x:c r="D2220" s="14" t="str">
        <x:v>Hafta Sonu</x:v>
      </x:c>
      <x:c r="E2220" s="14" t="str">
        <x:v>Tam gün</x:v>
      </x:c>
      <x:c r="F2220" s="14" t="str">
        <x:v>F3 - Kaynak/MEB Tamamlama</x:v>
      </x:c>
      <x:c r="G2220" s="14" t="str">
        <x:v>14:50</x:v>
      </x:c>
      <x:c r="H2220" s="14" t="str">
        <x:v>15:30</x:v>
      </x:c>
      <x:c r="I2220" s="14" t="str">
        <x:v>Türkçe</x:v>
      </x:c>
      <x:c r="J2220" s="14" t="str">
        <x:v>Kitap / MEB / Mastery</x:v>
      </x:c>
      <x:c r="K2220" s="14" t="str">
        <x:v>Kaynak Tamamlama / Zayıf Konu</x:v>
      </x:c>
      <x:c r="L2220" s="14" t="str">
        <x:v>13 Nisan %100 tamamlama hedefine göre en geride kalan Türkçe soru kaynağını/eksik MEB setini ilerlet; açık yanlışları kapat.</x:v>
      </x:c>
      <x:c r="M2220" s="14" t="str">
        <x:v>Ankara 8. Sınıf Dil Bilgisi Güçlendiren + açık MEB/yanlışlar</x:v>
      </x:c>
      <x:c r="N2220" s="14" t="str">
        <x:v>https://odsgm.meb.gov.tr/www/8sinif-calisma-sorulari/icerik/1632</x:v>
      </x:c>
      <x:c r="O2220" s="14" t="n">
        <x:v>20</x:v>
      </x:c>
      <x:c r="P2220" s="14" t="str">
        <x:v>Hayır</x:v>
      </x:c>
      <x:c r="Q2220" s="14" t="str">
        <x:v>Evet</x:v>
      </x:c>
      <x:c r="R2220" s="14" t="str">
        <x:v>Planlandı</x:v>
      </x:c>
      <x:c r="S2220" s="15" t="str"/>
      <x:c r="T2220" s="14" t="str"/>
    </x:row>
    <x:row r="2221">
      <x:c r="A2221" s="14" t="n">
        <x:v>2220</x:v>
      </x:c>
      <x:c r="B2221" s="15" t="n">
        <x:v>46474</x:v>
      </x:c>
      <x:c r="C2221" s="14" t="str">
        <x:v>Pazar</x:v>
      </x:c>
      <x:c r="D2221" s="14" t="str">
        <x:v>Hafta Sonu</x:v>
      </x:c>
      <x:c r="E2221" s="14" t="str">
        <x:v>Tam gün</x:v>
      </x:c>
      <x:c r="F2221" s="14" t="str">
        <x:v>F3 - Kaynak/MEB Tamamlama</x:v>
      </x:c>
      <x:c r="G2221" s="14" t="str">
        <x:v>15:45</x:v>
      </x:c>
      <x:c r="H2221" s="14" t="str">
        <x:v>16:25</x:v>
      </x:c>
      <x:c r="I2221" s="14" t="str">
        <x:v>İnkılap</x:v>
      </x:c>
      <x:c r="J2221" s="14" t="str">
        <x:v>Konu / Tekrar</x:v>
      </x:c>
      <x:c r="K2221" s="14" t="str">
        <x:v>Kaynak Tamamlama / Zayıf Konu</x:v>
      </x:c>
      <x:c r="L2221" s="14" t="str">
        <x:v>Yeni konu açma. En zayıf/açık konunun ilgili playlist videosunu yalnız gerekiyorsa tekrar izle.</x:v>
      </x:c>
      <x:c r="M2221" s="14" t="str">
        <x:v>İnkılap Genel Oynatma Listesi</x:v>
      </x:c>
      <x:c r="N2221" s="14" t="str">
        <x:v>https://www.youtube.com/watch?v=MltIX0oKpYU&amp;list=PLsAsBPsriHNbXit4Ra3iuBrk1ZHZWxsOR&amp;index=78</x:v>
      </x:c>
      <x:c r="O2221" s="14" t="n">
        <x:v>0</x:v>
      </x:c>
      <x:c r="P2221" s="14" t="str">
        <x:v>Hayır</x:v>
      </x:c>
      <x:c r="Q2221" s="14" t="str">
        <x:v>Evet</x:v>
      </x:c>
      <x:c r="R2221" s="14" t="str">
        <x:v>Planlandı</x:v>
      </x:c>
      <x:c r="S2221" s="15" t="str"/>
      <x:c r="T2221" s="14" t="str">
        <x:v>İnkılapta okul yazılısı videoları zorunlu değildir.</x:v>
      </x:c>
    </x:row>
    <x:row r="2222">
      <x:c r="A2222" s="14" t="n">
        <x:v>2221</x:v>
      </x:c>
      <x:c r="B2222" s="15" t="n">
        <x:v>46474</x:v>
      </x:c>
      <x:c r="C2222" s="14" t="str">
        <x:v>Pazar</x:v>
      </x:c>
      <x:c r="D2222" s="14" t="str">
        <x:v>Hafta Sonu</x:v>
      </x:c>
      <x:c r="E2222" s="14" t="str">
        <x:v>Tam gün</x:v>
      </x:c>
      <x:c r="F2222" s="14" t="str">
        <x:v>F3 - Kaynak/MEB Tamamlama</x:v>
      </x:c>
      <x:c r="G2222" s="14" t="str">
        <x:v>16:35</x:v>
      </x:c>
      <x:c r="H2222" s="14" t="str">
        <x:v>17:15</x:v>
      </x:c>
      <x:c r="I2222" s="14" t="str">
        <x:v>İnkılap</x:v>
      </x:c>
      <x:c r="J2222" s="14" t="str">
        <x:v>Kitap / MEB / Mastery</x:v>
      </x:c>
      <x:c r="K2222" s="14" t="str">
        <x:v>Kaynak Tamamlama / Zayıf Konu</x:v>
      </x:c>
      <x:c r="L2222" s="14" t="str">
        <x:v>13 Nisan %100 tamamlama hedefine göre en geride kalan İnkılap soru kaynağını/eksik MEB setini ilerlet; açık yanlışları kapat.</x:v>
      </x:c>
      <x:c r="M2222" s="14" t="str">
        <x:v>Hız 8. Sınıf T.C. İnkılap Tarihi ve Atatürkçülük + açık MEB/yanlışlar</x:v>
      </x:c>
      <x:c r="N2222" s="14" t="str">
        <x:v>https://odsgm.meb.gov.tr/www/8sinif-calisma-sorulari/icerik/1632</x:v>
      </x:c>
      <x:c r="O2222" s="14" t="n">
        <x:v>20</x:v>
      </x:c>
      <x:c r="P2222" s="14" t="str">
        <x:v>Hayır</x:v>
      </x:c>
      <x:c r="Q2222" s="14" t="str">
        <x:v>Evet</x:v>
      </x:c>
      <x:c r="R2222" s="14" t="str">
        <x:v>Planlandı</x:v>
      </x:c>
      <x:c r="S2222" s="15" t="str"/>
      <x:c r="T2222" s="14" t="str"/>
    </x:row>
    <x:row r="2223">
      <x:c r="A2223" s="14" t="n">
        <x:v>2222</x:v>
      </x:c>
      <x:c r="B2223" s="15" t="n">
        <x:v>46474</x:v>
      </x:c>
      <x:c r="C2223" s="14" t="str">
        <x:v>Pazar</x:v>
      </x:c>
      <x:c r="D2223" s="14" t="str">
        <x:v>Hafta Sonu</x:v>
      </x:c>
      <x:c r="E2223" s="14" t="str">
        <x:v>Tam gün</x:v>
      </x:c>
      <x:c r="F2223" s="14" t="str">
        <x:v>F3 - Kaynak/MEB Tamamlama</x:v>
      </x:c>
      <x:c r="G2223" s="14" t="str">
        <x:v>17:25</x:v>
      </x:c>
      <x:c r="H2223" s="14" t="str">
        <x:v>18:25</x:v>
      </x:c>
      <x:c r="I2223" s="14" t="str">
        <x:v>Genel</x:v>
      </x:c>
      <x:c r="J2223" s="14" t="str">
        <x:v>Kaynak Tamamlama</x:v>
      </x:c>
      <x:c r="K2223" s="14" t="str">
        <x:v>En Geride Kalan Kaynak</x:v>
      </x:c>
      <x:c r="L2223" s="14" t="str">
        <x:v>Kaynak_Ilerleme sayfasında hedef yüzdesinin en gerisinde kalan ZORUNLU soru kaynağına 60 dk ayır. Öğrenilmemiş konudan ileri gitme.</x:v>
      </x:c>
      <x:c r="M2223" s="14" t="str">
        <x:v>Kaynak İlerleme</x:v>
      </x:c>
      <x:c r="N2223" s="14" t="str"/>
      <x:c r="O2223" s="14" t="n">
        <x:v>0</x:v>
      </x:c>
      <x:c r="P2223" s="14" t="str">
        <x:v>Hayır</x:v>
      </x:c>
      <x:c r="Q2223" s="14" t="str">
        <x:v>Evet</x:v>
      </x:c>
      <x:c r="R2223" s="14" t="str">
        <x:v>Planlandı</x:v>
      </x:c>
      <x:c r="S2223" s="15" t="str"/>
      <x:c r="T2223" s="14" t="str">
        <x:v>Amaç 13.04.2027'de zorunlu soru kitapları + ilgili MEB setlerini %100 tamamlamak.</x:v>
      </x:c>
    </x:row>
    <x:row r="2224">
      <x:c r="A2224" s="14" t="n">
        <x:v>2223</x:v>
      </x:c>
      <x:c r="B2224" s="15" t="n">
        <x:v>46474</x:v>
      </x:c>
      <x:c r="C2224" s="14" t="str">
        <x:v>Pazar</x:v>
      </x:c>
      <x:c r="D2224" s="14" t="str">
        <x:v>Hafta Sonu</x:v>
      </x:c>
      <x:c r="E2224" s="14" t="str">
        <x:v>Tam gün</x:v>
      </x:c>
      <x:c r="F2224" s="14" t="str">
        <x:v>F3 - Kaynak/MEB Tamamlama</x:v>
      </x:c>
      <x:c r="G2224" s="14" t="str">
        <x:v>18:25</x:v>
      </x:c>
      <x:c r="H2224" s="14" t="str">
        <x:v>18:45</x:v>
      </x:c>
      <x:c r="I2224" s="14" t="str">
        <x:v>Genel</x:v>
      </x:c>
      <x:c r="J2224" s="14" t="str">
        <x:v>Yanlış / Boş Analizi</x:v>
      </x:c>
      <x:c r="K2224" s="14" t="str">
        <x:v>Günlük</x:v>
      </x:c>
      <x:c r="L2224" s="14" t="str">
        <x:v>Bugünkü yanlış/boşları kaydet; çözümünü öğrenmeden kapatma. Hata türünü sınıflandır.</x:v>
      </x:c>
      <x:c r="M2224" s="14" t="str">
        <x:v>Yanlış Defteri</x:v>
      </x:c>
      <x:c r="N2224" s="14" t="str"/>
      <x:c r="O2224" s="14" t="n">
        <x:v>0</x:v>
      </x:c>
      <x:c r="P2224" s="14" t="str">
        <x:v>Hayır</x:v>
      </x:c>
      <x:c r="Q2224" s="14" t="str">
        <x:v>Evet</x:v>
      </x:c>
      <x:c r="R2224" s="14" t="str">
        <x:v>Planlandı</x:v>
      </x:c>
      <x:c r="S2224" s="15" t="str"/>
      <x:c r="T2224" s="14" t="str"/>
    </x:row>
    <x:row r="2225">
      <x:c r="A2225" s="14" t="n">
        <x:v>2224</x:v>
      </x:c>
      <x:c r="B2225" s="15" t="n">
        <x:v>46474</x:v>
      </x:c>
      <x:c r="C2225" s="14" t="str">
        <x:v>Pazar</x:v>
      </x:c>
      <x:c r="D2225" s="14" t="str">
        <x:v>Hafta Sonu</x:v>
      </x:c>
      <x:c r="E2225" s="14" t="str">
        <x:v>Tam gün</x:v>
      </x:c>
      <x:c r="F2225" s="14" t="str">
        <x:v>F3 - Kaynak/MEB Tamamlama</x:v>
      </x:c>
      <x:c r="G2225" s="14" t="str">
        <x:v>18:45</x:v>
      </x:c>
      <x:c r="H2225" s="14" t="str">
        <x:v>19:05</x:v>
      </x:c>
      <x:c r="I2225" s="14" t="str">
        <x:v>Genel</x:v>
      </x:c>
      <x:c r="J2225" s="14" t="str">
        <x:v>Aralıklı Hata Tekrarı</x:v>
      </x:c>
      <x:c r="K2225" s="14" t="str">
        <x:v>+1 / +7 / +21</x:v>
      </x:c>
      <x:c r="L2225" s="14" t="str">
        <x:v>Bugün vadesi gelen yanlış soruları tekrar çöz. Vadesi yoksa bu süre serbest/okuma olabilir.</x:v>
      </x:c>
      <x:c r="M2225" s="14" t="str">
        <x:v>Yanlış Defteri</x:v>
      </x:c>
      <x:c r="N2225" s="14" t="str"/>
      <x:c r="O2225" s="14" t="n">
        <x:v>0</x:v>
      </x:c>
      <x:c r="P2225" s="14" t="str">
        <x:v>Hayır</x:v>
      </x:c>
      <x:c r="Q2225" s="14" t="str">
        <x:v>Koşullu</x:v>
      </x:c>
      <x:c r="R2225" s="14" t="str">
        <x:v>Planlandı</x:v>
      </x:c>
      <x:c r="S2225" s="15" t="str"/>
      <x:c r="T2225" s="14" t="str">
        <x:v>Yanlışlar +1, +7 ve +21 gün aralıklarıyla tekrar edilir; hâlâ yanlışsa konu mastery durumu düşürülür.</x:v>
      </x:c>
    </x:row>
    <x:row r="2226">
      <x:c r="A2226" s="14" t="n">
        <x:v>2225</x:v>
      </x:c>
      <x:c r="B2226" s="15" t="n">
        <x:v>46474</x:v>
      </x:c>
      <x:c r="C2226" s="14" t="str">
        <x:v>Pazar</x:v>
      </x:c>
      <x:c r="D2226" s="14" t="str">
        <x:v>Hafta Sonu</x:v>
      </x:c>
      <x:c r="E2226" s="14" t="str">
        <x:v>Tam gün</x:v>
      </x:c>
      <x:c r="F2226" s="14" t="str">
        <x:v>F3 - Kaynak/MEB Tamamlama</x:v>
      </x:c>
      <x:c r="G2226" s="14" t="str">
        <x:v>20:00</x:v>
      </x:c>
      <x:c r="H2226" s="14" t="str">
        <x:v>20:30</x:v>
      </x:c>
      <x:c r="I2226" s="14" t="str">
        <x:v>Okuma</x:v>
      </x:c>
      <x:c r="J2226" s="14" t="str">
        <x:v>İsteğe Bağlı</x:v>
      </x:c>
      <x:c r="K2226" s="14" t="str">
        <x:v>Serbest Kitap</x:v>
      </x:c>
      <x:c r="L2226" s="14" t="str">
        <x:v>Zorunlu çalışmalar bittiyse isteğe bağlı kitap oku.</x:v>
      </x:c>
      <x:c r="M2226" s="14" t="str">
        <x:v>Serbest Kitap</x:v>
      </x:c>
      <x:c r="N2226" s="14" t="str"/>
      <x:c r="O2226" s="14" t="n">
        <x:v>0</x:v>
      </x:c>
      <x:c r="P2226" s="14" t="str">
        <x:v>İsteğe Bağlı</x:v>
      </x:c>
      <x:c r="Q2226" s="14" t="str">
        <x:v>Hayır</x:v>
      </x:c>
      <x:c r="R2226" s="14" t="str">
        <x:v>Planlandı</x:v>
      </x:c>
      <x:c r="S2226" s="15" t="str"/>
      <x:c r="T2226" s="14" t="str">
        <x:v>Minimum süre yok.</x:v>
      </x:c>
    </x:row>
    <x:row r="2227">
      <x:c r="A2227" s="14" t="n">
        <x:v>2226</x:v>
      </x:c>
      <x:c r="B2227" s="15" t="n">
        <x:v>46474</x:v>
      </x:c>
      <x:c r="C2227" s="14" t="str">
        <x:v>Pazar</x:v>
      </x:c>
      <x:c r="D2227" s="14" t="str">
        <x:v>Hafta Sonu</x:v>
      </x:c>
      <x:c r="E2227" s="14" t="str">
        <x:v>Tam gün</x:v>
      </x:c>
      <x:c r="F2227" s="14" t="str">
        <x:v>F3 - Kaynak/MEB Tamamlama</x:v>
      </x:c>
      <x:c r="G2227" s="14" t="str">
        <x:v>21:50</x:v>
      </x:c>
      <x:c r="H2227" s="14" t="str">
        <x:v>22:00</x:v>
      </x:c>
      <x:c r="I2227" s="14" t="str">
        <x:v>Genel</x:v>
      </x:c>
      <x:c r="J2227" s="14" t="str">
        <x:v>Uyku Hazırlığı</x:v>
      </x:c>
      <x:c r="K2227" s="14" t="str"/>
      <x:c r="L2227" s="14" t="str">
        <x:v>22:00'de yatakta ve uyku.</x:v>
      </x:c>
      <x:c r="M2227" s="14" t="str"/>
      <x:c r="N2227" s="14" t="str"/>
      <x:c r="O2227" s="14" t="n">
        <x:v>0</x:v>
      </x:c>
      <x:c r="P2227" s="14" t="str">
        <x:v>Hayır</x:v>
      </x:c>
      <x:c r="Q2227" s="14" t="str">
        <x:v>Hayır</x:v>
      </x:c>
      <x:c r="R2227" s="14" t="str">
        <x:v>Planlandı</x:v>
      </x:c>
      <x:c r="S2227" s="15" t="str"/>
      <x:c r="T2227" s="14" t="str"/>
    </x:row>
    <x:row r="2228">
      <x:c r="A2228" s="14" t="n">
        <x:v>2227</x:v>
      </x:c>
      <x:c r="B2228" s="15" t="n">
        <x:v>46475</x:v>
      </x:c>
      <x:c r="C2228" s="14" t="str">
        <x:v>Pazartesi</x:v>
      </x:c>
      <x:c r="D2228" s="14" t="str">
        <x:v>Okul Günü</x:v>
      </x:c>
      <x:c r="E2228" s="14" t="str">
        <x:v>16:00 sonrası</x:v>
      </x:c>
      <x:c r="F2228" s="14" t="str">
        <x:v>F3 - Kaynak/MEB Tamamlama</x:v>
      </x:c>
      <x:c r="G2228" s="14" t="str">
        <x:v>16:00</x:v>
      </x:c>
      <x:c r="H2228" s="14" t="str">
        <x:v>16:25</x:v>
      </x:c>
      <x:c r="I2228" s="14" t="str">
        <x:v>Genel</x:v>
      </x:c>
      <x:c r="J2228" s="14" t="str">
        <x:v>Dinlenme</x:v>
      </x:c>
      <x:c r="K2228" s="14" t="str"/>
      <x:c r="L2228" s="14" t="str">
        <x:v>Eve geliş, atıştırma ve dinlenme.</x:v>
      </x:c>
      <x:c r="M2228" s="14" t="str"/>
      <x:c r="N2228" s="14" t="str"/>
      <x:c r="O2228" s="14" t="n">
        <x:v>0</x:v>
      </x:c>
      <x:c r="P2228" s="14" t="str">
        <x:v>Hayır</x:v>
      </x:c>
      <x:c r="Q2228" s="14" t="str">
        <x:v>Hayır</x:v>
      </x:c>
      <x:c r="R2228" s="14" t="str">
        <x:v>Planlandı</x:v>
      </x:c>
      <x:c r="S2228" s="15" t="str"/>
      <x:c r="T2228" s="14" t="str"/>
    </x:row>
    <x:row r="2229">
      <x:c r="A2229" s="14" t="n">
        <x:v>2228</x:v>
      </x:c>
      <x:c r="B2229" s="15" t="n">
        <x:v>46475</x:v>
      </x:c>
      <x:c r="C2229" s="14" t="str">
        <x:v>Pazartesi</x:v>
      </x:c>
      <x:c r="D2229" s="14" t="str">
        <x:v>Okul Günü</x:v>
      </x:c>
      <x:c r="E2229" s="14" t="str">
        <x:v>16:00 sonrası</x:v>
      </x:c>
      <x:c r="F2229" s="14" t="str">
        <x:v>F3 - Kaynak/MEB Tamamlama</x:v>
      </x:c>
      <x:c r="G2229" s="14" t="str">
        <x:v>16:25</x:v>
      </x:c>
      <x:c r="H2229" s="14" t="str">
        <x:v>17:05</x:v>
      </x:c>
      <x:c r="I2229" s="14" t="str">
        <x:v>Matematik</x:v>
      </x:c>
      <x:c r="J2229" s="14" t="str">
        <x:v>Konu / Tekrar</x:v>
      </x:c>
      <x:c r="K2229" s="14" t="str">
        <x:v>Kaynak Tamamlama / Zayıf Konu</x:v>
      </x:c>
      <x:c r="L2229" s="14" t="str">
        <x:v>Yeni konu açma. En zayıf/açık konunun ilgili playlist videosunu yalnız gerekiyorsa tekrar izle.</x:v>
      </x:c>
      <x:c r="M2229" s="14" t="str">
        <x:v>Matematik Ana Oynatma Listesi</x:v>
      </x:c>
      <x:c r="N2229" s="14" t="str">
        <x:v>https://www.youtube.com/watch?v=EuJ89QzqrAg&amp;list=PLicNtF7vp6fnfDqrRLH6H7fIbzYT4ct4F&amp;index=11</x:v>
      </x:c>
      <x:c r="O2229" s="14" t="n">
        <x:v>0</x:v>
      </x:c>
      <x:c r="P2229" s="14" t="str">
        <x:v>Hayır</x:v>
      </x:c>
      <x:c r="Q2229" s="14" t="str">
        <x:v>Evet</x:v>
      </x:c>
      <x:c r="R2229" s="14" t="str">
        <x:v>Planlandı</x:v>
      </x:c>
      <x:c r="S2229" s="15" t="str"/>
      <x:c r="T2229" s="14" t="str">
        <x:v>Yeni konu ancak plan sırasıyla açılır; LGS dışı ileri TYT içeriği zorunlu değildir.</x:v>
      </x:c>
    </x:row>
    <x:row r="2230">
      <x:c r="A2230" s="14" t="n">
        <x:v>2229</x:v>
      </x:c>
      <x:c r="B2230" s="15" t="n">
        <x:v>46475</x:v>
      </x:c>
      <x:c r="C2230" s="14" t="str">
        <x:v>Pazartesi</x:v>
      </x:c>
      <x:c r="D2230" s="14" t="str">
        <x:v>Okul Günü</x:v>
      </x:c>
      <x:c r="E2230" s="14" t="str">
        <x:v>16:00 sonrası</x:v>
      </x:c>
      <x:c r="F2230" s="14" t="str">
        <x:v>F3 - Kaynak/MEB Tamamlama</x:v>
      </x:c>
      <x:c r="G2230" s="14" t="str">
        <x:v>17:10</x:v>
      </x:c>
      <x:c r="H2230" s="14" t="str">
        <x:v>17:55</x:v>
      </x:c>
      <x:c r="I2230" s="14" t="str">
        <x:v>Matematik</x:v>
      </x:c>
      <x:c r="J2230" s="14" t="str">
        <x:v>Kitap / MEB / Mastery</x:v>
      </x:c>
      <x:c r="K2230" s="14" t="str">
        <x:v>Kaynak Tamamlama / Zayıf Konu</x:v>
      </x:c>
      <x:c r="L2230" s="14" t="str">
        <x:v>13 Nisan %100 tamamlama hedefine göre en geride kalan Matematik soru kaynağını/eksik MEB setini ilerlet; açık yanlışları kapat.</x:v>
      </x:c>
      <x:c r="M2230" s="14" t="str">
        <x:v>MUBA 8. Sınıf Başlangıç Matematik (ISBN 9789756526972) → tamamlandıysa Mozaik 8. Sınıf Matematik; açık MEB/yanlışlar</x:v>
      </x:c>
      <x:c r="N2230" s="14" t="str">
        <x:v>https://odsgm.meb.gov.tr/www/8sinif-calisma-sorulari/icerik/1632</x:v>
      </x:c>
      <x:c r="O2230" s="14" t="n">
        <x:v>30</x:v>
      </x:c>
      <x:c r="P2230" s="14" t="str">
        <x:v>İlk 20 soru</x:v>
      </x:c>
      <x:c r="Q2230" s="14" t="str">
        <x:v>Evet</x:v>
      </x:c>
      <x:c r="R2230" s="14" t="str">
        <x:v>Planlandı</x:v>
      </x:c>
      <x:c r="S2230" s="15" t="str"/>
      <x:c r="T2230" s="14" t="str">
        <x:v>Ayrı/rastgele matematik benchmark yoktur. Süreli ilk 20 soru o gün çalışılan konunun içindedir.</x:v>
      </x:c>
    </x:row>
    <x:row r="2231">
      <x:c r="A2231" s="14" t="n">
        <x:v>2230</x:v>
      </x:c>
      <x:c r="B2231" s="15" t="n">
        <x:v>46475</x:v>
      </x:c>
      <x:c r="C2231" s="14" t="str">
        <x:v>Pazartesi</x:v>
      </x:c>
      <x:c r="D2231" s="14" t="str">
        <x:v>Okul Günü</x:v>
      </x:c>
      <x:c r="E2231" s="14" t="str">
        <x:v>16:00 sonrası</x:v>
      </x:c>
      <x:c r="F2231" s="14" t="str">
        <x:v>F3 - Kaynak/MEB Tamamlama</x:v>
      </x:c>
      <x:c r="G2231" s="14" t="str">
        <x:v>17:55</x:v>
      </x:c>
      <x:c r="H2231" s="14" t="str">
        <x:v>18:25</x:v>
      </x:c>
      <x:c r="I2231" s="14" t="str">
        <x:v>Genel</x:v>
      </x:c>
      <x:c r="J2231" s="14" t="str">
        <x:v>Yemek / Serbest Zaman</x:v>
      </x:c>
      <x:c r="K2231" s="14" t="str"/>
      <x:c r="L2231" s="14" t="str">
        <x:v>Yemek, hareket ve dinlenme.</x:v>
      </x:c>
      <x:c r="M2231" s="14" t="str"/>
      <x:c r="N2231" s="14" t="str"/>
      <x:c r="O2231" s="14" t="n">
        <x:v>0</x:v>
      </x:c>
      <x:c r="P2231" s="14" t="str">
        <x:v>Hayır</x:v>
      </x:c>
      <x:c r="Q2231" s="14" t="str">
        <x:v>Hayır</x:v>
      </x:c>
      <x:c r="R2231" s="14" t="str">
        <x:v>Planlandı</x:v>
      </x:c>
      <x:c r="S2231" s="15" t="str"/>
      <x:c r="T2231" s="14" t="str"/>
    </x:row>
    <x:row r="2232">
      <x:c r="A2232" s="14" t="n">
        <x:v>2231</x:v>
      </x:c>
      <x:c r="B2232" s="15" t="n">
        <x:v>46475</x:v>
      </x:c>
      <x:c r="C2232" s="14" t="str">
        <x:v>Pazartesi</x:v>
      </x:c>
      <x:c r="D2232" s="14" t="str">
        <x:v>Okul Günü</x:v>
      </x:c>
      <x:c r="E2232" s="14" t="str">
        <x:v>16:00 sonrası</x:v>
      </x:c>
      <x:c r="F2232" s="14" t="str">
        <x:v>F3 - Kaynak/MEB Tamamlama</x:v>
      </x:c>
      <x:c r="G2232" s="14" t="str">
        <x:v>18:25</x:v>
      </x:c>
      <x:c r="H2232" s="14" t="str">
        <x:v>18:55</x:v>
      </x:c>
      <x:c r="I2232" s="14" t="str">
        <x:v>Türkçe</x:v>
      </x:c>
      <x:c r="J2232" s="14" t="str">
        <x:v>Paragraf Rutini</x:v>
      </x:c>
      <x:c r="K2232" s="14" t="str">
        <x:v>Paragraf</x:v>
      </x:c>
      <x:c r="L2232" s="14" t="str">
        <x:v>En az 30 paragraf sorusu çöz; ilk 20 soruyu ileri sayımla ölç, D/Y/B + süre kaydet.</x:v>
      </x:c>
      <x:c r="M2232" s="14" t="str">
        <x:v>Hız 8. Sınıf Türkçe Paragraf (ISBN 9786258394498)</x:v>
      </x:c>
      <x:c r="N2232" s="14" t="str"/>
      <x:c r="O2232" s="14" t="n">
        <x:v>30</x:v>
      </x:c>
      <x:c r="P2232" s="14" t="str">
        <x:v>İlk 20 soru</x:v>
      </x:c>
      <x:c r="Q2232" s="14" t="str">
        <x:v>Evet</x:v>
      </x:c>
      <x:c r="R2232" s="14" t="str">
        <x:v>Planlandı</x:v>
      </x:c>
      <x:c r="S2232" s="15" t="str"/>
      <x:c r="T2232" s="14" t="str">
        <x:v>Geri sayım ve hedef süre yok.</x:v>
      </x:c>
    </x:row>
    <x:row r="2233">
      <x:c r="A2233" s="14" t="n">
        <x:v>2232</x:v>
      </x:c>
      <x:c r="B2233" s="15" t="n">
        <x:v>46475</x:v>
      </x:c>
      <x:c r="C2233" s="14" t="str">
        <x:v>Pazartesi</x:v>
      </x:c>
      <x:c r="D2233" s="14" t="str">
        <x:v>Okul Günü</x:v>
      </x:c>
      <x:c r="E2233" s="14" t="str">
        <x:v>16:00 sonrası</x:v>
      </x:c>
      <x:c r="F2233" s="14" t="str">
        <x:v>F3 - Kaynak/MEB Tamamlama</x:v>
      </x:c>
      <x:c r="G2233" s="14" t="str">
        <x:v>19:00</x:v>
      </x:c>
      <x:c r="H2233" s="14" t="str">
        <x:v>19:35</x:v>
      </x:c>
      <x:c r="I2233" s="14" t="str">
        <x:v>Türkçe</x:v>
      </x:c>
      <x:c r="J2233" s="14" t="str">
        <x:v>Konu / Tekrar</x:v>
      </x:c>
      <x:c r="K2233" s="14" t="str">
        <x:v>Kaynak Tamamlama / Zayıf Konu</x:v>
      </x:c>
      <x:c r="L2233" s="14" t="str">
        <x:v>Yeni konu açma. En zayıf/açık konunun ilgili playlist videosunu yalnız gerekiyorsa tekrar izle.</x:v>
      </x:c>
      <x:c r="M2233" s="14" t="str">
        <x:v>Türkçe Ana Oynatma Listesi</x:v>
      </x:c>
      <x:c r="N2233" s="14" t="str">
        <x:v>https://www.youtube.com/watch?v=VYsPntNKVdw&amp;list=PLIBjFaUoJJ91bz7QQEBlxNJNZka5YQRr6</x:v>
      </x:c>
      <x:c r="O2233" s="14" t="n">
        <x:v>0</x:v>
      </x:c>
      <x:c r="P2233" s="14" t="str">
        <x:v>Hayır</x:v>
      </x:c>
      <x:c r="Q2233" s="14" t="str">
        <x:v>Evet</x:v>
      </x:c>
      <x:c r="R2233" s="14" t="str">
        <x:v>Planlandı</x:v>
      </x:c>
      <x:c r="S2233" s="15" t="str"/>
      <x:c r="T2233" s="14" t="str">
        <x:v>TYT etiketli kaynak temelden başlamak için sabittir; LGS dışı gereksiz ayrıntı zorunlu değildir.</x:v>
      </x:c>
    </x:row>
    <x:row r="2234">
      <x:c r="A2234" s="14" t="n">
        <x:v>2233</x:v>
      </x:c>
      <x:c r="B2234" s="15" t="n">
        <x:v>46475</x:v>
      </x:c>
      <x:c r="C2234" s="14" t="str">
        <x:v>Pazartesi</x:v>
      </x:c>
      <x:c r="D2234" s="14" t="str">
        <x:v>Okul Günü</x:v>
      </x:c>
      <x:c r="E2234" s="14" t="str">
        <x:v>16:00 sonrası</x:v>
      </x:c>
      <x:c r="F2234" s="14" t="str">
        <x:v>F3 - Kaynak/MEB Tamamlama</x:v>
      </x:c>
      <x:c r="G2234" s="14" t="str">
        <x:v>19:40</x:v>
      </x:c>
      <x:c r="H2234" s="14" t="str">
        <x:v>20:10</x:v>
      </x:c>
      <x:c r="I2234" s="14" t="str">
        <x:v>Türkçe</x:v>
      </x:c>
      <x:c r="J2234" s="14" t="str">
        <x:v>Kitap / MEB / Mastery</x:v>
      </x:c>
      <x:c r="K2234" s="14" t="str">
        <x:v>Kaynak Tamamlama / Zayıf Konu</x:v>
      </x:c>
      <x:c r="L2234" s="14" t="str">
        <x:v>13 Nisan %100 tamamlama hedefine göre en geride kalan Türkçe soru kaynağını/eksik MEB setini ilerlet; açık yanlışları kapat.</x:v>
      </x:c>
      <x:c r="M2234" s="14" t="str">
        <x:v>Ankara 8. Sınıf Dil Bilgisi Güçlendiren + açık MEB/yanlışlar</x:v>
      </x:c>
      <x:c r="N2234" s="14" t="str">
        <x:v>https://odsgm.meb.gov.tr/www/8sinif-calisma-sorulari/icerik/1632</x:v>
      </x:c>
      <x:c r="O2234" s="14" t="n">
        <x:v>20</x:v>
      </x:c>
      <x:c r="P2234" s="14" t="str">
        <x:v>Hayır</x:v>
      </x:c>
      <x:c r="Q2234" s="14" t="str">
        <x:v>Evet</x:v>
      </x:c>
      <x:c r="R2234" s="14" t="str">
        <x:v>Planlandı</x:v>
      </x:c>
      <x:c r="S2234" s="15" t="str"/>
      <x:c r="T2234" s="14" t="str"/>
    </x:row>
    <x:row r="2235">
      <x:c r="A2235" s="14" t="n">
        <x:v>2234</x:v>
      </x:c>
      <x:c r="B2235" s="15" t="n">
        <x:v>46475</x:v>
      </x:c>
      <x:c r="C2235" s="14" t="str">
        <x:v>Pazartesi</x:v>
      </x:c>
      <x:c r="D2235" s="14" t="str">
        <x:v>Okul Günü</x:v>
      </x:c>
      <x:c r="E2235" s="14" t="str">
        <x:v>16:00 sonrası</x:v>
      </x:c>
      <x:c r="F2235" s="14" t="str">
        <x:v>F3 - Kaynak/MEB Tamamlama</x:v>
      </x:c>
      <x:c r="G2235" s="14" t="str">
        <x:v>20:15</x:v>
      </x:c>
      <x:c r="H2235" s="14" t="str">
        <x:v>20:50</x:v>
      </x:c>
      <x:c r="I2235" s="14" t="str">
        <x:v>İngilizce</x:v>
      </x:c>
      <x:c r="J2235" s="14" t="str">
        <x:v>Konu / Tekrar</x:v>
      </x:c>
      <x:c r="K2235" s="14" t="str">
        <x:v>Kaynak Tamamlama / Zayıf Konu</x:v>
      </x:c>
      <x:c r="L2235" s="14" t="str">
        <x:v>Yeni konu açma. En zayıf/açık konunun ilgili playlist videosunu yalnız gerekiyorsa tekrar izle.</x:v>
      </x:c>
      <x:c r="M2235" s="14" t="str">
        <x:v>İngilizce Genel Oynatma Listesi</x:v>
      </x:c>
      <x:c r="N2235" s="14" t="str">
        <x:v>https://www.youtube.com/watch?v=FaY3dFjZbns&amp;list=PLSgpQDrUSYp94WgE9pzpHiOG5FwxnZBrr</x:v>
      </x:c>
      <x:c r="O2235" s="14" t="n">
        <x:v>0</x:v>
      </x:c>
      <x:c r="P2235" s="14" t="str">
        <x:v>Hayır</x:v>
      </x:c>
      <x:c r="Q2235" s="14" t="str">
        <x:v>Evet</x:v>
      </x:c>
      <x:c r="R2235" s="14" t="str">
        <x:v>Planlandı</x:v>
      </x:c>
      <x:c r="S2235" s="15" t="str"/>
      <x:c r="T2235" s="14" t="str"/>
    </x:row>
    <x:row r="2236">
      <x:c r="A2236" s="14" t="n">
        <x:v>2235</x:v>
      </x:c>
      <x:c r="B2236" s="15" t="n">
        <x:v>46475</x:v>
      </x:c>
      <x:c r="C2236" s="14" t="str">
        <x:v>Pazartesi</x:v>
      </x:c>
      <x:c r="D2236" s="14" t="str">
        <x:v>Okul Günü</x:v>
      </x:c>
      <x:c r="E2236" s="14" t="str">
        <x:v>16:00 sonrası</x:v>
      </x:c>
      <x:c r="F2236" s="14" t="str">
        <x:v>F3 - Kaynak/MEB Tamamlama</x:v>
      </x:c>
      <x:c r="G2236" s="14" t="str">
        <x:v>20:55</x:v>
      </x:c>
      <x:c r="H2236" s="14" t="str">
        <x:v>21:20</x:v>
      </x:c>
      <x:c r="I2236" s="14" t="str">
        <x:v>İngilizce</x:v>
      </x:c>
      <x:c r="J2236" s="14" t="str">
        <x:v>Kitap / MEB / Mastery</x:v>
      </x:c>
      <x:c r="K2236" s="14" t="str">
        <x:v>Kaynak Tamamlama / Zayıf Konu</x:v>
      </x:c>
      <x:c r="L2236" s="14" t="str">
        <x:v>13 Nisan %100 tamamlama hedefine göre en geride kalan İngilizce soru kaynağını/eksik MEB setini ilerlet; açık yanlışları kapat.</x:v>
      </x:c>
      <x:c r="M2236" s="14" t="str">
        <x:v>More &amp; More 8 Worksheets Notebook + açık MEB/yanlışlar</x:v>
      </x:c>
      <x:c r="N2236" s="14" t="str">
        <x:v>https://odsgm.meb.gov.tr/www/8sinif-calisma-sorulari/icerik/1632</x:v>
      </x:c>
      <x:c r="O2236" s="14" t="n">
        <x:v>20</x:v>
      </x:c>
      <x:c r="P2236" s="14" t="str">
        <x:v>Hayır</x:v>
      </x:c>
      <x:c r="Q2236" s="14" t="str">
        <x:v>Evet</x:v>
      </x:c>
      <x:c r="R2236" s="14" t="str">
        <x:v>Planlandı</x:v>
      </x:c>
      <x:c r="S2236" s="15" t="str"/>
      <x:c r="T2236" s="14" t="str"/>
    </x:row>
    <x:row r="2237">
      <x:c r="A2237" s="14" t="n">
        <x:v>2236</x:v>
      </x:c>
      <x:c r="B2237" s="15" t="n">
        <x:v>46475</x:v>
      </x:c>
      <x:c r="C2237" s="14" t="str">
        <x:v>Pazartesi</x:v>
      </x:c>
      <x:c r="D2237" s="14" t="str">
        <x:v>Okul Günü</x:v>
      </x:c>
      <x:c r="E2237" s="14" t="str">
        <x:v>16:00 sonrası</x:v>
      </x:c>
      <x:c r="F2237" s="14" t="str">
        <x:v>F3 - Kaynak/MEB Tamamlama</x:v>
      </x:c>
      <x:c r="G2237" s="14" t="str">
        <x:v>21:20</x:v>
      </x:c>
      <x:c r="H2237" s="14" t="str">
        <x:v>21:35</x:v>
      </x:c>
      <x:c r="I2237" s="14" t="str">
        <x:v>Genel</x:v>
      </x:c>
      <x:c r="J2237" s="14" t="str">
        <x:v>Yanlış / Boş Analizi</x:v>
      </x:c>
      <x:c r="K2237" s="14" t="str">
        <x:v>Günlük</x:v>
      </x:c>
      <x:c r="L2237" s="14" t="str">
        <x:v>Bugünkü yanlış/boşları kaydet; çözümünü öğrenmeden kapatma. Hata türünü sınıflandır.</x:v>
      </x:c>
      <x:c r="M2237" s="14" t="str">
        <x:v>Yanlış Defteri</x:v>
      </x:c>
      <x:c r="N2237" s="14" t="str"/>
      <x:c r="O2237" s="14" t="n">
        <x:v>0</x:v>
      </x:c>
      <x:c r="P2237" s="14" t="str">
        <x:v>Hayır</x:v>
      </x:c>
      <x:c r="Q2237" s="14" t="str">
        <x:v>Evet</x:v>
      </x:c>
      <x:c r="R2237" s="14" t="str">
        <x:v>Planlandı</x:v>
      </x:c>
      <x:c r="S2237" s="15" t="str"/>
      <x:c r="T2237" s="14" t="str"/>
    </x:row>
    <x:row r="2238">
      <x:c r="A2238" s="14" t="n">
        <x:v>2237</x:v>
      </x:c>
      <x:c r="B2238" s="15" t="n">
        <x:v>46475</x:v>
      </x:c>
      <x:c r="C2238" s="14" t="str">
        <x:v>Pazartesi</x:v>
      </x:c>
      <x:c r="D2238" s="14" t="str">
        <x:v>Okul Günü</x:v>
      </x:c>
      <x:c r="E2238" s="14" t="str">
        <x:v>16:00 sonrası</x:v>
      </x:c>
      <x:c r="F2238" s="14" t="str">
        <x:v>F3 - Kaynak/MEB Tamamlama</x:v>
      </x:c>
      <x:c r="G2238" s="14" t="str">
        <x:v>21:35</x:v>
      </x:c>
      <x:c r="H2238" s="14" t="str">
        <x:v>21:50</x:v>
      </x:c>
      <x:c r="I2238" s="14" t="str">
        <x:v>Genel</x:v>
      </x:c>
      <x:c r="J2238" s="14" t="str">
        <x:v>Aralıklı Hata Tekrarı</x:v>
      </x:c>
      <x:c r="K2238" s="14" t="str">
        <x:v>+1 / +7 / +21</x:v>
      </x:c>
      <x:c r="L2238" s="14" t="str">
        <x:v>Bugün vadesi gelen yanlış soruları tekrar çöz. Vadesi yoksa bu süre serbest/okuma olabilir.</x:v>
      </x:c>
      <x:c r="M2238" s="14" t="str">
        <x:v>Yanlış Defteri</x:v>
      </x:c>
      <x:c r="N2238" s="14" t="str"/>
      <x:c r="O2238" s="14" t="n">
        <x:v>0</x:v>
      </x:c>
      <x:c r="P2238" s="14" t="str">
        <x:v>Hayır</x:v>
      </x:c>
      <x:c r="Q2238" s="14" t="str">
        <x:v>Koşullu</x:v>
      </x:c>
      <x:c r="R2238" s="14" t="str">
        <x:v>Planlandı</x:v>
      </x:c>
      <x:c r="S2238" s="15" t="str"/>
      <x:c r="T2238" s="14" t="str">
        <x:v>Yanlışlar +1, +7 ve +21 gün aralıklarıyla tekrar edilir; hâlâ yanlışsa konu mastery durumu düşürülür.</x:v>
      </x:c>
    </x:row>
    <x:row r="2239">
      <x:c r="A2239" s="14" t="n">
        <x:v>2238</x:v>
      </x:c>
      <x:c r="B2239" s="15" t="n">
        <x:v>46475</x:v>
      </x:c>
      <x:c r="C2239" s="14" t="str">
        <x:v>Pazartesi</x:v>
      </x:c>
      <x:c r="D2239" s="14" t="str">
        <x:v>Okul Günü</x:v>
      </x:c>
      <x:c r="E2239" s="14" t="str">
        <x:v>16:00 sonrası</x:v>
      </x:c>
      <x:c r="F2239" s="14" t="str">
        <x:v>F3 - Kaynak/MEB Tamamlama</x:v>
      </x:c>
      <x:c r="G2239" s="14" t="str">
        <x:v>21:50</x:v>
      </x:c>
      <x:c r="H2239" s="14" t="str">
        <x:v>22:00</x:v>
      </x:c>
      <x:c r="I2239" s="14" t="str">
        <x:v>Genel</x:v>
      </x:c>
      <x:c r="J2239" s="14" t="str">
        <x:v>Uyku Hazırlığı</x:v>
      </x:c>
      <x:c r="K2239" s="14" t="str"/>
      <x:c r="L2239" s="14" t="str">
        <x:v>22:00'de yatakta ve uyku.</x:v>
      </x:c>
      <x:c r="M2239" s="14" t="str"/>
      <x:c r="N2239" s="14" t="str"/>
      <x:c r="O2239" s="14" t="n">
        <x:v>0</x:v>
      </x:c>
      <x:c r="P2239" s="14" t="str">
        <x:v>Hayır</x:v>
      </x:c>
      <x:c r="Q2239" s="14" t="str">
        <x:v>Hayır</x:v>
      </x:c>
      <x:c r="R2239" s="14" t="str">
        <x:v>Planlandı</x:v>
      </x:c>
      <x:c r="S2239" s="15" t="str"/>
      <x:c r="T2239" s="14" t="str"/>
    </x:row>
    <x:row r="2240">
      <x:c r="A2240" s="14" t="n">
        <x:v>2239</x:v>
      </x:c>
      <x:c r="B2240" s="15" t="n">
        <x:v>46476</x:v>
      </x:c>
      <x:c r="C2240" s="14" t="str">
        <x:v>Salı</x:v>
      </x:c>
      <x:c r="D2240" s="14" t="str">
        <x:v>Okul Günü</x:v>
      </x:c>
      <x:c r="E2240" s="14" t="str">
        <x:v>16:00 sonrası</x:v>
      </x:c>
      <x:c r="F2240" s="14" t="str">
        <x:v>F3 - Kaynak/MEB Tamamlama</x:v>
      </x:c>
      <x:c r="G2240" s="14" t="str">
        <x:v>16:00</x:v>
      </x:c>
      <x:c r="H2240" s="14" t="str">
        <x:v>16:25</x:v>
      </x:c>
      <x:c r="I2240" s="14" t="str">
        <x:v>Genel</x:v>
      </x:c>
      <x:c r="J2240" s="14" t="str">
        <x:v>Dinlenme</x:v>
      </x:c>
      <x:c r="K2240" s="14" t="str"/>
      <x:c r="L2240" s="14" t="str">
        <x:v>Eve geliş, atıştırma ve dinlenme.</x:v>
      </x:c>
      <x:c r="M2240" s="14" t="str"/>
      <x:c r="N2240" s="14" t="str"/>
      <x:c r="O2240" s="14" t="n">
        <x:v>0</x:v>
      </x:c>
      <x:c r="P2240" s="14" t="str">
        <x:v>Hayır</x:v>
      </x:c>
      <x:c r="Q2240" s="14" t="str">
        <x:v>Hayır</x:v>
      </x:c>
      <x:c r="R2240" s="14" t="str">
        <x:v>Planlandı</x:v>
      </x:c>
      <x:c r="S2240" s="15" t="str"/>
      <x:c r="T2240" s="14" t="str"/>
    </x:row>
    <x:row r="2241">
      <x:c r="A2241" s="14" t="n">
        <x:v>2240</x:v>
      </x:c>
      <x:c r="B2241" s="15" t="n">
        <x:v>46476</x:v>
      </x:c>
      <x:c r="C2241" s="14" t="str">
        <x:v>Salı</x:v>
      </x:c>
      <x:c r="D2241" s="14" t="str">
        <x:v>Okul Günü</x:v>
      </x:c>
      <x:c r="E2241" s="14" t="str">
        <x:v>16:00 sonrası</x:v>
      </x:c>
      <x:c r="F2241" s="14" t="str">
        <x:v>F3 - Kaynak/MEB Tamamlama</x:v>
      </x:c>
      <x:c r="G2241" s="14" t="str">
        <x:v>16:25</x:v>
      </x:c>
      <x:c r="H2241" s="14" t="str">
        <x:v>17:05</x:v>
      </x:c>
      <x:c r="I2241" s="14" t="str">
        <x:v>Matematik</x:v>
      </x:c>
      <x:c r="J2241" s="14" t="str">
        <x:v>Konu / Tekrar</x:v>
      </x:c>
      <x:c r="K2241" s="14" t="str">
        <x:v>Kaynak Tamamlama / Zayıf Konu</x:v>
      </x:c>
      <x:c r="L2241" s="14" t="str">
        <x:v>Yeni konu açma. En zayıf/açık konunun ilgili playlist videosunu yalnız gerekiyorsa tekrar izle.</x:v>
      </x:c>
      <x:c r="M2241" s="14" t="str">
        <x:v>Matematik Ana Oynatma Listesi</x:v>
      </x:c>
      <x:c r="N2241" s="14" t="str">
        <x:v>https://www.youtube.com/watch?v=EuJ89QzqrAg&amp;list=PLicNtF7vp6fnfDqrRLH6H7fIbzYT4ct4F&amp;index=11</x:v>
      </x:c>
      <x:c r="O2241" s="14" t="n">
        <x:v>0</x:v>
      </x:c>
      <x:c r="P2241" s="14" t="str">
        <x:v>Hayır</x:v>
      </x:c>
      <x:c r="Q2241" s="14" t="str">
        <x:v>Evet</x:v>
      </x:c>
      <x:c r="R2241" s="14" t="str">
        <x:v>Planlandı</x:v>
      </x:c>
      <x:c r="S2241" s="15" t="str"/>
      <x:c r="T2241" s="14" t="str">
        <x:v>Yeni konu ancak plan sırasıyla açılır; LGS dışı ileri TYT içeriği zorunlu değildir.</x:v>
      </x:c>
    </x:row>
    <x:row r="2242">
      <x:c r="A2242" s="14" t="n">
        <x:v>2241</x:v>
      </x:c>
      <x:c r="B2242" s="15" t="n">
        <x:v>46476</x:v>
      </x:c>
      <x:c r="C2242" s="14" t="str">
        <x:v>Salı</x:v>
      </x:c>
      <x:c r="D2242" s="14" t="str">
        <x:v>Okul Günü</x:v>
      </x:c>
      <x:c r="E2242" s="14" t="str">
        <x:v>16:00 sonrası</x:v>
      </x:c>
      <x:c r="F2242" s="14" t="str">
        <x:v>F3 - Kaynak/MEB Tamamlama</x:v>
      </x:c>
      <x:c r="G2242" s="14" t="str">
        <x:v>17:10</x:v>
      </x:c>
      <x:c r="H2242" s="14" t="str">
        <x:v>17:55</x:v>
      </x:c>
      <x:c r="I2242" s="14" t="str">
        <x:v>Matematik</x:v>
      </x:c>
      <x:c r="J2242" s="14" t="str">
        <x:v>Kitap / MEB / Mastery</x:v>
      </x:c>
      <x:c r="K2242" s="14" t="str">
        <x:v>Kaynak Tamamlama / Zayıf Konu</x:v>
      </x:c>
      <x:c r="L2242" s="14" t="str">
        <x:v>13 Nisan %100 tamamlama hedefine göre en geride kalan Matematik soru kaynağını/eksik MEB setini ilerlet; açık yanlışları kapat.</x:v>
      </x:c>
      <x:c r="M2242" s="14" t="str">
        <x:v>MUBA 8. Sınıf Başlangıç Matematik (ISBN 9789756526972) → tamamlandıysa Mozaik 8. Sınıf Matematik; açık MEB/yanlışlar</x:v>
      </x:c>
      <x:c r="N2242" s="14" t="str">
        <x:v>https://odsgm.meb.gov.tr/www/8sinif-calisma-sorulari/icerik/1632</x:v>
      </x:c>
      <x:c r="O2242" s="14" t="n">
        <x:v>30</x:v>
      </x:c>
      <x:c r="P2242" s="14" t="str">
        <x:v>İlk 20 soru</x:v>
      </x:c>
      <x:c r="Q2242" s="14" t="str">
        <x:v>Evet</x:v>
      </x:c>
      <x:c r="R2242" s="14" t="str">
        <x:v>Planlandı</x:v>
      </x:c>
      <x:c r="S2242" s="15" t="str"/>
      <x:c r="T2242" s="14" t="str">
        <x:v>Ayrı/rastgele matematik benchmark yoktur. Süreli ilk 20 soru o gün çalışılan konunun içindedir.</x:v>
      </x:c>
    </x:row>
    <x:row r="2243">
      <x:c r="A2243" s="14" t="n">
        <x:v>2242</x:v>
      </x:c>
      <x:c r="B2243" s="15" t="n">
        <x:v>46476</x:v>
      </x:c>
      <x:c r="C2243" s="14" t="str">
        <x:v>Salı</x:v>
      </x:c>
      <x:c r="D2243" s="14" t="str">
        <x:v>Okul Günü</x:v>
      </x:c>
      <x:c r="E2243" s="14" t="str">
        <x:v>16:00 sonrası</x:v>
      </x:c>
      <x:c r="F2243" s="14" t="str">
        <x:v>F3 - Kaynak/MEB Tamamlama</x:v>
      </x:c>
      <x:c r="G2243" s="14" t="str">
        <x:v>17:55</x:v>
      </x:c>
      <x:c r="H2243" s="14" t="str">
        <x:v>18:25</x:v>
      </x:c>
      <x:c r="I2243" s="14" t="str">
        <x:v>Genel</x:v>
      </x:c>
      <x:c r="J2243" s="14" t="str">
        <x:v>Yemek / Serbest Zaman</x:v>
      </x:c>
      <x:c r="K2243" s="14" t="str"/>
      <x:c r="L2243" s="14" t="str">
        <x:v>Yemek, hareket ve dinlenme.</x:v>
      </x:c>
      <x:c r="M2243" s="14" t="str"/>
      <x:c r="N2243" s="14" t="str"/>
      <x:c r="O2243" s="14" t="n">
        <x:v>0</x:v>
      </x:c>
      <x:c r="P2243" s="14" t="str">
        <x:v>Hayır</x:v>
      </x:c>
      <x:c r="Q2243" s="14" t="str">
        <x:v>Hayır</x:v>
      </x:c>
      <x:c r="R2243" s="14" t="str">
        <x:v>Planlandı</x:v>
      </x:c>
      <x:c r="S2243" s="15" t="str"/>
      <x:c r="T2243" s="14" t="str"/>
    </x:row>
    <x:row r="2244">
      <x:c r="A2244" s="14" t="n">
        <x:v>2243</x:v>
      </x:c>
      <x:c r="B2244" s="15" t="n">
        <x:v>46476</x:v>
      </x:c>
      <x:c r="C2244" s="14" t="str">
        <x:v>Salı</x:v>
      </x:c>
      <x:c r="D2244" s="14" t="str">
        <x:v>Okul Günü</x:v>
      </x:c>
      <x:c r="E2244" s="14" t="str">
        <x:v>16:00 sonrası</x:v>
      </x:c>
      <x:c r="F2244" s="14" t="str">
        <x:v>F3 - Kaynak/MEB Tamamlama</x:v>
      </x:c>
      <x:c r="G2244" s="14" t="str">
        <x:v>18:25</x:v>
      </x:c>
      <x:c r="H2244" s="14" t="str">
        <x:v>18:55</x:v>
      </x:c>
      <x:c r="I2244" s="14" t="str">
        <x:v>Türkçe</x:v>
      </x:c>
      <x:c r="J2244" s="14" t="str">
        <x:v>Paragraf Rutini</x:v>
      </x:c>
      <x:c r="K2244" s="14" t="str">
        <x:v>Paragraf</x:v>
      </x:c>
      <x:c r="L2244" s="14" t="str">
        <x:v>En az 30 paragraf sorusu çöz; ilk 20 soruyu ileri sayımla ölç, D/Y/B + süre kaydet.</x:v>
      </x:c>
      <x:c r="M2244" s="14" t="str">
        <x:v>Hız 8. Sınıf Türkçe Paragraf (ISBN 9786258394498)</x:v>
      </x:c>
      <x:c r="N2244" s="14" t="str"/>
      <x:c r="O2244" s="14" t="n">
        <x:v>30</x:v>
      </x:c>
      <x:c r="P2244" s="14" t="str">
        <x:v>İlk 20 soru</x:v>
      </x:c>
      <x:c r="Q2244" s="14" t="str">
        <x:v>Evet</x:v>
      </x:c>
      <x:c r="R2244" s="14" t="str">
        <x:v>Planlandı</x:v>
      </x:c>
      <x:c r="S2244" s="15" t="str"/>
      <x:c r="T2244" s="14" t="str">
        <x:v>Geri sayım ve hedef süre yok.</x:v>
      </x:c>
    </x:row>
    <x:row r="2245">
      <x:c r="A2245" s="14" t="n">
        <x:v>2244</x:v>
      </x:c>
      <x:c r="B2245" s="15" t="n">
        <x:v>46476</x:v>
      </x:c>
      <x:c r="C2245" s="14" t="str">
        <x:v>Salı</x:v>
      </x:c>
      <x:c r="D2245" s="14" t="str">
        <x:v>Okul Günü</x:v>
      </x:c>
      <x:c r="E2245" s="14" t="str">
        <x:v>16:00 sonrası</x:v>
      </x:c>
      <x:c r="F2245" s="14" t="str">
        <x:v>F3 - Kaynak/MEB Tamamlama</x:v>
      </x:c>
      <x:c r="G2245" s="14" t="str">
        <x:v>19:00</x:v>
      </x:c>
      <x:c r="H2245" s="14" t="str">
        <x:v>19:35</x:v>
      </x:c>
      <x:c r="I2245" s="14" t="str">
        <x:v>Türkçe</x:v>
      </x:c>
      <x:c r="J2245" s="14" t="str">
        <x:v>Konu / Tekrar</x:v>
      </x:c>
      <x:c r="K2245" s="14" t="str">
        <x:v>Kaynak Tamamlama / Zayıf Konu</x:v>
      </x:c>
      <x:c r="L2245" s="14" t="str">
        <x:v>Yeni konu açma. En zayıf/açık konunun ilgili playlist videosunu yalnız gerekiyorsa tekrar izle.</x:v>
      </x:c>
      <x:c r="M2245" s="14" t="str">
        <x:v>Türkçe Ana Oynatma Listesi</x:v>
      </x:c>
      <x:c r="N2245" s="14" t="str">
        <x:v>https://www.youtube.com/watch?v=VYsPntNKVdw&amp;list=PLIBjFaUoJJ91bz7QQEBlxNJNZka5YQRr6</x:v>
      </x:c>
      <x:c r="O2245" s="14" t="n">
        <x:v>0</x:v>
      </x:c>
      <x:c r="P2245" s="14" t="str">
        <x:v>Hayır</x:v>
      </x:c>
      <x:c r="Q2245" s="14" t="str">
        <x:v>Evet</x:v>
      </x:c>
      <x:c r="R2245" s="14" t="str">
        <x:v>Planlandı</x:v>
      </x:c>
      <x:c r="S2245" s="15" t="str"/>
      <x:c r="T2245" s="14" t="str">
        <x:v>TYT etiketli kaynak temelden başlamak için sabittir; LGS dışı gereksiz ayrıntı zorunlu değildir.</x:v>
      </x:c>
    </x:row>
    <x:row r="2246">
      <x:c r="A2246" s="14" t="n">
        <x:v>2245</x:v>
      </x:c>
      <x:c r="B2246" s="15" t="n">
        <x:v>46476</x:v>
      </x:c>
      <x:c r="C2246" s="14" t="str">
        <x:v>Salı</x:v>
      </x:c>
      <x:c r="D2246" s="14" t="str">
        <x:v>Okul Günü</x:v>
      </x:c>
      <x:c r="E2246" s="14" t="str">
        <x:v>16:00 sonrası</x:v>
      </x:c>
      <x:c r="F2246" s="14" t="str">
        <x:v>F3 - Kaynak/MEB Tamamlama</x:v>
      </x:c>
      <x:c r="G2246" s="14" t="str">
        <x:v>19:40</x:v>
      </x:c>
      <x:c r="H2246" s="14" t="str">
        <x:v>20:10</x:v>
      </x:c>
      <x:c r="I2246" s="14" t="str">
        <x:v>Türkçe</x:v>
      </x:c>
      <x:c r="J2246" s="14" t="str">
        <x:v>Kitap / MEB / Mastery</x:v>
      </x:c>
      <x:c r="K2246" s="14" t="str">
        <x:v>Kaynak Tamamlama / Zayıf Konu</x:v>
      </x:c>
      <x:c r="L2246" s="14" t="str">
        <x:v>13 Nisan %100 tamamlama hedefine göre en geride kalan Türkçe soru kaynağını/eksik MEB setini ilerlet; açık yanlışları kapat.</x:v>
      </x:c>
      <x:c r="M2246" s="14" t="str">
        <x:v>Ankara 8. Sınıf Dil Bilgisi Güçlendiren + açık MEB/yanlışlar</x:v>
      </x:c>
      <x:c r="N2246" s="14" t="str">
        <x:v>https://odsgm.meb.gov.tr/www/8sinif-calisma-sorulari/icerik/1632</x:v>
      </x:c>
      <x:c r="O2246" s="14" t="n">
        <x:v>20</x:v>
      </x:c>
      <x:c r="P2246" s="14" t="str">
        <x:v>Hayır</x:v>
      </x:c>
      <x:c r="Q2246" s="14" t="str">
        <x:v>Evet</x:v>
      </x:c>
      <x:c r="R2246" s="14" t="str">
        <x:v>Planlandı</x:v>
      </x:c>
      <x:c r="S2246" s="15" t="str"/>
      <x:c r="T2246" s="14" t="str"/>
    </x:row>
    <x:row r="2247">
      <x:c r="A2247" s="14" t="n">
        <x:v>2246</x:v>
      </x:c>
      <x:c r="B2247" s="15" t="n">
        <x:v>46476</x:v>
      </x:c>
      <x:c r="C2247" s="14" t="str">
        <x:v>Salı</x:v>
      </x:c>
      <x:c r="D2247" s="14" t="str">
        <x:v>Okul Günü</x:v>
      </x:c>
      <x:c r="E2247" s="14" t="str">
        <x:v>16:00 sonrası</x:v>
      </x:c>
      <x:c r="F2247" s="14" t="str">
        <x:v>F3 - Kaynak/MEB Tamamlama</x:v>
      </x:c>
      <x:c r="G2247" s="14" t="str">
        <x:v>20:15</x:v>
      </x:c>
      <x:c r="H2247" s="14" t="str">
        <x:v>20:50</x:v>
      </x:c>
      <x:c r="I2247" s="14" t="str">
        <x:v>Fen</x:v>
      </x:c>
      <x:c r="J2247" s="14" t="str">
        <x:v>Konu / Tekrar</x:v>
      </x:c>
      <x:c r="K2247" s="14" t="str">
        <x:v>Kaynak Tamamlama / Zayıf Konu</x:v>
      </x:c>
      <x:c r="L2247" s="14" t="str">
        <x:v>Yeni konu açma. En zayıf/açık konunun ilgili playlist videosunu yalnız gerekiyorsa tekrar izle.</x:v>
      </x:c>
      <x:c r="M2247" s="14" t="str">
        <x:v>Fen Soru Çözüm / Tekrar</x:v>
      </x:c>
      <x:c r="N2247" s="14" t="str">
        <x:v>https://www.youtube.com/watch?v=pQXhWnDZ3vM&amp;list=PLrQm7mt99FRXcBnorCttd31HJEvg0En26&amp;index=23</x:v>
      </x:c>
      <x:c r="O2247" s="14" t="n">
        <x:v>0</x:v>
      </x:c>
      <x:c r="P2247" s="14" t="str">
        <x:v>Hayır</x:v>
      </x:c>
      <x:c r="Q2247" s="14" t="str">
        <x:v>Evet</x:v>
      </x:c>
      <x:c r="R2247" s="14" t="str">
        <x:v>Planlandı</x:v>
      </x:c>
      <x:c r="S2247" s="15" t="str"/>
      <x:c r="T2247" s="14" t="str"/>
    </x:row>
    <x:row r="2248">
      <x:c r="A2248" s="14" t="n">
        <x:v>2247</x:v>
      </x:c>
      <x:c r="B2248" s="15" t="n">
        <x:v>46476</x:v>
      </x:c>
      <x:c r="C2248" s="14" t="str">
        <x:v>Salı</x:v>
      </x:c>
      <x:c r="D2248" s="14" t="str">
        <x:v>Okul Günü</x:v>
      </x:c>
      <x:c r="E2248" s="14" t="str">
        <x:v>16:00 sonrası</x:v>
      </x:c>
      <x:c r="F2248" s="14" t="str">
        <x:v>F3 - Kaynak/MEB Tamamlama</x:v>
      </x:c>
      <x:c r="G2248" s="14" t="str">
        <x:v>20:55</x:v>
      </x:c>
      <x:c r="H2248" s="14" t="str">
        <x:v>21:20</x:v>
      </x:c>
      <x:c r="I2248" s="14" t="str">
        <x:v>Fen</x:v>
      </x:c>
      <x:c r="J2248" s="14" t="str">
        <x:v>Kitap / MEB / Mastery</x:v>
      </x:c>
      <x:c r="K2248" s="14" t="str">
        <x:v>Kaynak Tamamlama / Zayıf Konu</x:v>
      </x:c>
      <x:c r="L2248" s="14" t="str">
        <x:v>13 Nisan %100 tamamlama hedefine göre en geride kalan Fen soru kaynağını/eksik MEB setini ilerlet; açık yanlışları kapat.</x:v>
      </x:c>
      <x:c r="M2248" s="14" t="str">
        <x:v>Hız 8. Sınıf Fen (ISBN 9786257514859); tamamlandıysa Mozaik 8. Sınıf Fen + açık MEB/yanlışlar</x:v>
      </x:c>
      <x:c r="N2248" s="14" t="str">
        <x:v>https://odsgm.meb.gov.tr/www/8sinif-calisma-sorulari/icerik/1632</x:v>
      </x:c>
      <x:c r="O2248" s="14" t="n">
        <x:v>20</x:v>
      </x:c>
      <x:c r="P2248" s="14" t="str">
        <x:v>Hayır</x:v>
      </x:c>
      <x:c r="Q2248" s="14" t="str">
        <x:v>Evet</x:v>
      </x:c>
      <x:c r="R2248" s="14" t="str">
        <x:v>Planlandı</x:v>
      </x:c>
      <x:c r="S2248" s="15" t="str"/>
      <x:c r="T2248" s="14" t="str"/>
    </x:row>
    <x:row r="2249">
      <x:c r="A2249" s="14" t="n">
        <x:v>2248</x:v>
      </x:c>
      <x:c r="B2249" s="15" t="n">
        <x:v>46476</x:v>
      </x:c>
      <x:c r="C2249" s="14" t="str">
        <x:v>Salı</x:v>
      </x:c>
      <x:c r="D2249" s="14" t="str">
        <x:v>Okul Günü</x:v>
      </x:c>
      <x:c r="E2249" s="14" t="str">
        <x:v>16:00 sonrası</x:v>
      </x:c>
      <x:c r="F2249" s="14" t="str">
        <x:v>F3 - Kaynak/MEB Tamamlama</x:v>
      </x:c>
      <x:c r="G2249" s="14" t="str">
        <x:v>21:20</x:v>
      </x:c>
      <x:c r="H2249" s="14" t="str">
        <x:v>21:35</x:v>
      </x:c>
      <x:c r="I2249" s="14" t="str">
        <x:v>Genel</x:v>
      </x:c>
      <x:c r="J2249" s="14" t="str">
        <x:v>Yanlış / Boş Analizi</x:v>
      </x:c>
      <x:c r="K2249" s="14" t="str">
        <x:v>Günlük</x:v>
      </x:c>
      <x:c r="L2249" s="14" t="str">
        <x:v>Bugünkü yanlış/boşları kaydet; çözümünü öğrenmeden kapatma. Hata türünü sınıflandır.</x:v>
      </x:c>
      <x:c r="M2249" s="14" t="str">
        <x:v>Yanlış Defteri</x:v>
      </x:c>
      <x:c r="N2249" s="14" t="str"/>
      <x:c r="O2249" s="14" t="n">
        <x:v>0</x:v>
      </x:c>
      <x:c r="P2249" s="14" t="str">
        <x:v>Hayır</x:v>
      </x:c>
      <x:c r="Q2249" s="14" t="str">
        <x:v>Evet</x:v>
      </x:c>
      <x:c r="R2249" s="14" t="str">
        <x:v>Planlandı</x:v>
      </x:c>
      <x:c r="S2249" s="15" t="str"/>
      <x:c r="T2249" s="14" t="str"/>
    </x:row>
    <x:row r="2250">
      <x:c r="A2250" s="14" t="n">
        <x:v>2249</x:v>
      </x:c>
      <x:c r="B2250" s="15" t="n">
        <x:v>46476</x:v>
      </x:c>
      <x:c r="C2250" s="14" t="str">
        <x:v>Salı</x:v>
      </x:c>
      <x:c r="D2250" s="14" t="str">
        <x:v>Okul Günü</x:v>
      </x:c>
      <x:c r="E2250" s="14" t="str">
        <x:v>16:00 sonrası</x:v>
      </x:c>
      <x:c r="F2250" s="14" t="str">
        <x:v>F3 - Kaynak/MEB Tamamlama</x:v>
      </x:c>
      <x:c r="G2250" s="14" t="str">
        <x:v>21:35</x:v>
      </x:c>
      <x:c r="H2250" s="14" t="str">
        <x:v>21:50</x:v>
      </x:c>
      <x:c r="I2250" s="14" t="str">
        <x:v>Genel</x:v>
      </x:c>
      <x:c r="J2250" s="14" t="str">
        <x:v>Aralıklı Hata Tekrarı</x:v>
      </x:c>
      <x:c r="K2250" s="14" t="str">
        <x:v>+1 / +7 / +21</x:v>
      </x:c>
      <x:c r="L2250" s="14" t="str">
        <x:v>Bugün vadesi gelen yanlış soruları tekrar çöz. Vadesi yoksa bu süre serbest/okuma olabilir.</x:v>
      </x:c>
      <x:c r="M2250" s="14" t="str">
        <x:v>Yanlış Defteri</x:v>
      </x:c>
      <x:c r="N2250" s="14" t="str"/>
      <x:c r="O2250" s="14" t="n">
        <x:v>0</x:v>
      </x:c>
      <x:c r="P2250" s="14" t="str">
        <x:v>Hayır</x:v>
      </x:c>
      <x:c r="Q2250" s="14" t="str">
        <x:v>Koşullu</x:v>
      </x:c>
      <x:c r="R2250" s="14" t="str">
        <x:v>Planlandı</x:v>
      </x:c>
      <x:c r="S2250" s="15" t="str"/>
      <x:c r="T2250" s="14" t="str">
        <x:v>Yanlışlar +1, +7 ve +21 gün aralıklarıyla tekrar edilir; hâlâ yanlışsa konu mastery durumu düşürülür.</x:v>
      </x:c>
    </x:row>
    <x:row r="2251">
      <x:c r="A2251" s="14" t="n">
        <x:v>2250</x:v>
      </x:c>
      <x:c r="B2251" s="15" t="n">
        <x:v>46476</x:v>
      </x:c>
      <x:c r="C2251" s="14" t="str">
        <x:v>Salı</x:v>
      </x:c>
      <x:c r="D2251" s="14" t="str">
        <x:v>Okul Günü</x:v>
      </x:c>
      <x:c r="E2251" s="14" t="str">
        <x:v>16:00 sonrası</x:v>
      </x:c>
      <x:c r="F2251" s="14" t="str">
        <x:v>F3 - Kaynak/MEB Tamamlama</x:v>
      </x:c>
      <x:c r="G2251" s="14" t="str">
        <x:v>21:50</x:v>
      </x:c>
      <x:c r="H2251" s="14" t="str">
        <x:v>22:00</x:v>
      </x:c>
      <x:c r="I2251" s="14" t="str">
        <x:v>Genel</x:v>
      </x:c>
      <x:c r="J2251" s="14" t="str">
        <x:v>Uyku Hazırlığı</x:v>
      </x:c>
      <x:c r="K2251" s="14" t="str"/>
      <x:c r="L2251" s="14" t="str">
        <x:v>22:00'de yatakta ve uyku.</x:v>
      </x:c>
      <x:c r="M2251" s="14" t="str"/>
      <x:c r="N2251" s="14" t="str"/>
      <x:c r="O2251" s="14" t="n">
        <x:v>0</x:v>
      </x:c>
      <x:c r="P2251" s="14" t="str">
        <x:v>Hayır</x:v>
      </x:c>
      <x:c r="Q2251" s="14" t="str">
        <x:v>Hayır</x:v>
      </x:c>
      <x:c r="R2251" s="14" t="str">
        <x:v>Planlandı</x:v>
      </x:c>
      <x:c r="S2251" s="15" t="str"/>
      <x:c r="T2251" s="14" t="str"/>
    </x:row>
    <x:row r="2252">
      <x:c r="A2252" s="14" t="n">
        <x:v>2251</x:v>
      </x:c>
      <x:c r="B2252" s="15" t="n">
        <x:v>46477</x:v>
      </x:c>
      <x:c r="C2252" s="14" t="str">
        <x:v>Çarşamba</x:v>
      </x:c>
      <x:c r="D2252" s="14" t="str">
        <x:v>Okul Günü</x:v>
      </x:c>
      <x:c r="E2252" s="14" t="str">
        <x:v>16:00 sonrası</x:v>
      </x:c>
      <x:c r="F2252" s="14" t="str">
        <x:v>F3 - Kaynak/MEB Tamamlama</x:v>
      </x:c>
      <x:c r="G2252" s="14" t="str">
        <x:v>16:00</x:v>
      </x:c>
      <x:c r="H2252" s="14" t="str">
        <x:v>16:25</x:v>
      </x:c>
      <x:c r="I2252" s="14" t="str">
        <x:v>Genel</x:v>
      </x:c>
      <x:c r="J2252" s="14" t="str">
        <x:v>Dinlenme</x:v>
      </x:c>
      <x:c r="K2252" s="14" t="str"/>
      <x:c r="L2252" s="14" t="str">
        <x:v>Eve geliş, atıştırma ve dinlenme.</x:v>
      </x:c>
      <x:c r="M2252" s="14" t="str"/>
      <x:c r="N2252" s="14" t="str"/>
      <x:c r="O2252" s="14" t="n">
        <x:v>0</x:v>
      </x:c>
      <x:c r="P2252" s="14" t="str">
        <x:v>Hayır</x:v>
      </x:c>
      <x:c r="Q2252" s="14" t="str">
        <x:v>Hayır</x:v>
      </x:c>
      <x:c r="R2252" s="14" t="str">
        <x:v>Planlandı</x:v>
      </x:c>
      <x:c r="S2252" s="15" t="str"/>
      <x:c r="T2252" s="14" t="str"/>
    </x:row>
    <x:row r="2253">
      <x:c r="A2253" s="14" t="n">
        <x:v>2252</x:v>
      </x:c>
      <x:c r="B2253" s="15" t="n">
        <x:v>46477</x:v>
      </x:c>
      <x:c r="C2253" s="14" t="str">
        <x:v>Çarşamba</x:v>
      </x:c>
      <x:c r="D2253" s="14" t="str">
        <x:v>Okul Günü</x:v>
      </x:c>
      <x:c r="E2253" s="14" t="str">
        <x:v>16:00 sonrası</x:v>
      </x:c>
      <x:c r="F2253" s="14" t="str">
        <x:v>F3 - Kaynak/MEB Tamamlama</x:v>
      </x:c>
      <x:c r="G2253" s="14" t="str">
        <x:v>16:25</x:v>
      </x:c>
      <x:c r="H2253" s="14" t="str">
        <x:v>17:05</x:v>
      </x:c>
      <x:c r="I2253" s="14" t="str">
        <x:v>Matematik</x:v>
      </x:c>
      <x:c r="J2253" s="14" t="str">
        <x:v>Konu / Tekrar</x:v>
      </x:c>
      <x:c r="K2253" s="14" t="str">
        <x:v>Kaynak Tamamlama / Zayıf Konu</x:v>
      </x:c>
      <x:c r="L2253" s="14" t="str">
        <x:v>Yeni konu açma. En zayıf/açık konunun ilgili playlist videosunu yalnız gerekiyorsa tekrar izle.</x:v>
      </x:c>
      <x:c r="M2253" s="14" t="str">
        <x:v>Matematik Ana Oynatma Listesi</x:v>
      </x:c>
      <x:c r="N2253" s="14" t="str">
        <x:v>https://www.youtube.com/watch?v=EuJ89QzqrAg&amp;list=PLicNtF7vp6fnfDqrRLH6H7fIbzYT4ct4F&amp;index=11</x:v>
      </x:c>
      <x:c r="O2253" s="14" t="n">
        <x:v>0</x:v>
      </x:c>
      <x:c r="P2253" s="14" t="str">
        <x:v>Hayır</x:v>
      </x:c>
      <x:c r="Q2253" s="14" t="str">
        <x:v>Evet</x:v>
      </x:c>
      <x:c r="R2253" s="14" t="str">
        <x:v>Planlandı</x:v>
      </x:c>
      <x:c r="S2253" s="15" t="str"/>
      <x:c r="T2253" s="14" t="str">
        <x:v>Yeni konu ancak plan sırasıyla açılır; LGS dışı ileri TYT içeriği zorunlu değildir.</x:v>
      </x:c>
    </x:row>
    <x:row r="2254">
      <x:c r="A2254" s="14" t="n">
        <x:v>2253</x:v>
      </x:c>
      <x:c r="B2254" s="15" t="n">
        <x:v>46477</x:v>
      </x:c>
      <x:c r="C2254" s="14" t="str">
        <x:v>Çarşamba</x:v>
      </x:c>
      <x:c r="D2254" s="14" t="str">
        <x:v>Okul Günü</x:v>
      </x:c>
      <x:c r="E2254" s="14" t="str">
        <x:v>16:00 sonrası</x:v>
      </x:c>
      <x:c r="F2254" s="14" t="str">
        <x:v>F3 - Kaynak/MEB Tamamlama</x:v>
      </x:c>
      <x:c r="G2254" s="14" t="str">
        <x:v>17:10</x:v>
      </x:c>
      <x:c r="H2254" s="14" t="str">
        <x:v>17:55</x:v>
      </x:c>
      <x:c r="I2254" s="14" t="str">
        <x:v>Matematik</x:v>
      </x:c>
      <x:c r="J2254" s="14" t="str">
        <x:v>Kitap / MEB / Mastery</x:v>
      </x:c>
      <x:c r="K2254" s="14" t="str">
        <x:v>Kaynak Tamamlama / Zayıf Konu</x:v>
      </x:c>
      <x:c r="L2254" s="14" t="str">
        <x:v>13 Nisan %100 tamamlama hedefine göre en geride kalan Matematik soru kaynağını/eksik MEB setini ilerlet; açık yanlışları kapat.</x:v>
      </x:c>
      <x:c r="M2254" s="14" t="str">
        <x:v>MUBA 8. Sınıf Başlangıç Matematik (ISBN 9789756526972) → tamamlandıysa Mozaik 8. Sınıf Matematik; açık MEB/yanlışlar</x:v>
      </x:c>
      <x:c r="N2254" s="14" t="str">
        <x:v>https://odsgm.meb.gov.tr/www/8sinif-calisma-sorulari/icerik/1632</x:v>
      </x:c>
      <x:c r="O2254" s="14" t="n">
        <x:v>30</x:v>
      </x:c>
      <x:c r="P2254" s="14" t="str">
        <x:v>İlk 20 soru</x:v>
      </x:c>
      <x:c r="Q2254" s="14" t="str">
        <x:v>Evet</x:v>
      </x:c>
      <x:c r="R2254" s="14" t="str">
        <x:v>Planlandı</x:v>
      </x:c>
      <x:c r="S2254" s="15" t="str"/>
      <x:c r="T2254" s="14" t="str">
        <x:v>Ayrı/rastgele matematik benchmark yoktur. Süreli ilk 20 soru o gün çalışılan konunun içindedir.</x:v>
      </x:c>
    </x:row>
    <x:row r="2255">
      <x:c r="A2255" s="14" t="n">
        <x:v>2254</x:v>
      </x:c>
      <x:c r="B2255" s="15" t="n">
        <x:v>46477</x:v>
      </x:c>
      <x:c r="C2255" s="14" t="str">
        <x:v>Çarşamba</x:v>
      </x:c>
      <x:c r="D2255" s="14" t="str">
        <x:v>Okul Günü</x:v>
      </x:c>
      <x:c r="E2255" s="14" t="str">
        <x:v>16:00 sonrası</x:v>
      </x:c>
      <x:c r="F2255" s="14" t="str">
        <x:v>F3 - Kaynak/MEB Tamamlama</x:v>
      </x:c>
      <x:c r="G2255" s="14" t="str">
        <x:v>17:55</x:v>
      </x:c>
      <x:c r="H2255" s="14" t="str">
        <x:v>18:25</x:v>
      </x:c>
      <x:c r="I2255" s="14" t="str">
        <x:v>Genel</x:v>
      </x:c>
      <x:c r="J2255" s="14" t="str">
        <x:v>Yemek / Serbest Zaman</x:v>
      </x:c>
      <x:c r="K2255" s="14" t="str"/>
      <x:c r="L2255" s="14" t="str">
        <x:v>Yemek, hareket ve dinlenme.</x:v>
      </x:c>
      <x:c r="M2255" s="14" t="str"/>
      <x:c r="N2255" s="14" t="str"/>
      <x:c r="O2255" s="14" t="n">
        <x:v>0</x:v>
      </x:c>
      <x:c r="P2255" s="14" t="str">
        <x:v>Hayır</x:v>
      </x:c>
      <x:c r="Q2255" s="14" t="str">
        <x:v>Hayır</x:v>
      </x:c>
      <x:c r="R2255" s="14" t="str">
        <x:v>Planlandı</x:v>
      </x:c>
      <x:c r="S2255" s="15" t="str"/>
      <x:c r="T2255" s="14" t="str"/>
    </x:row>
    <x:row r="2256">
      <x:c r="A2256" s="14" t="n">
        <x:v>2255</x:v>
      </x:c>
      <x:c r="B2256" s="15" t="n">
        <x:v>46477</x:v>
      </x:c>
      <x:c r="C2256" s="14" t="str">
        <x:v>Çarşamba</x:v>
      </x:c>
      <x:c r="D2256" s="14" t="str">
        <x:v>Okul Günü</x:v>
      </x:c>
      <x:c r="E2256" s="14" t="str">
        <x:v>16:00 sonrası</x:v>
      </x:c>
      <x:c r="F2256" s="14" t="str">
        <x:v>F3 - Kaynak/MEB Tamamlama</x:v>
      </x:c>
      <x:c r="G2256" s="14" t="str">
        <x:v>18:25</x:v>
      </x:c>
      <x:c r="H2256" s="14" t="str">
        <x:v>18:55</x:v>
      </x:c>
      <x:c r="I2256" s="14" t="str">
        <x:v>Türkçe</x:v>
      </x:c>
      <x:c r="J2256" s="14" t="str">
        <x:v>Paragraf Rutini</x:v>
      </x:c>
      <x:c r="K2256" s="14" t="str">
        <x:v>Paragraf</x:v>
      </x:c>
      <x:c r="L2256" s="14" t="str">
        <x:v>En az 30 paragraf sorusu çöz; ilk 20 soruyu ileri sayımla ölç, D/Y/B + süre kaydet.</x:v>
      </x:c>
      <x:c r="M2256" s="14" t="str">
        <x:v>Hız 8. Sınıf Türkçe Paragraf (ISBN 9786258394498)</x:v>
      </x:c>
      <x:c r="N2256" s="14" t="str"/>
      <x:c r="O2256" s="14" t="n">
        <x:v>30</x:v>
      </x:c>
      <x:c r="P2256" s="14" t="str">
        <x:v>İlk 20 soru</x:v>
      </x:c>
      <x:c r="Q2256" s="14" t="str">
        <x:v>Evet</x:v>
      </x:c>
      <x:c r="R2256" s="14" t="str">
        <x:v>Planlandı</x:v>
      </x:c>
      <x:c r="S2256" s="15" t="str"/>
      <x:c r="T2256" s="14" t="str">
        <x:v>Geri sayım ve hedef süre yok.</x:v>
      </x:c>
    </x:row>
    <x:row r="2257">
      <x:c r="A2257" s="14" t="n">
        <x:v>2256</x:v>
      </x:c>
      <x:c r="B2257" s="15" t="n">
        <x:v>46477</x:v>
      </x:c>
      <x:c r="C2257" s="14" t="str">
        <x:v>Çarşamba</x:v>
      </x:c>
      <x:c r="D2257" s="14" t="str">
        <x:v>Okul Günü</x:v>
      </x:c>
      <x:c r="E2257" s="14" t="str">
        <x:v>16:00 sonrası</x:v>
      </x:c>
      <x:c r="F2257" s="14" t="str">
        <x:v>F3 - Kaynak/MEB Tamamlama</x:v>
      </x:c>
      <x:c r="G2257" s="14" t="str">
        <x:v>19:00</x:v>
      </x:c>
      <x:c r="H2257" s="14" t="str">
        <x:v>19:35</x:v>
      </x:c>
      <x:c r="I2257" s="14" t="str">
        <x:v>Türkçe</x:v>
      </x:c>
      <x:c r="J2257" s="14" t="str">
        <x:v>Konu / Tekrar</x:v>
      </x:c>
      <x:c r="K2257" s="14" t="str">
        <x:v>Kaynak Tamamlama / Zayıf Konu</x:v>
      </x:c>
      <x:c r="L2257" s="14" t="str">
        <x:v>Yeni konu açma. En zayıf/açık konunun ilgili playlist videosunu yalnız gerekiyorsa tekrar izle.</x:v>
      </x:c>
      <x:c r="M2257" s="14" t="str">
        <x:v>Türkçe Ana Oynatma Listesi</x:v>
      </x:c>
      <x:c r="N2257" s="14" t="str">
        <x:v>https://www.youtube.com/watch?v=VYsPntNKVdw&amp;list=PLIBjFaUoJJ91bz7QQEBlxNJNZka5YQRr6</x:v>
      </x:c>
      <x:c r="O2257" s="14" t="n">
        <x:v>0</x:v>
      </x:c>
      <x:c r="P2257" s="14" t="str">
        <x:v>Hayır</x:v>
      </x:c>
      <x:c r="Q2257" s="14" t="str">
        <x:v>Evet</x:v>
      </x:c>
      <x:c r="R2257" s="14" t="str">
        <x:v>Planlandı</x:v>
      </x:c>
      <x:c r="S2257" s="15" t="str"/>
      <x:c r="T2257" s="14" t="str">
        <x:v>TYT etiketli kaynak temelden başlamak için sabittir; LGS dışı gereksiz ayrıntı zorunlu değildir.</x:v>
      </x:c>
    </x:row>
    <x:row r="2258">
      <x:c r="A2258" s="14" t="n">
        <x:v>2257</x:v>
      </x:c>
      <x:c r="B2258" s="15" t="n">
        <x:v>46477</x:v>
      </x:c>
      <x:c r="C2258" s="14" t="str">
        <x:v>Çarşamba</x:v>
      </x:c>
      <x:c r="D2258" s="14" t="str">
        <x:v>Okul Günü</x:v>
      </x:c>
      <x:c r="E2258" s="14" t="str">
        <x:v>16:00 sonrası</x:v>
      </x:c>
      <x:c r="F2258" s="14" t="str">
        <x:v>F3 - Kaynak/MEB Tamamlama</x:v>
      </x:c>
      <x:c r="G2258" s="14" t="str">
        <x:v>19:40</x:v>
      </x:c>
      <x:c r="H2258" s="14" t="str">
        <x:v>20:10</x:v>
      </x:c>
      <x:c r="I2258" s="14" t="str">
        <x:v>Türkçe</x:v>
      </x:c>
      <x:c r="J2258" s="14" t="str">
        <x:v>Kitap / MEB / Mastery</x:v>
      </x:c>
      <x:c r="K2258" s="14" t="str">
        <x:v>Kaynak Tamamlama / Zayıf Konu</x:v>
      </x:c>
      <x:c r="L2258" s="14" t="str">
        <x:v>13 Nisan %100 tamamlama hedefine göre en geride kalan Türkçe soru kaynağını/eksik MEB setini ilerlet; açık yanlışları kapat.</x:v>
      </x:c>
      <x:c r="M2258" s="14" t="str">
        <x:v>Ankara 8. Sınıf Dil Bilgisi Güçlendiren + açık MEB/yanlışlar</x:v>
      </x:c>
      <x:c r="N2258" s="14" t="str">
        <x:v>https://odsgm.meb.gov.tr/www/8sinif-calisma-sorulari/icerik/1632</x:v>
      </x:c>
      <x:c r="O2258" s="14" t="n">
        <x:v>20</x:v>
      </x:c>
      <x:c r="P2258" s="14" t="str">
        <x:v>Hayır</x:v>
      </x:c>
      <x:c r="Q2258" s="14" t="str">
        <x:v>Evet</x:v>
      </x:c>
      <x:c r="R2258" s="14" t="str">
        <x:v>Planlandı</x:v>
      </x:c>
      <x:c r="S2258" s="15" t="str"/>
      <x:c r="T2258" s="14" t="str"/>
    </x:row>
    <x:row r="2259">
      <x:c r="A2259" s="14" t="n">
        <x:v>2258</x:v>
      </x:c>
      <x:c r="B2259" s="15" t="n">
        <x:v>46477</x:v>
      </x:c>
      <x:c r="C2259" s="14" t="str">
        <x:v>Çarşamba</x:v>
      </x:c>
      <x:c r="D2259" s="14" t="str">
        <x:v>Okul Günü</x:v>
      </x:c>
      <x:c r="E2259" s="14" t="str">
        <x:v>16:00 sonrası</x:v>
      </x:c>
      <x:c r="F2259" s="14" t="str">
        <x:v>F3 - Kaynak/MEB Tamamlama</x:v>
      </x:c>
      <x:c r="G2259" s="14" t="str">
        <x:v>20:15</x:v>
      </x:c>
      <x:c r="H2259" s="14" t="str">
        <x:v>20:50</x:v>
      </x:c>
      <x:c r="I2259" s="14" t="str">
        <x:v>Din</x:v>
      </x:c>
      <x:c r="J2259" s="14" t="str">
        <x:v>Konu / Tekrar</x:v>
      </x:c>
      <x:c r="K2259" s="14" t="str">
        <x:v>Kaynak Tamamlama / Zayıf Konu</x:v>
      </x:c>
      <x:c r="L2259" s="14" t="str">
        <x:v>Yeni konu açma. En zayıf/açık konunun ilgili playlist videosunu yalnız gerekiyorsa tekrar izle.</x:v>
      </x:c>
      <x:c r="M2259" s="14" t="str">
        <x:v>Din Genel Oynatma Listesi</x:v>
      </x:c>
      <x:c r="N2259" s="14" t="str">
        <x:v>https://www.youtube.com/watch?v=wvdOE_75VnA&amp;list=PLbRoPq-Zu-SWXGUbVt4t4UWo-4VjsMUo-&amp;index=2</x:v>
      </x:c>
      <x:c r="O2259" s="14" t="n">
        <x:v>0</x:v>
      </x:c>
      <x:c r="P2259" s="14" t="str">
        <x:v>Hayır</x:v>
      </x:c>
      <x:c r="Q2259" s="14" t="str">
        <x:v>Evet</x:v>
      </x:c>
      <x:c r="R2259" s="14" t="str">
        <x:v>Planlandı</x:v>
      </x:c>
      <x:c r="S2259" s="15" t="str"/>
      <x:c r="T2259" s="14" t="str"/>
    </x:row>
    <x:row r="2260">
      <x:c r="A2260" s="14" t="n">
        <x:v>2259</x:v>
      </x:c>
      <x:c r="B2260" s="15" t="n">
        <x:v>46477</x:v>
      </x:c>
      <x:c r="C2260" s="14" t="str">
        <x:v>Çarşamba</x:v>
      </x:c>
      <x:c r="D2260" s="14" t="str">
        <x:v>Okul Günü</x:v>
      </x:c>
      <x:c r="E2260" s="14" t="str">
        <x:v>16:00 sonrası</x:v>
      </x:c>
      <x:c r="F2260" s="14" t="str">
        <x:v>F3 - Kaynak/MEB Tamamlama</x:v>
      </x:c>
      <x:c r="G2260" s="14" t="str">
        <x:v>20:55</x:v>
      </x:c>
      <x:c r="H2260" s="14" t="str">
        <x:v>21:20</x:v>
      </x:c>
      <x:c r="I2260" s="14" t="str">
        <x:v>Din</x:v>
      </x:c>
      <x:c r="J2260" s="14" t="str">
        <x:v>Kitap / MEB / Mastery</x:v>
      </x:c>
      <x:c r="K2260" s="14" t="str">
        <x:v>Kaynak Tamamlama / Zayıf Konu</x:v>
      </x:c>
      <x:c r="L2260" s="14" t="str">
        <x:v>13 Nisan %100 tamamlama hedefine göre en geride kalan Din soru kaynağını/eksik MEB setini ilerlet; açık yanlışları kapat.</x:v>
      </x:c>
      <x:c r="M2260" s="14" t="str">
        <x:v>Hız 8. Sınıf Din Kültürü ve Ahlak Bilgisi + açık MEB/yanlışlar</x:v>
      </x:c>
      <x:c r="N2260" s="14" t="str">
        <x:v>https://odsgm.meb.gov.tr/www/8sinif-calisma-sorulari/icerik/1632</x:v>
      </x:c>
      <x:c r="O2260" s="14" t="n">
        <x:v>20</x:v>
      </x:c>
      <x:c r="P2260" s="14" t="str">
        <x:v>Hayır</x:v>
      </x:c>
      <x:c r="Q2260" s="14" t="str">
        <x:v>Evet</x:v>
      </x:c>
      <x:c r="R2260" s="14" t="str">
        <x:v>Planlandı</x:v>
      </x:c>
      <x:c r="S2260" s="15" t="str"/>
      <x:c r="T2260" s="14" t="str"/>
    </x:row>
    <x:row r="2261">
      <x:c r="A2261" s="14" t="n">
        <x:v>2260</x:v>
      </x:c>
      <x:c r="B2261" s="15" t="n">
        <x:v>46477</x:v>
      </x:c>
      <x:c r="C2261" s="14" t="str">
        <x:v>Çarşamba</x:v>
      </x:c>
      <x:c r="D2261" s="14" t="str">
        <x:v>Okul Günü</x:v>
      </x:c>
      <x:c r="E2261" s="14" t="str">
        <x:v>16:00 sonrası</x:v>
      </x:c>
      <x:c r="F2261" s="14" t="str">
        <x:v>F3 - Kaynak/MEB Tamamlama</x:v>
      </x:c>
      <x:c r="G2261" s="14" t="str">
        <x:v>21:20</x:v>
      </x:c>
      <x:c r="H2261" s="14" t="str">
        <x:v>21:35</x:v>
      </x:c>
      <x:c r="I2261" s="14" t="str">
        <x:v>Genel</x:v>
      </x:c>
      <x:c r="J2261" s="14" t="str">
        <x:v>Yanlış / Boş Analizi</x:v>
      </x:c>
      <x:c r="K2261" s="14" t="str">
        <x:v>Günlük</x:v>
      </x:c>
      <x:c r="L2261" s="14" t="str">
        <x:v>Bugünkü yanlış/boşları kaydet; çözümünü öğrenmeden kapatma. Hata türünü sınıflandır.</x:v>
      </x:c>
      <x:c r="M2261" s="14" t="str">
        <x:v>Yanlış Defteri</x:v>
      </x:c>
      <x:c r="N2261" s="14" t="str"/>
      <x:c r="O2261" s="14" t="n">
        <x:v>0</x:v>
      </x:c>
      <x:c r="P2261" s="14" t="str">
        <x:v>Hayır</x:v>
      </x:c>
      <x:c r="Q2261" s="14" t="str">
        <x:v>Evet</x:v>
      </x:c>
      <x:c r="R2261" s="14" t="str">
        <x:v>Planlandı</x:v>
      </x:c>
      <x:c r="S2261" s="15" t="str"/>
      <x:c r="T2261" s="14" t="str"/>
    </x:row>
    <x:row r="2262">
      <x:c r="A2262" s="14" t="n">
        <x:v>2261</x:v>
      </x:c>
      <x:c r="B2262" s="15" t="n">
        <x:v>46477</x:v>
      </x:c>
      <x:c r="C2262" s="14" t="str">
        <x:v>Çarşamba</x:v>
      </x:c>
      <x:c r="D2262" s="14" t="str">
        <x:v>Okul Günü</x:v>
      </x:c>
      <x:c r="E2262" s="14" t="str">
        <x:v>16:00 sonrası</x:v>
      </x:c>
      <x:c r="F2262" s="14" t="str">
        <x:v>F3 - Kaynak/MEB Tamamlama</x:v>
      </x:c>
      <x:c r="G2262" s="14" t="str">
        <x:v>21:35</x:v>
      </x:c>
      <x:c r="H2262" s="14" t="str">
        <x:v>21:50</x:v>
      </x:c>
      <x:c r="I2262" s="14" t="str">
        <x:v>Genel</x:v>
      </x:c>
      <x:c r="J2262" s="14" t="str">
        <x:v>Aralıklı Hata Tekrarı</x:v>
      </x:c>
      <x:c r="K2262" s="14" t="str">
        <x:v>+1 / +7 / +21</x:v>
      </x:c>
      <x:c r="L2262" s="14" t="str">
        <x:v>Bugün vadesi gelen yanlış soruları tekrar çöz. Vadesi yoksa bu süre serbest/okuma olabilir.</x:v>
      </x:c>
      <x:c r="M2262" s="14" t="str">
        <x:v>Yanlış Defteri</x:v>
      </x:c>
      <x:c r="N2262" s="14" t="str"/>
      <x:c r="O2262" s="14" t="n">
        <x:v>0</x:v>
      </x:c>
      <x:c r="P2262" s="14" t="str">
        <x:v>Hayır</x:v>
      </x:c>
      <x:c r="Q2262" s="14" t="str">
        <x:v>Koşullu</x:v>
      </x:c>
      <x:c r="R2262" s="14" t="str">
        <x:v>Planlandı</x:v>
      </x:c>
      <x:c r="S2262" s="15" t="str"/>
      <x:c r="T2262" s="14" t="str">
        <x:v>Yanlışlar +1, +7 ve +21 gün aralıklarıyla tekrar edilir; hâlâ yanlışsa konu mastery durumu düşürülür.</x:v>
      </x:c>
    </x:row>
    <x:row r="2263">
      <x:c r="A2263" s="14" t="n">
        <x:v>2262</x:v>
      </x:c>
      <x:c r="B2263" s="15" t="n">
        <x:v>46477</x:v>
      </x:c>
      <x:c r="C2263" s="14" t="str">
        <x:v>Çarşamba</x:v>
      </x:c>
      <x:c r="D2263" s="14" t="str">
        <x:v>Okul Günü</x:v>
      </x:c>
      <x:c r="E2263" s="14" t="str">
        <x:v>16:00 sonrası</x:v>
      </x:c>
      <x:c r="F2263" s="14" t="str">
        <x:v>F3 - Kaynak/MEB Tamamlama</x:v>
      </x:c>
      <x:c r="G2263" s="14" t="str">
        <x:v>21:50</x:v>
      </x:c>
      <x:c r="H2263" s="14" t="str">
        <x:v>22:00</x:v>
      </x:c>
      <x:c r="I2263" s="14" t="str">
        <x:v>Genel</x:v>
      </x:c>
      <x:c r="J2263" s="14" t="str">
        <x:v>Uyku Hazırlığı</x:v>
      </x:c>
      <x:c r="K2263" s="14" t="str"/>
      <x:c r="L2263" s="14" t="str">
        <x:v>22:00'de yatakta ve uyku.</x:v>
      </x:c>
      <x:c r="M2263" s="14" t="str"/>
      <x:c r="N2263" s="14" t="str"/>
      <x:c r="O2263" s="14" t="n">
        <x:v>0</x:v>
      </x:c>
      <x:c r="P2263" s="14" t="str">
        <x:v>Hayır</x:v>
      </x:c>
      <x:c r="Q2263" s="14" t="str">
        <x:v>Hayır</x:v>
      </x:c>
      <x:c r="R2263" s="14" t="str">
        <x:v>Planlandı</x:v>
      </x:c>
      <x:c r="S2263" s="15" t="str"/>
      <x:c r="T2263" s="14" t="str"/>
    </x:row>
    <x:row r="2264">
      <x:c r="A2264" s="14" t="n">
        <x:v>2263</x:v>
      </x:c>
      <x:c r="B2264" s="15" t="n">
        <x:v>46478</x:v>
      </x:c>
      <x:c r="C2264" s="14" t="str">
        <x:v>Perşembe</x:v>
      </x:c>
      <x:c r="D2264" s="14" t="str">
        <x:v>Okul Günü</x:v>
      </x:c>
      <x:c r="E2264" s="14" t="str">
        <x:v>16:00 sonrası</x:v>
      </x:c>
      <x:c r="F2264" s="14" t="str">
        <x:v>F3 - Kaynak/MEB Tamamlama</x:v>
      </x:c>
      <x:c r="G2264" s="14" t="str">
        <x:v>16:00</x:v>
      </x:c>
      <x:c r="H2264" s="14" t="str">
        <x:v>16:25</x:v>
      </x:c>
      <x:c r="I2264" s="14" t="str">
        <x:v>Genel</x:v>
      </x:c>
      <x:c r="J2264" s="14" t="str">
        <x:v>Dinlenme</x:v>
      </x:c>
      <x:c r="K2264" s="14" t="str"/>
      <x:c r="L2264" s="14" t="str">
        <x:v>Eve geliş, atıştırma ve dinlenme.</x:v>
      </x:c>
      <x:c r="M2264" s="14" t="str"/>
      <x:c r="N2264" s="14" t="str"/>
      <x:c r="O2264" s="14" t="n">
        <x:v>0</x:v>
      </x:c>
      <x:c r="P2264" s="14" t="str">
        <x:v>Hayır</x:v>
      </x:c>
      <x:c r="Q2264" s="14" t="str">
        <x:v>Hayır</x:v>
      </x:c>
      <x:c r="R2264" s="14" t="str">
        <x:v>Planlandı</x:v>
      </x:c>
      <x:c r="S2264" s="15" t="str"/>
      <x:c r="T2264" s="14" t="str"/>
    </x:row>
    <x:row r="2265">
      <x:c r="A2265" s="14" t="n">
        <x:v>2264</x:v>
      </x:c>
      <x:c r="B2265" s="15" t="n">
        <x:v>46478</x:v>
      </x:c>
      <x:c r="C2265" s="14" t="str">
        <x:v>Perşembe</x:v>
      </x:c>
      <x:c r="D2265" s="14" t="str">
        <x:v>Okul Günü</x:v>
      </x:c>
      <x:c r="E2265" s="14" t="str">
        <x:v>16:00 sonrası</x:v>
      </x:c>
      <x:c r="F2265" s="14" t="str">
        <x:v>F3 - Kaynak/MEB Tamamlama</x:v>
      </x:c>
      <x:c r="G2265" s="14" t="str">
        <x:v>16:25</x:v>
      </x:c>
      <x:c r="H2265" s="14" t="str">
        <x:v>17:05</x:v>
      </x:c>
      <x:c r="I2265" s="14" t="str">
        <x:v>Matematik</x:v>
      </x:c>
      <x:c r="J2265" s="14" t="str">
        <x:v>Konu / Tekrar</x:v>
      </x:c>
      <x:c r="K2265" s="14" t="str">
        <x:v>Kaynak Tamamlama / Zayıf Konu</x:v>
      </x:c>
      <x:c r="L2265" s="14" t="str">
        <x:v>Yeni konu açma. En zayıf/açık konunun ilgili playlist videosunu yalnız gerekiyorsa tekrar izle.</x:v>
      </x:c>
      <x:c r="M2265" s="14" t="str">
        <x:v>Matematik Ana Oynatma Listesi</x:v>
      </x:c>
      <x:c r="N2265" s="14" t="str">
        <x:v>https://www.youtube.com/watch?v=EuJ89QzqrAg&amp;list=PLicNtF7vp6fnfDqrRLH6H7fIbzYT4ct4F&amp;index=11</x:v>
      </x:c>
      <x:c r="O2265" s="14" t="n">
        <x:v>0</x:v>
      </x:c>
      <x:c r="P2265" s="14" t="str">
        <x:v>Hayır</x:v>
      </x:c>
      <x:c r="Q2265" s="14" t="str">
        <x:v>Evet</x:v>
      </x:c>
      <x:c r="R2265" s="14" t="str">
        <x:v>Planlandı</x:v>
      </x:c>
      <x:c r="S2265" s="15" t="str"/>
      <x:c r="T2265" s="14" t="str">
        <x:v>Yeni konu ancak plan sırasıyla açılır; LGS dışı ileri TYT içeriği zorunlu değildir.</x:v>
      </x:c>
    </x:row>
    <x:row r="2266">
      <x:c r="A2266" s="14" t="n">
        <x:v>2265</x:v>
      </x:c>
      <x:c r="B2266" s="15" t="n">
        <x:v>46478</x:v>
      </x:c>
      <x:c r="C2266" s="14" t="str">
        <x:v>Perşembe</x:v>
      </x:c>
      <x:c r="D2266" s="14" t="str">
        <x:v>Okul Günü</x:v>
      </x:c>
      <x:c r="E2266" s="14" t="str">
        <x:v>16:00 sonrası</x:v>
      </x:c>
      <x:c r="F2266" s="14" t="str">
        <x:v>F3 - Kaynak/MEB Tamamlama</x:v>
      </x:c>
      <x:c r="G2266" s="14" t="str">
        <x:v>17:10</x:v>
      </x:c>
      <x:c r="H2266" s="14" t="str">
        <x:v>17:55</x:v>
      </x:c>
      <x:c r="I2266" s="14" t="str">
        <x:v>Matematik</x:v>
      </x:c>
      <x:c r="J2266" s="14" t="str">
        <x:v>Kitap / MEB / Mastery</x:v>
      </x:c>
      <x:c r="K2266" s="14" t="str">
        <x:v>Kaynak Tamamlama / Zayıf Konu</x:v>
      </x:c>
      <x:c r="L2266" s="14" t="str">
        <x:v>13 Nisan %100 tamamlama hedefine göre en geride kalan Matematik soru kaynağını/eksik MEB setini ilerlet; açık yanlışları kapat.</x:v>
      </x:c>
      <x:c r="M2266" s="14" t="str">
        <x:v>MUBA 8. Sınıf Başlangıç Matematik (ISBN 9789756526972) → tamamlandıysa Mozaik 8. Sınıf Matematik; açık MEB/yanlışlar</x:v>
      </x:c>
      <x:c r="N2266" s="14" t="str">
        <x:v>https://odsgm.meb.gov.tr/www/8sinif-calisma-sorulari/icerik/1632</x:v>
      </x:c>
      <x:c r="O2266" s="14" t="n">
        <x:v>30</x:v>
      </x:c>
      <x:c r="P2266" s="14" t="str">
        <x:v>İlk 20 soru</x:v>
      </x:c>
      <x:c r="Q2266" s="14" t="str">
        <x:v>Evet</x:v>
      </x:c>
      <x:c r="R2266" s="14" t="str">
        <x:v>Planlandı</x:v>
      </x:c>
      <x:c r="S2266" s="15" t="str"/>
      <x:c r="T2266" s="14" t="str">
        <x:v>Ayrı/rastgele matematik benchmark yoktur. Süreli ilk 20 soru o gün çalışılan konunun içindedir.</x:v>
      </x:c>
    </x:row>
    <x:row r="2267">
      <x:c r="A2267" s="14" t="n">
        <x:v>2266</x:v>
      </x:c>
      <x:c r="B2267" s="15" t="n">
        <x:v>46478</x:v>
      </x:c>
      <x:c r="C2267" s="14" t="str">
        <x:v>Perşembe</x:v>
      </x:c>
      <x:c r="D2267" s="14" t="str">
        <x:v>Okul Günü</x:v>
      </x:c>
      <x:c r="E2267" s="14" t="str">
        <x:v>16:00 sonrası</x:v>
      </x:c>
      <x:c r="F2267" s="14" t="str">
        <x:v>F3 - Kaynak/MEB Tamamlama</x:v>
      </x:c>
      <x:c r="G2267" s="14" t="str">
        <x:v>17:55</x:v>
      </x:c>
      <x:c r="H2267" s="14" t="str">
        <x:v>18:25</x:v>
      </x:c>
      <x:c r="I2267" s="14" t="str">
        <x:v>Genel</x:v>
      </x:c>
      <x:c r="J2267" s="14" t="str">
        <x:v>Yemek / Serbest Zaman</x:v>
      </x:c>
      <x:c r="K2267" s="14" t="str"/>
      <x:c r="L2267" s="14" t="str">
        <x:v>Yemek, hareket ve dinlenme.</x:v>
      </x:c>
      <x:c r="M2267" s="14" t="str"/>
      <x:c r="N2267" s="14" t="str"/>
      <x:c r="O2267" s="14" t="n">
        <x:v>0</x:v>
      </x:c>
      <x:c r="P2267" s="14" t="str">
        <x:v>Hayır</x:v>
      </x:c>
      <x:c r="Q2267" s="14" t="str">
        <x:v>Hayır</x:v>
      </x:c>
      <x:c r="R2267" s="14" t="str">
        <x:v>Planlandı</x:v>
      </x:c>
      <x:c r="S2267" s="15" t="str"/>
      <x:c r="T2267" s="14" t="str"/>
    </x:row>
    <x:row r="2268">
      <x:c r="A2268" s="14" t="n">
        <x:v>2267</x:v>
      </x:c>
      <x:c r="B2268" s="15" t="n">
        <x:v>46478</x:v>
      </x:c>
      <x:c r="C2268" s="14" t="str">
        <x:v>Perşembe</x:v>
      </x:c>
      <x:c r="D2268" s="14" t="str">
        <x:v>Okul Günü</x:v>
      </x:c>
      <x:c r="E2268" s="14" t="str">
        <x:v>16:00 sonrası</x:v>
      </x:c>
      <x:c r="F2268" s="14" t="str">
        <x:v>F3 - Kaynak/MEB Tamamlama</x:v>
      </x:c>
      <x:c r="G2268" s="14" t="str">
        <x:v>18:25</x:v>
      </x:c>
      <x:c r="H2268" s="14" t="str">
        <x:v>18:55</x:v>
      </x:c>
      <x:c r="I2268" s="14" t="str">
        <x:v>Türkçe</x:v>
      </x:c>
      <x:c r="J2268" s="14" t="str">
        <x:v>Paragraf Rutini</x:v>
      </x:c>
      <x:c r="K2268" s="14" t="str">
        <x:v>Paragraf</x:v>
      </x:c>
      <x:c r="L2268" s="14" t="str">
        <x:v>En az 30 paragraf sorusu çöz; ilk 20 soruyu ileri sayımla ölç, D/Y/B + süre kaydet.</x:v>
      </x:c>
      <x:c r="M2268" s="14" t="str">
        <x:v>Hız 8. Sınıf Türkçe Paragraf (ISBN 9786258394498)</x:v>
      </x:c>
      <x:c r="N2268" s="14" t="str"/>
      <x:c r="O2268" s="14" t="n">
        <x:v>30</x:v>
      </x:c>
      <x:c r="P2268" s="14" t="str">
        <x:v>İlk 20 soru</x:v>
      </x:c>
      <x:c r="Q2268" s="14" t="str">
        <x:v>Evet</x:v>
      </x:c>
      <x:c r="R2268" s="14" t="str">
        <x:v>Planlandı</x:v>
      </x:c>
      <x:c r="S2268" s="15" t="str"/>
      <x:c r="T2268" s="14" t="str">
        <x:v>Geri sayım ve hedef süre yok.</x:v>
      </x:c>
    </x:row>
    <x:row r="2269">
      <x:c r="A2269" s="14" t="n">
        <x:v>2268</x:v>
      </x:c>
      <x:c r="B2269" s="15" t="n">
        <x:v>46478</x:v>
      </x:c>
      <x:c r="C2269" s="14" t="str">
        <x:v>Perşembe</x:v>
      </x:c>
      <x:c r="D2269" s="14" t="str">
        <x:v>Okul Günü</x:v>
      </x:c>
      <x:c r="E2269" s="14" t="str">
        <x:v>16:00 sonrası</x:v>
      </x:c>
      <x:c r="F2269" s="14" t="str">
        <x:v>F3 - Kaynak/MEB Tamamlama</x:v>
      </x:c>
      <x:c r="G2269" s="14" t="str">
        <x:v>19:00</x:v>
      </x:c>
      <x:c r="H2269" s="14" t="str">
        <x:v>19:35</x:v>
      </x:c>
      <x:c r="I2269" s="14" t="str">
        <x:v>Türkçe</x:v>
      </x:c>
      <x:c r="J2269" s="14" t="str">
        <x:v>Konu / Tekrar</x:v>
      </x:c>
      <x:c r="K2269" s="14" t="str">
        <x:v>Kaynak Tamamlama / Zayıf Konu</x:v>
      </x:c>
      <x:c r="L2269" s="14" t="str">
        <x:v>Yeni konu açma. En zayıf/açık konunun ilgili playlist videosunu yalnız gerekiyorsa tekrar izle.</x:v>
      </x:c>
      <x:c r="M2269" s="14" t="str">
        <x:v>Türkçe Ana Oynatma Listesi</x:v>
      </x:c>
      <x:c r="N2269" s="14" t="str">
        <x:v>https://www.youtube.com/watch?v=VYsPntNKVdw&amp;list=PLIBjFaUoJJ91bz7QQEBlxNJNZka5YQRr6</x:v>
      </x:c>
      <x:c r="O2269" s="14" t="n">
        <x:v>0</x:v>
      </x:c>
      <x:c r="P2269" s="14" t="str">
        <x:v>Hayır</x:v>
      </x:c>
      <x:c r="Q2269" s="14" t="str">
        <x:v>Evet</x:v>
      </x:c>
      <x:c r="R2269" s="14" t="str">
        <x:v>Planlandı</x:v>
      </x:c>
      <x:c r="S2269" s="15" t="str"/>
      <x:c r="T2269" s="14" t="str">
        <x:v>TYT etiketli kaynak temelden başlamak için sabittir; LGS dışı gereksiz ayrıntı zorunlu değildir.</x:v>
      </x:c>
    </x:row>
    <x:row r="2270">
      <x:c r="A2270" s="14" t="n">
        <x:v>2269</x:v>
      </x:c>
      <x:c r="B2270" s="15" t="n">
        <x:v>46478</x:v>
      </x:c>
      <x:c r="C2270" s="14" t="str">
        <x:v>Perşembe</x:v>
      </x:c>
      <x:c r="D2270" s="14" t="str">
        <x:v>Okul Günü</x:v>
      </x:c>
      <x:c r="E2270" s="14" t="str">
        <x:v>16:00 sonrası</x:v>
      </x:c>
      <x:c r="F2270" s="14" t="str">
        <x:v>F3 - Kaynak/MEB Tamamlama</x:v>
      </x:c>
      <x:c r="G2270" s="14" t="str">
        <x:v>19:40</x:v>
      </x:c>
      <x:c r="H2270" s="14" t="str">
        <x:v>20:10</x:v>
      </x:c>
      <x:c r="I2270" s="14" t="str">
        <x:v>Türkçe</x:v>
      </x:c>
      <x:c r="J2270" s="14" t="str">
        <x:v>Kitap / MEB / Mastery</x:v>
      </x:c>
      <x:c r="K2270" s="14" t="str">
        <x:v>Kaynak Tamamlama / Zayıf Konu</x:v>
      </x:c>
      <x:c r="L2270" s="14" t="str">
        <x:v>13 Nisan %100 tamamlama hedefine göre en geride kalan Türkçe soru kaynağını/eksik MEB setini ilerlet; açık yanlışları kapat.</x:v>
      </x:c>
      <x:c r="M2270" s="14" t="str">
        <x:v>Ankara 8. Sınıf Dil Bilgisi Güçlendiren + açık MEB/yanlışlar</x:v>
      </x:c>
      <x:c r="N2270" s="14" t="str">
        <x:v>https://odsgm.meb.gov.tr/www/8sinif-calisma-sorulari/icerik/1632</x:v>
      </x:c>
      <x:c r="O2270" s="14" t="n">
        <x:v>20</x:v>
      </x:c>
      <x:c r="P2270" s="14" t="str">
        <x:v>Hayır</x:v>
      </x:c>
      <x:c r="Q2270" s="14" t="str">
        <x:v>Evet</x:v>
      </x:c>
      <x:c r="R2270" s="14" t="str">
        <x:v>Planlandı</x:v>
      </x:c>
      <x:c r="S2270" s="15" t="str"/>
      <x:c r="T2270" s="14" t="str"/>
    </x:row>
    <x:row r="2271">
      <x:c r="A2271" s="14" t="n">
        <x:v>2270</x:v>
      </x:c>
      <x:c r="B2271" s="15" t="n">
        <x:v>46478</x:v>
      </x:c>
      <x:c r="C2271" s="14" t="str">
        <x:v>Perşembe</x:v>
      </x:c>
      <x:c r="D2271" s="14" t="str">
        <x:v>Okul Günü</x:v>
      </x:c>
      <x:c r="E2271" s="14" t="str">
        <x:v>16:00 sonrası</x:v>
      </x:c>
      <x:c r="F2271" s="14" t="str">
        <x:v>F3 - Kaynak/MEB Tamamlama</x:v>
      </x:c>
      <x:c r="G2271" s="14" t="str">
        <x:v>20:15</x:v>
      </x:c>
      <x:c r="H2271" s="14" t="str">
        <x:v>20:50</x:v>
      </x:c>
      <x:c r="I2271" s="14" t="str">
        <x:v>İnkılap</x:v>
      </x:c>
      <x:c r="J2271" s="14" t="str">
        <x:v>Konu / Tekrar</x:v>
      </x:c>
      <x:c r="K2271" s="14" t="str">
        <x:v>Kaynak Tamamlama / Zayıf Konu</x:v>
      </x:c>
      <x:c r="L2271" s="14" t="str">
        <x:v>Yeni konu açma. En zayıf/açık konunun ilgili playlist videosunu yalnız gerekiyorsa tekrar izle.</x:v>
      </x:c>
      <x:c r="M2271" s="14" t="str">
        <x:v>İnkılap Genel Oynatma Listesi</x:v>
      </x:c>
      <x:c r="N2271" s="14" t="str">
        <x:v>https://www.youtube.com/watch?v=MltIX0oKpYU&amp;list=PLsAsBPsriHNbXit4Ra3iuBrk1ZHZWxsOR&amp;index=78</x:v>
      </x:c>
      <x:c r="O2271" s="14" t="n">
        <x:v>0</x:v>
      </x:c>
      <x:c r="P2271" s="14" t="str">
        <x:v>Hayır</x:v>
      </x:c>
      <x:c r="Q2271" s="14" t="str">
        <x:v>Evet</x:v>
      </x:c>
      <x:c r="R2271" s="14" t="str">
        <x:v>Planlandı</x:v>
      </x:c>
      <x:c r="S2271" s="15" t="str"/>
      <x:c r="T2271" s="14" t="str">
        <x:v>İnkılapta okul yazılısı videoları zorunlu değildir.</x:v>
      </x:c>
    </x:row>
    <x:row r="2272">
      <x:c r="A2272" s="14" t="n">
        <x:v>2271</x:v>
      </x:c>
      <x:c r="B2272" s="15" t="n">
        <x:v>46478</x:v>
      </x:c>
      <x:c r="C2272" s="14" t="str">
        <x:v>Perşembe</x:v>
      </x:c>
      <x:c r="D2272" s="14" t="str">
        <x:v>Okul Günü</x:v>
      </x:c>
      <x:c r="E2272" s="14" t="str">
        <x:v>16:00 sonrası</x:v>
      </x:c>
      <x:c r="F2272" s="14" t="str">
        <x:v>F3 - Kaynak/MEB Tamamlama</x:v>
      </x:c>
      <x:c r="G2272" s="14" t="str">
        <x:v>20:55</x:v>
      </x:c>
      <x:c r="H2272" s="14" t="str">
        <x:v>21:20</x:v>
      </x:c>
      <x:c r="I2272" s="14" t="str">
        <x:v>İnkılap</x:v>
      </x:c>
      <x:c r="J2272" s="14" t="str">
        <x:v>Kitap / MEB / Mastery</x:v>
      </x:c>
      <x:c r="K2272" s="14" t="str">
        <x:v>Kaynak Tamamlama / Zayıf Konu</x:v>
      </x:c>
      <x:c r="L2272" s="14" t="str">
        <x:v>13 Nisan %100 tamamlama hedefine göre en geride kalan İnkılap soru kaynağını/eksik MEB setini ilerlet; açık yanlışları kapat.</x:v>
      </x:c>
      <x:c r="M2272" s="14" t="str">
        <x:v>Hız 8. Sınıf T.C. İnkılap Tarihi ve Atatürkçülük + açık MEB/yanlışlar</x:v>
      </x:c>
      <x:c r="N2272" s="14" t="str">
        <x:v>https://odsgm.meb.gov.tr/www/8sinif-calisma-sorulari/icerik/1632</x:v>
      </x:c>
      <x:c r="O2272" s="14" t="n">
        <x:v>20</x:v>
      </x:c>
      <x:c r="P2272" s="14" t="str">
        <x:v>Hayır</x:v>
      </x:c>
      <x:c r="Q2272" s="14" t="str">
        <x:v>Evet</x:v>
      </x:c>
      <x:c r="R2272" s="14" t="str">
        <x:v>Planlandı</x:v>
      </x:c>
      <x:c r="S2272" s="15" t="str"/>
      <x:c r="T2272" s="14" t="str"/>
    </x:row>
    <x:row r="2273">
      <x:c r="A2273" s="14" t="n">
        <x:v>2272</x:v>
      </x:c>
      <x:c r="B2273" s="15" t="n">
        <x:v>46478</x:v>
      </x:c>
      <x:c r="C2273" s="14" t="str">
        <x:v>Perşembe</x:v>
      </x:c>
      <x:c r="D2273" s="14" t="str">
        <x:v>Okul Günü</x:v>
      </x:c>
      <x:c r="E2273" s="14" t="str">
        <x:v>16:00 sonrası</x:v>
      </x:c>
      <x:c r="F2273" s="14" t="str">
        <x:v>F3 - Kaynak/MEB Tamamlama</x:v>
      </x:c>
      <x:c r="G2273" s="14" t="str">
        <x:v>21:20</x:v>
      </x:c>
      <x:c r="H2273" s="14" t="str">
        <x:v>21:35</x:v>
      </x:c>
      <x:c r="I2273" s="14" t="str">
        <x:v>Genel</x:v>
      </x:c>
      <x:c r="J2273" s="14" t="str">
        <x:v>Yanlış / Boş Analizi</x:v>
      </x:c>
      <x:c r="K2273" s="14" t="str">
        <x:v>Günlük</x:v>
      </x:c>
      <x:c r="L2273" s="14" t="str">
        <x:v>Bugünkü yanlış/boşları kaydet; çözümünü öğrenmeden kapatma. Hata türünü sınıflandır.</x:v>
      </x:c>
      <x:c r="M2273" s="14" t="str">
        <x:v>Yanlış Defteri</x:v>
      </x:c>
      <x:c r="N2273" s="14" t="str"/>
      <x:c r="O2273" s="14" t="n">
        <x:v>0</x:v>
      </x:c>
      <x:c r="P2273" s="14" t="str">
        <x:v>Hayır</x:v>
      </x:c>
      <x:c r="Q2273" s="14" t="str">
        <x:v>Evet</x:v>
      </x:c>
      <x:c r="R2273" s="14" t="str">
        <x:v>Planlandı</x:v>
      </x:c>
      <x:c r="S2273" s="15" t="str"/>
      <x:c r="T2273" s="14" t="str"/>
    </x:row>
    <x:row r="2274">
      <x:c r="A2274" s="14" t="n">
        <x:v>2273</x:v>
      </x:c>
      <x:c r="B2274" s="15" t="n">
        <x:v>46478</x:v>
      </x:c>
      <x:c r="C2274" s="14" t="str">
        <x:v>Perşembe</x:v>
      </x:c>
      <x:c r="D2274" s="14" t="str">
        <x:v>Okul Günü</x:v>
      </x:c>
      <x:c r="E2274" s="14" t="str">
        <x:v>16:00 sonrası</x:v>
      </x:c>
      <x:c r="F2274" s="14" t="str">
        <x:v>F3 - Kaynak/MEB Tamamlama</x:v>
      </x:c>
      <x:c r="G2274" s="14" t="str">
        <x:v>21:35</x:v>
      </x:c>
      <x:c r="H2274" s="14" t="str">
        <x:v>21:50</x:v>
      </x:c>
      <x:c r="I2274" s="14" t="str">
        <x:v>Genel</x:v>
      </x:c>
      <x:c r="J2274" s="14" t="str">
        <x:v>Aralıklı Hata Tekrarı</x:v>
      </x:c>
      <x:c r="K2274" s="14" t="str">
        <x:v>+1 / +7 / +21</x:v>
      </x:c>
      <x:c r="L2274" s="14" t="str">
        <x:v>Bugün vadesi gelen yanlış soruları tekrar çöz. Vadesi yoksa bu süre serbest/okuma olabilir.</x:v>
      </x:c>
      <x:c r="M2274" s="14" t="str">
        <x:v>Yanlış Defteri</x:v>
      </x:c>
      <x:c r="N2274" s="14" t="str"/>
      <x:c r="O2274" s="14" t="n">
        <x:v>0</x:v>
      </x:c>
      <x:c r="P2274" s="14" t="str">
        <x:v>Hayır</x:v>
      </x:c>
      <x:c r="Q2274" s="14" t="str">
        <x:v>Koşullu</x:v>
      </x:c>
      <x:c r="R2274" s="14" t="str">
        <x:v>Planlandı</x:v>
      </x:c>
      <x:c r="S2274" s="15" t="str"/>
      <x:c r="T2274" s="14" t="str">
        <x:v>Yanlışlar +1, +7 ve +21 gün aralıklarıyla tekrar edilir; hâlâ yanlışsa konu mastery durumu düşürülür.</x:v>
      </x:c>
    </x:row>
    <x:row r="2275">
      <x:c r="A2275" s="14" t="n">
        <x:v>2274</x:v>
      </x:c>
      <x:c r="B2275" s="15" t="n">
        <x:v>46478</x:v>
      </x:c>
      <x:c r="C2275" s="14" t="str">
        <x:v>Perşembe</x:v>
      </x:c>
      <x:c r="D2275" s="14" t="str">
        <x:v>Okul Günü</x:v>
      </x:c>
      <x:c r="E2275" s="14" t="str">
        <x:v>16:00 sonrası</x:v>
      </x:c>
      <x:c r="F2275" s="14" t="str">
        <x:v>F3 - Kaynak/MEB Tamamlama</x:v>
      </x:c>
      <x:c r="G2275" s="14" t="str">
        <x:v>21:50</x:v>
      </x:c>
      <x:c r="H2275" s="14" t="str">
        <x:v>22:00</x:v>
      </x:c>
      <x:c r="I2275" s="14" t="str">
        <x:v>Genel</x:v>
      </x:c>
      <x:c r="J2275" s="14" t="str">
        <x:v>Uyku Hazırlığı</x:v>
      </x:c>
      <x:c r="K2275" s="14" t="str"/>
      <x:c r="L2275" s="14" t="str">
        <x:v>22:00'de yatakta ve uyku.</x:v>
      </x:c>
      <x:c r="M2275" s="14" t="str"/>
      <x:c r="N2275" s="14" t="str"/>
      <x:c r="O2275" s="14" t="n">
        <x:v>0</x:v>
      </x:c>
      <x:c r="P2275" s="14" t="str">
        <x:v>Hayır</x:v>
      </x:c>
      <x:c r="Q2275" s="14" t="str">
        <x:v>Hayır</x:v>
      </x:c>
      <x:c r="R2275" s="14" t="str">
        <x:v>Planlandı</x:v>
      </x:c>
      <x:c r="S2275" s="15" t="str"/>
      <x:c r="T2275" s="14" t="str"/>
    </x:row>
    <x:row r="2276">
      <x:c r="A2276" s="14" t="n">
        <x:v>2275</x:v>
      </x:c>
      <x:c r="B2276" s="15" t="n">
        <x:v>46479</x:v>
      </x:c>
      <x:c r="C2276" s="14" t="str">
        <x:v>Cuma</x:v>
      </x:c>
      <x:c r="D2276" s="14" t="str">
        <x:v>Okul Günü</x:v>
      </x:c>
      <x:c r="E2276" s="14" t="str">
        <x:v>16:00 sonrası</x:v>
      </x:c>
      <x:c r="F2276" s="14" t="str">
        <x:v>F3 - Kaynak/MEB Tamamlama</x:v>
      </x:c>
      <x:c r="G2276" s="14" t="str">
        <x:v>16:00</x:v>
      </x:c>
      <x:c r="H2276" s="14" t="str">
        <x:v>16:25</x:v>
      </x:c>
      <x:c r="I2276" s="14" t="str">
        <x:v>Genel</x:v>
      </x:c>
      <x:c r="J2276" s="14" t="str">
        <x:v>Dinlenme</x:v>
      </x:c>
      <x:c r="K2276" s="14" t="str"/>
      <x:c r="L2276" s="14" t="str">
        <x:v>Eve geliş, atıştırma ve dinlenme.</x:v>
      </x:c>
      <x:c r="M2276" s="14" t="str"/>
      <x:c r="N2276" s="14" t="str"/>
      <x:c r="O2276" s="14" t="n">
        <x:v>0</x:v>
      </x:c>
      <x:c r="P2276" s="14" t="str">
        <x:v>Hayır</x:v>
      </x:c>
      <x:c r="Q2276" s="14" t="str">
        <x:v>Hayır</x:v>
      </x:c>
      <x:c r="R2276" s="14" t="str">
        <x:v>Planlandı</x:v>
      </x:c>
      <x:c r="S2276" s="15" t="str"/>
      <x:c r="T2276" s="14" t="str"/>
    </x:row>
    <x:row r="2277">
      <x:c r="A2277" s="14" t="n">
        <x:v>2276</x:v>
      </x:c>
      <x:c r="B2277" s="15" t="n">
        <x:v>46479</x:v>
      </x:c>
      <x:c r="C2277" s="14" t="str">
        <x:v>Cuma</x:v>
      </x:c>
      <x:c r="D2277" s="14" t="str">
        <x:v>Okul Günü</x:v>
      </x:c>
      <x:c r="E2277" s="14" t="str">
        <x:v>16:00 sonrası</x:v>
      </x:c>
      <x:c r="F2277" s="14" t="str">
        <x:v>F3 - Kaynak/MEB Tamamlama</x:v>
      </x:c>
      <x:c r="G2277" s="14" t="str">
        <x:v>16:25</x:v>
      </x:c>
      <x:c r="H2277" s="14" t="str">
        <x:v>17:05</x:v>
      </x:c>
      <x:c r="I2277" s="14" t="str">
        <x:v>Matematik</x:v>
      </x:c>
      <x:c r="J2277" s="14" t="str">
        <x:v>Konu / Tekrar</x:v>
      </x:c>
      <x:c r="K2277" s="14" t="str">
        <x:v>Kaynak Tamamlama / Zayıf Konu</x:v>
      </x:c>
      <x:c r="L2277" s="14" t="str">
        <x:v>Yeni konu açma. En zayıf/açık konunun ilgili playlist videosunu yalnız gerekiyorsa tekrar izle.</x:v>
      </x:c>
      <x:c r="M2277" s="14" t="str">
        <x:v>Matematik Ana Oynatma Listesi</x:v>
      </x:c>
      <x:c r="N2277" s="14" t="str">
        <x:v>https://www.youtube.com/watch?v=EuJ89QzqrAg&amp;list=PLicNtF7vp6fnfDqrRLH6H7fIbzYT4ct4F&amp;index=11</x:v>
      </x:c>
      <x:c r="O2277" s="14" t="n">
        <x:v>0</x:v>
      </x:c>
      <x:c r="P2277" s="14" t="str">
        <x:v>Hayır</x:v>
      </x:c>
      <x:c r="Q2277" s="14" t="str">
        <x:v>Evet</x:v>
      </x:c>
      <x:c r="R2277" s="14" t="str">
        <x:v>Planlandı</x:v>
      </x:c>
      <x:c r="S2277" s="15" t="str"/>
      <x:c r="T2277" s="14" t="str">
        <x:v>Yeni konu ancak plan sırasıyla açılır; LGS dışı ileri TYT içeriği zorunlu değildir.</x:v>
      </x:c>
    </x:row>
    <x:row r="2278">
      <x:c r="A2278" s="14" t="n">
        <x:v>2277</x:v>
      </x:c>
      <x:c r="B2278" s="15" t="n">
        <x:v>46479</x:v>
      </x:c>
      <x:c r="C2278" s="14" t="str">
        <x:v>Cuma</x:v>
      </x:c>
      <x:c r="D2278" s="14" t="str">
        <x:v>Okul Günü</x:v>
      </x:c>
      <x:c r="E2278" s="14" t="str">
        <x:v>16:00 sonrası</x:v>
      </x:c>
      <x:c r="F2278" s="14" t="str">
        <x:v>F3 - Kaynak/MEB Tamamlama</x:v>
      </x:c>
      <x:c r="G2278" s="14" t="str">
        <x:v>17:10</x:v>
      </x:c>
      <x:c r="H2278" s="14" t="str">
        <x:v>17:55</x:v>
      </x:c>
      <x:c r="I2278" s="14" t="str">
        <x:v>Matematik</x:v>
      </x:c>
      <x:c r="J2278" s="14" t="str">
        <x:v>Kitap / MEB / Mastery</x:v>
      </x:c>
      <x:c r="K2278" s="14" t="str">
        <x:v>Kaynak Tamamlama / Zayıf Konu</x:v>
      </x:c>
      <x:c r="L2278" s="14" t="str">
        <x:v>13 Nisan %100 tamamlama hedefine göre en geride kalan Matematik soru kaynağını/eksik MEB setini ilerlet; açık yanlışları kapat.</x:v>
      </x:c>
      <x:c r="M2278" s="14" t="str">
        <x:v>MUBA 8. Sınıf Başlangıç Matematik (ISBN 9789756526972) → tamamlandıysa Mozaik 8. Sınıf Matematik; açık MEB/yanlışlar</x:v>
      </x:c>
      <x:c r="N2278" s="14" t="str">
        <x:v>https://odsgm.meb.gov.tr/www/8sinif-calisma-sorulari/icerik/1632</x:v>
      </x:c>
      <x:c r="O2278" s="14" t="n">
        <x:v>30</x:v>
      </x:c>
      <x:c r="P2278" s="14" t="str">
        <x:v>İlk 20 soru</x:v>
      </x:c>
      <x:c r="Q2278" s="14" t="str">
        <x:v>Evet</x:v>
      </x:c>
      <x:c r="R2278" s="14" t="str">
        <x:v>Planlandı</x:v>
      </x:c>
      <x:c r="S2278" s="15" t="str"/>
      <x:c r="T2278" s="14" t="str">
        <x:v>Ayrı/rastgele matematik benchmark yoktur. Süreli ilk 20 soru o gün çalışılan konunun içindedir.</x:v>
      </x:c>
    </x:row>
    <x:row r="2279">
      <x:c r="A2279" s="14" t="n">
        <x:v>2278</x:v>
      </x:c>
      <x:c r="B2279" s="15" t="n">
        <x:v>46479</x:v>
      </x:c>
      <x:c r="C2279" s="14" t="str">
        <x:v>Cuma</x:v>
      </x:c>
      <x:c r="D2279" s="14" t="str">
        <x:v>Okul Günü</x:v>
      </x:c>
      <x:c r="E2279" s="14" t="str">
        <x:v>16:00 sonrası</x:v>
      </x:c>
      <x:c r="F2279" s="14" t="str">
        <x:v>F3 - Kaynak/MEB Tamamlama</x:v>
      </x:c>
      <x:c r="G2279" s="14" t="str">
        <x:v>17:55</x:v>
      </x:c>
      <x:c r="H2279" s="14" t="str">
        <x:v>18:25</x:v>
      </x:c>
      <x:c r="I2279" s="14" t="str">
        <x:v>Genel</x:v>
      </x:c>
      <x:c r="J2279" s="14" t="str">
        <x:v>Yemek / Serbest Zaman</x:v>
      </x:c>
      <x:c r="K2279" s="14" t="str"/>
      <x:c r="L2279" s="14" t="str">
        <x:v>Yemek, hareket ve dinlenme.</x:v>
      </x:c>
      <x:c r="M2279" s="14" t="str"/>
      <x:c r="N2279" s="14" t="str"/>
      <x:c r="O2279" s="14" t="n">
        <x:v>0</x:v>
      </x:c>
      <x:c r="P2279" s="14" t="str">
        <x:v>Hayır</x:v>
      </x:c>
      <x:c r="Q2279" s="14" t="str">
        <x:v>Hayır</x:v>
      </x:c>
      <x:c r="R2279" s="14" t="str">
        <x:v>Planlandı</x:v>
      </x:c>
      <x:c r="S2279" s="15" t="str"/>
      <x:c r="T2279" s="14" t="str"/>
    </x:row>
    <x:row r="2280">
      <x:c r="A2280" s="14" t="n">
        <x:v>2279</x:v>
      </x:c>
      <x:c r="B2280" s="15" t="n">
        <x:v>46479</x:v>
      </x:c>
      <x:c r="C2280" s="14" t="str">
        <x:v>Cuma</x:v>
      </x:c>
      <x:c r="D2280" s="14" t="str">
        <x:v>Okul Günü</x:v>
      </x:c>
      <x:c r="E2280" s="14" t="str">
        <x:v>16:00 sonrası</x:v>
      </x:c>
      <x:c r="F2280" s="14" t="str">
        <x:v>F3 - Kaynak/MEB Tamamlama</x:v>
      </x:c>
      <x:c r="G2280" s="14" t="str">
        <x:v>18:25</x:v>
      </x:c>
      <x:c r="H2280" s="14" t="str">
        <x:v>18:55</x:v>
      </x:c>
      <x:c r="I2280" s="14" t="str">
        <x:v>Türkçe</x:v>
      </x:c>
      <x:c r="J2280" s="14" t="str">
        <x:v>Paragraf Rutini</x:v>
      </x:c>
      <x:c r="K2280" s="14" t="str">
        <x:v>Paragraf</x:v>
      </x:c>
      <x:c r="L2280" s="14" t="str">
        <x:v>En az 30 paragraf sorusu çöz; ilk 20 soruyu ileri sayımla ölç, D/Y/B + süre kaydet.</x:v>
      </x:c>
      <x:c r="M2280" s="14" t="str">
        <x:v>Hız 8. Sınıf Türkçe Paragraf (ISBN 9786258394498)</x:v>
      </x:c>
      <x:c r="N2280" s="14" t="str"/>
      <x:c r="O2280" s="14" t="n">
        <x:v>30</x:v>
      </x:c>
      <x:c r="P2280" s="14" t="str">
        <x:v>İlk 20 soru</x:v>
      </x:c>
      <x:c r="Q2280" s="14" t="str">
        <x:v>Evet</x:v>
      </x:c>
      <x:c r="R2280" s="14" t="str">
        <x:v>Planlandı</x:v>
      </x:c>
      <x:c r="S2280" s="15" t="str"/>
      <x:c r="T2280" s="14" t="str">
        <x:v>Geri sayım ve hedef süre yok.</x:v>
      </x:c>
    </x:row>
    <x:row r="2281">
      <x:c r="A2281" s="14" t="n">
        <x:v>2280</x:v>
      </x:c>
      <x:c r="B2281" s="15" t="n">
        <x:v>46479</x:v>
      </x:c>
      <x:c r="C2281" s="14" t="str">
        <x:v>Cuma</x:v>
      </x:c>
      <x:c r="D2281" s="14" t="str">
        <x:v>Okul Günü</x:v>
      </x:c>
      <x:c r="E2281" s="14" t="str">
        <x:v>16:00 sonrası</x:v>
      </x:c>
      <x:c r="F2281" s="14" t="str">
        <x:v>F3 - Kaynak/MEB Tamamlama</x:v>
      </x:c>
      <x:c r="G2281" s="14" t="str">
        <x:v>19:00</x:v>
      </x:c>
      <x:c r="H2281" s="14" t="str">
        <x:v>19:35</x:v>
      </x:c>
      <x:c r="I2281" s="14" t="str">
        <x:v>Türkçe</x:v>
      </x:c>
      <x:c r="J2281" s="14" t="str">
        <x:v>Konu / Tekrar</x:v>
      </x:c>
      <x:c r="K2281" s="14" t="str">
        <x:v>Kaynak Tamamlama / Zayıf Konu</x:v>
      </x:c>
      <x:c r="L2281" s="14" t="str">
        <x:v>Yeni konu açma. En zayıf/açık konunun ilgili playlist videosunu yalnız gerekiyorsa tekrar izle.</x:v>
      </x:c>
      <x:c r="M2281" s="14" t="str">
        <x:v>Türkçe Ana Oynatma Listesi</x:v>
      </x:c>
      <x:c r="N2281" s="14" t="str">
        <x:v>https://www.youtube.com/watch?v=VYsPntNKVdw&amp;list=PLIBjFaUoJJ91bz7QQEBlxNJNZka5YQRr6</x:v>
      </x:c>
      <x:c r="O2281" s="14" t="n">
        <x:v>0</x:v>
      </x:c>
      <x:c r="P2281" s="14" t="str">
        <x:v>Hayır</x:v>
      </x:c>
      <x:c r="Q2281" s="14" t="str">
        <x:v>Evet</x:v>
      </x:c>
      <x:c r="R2281" s="14" t="str">
        <x:v>Planlandı</x:v>
      </x:c>
      <x:c r="S2281" s="15" t="str"/>
      <x:c r="T2281" s="14" t="str">
        <x:v>TYT etiketli kaynak temelden başlamak için sabittir; LGS dışı gereksiz ayrıntı zorunlu değildir.</x:v>
      </x:c>
    </x:row>
    <x:row r="2282">
      <x:c r="A2282" s="14" t="n">
        <x:v>2281</x:v>
      </x:c>
      <x:c r="B2282" s="15" t="n">
        <x:v>46479</x:v>
      </x:c>
      <x:c r="C2282" s="14" t="str">
        <x:v>Cuma</x:v>
      </x:c>
      <x:c r="D2282" s="14" t="str">
        <x:v>Okul Günü</x:v>
      </x:c>
      <x:c r="E2282" s="14" t="str">
        <x:v>16:00 sonrası</x:v>
      </x:c>
      <x:c r="F2282" s="14" t="str">
        <x:v>F3 - Kaynak/MEB Tamamlama</x:v>
      </x:c>
      <x:c r="G2282" s="14" t="str">
        <x:v>19:40</x:v>
      </x:c>
      <x:c r="H2282" s="14" t="str">
        <x:v>20:10</x:v>
      </x:c>
      <x:c r="I2282" s="14" t="str">
        <x:v>Türkçe</x:v>
      </x:c>
      <x:c r="J2282" s="14" t="str">
        <x:v>Kitap / MEB / Mastery</x:v>
      </x:c>
      <x:c r="K2282" s="14" t="str">
        <x:v>Kaynak Tamamlama / Zayıf Konu</x:v>
      </x:c>
      <x:c r="L2282" s="14" t="str">
        <x:v>13 Nisan %100 tamamlama hedefine göre en geride kalan Türkçe soru kaynağını/eksik MEB setini ilerlet; açık yanlışları kapat.</x:v>
      </x:c>
      <x:c r="M2282" s="14" t="str">
        <x:v>Ankara 8. Sınıf Dil Bilgisi Güçlendiren + açık MEB/yanlışlar</x:v>
      </x:c>
      <x:c r="N2282" s="14" t="str">
        <x:v>https://odsgm.meb.gov.tr/www/8sinif-calisma-sorulari/icerik/1632</x:v>
      </x:c>
      <x:c r="O2282" s="14" t="n">
        <x:v>20</x:v>
      </x:c>
      <x:c r="P2282" s="14" t="str">
        <x:v>Hayır</x:v>
      </x:c>
      <x:c r="Q2282" s="14" t="str">
        <x:v>Evet</x:v>
      </x:c>
      <x:c r="R2282" s="14" t="str">
        <x:v>Planlandı</x:v>
      </x:c>
      <x:c r="S2282" s="15" t="str"/>
      <x:c r="T2282" s="14" t="str"/>
    </x:row>
    <x:row r="2283">
      <x:c r="A2283" s="14" t="n">
        <x:v>2282</x:v>
      </x:c>
      <x:c r="B2283" s="15" t="n">
        <x:v>46479</x:v>
      </x:c>
      <x:c r="C2283" s="14" t="str">
        <x:v>Cuma</x:v>
      </x:c>
      <x:c r="D2283" s="14" t="str">
        <x:v>Okul Günü</x:v>
      </x:c>
      <x:c r="E2283" s="14" t="str">
        <x:v>16:00 sonrası</x:v>
      </x:c>
      <x:c r="F2283" s="14" t="str">
        <x:v>F3 - Kaynak/MEB Tamamlama</x:v>
      </x:c>
      <x:c r="G2283" s="14" t="str">
        <x:v>20:15</x:v>
      </x:c>
      <x:c r="H2283" s="14" t="str">
        <x:v>20:50</x:v>
      </x:c>
      <x:c r="I2283" s="14" t="str">
        <x:v>İngilizce</x:v>
      </x:c>
      <x:c r="J2283" s="14" t="str">
        <x:v>Konu / Tekrar</x:v>
      </x:c>
      <x:c r="K2283" s="14" t="str">
        <x:v>Kaynak Tamamlama / Zayıf Konu</x:v>
      </x:c>
      <x:c r="L2283" s="14" t="str">
        <x:v>Yeni konu açma. En zayıf/açık konunun ilgili playlist videosunu yalnız gerekiyorsa tekrar izle.</x:v>
      </x:c>
      <x:c r="M2283" s="14" t="str">
        <x:v>İngilizce Genel Oynatma Listesi</x:v>
      </x:c>
      <x:c r="N2283" s="14" t="str">
        <x:v>https://www.youtube.com/watch?v=FaY3dFjZbns&amp;list=PLSgpQDrUSYp94WgE9pzpHiOG5FwxnZBrr</x:v>
      </x:c>
      <x:c r="O2283" s="14" t="n">
        <x:v>0</x:v>
      </x:c>
      <x:c r="P2283" s="14" t="str">
        <x:v>Hayır</x:v>
      </x:c>
      <x:c r="Q2283" s="14" t="str">
        <x:v>Evet</x:v>
      </x:c>
      <x:c r="R2283" s="14" t="str">
        <x:v>Planlandı</x:v>
      </x:c>
      <x:c r="S2283" s="15" t="str"/>
      <x:c r="T2283" s="14" t="str"/>
    </x:row>
    <x:row r="2284">
      <x:c r="A2284" s="14" t="n">
        <x:v>2283</x:v>
      </x:c>
      <x:c r="B2284" s="15" t="n">
        <x:v>46479</x:v>
      </x:c>
      <x:c r="C2284" s="14" t="str">
        <x:v>Cuma</x:v>
      </x:c>
      <x:c r="D2284" s="14" t="str">
        <x:v>Okul Günü</x:v>
      </x:c>
      <x:c r="E2284" s="14" t="str">
        <x:v>16:00 sonrası</x:v>
      </x:c>
      <x:c r="F2284" s="14" t="str">
        <x:v>F3 - Kaynak/MEB Tamamlama</x:v>
      </x:c>
      <x:c r="G2284" s="14" t="str">
        <x:v>20:55</x:v>
      </x:c>
      <x:c r="H2284" s="14" t="str">
        <x:v>21:20</x:v>
      </x:c>
      <x:c r="I2284" s="14" t="str">
        <x:v>İngilizce</x:v>
      </x:c>
      <x:c r="J2284" s="14" t="str">
        <x:v>Kitap / MEB / Mastery</x:v>
      </x:c>
      <x:c r="K2284" s="14" t="str">
        <x:v>Kaynak Tamamlama / Zayıf Konu</x:v>
      </x:c>
      <x:c r="L2284" s="14" t="str">
        <x:v>13 Nisan %100 tamamlama hedefine göre en geride kalan İngilizce soru kaynağını/eksik MEB setini ilerlet; açık yanlışları kapat.</x:v>
      </x:c>
      <x:c r="M2284" s="14" t="str">
        <x:v>More &amp; More 8 Worksheets Notebook + açık MEB/yanlışlar</x:v>
      </x:c>
      <x:c r="N2284" s="14" t="str">
        <x:v>https://odsgm.meb.gov.tr/www/8sinif-calisma-sorulari/icerik/1632</x:v>
      </x:c>
      <x:c r="O2284" s="14" t="n">
        <x:v>20</x:v>
      </x:c>
      <x:c r="P2284" s="14" t="str">
        <x:v>Hayır</x:v>
      </x:c>
      <x:c r="Q2284" s="14" t="str">
        <x:v>Evet</x:v>
      </x:c>
      <x:c r="R2284" s="14" t="str">
        <x:v>Planlandı</x:v>
      </x:c>
      <x:c r="S2284" s="15" t="str"/>
      <x:c r="T2284" s="14" t="str"/>
    </x:row>
    <x:row r="2285">
      <x:c r="A2285" s="14" t="n">
        <x:v>2284</x:v>
      </x:c>
      <x:c r="B2285" s="15" t="n">
        <x:v>46479</x:v>
      </x:c>
      <x:c r="C2285" s="14" t="str">
        <x:v>Cuma</x:v>
      </x:c>
      <x:c r="D2285" s="14" t="str">
        <x:v>Okul Günü</x:v>
      </x:c>
      <x:c r="E2285" s="14" t="str">
        <x:v>16:00 sonrası</x:v>
      </x:c>
      <x:c r="F2285" s="14" t="str">
        <x:v>F3 - Kaynak/MEB Tamamlama</x:v>
      </x:c>
      <x:c r="G2285" s="14" t="str">
        <x:v>21:20</x:v>
      </x:c>
      <x:c r="H2285" s="14" t="str">
        <x:v>21:35</x:v>
      </x:c>
      <x:c r="I2285" s="14" t="str">
        <x:v>Genel</x:v>
      </x:c>
      <x:c r="J2285" s="14" t="str">
        <x:v>Yanlış / Boş Analizi</x:v>
      </x:c>
      <x:c r="K2285" s="14" t="str">
        <x:v>Günlük</x:v>
      </x:c>
      <x:c r="L2285" s="14" t="str">
        <x:v>Bugünkü yanlış/boşları kaydet; çözümünü öğrenmeden kapatma. Hata türünü sınıflandır.</x:v>
      </x:c>
      <x:c r="M2285" s="14" t="str">
        <x:v>Yanlış Defteri</x:v>
      </x:c>
      <x:c r="N2285" s="14" t="str"/>
      <x:c r="O2285" s="14" t="n">
        <x:v>0</x:v>
      </x:c>
      <x:c r="P2285" s="14" t="str">
        <x:v>Hayır</x:v>
      </x:c>
      <x:c r="Q2285" s="14" t="str">
        <x:v>Evet</x:v>
      </x:c>
      <x:c r="R2285" s="14" t="str">
        <x:v>Planlandı</x:v>
      </x:c>
      <x:c r="S2285" s="15" t="str"/>
      <x:c r="T2285" s="14" t="str"/>
    </x:row>
    <x:row r="2286">
      <x:c r="A2286" s="14" t="n">
        <x:v>2285</x:v>
      </x:c>
      <x:c r="B2286" s="15" t="n">
        <x:v>46479</x:v>
      </x:c>
      <x:c r="C2286" s="14" t="str">
        <x:v>Cuma</x:v>
      </x:c>
      <x:c r="D2286" s="14" t="str">
        <x:v>Okul Günü</x:v>
      </x:c>
      <x:c r="E2286" s="14" t="str">
        <x:v>16:00 sonrası</x:v>
      </x:c>
      <x:c r="F2286" s="14" t="str">
        <x:v>F3 - Kaynak/MEB Tamamlama</x:v>
      </x:c>
      <x:c r="G2286" s="14" t="str">
        <x:v>21:35</x:v>
      </x:c>
      <x:c r="H2286" s="14" t="str">
        <x:v>21:50</x:v>
      </x:c>
      <x:c r="I2286" s="14" t="str">
        <x:v>Genel</x:v>
      </x:c>
      <x:c r="J2286" s="14" t="str">
        <x:v>Aralıklı Hata Tekrarı</x:v>
      </x:c>
      <x:c r="K2286" s="14" t="str">
        <x:v>+1 / +7 / +21</x:v>
      </x:c>
      <x:c r="L2286" s="14" t="str">
        <x:v>Bugün vadesi gelen yanlış soruları tekrar çöz. Vadesi yoksa bu süre serbest/okuma olabilir.</x:v>
      </x:c>
      <x:c r="M2286" s="14" t="str">
        <x:v>Yanlış Defteri</x:v>
      </x:c>
      <x:c r="N2286" s="14" t="str"/>
      <x:c r="O2286" s="14" t="n">
        <x:v>0</x:v>
      </x:c>
      <x:c r="P2286" s="14" t="str">
        <x:v>Hayır</x:v>
      </x:c>
      <x:c r="Q2286" s="14" t="str">
        <x:v>Koşullu</x:v>
      </x:c>
      <x:c r="R2286" s="14" t="str">
        <x:v>Planlandı</x:v>
      </x:c>
      <x:c r="S2286" s="15" t="str"/>
      <x:c r="T2286" s="14" t="str">
        <x:v>Yanlışlar +1, +7 ve +21 gün aralıklarıyla tekrar edilir; hâlâ yanlışsa konu mastery durumu düşürülür.</x:v>
      </x:c>
    </x:row>
    <x:row r="2287">
      <x:c r="A2287" s="14" t="n">
        <x:v>2286</x:v>
      </x:c>
      <x:c r="B2287" s="15" t="n">
        <x:v>46479</x:v>
      </x:c>
      <x:c r="C2287" s="14" t="str">
        <x:v>Cuma</x:v>
      </x:c>
      <x:c r="D2287" s="14" t="str">
        <x:v>Okul Günü</x:v>
      </x:c>
      <x:c r="E2287" s="14" t="str">
        <x:v>16:00 sonrası</x:v>
      </x:c>
      <x:c r="F2287" s="14" t="str">
        <x:v>F3 - Kaynak/MEB Tamamlama</x:v>
      </x:c>
      <x:c r="G2287" s="14" t="str">
        <x:v>21:50</x:v>
      </x:c>
      <x:c r="H2287" s="14" t="str">
        <x:v>22:00</x:v>
      </x:c>
      <x:c r="I2287" s="14" t="str">
        <x:v>Genel</x:v>
      </x:c>
      <x:c r="J2287" s="14" t="str">
        <x:v>Uyku Hazırlığı</x:v>
      </x:c>
      <x:c r="K2287" s="14" t="str"/>
      <x:c r="L2287" s="14" t="str">
        <x:v>22:00'de yatakta ve uyku.</x:v>
      </x:c>
      <x:c r="M2287" s="14" t="str"/>
      <x:c r="N2287" s="14" t="str"/>
      <x:c r="O2287" s="14" t="n">
        <x:v>0</x:v>
      </x:c>
      <x:c r="P2287" s="14" t="str">
        <x:v>Hayır</x:v>
      </x:c>
      <x:c r="Q2287" s="14" t="str">
        <x:v>Hayır</x:v>
      </x:c>
      <x:c r="R2287" s="14" t="str">
        <x:v>Planlandı</x:v>
      </x:c>
      <x:c r="S2287" s="15" t="str"/>
      <x:c r="T2287" s="14" t="str"/>
    </x:row>
    <x:row r="2288">
      <x:c r="A2288" s="14" t="n">
        <x:v>2287</x:v>
      </x:c>
      <x:c r="B2288" s="15" t="n">
        <x:v>46480</x:v>
      </x:c>
      <x:c r="C2288" s="14" t="str">
        <x:v>Cumartesi</x:v>
      </x:c>
      <x:c r="D2288" s="14" t="str">
        <x:v>Hafta Sonu</x:v>
      </x:c>
      <x:c r="E2288" s="14" t="str">
        <x:v>Tam gün</x:v>
      </x:c>
      <x:c r="F2288" s="14" t="str">
        <x:v>F3 - Kaynak/MEB Tamamlama</x:v>
      </x:c>
      <x:c r="G2288" s="14" t="str">
        <x:v>09:30</x:v>
      </x:c>
      <x:c r="H2288" s="14" t="str">
        <x:v>10:15</x:v>
      </x:c>
      <x:c r="I2288" s="14" t="str">
        <x:v>Matematik</x:v>
      </x:c>
      <x:c r="J2288" s="14" t="str">
        <x:v>Konu / Tekrar</x:v>
      </x:c>
      <x:c r="K2288" s="14" t="str">
        <x:v>Kaynak Tamamlama / Zayıf Konu</x:v>
      </x:c>
      <x:c r="L2288" s="14" t="str">
        <x:v>Yeni konu açma. En zayıf/açık konunun ilgili playlist videosunu yalnız gerekiyorsa tekrar izle.</x:v>
      </x:c>
      <x:c r="M2288" s="14" t="str">
        <x:v>Matematik Ana Oynatma Listesi</x:v>
      </x:c>
      <x:c r="N2288" s="14" t="str">
        <x:v>https://www.youtube.com/watch?v=EuJ89QzqrAg&amp;list=PLicNtF7vp6fnfDqrRLH6H7fIbzYT4ct4F&amp;index=11</x:v>
      </x:c>
      <x:c r="O2288" s="14" t="n">
        <x:v>0</x:v>
      </x:c>
      <x:c r="P2288" s="14" t="str">
        <x:v>Hayır</x:v>
      </x:c>
      <x:c r="Q2288" s="14" t="str">
        <x:v>Evet</x:v>
      </x:c>
      <x:c r="R2288" s="14" t="str">
        <x:v>Planlandı</x:v>
      </x:c>
      <x:c r="S2288" s="15" t="str"/>
      <x:c r="T2288" s="14" t="str">
        <x:v>Yeni konu ancak plan sırasıyla açılır; LGS dışı ileri TYT içeriği zorunlu değildir.</x:v>
      </x:c>
    </x:row>
    <x:row r="2289">
      <x:c r="A2289" s="14" t="n">
        <x:v>2288</x:v>
      </x:c>
      <x:c r="B2289" s="15" t="n">
        <x:v>46480</x:v>
      </x:c>
      <x:c r="C2289" s="14" t="str">
        <x:v>Cumartesi</x:v>
      </x:c>
      <x:c r="D2289" s="14" t="str">
        <x:v>Hafta Sonu</x:v>
      </x:c>
      <x:c r="E2289" s="14" t="str">
        <x:v>Tam gün</x:v>
      </x:c>
      <x:c r="F2289" s="14" t="str">
        <x:v>F3 - Kaynak/MEB Tamamlama</x:v>
      </x:c>
      <x:c r="G2289" s="14" t="str">
        <x:v>10:25</x:v>
      </x:c>
      <x:c r="H2289" s="14" t="str">
        <x:v>11:15</x:v>
      </x:c>
      <x:c r="I2289" s="14" t="str">
        <x:v>Matematik</x:v>
      </x:c>
      <x:c r="J2289" s="14" t="str">
        <x:v>Kitap / MEB / Mastery</x:v>
      </x:c>
      <x:c r="K2289" s="14" t="str">
        <x:v>Kaynak Tamamlama / Zayıf Konu</x:v>
      </x:c>
      <x:c r="L2289" s="14" t="str">
        <x:v>13 Nisan %100 tamamlama hedefine göre en geride kalan Matematik soru kaynağını/eksik MEB setini ilerlet; açık yanlışları kapat.</x:v>
      </x:c>
      <x:c r="M2289" s="14" t="str">
        <x:v>MUBA 8. Sınıf Başlangıç Matematik (ISBN 9789756526972) → tamamlandıysa Mozaik 8. Sınıf Matematik; açık MEB/yanlışlar</x:v>
      </x:c>
      <x:c r="N2289" s="14" t="str">
        <x:v>https://odsgm.meb.gov.tr/www/8sinif-calisma-sorulari/icerik/1632</x:v>
      </x:c>
      <x:c r="O2289" s="14" t="n">
        <x:v>30</x:v>
      </x:c>
      <x:c r="P2289" s="14" t="str">
        <x:v>İlk 20 soru</x:v>
      </x:c>
      <x:c r="Q2289" s="14" t="str">
        <x:v>Evet</x:v>
      </x:c>
      <x:c r="R2289" s="14" t="str">
        <x:v>Planlandı</x:v>
      </x:c>
      <x:c r="S2289" s="15" t="str"/>
      <x:c r="T2289" s="14" t="str">
        <x:v>Ayrı/rastgele matematik benchmark yoktur. Süreli ilk 20 soru o gün çalışılan konunun içindedir.</x:v>
      </x:c>
    </x:row>
    <x:row r="2290">
      <x:c r="A2290" s="14" t="n">
        <x:v>2289</x:v>
      </x:c>
      <x:c r="B2290" s="15" t="n">
        <x:v>46480</x:v>
      </x:c>
      <x:c r="C2290" s="14" t="str">
        <x:v>Cumartesi</x:v>
      </x:c>
      <x:c r="D2290" s="14" t="str">
        <x:v>Hafta Sonu</x:v>
      </x:c>
      <x:c r="E2290" s="14" t="str">
        <x:v>Tam gün</x:v>
      </x:c>
      <x:c r="F2290" s="14" t="str">
        <x:v>F3 - Kaynak/MEB Tamamlama</x:v>
      </x:c>
      <x:c r="G2290" s="14" t="str">
        <x:v>12:00</x:v>
      </x:c>
      <x:c r="H2290" s="14" t="str">
        <x:v>14:00</x:v>
      </x:c>
      <x:c r="I2290" s="14" t="str">
        <x:v>Genel</x:v>
      </x:c>
      <x:c r="J2290" s="14" t="str">
        <x:v>Yemek / Serbest Zaman</x:v>
      </x:c>
      <x:c r="K2290" s="14" t="str"/>
      <x:c r="L2290" s="14" t="str">
        <x:v>Yemek, hareket ve dinlenme.</x:v>
      </x:c>
      <x:c r="M2290" s="14" t="str"/>
      <x:c r="N2290" s="14" t="str"/>
      <x:c r="O2290" s="14" t="n">
        <x:v>0</x:v>
      </x:c>
      <x:c r="P2290" s="14" t="str">
        <x:v>Hayır</x:v>
      </x:c>
      <x:c r="Q2290" s="14" t="str">
        <x:v>Hayır</x:v>
      </x:c>
      <x:c r="R2290" s="14" t="str">
        <x:v>Planlandı</x:v>
      </x:c>
      <x:c r="S2290" s="15" t="str"/>
      <x:c r="T2290" s="14" t="str"/>
    </x:row>
    <x:row r="2291">
      <x:c r="A2291" s="14" t="n">
        <x:v>2290</x:v>
      </x:c>
      <x:c r="B2291" s="15" t="n">
        <x:v>46480</x:v>
      </x:c>
      <x:c r="C2291" s="14" t="str">
        <x:v>Cumartesi</x:v>
      </x:c>
      <x:c r="D2291" s="14" t="str">
        <x:v>Hafta Sonu</x:v>
      </x:c>
      <x:c r="E2291" s="14" t="str">
        <x:v>Tam gün</x:v>
      </x:c>
      <x:c r="F2291" s="14" t="str">
        <x:v>F3 - Kaynak/MEB Tamamlama</x:v>
      </x:c>
      <x:c r="G2291" s="14" t="str">
        <x:v>11:25</x:v>
      </x:c>
      <x:c r="H2291" s="14" t="str">
        <x:v>11:55</x:v>
      </x:c>
      <x:c r="I2291" s="14" t="str">
        <x:v>Türkçe</x:v>
      </x:c>
      <x:c r="J2291" s="14" t="str">
        <x:v>Paragraf Rutini</x:v>
      </x:c>
      <x:c r="K2291" s="14" t="str">
        <x:v>Paragraf</x:v>
      </x:c>
      <x:c r="L2291" s="14" t="str">
        <x:v>En az 30 paragraf sorusu çöz; ilk 20 soruyu ileri sayımla ölç, D/Y/B + süre kaydet.</x:v>
      </x:c>
      <x:c r="M2291" s="14" t="str">
        <x:v>Hız 8. Sınıf Türkçe Paragraf (ISBN 9786258394498)</x:v>
      </x:c>
      <x:c r="N2291" s="14" t="str"/>
      <x:c r="O2291" s="14" t="n">
        <x:v>30</x:v>
      </x:c>
      <x:c r="P2291" s="14" t="str">
        <x:v>İlk 20 soru</x:v>
      </x:c>
      <x:c r="Q2291" s="14" t="str">
        <x:v>Evet</x:v>
      </x:c>
      <x:c r="R2291" s="14" t="str">
        <x:v>Planlandı</x:v>
      </x:c>
      <x:c r="S2291" s="15" t="str"/>
      <x:c r="T2291" s="14" t="str">
        <x:v>Geri sayım ve hedef süre yok.</x:v>
      </x:c>
    </x:row>
    <x:row r="2292">
      <x:c r="A2292" s="14" t="n">
        <x:v>2291</x:v>
      </x:c>
      <x:c r="B2292" s="15" t="n">
        <x:v>46480</x:v>
      </x:c>
      <x:c r="C2292" s="14" t="str">
        <x:v>Cumartesi</x:v>
      </x:c>
      <x:c r="D2292" s="14" t="str">
        <x:v>Hafta Sonu</x:v>
      </x:c>
      <x:c r="E2292" s="14" t="str">
        <x:v>Tam gün</x:v>
      </x:c>
      <x:c r="F2292" s="14" t="str">
        <x:v>F3 - Kaynak/MEB Tamamlama</x:v>
      </x:c>
      <x:c r="G2292" s="14" t="str">
        <x:v>14:00</x:v>
      </x:c>
      <x:c r="H2292" s="14" t="str">
        <x:v>14:40</x:v>
      </x:c>
      <x:c r="I2292" s="14" t="str">
        <x:v>Türkçe</x:v>
      </x:c>
      <x:c r="J2292" s="14" t="str">
        <x:v>Konu / Tekrar</x:v>
      </x:c>
      <x:c r="K2292" s="14" t="str">
        <x:v>Kaynak Tamamlama / Zayıf Konu</x:v>
      </x:c>
      <x:c r="L2292" s="14" t="str">
        <x:v>Yeni konu açma. En zayıf/açık konunun ilgili playlist videosunu yalnız gerekiyorsa tekrar izle.</x:v>
      </x:c>
      <x:c r="M2292" s="14" t="str">
        <x:v>Türkçe Ana Oynatma Listesi</x:v>
      </x:c>
      <x:c r="N2292" s="14" t="str">
        <x:v>https://www.youtube.com/watch?v=VYsPntNKVdw&amp;list=PLIBjFaUoJJ91bz7QQEBlxNJNZka5YQRr6</x:v>
      </x:c>
      <x:c r="O2292" s="14" t="n">
        <x:v>0</x:v>
      </x:c>
      <x:c r="P2292" s="14" t="str">
        <x:v>Hayır</x:v>
      </x:c>
      <x:c r="Q2292" s="14" t="str">
        <x:v>Evet</x:v>
      </x:c>
      <x:c r="R2292" s="14" t="str">
        <x:v>Planlandı</x:v>
      </x:c>
      <x:c r="S2292" s="15" t="str"/>
      <x:c r="T2292" s="14" t="str">
        <x:v>TYT etiketli kaynak temelden başlamak için sabittir; LGS dışı gereksiz ayrıntı zorunlu değildir.</x:v>
      </x:c>
    </x:row>
    <x:row r="2293">
      <x:c r="A2293" s="14" t="n">
        <x:v>2292</x:v>
      </x:c>
      <x:c r="B2293" s="15" t="n">
        <x:v>46480</x:v>
      </x:c>
      <x:c r="C2293" s="14" t="str">
        <x:v>Cumartesi</x:v>
      </x:c>
      <x:c r="D2293" s="14" t="str">
        <x:v>Hafta Sonu</x:v>
      </x:c>
      <x:c r="E2293" s="14" t="str">
        <x:v>Tam gün</x:v>
      </x:c>
      <x:c r="F2293" s="14" t="str">
        <x:v>F3 - Kaynak/MEB Tamamlama</x:v>
      </x:c>
      <x:c r="G2293" s="14" t="str">
        <x:v>14:50</x:v>
      </x:c>
      <x:c r="H2293" s="14" t="str">
        <x:v>15:30</x:v>
      </x:c>
      <x:c r="I2293" s="14" t="str">
        <x:v>Türkçe</x:v>
      </x:c>
      <x:c r="J2293" s="14" t="str">
        <x:v>Kitap / MEB / Mastery</x:v>
      </x:c>
      <x:c r="K2293" s="14" t="str">
        <x:v>Kaynak Tamamlama / Zayıf Konu</x:v>
      </x:c>
      <x:c r="L2293" s="14" t="str">
        <x:v>13 Nisan %100 tamamlama hedefine göre en geride kalan Türkçe soru kaynağını/eksik MEB setini ilerlet; açık yanlışları kapat.</x:v>
      </x:c>
      <x:c r="M2293" s="14" t="str">
        <x:v>Ankara 8. Sınıf Dil Bilgisi Güçlendiren + açık MEB/yanlışlar</x:v>
      </x:c>
      <x:c r="N2293" s="14" t="str">
        <x:v>https://odsgm.meb.gov.tr/www/8sinif-calisma-sorulari/icerik/1632</x:v>
      </x:c>
      <x:c r="O2293" s="14" t="n">
        <x:v>20</x:v>
      </x:c>
      <x:c r="P2293" s="14" t="str">
        <x:v>Hayır</x:v>
      </x:c>
      <x:c r="Q2293" s="14" t="str">
        <x:v>Evet</x:v>
      </x:c>
      <x:c r="R2293" s="14" t="str">
        <x:v>Planlandı</x:v>
      </x:c>
      <x:c r="S2293" s="15" t="str"/>
      <x:c r="T2293" s="14" t="str"/>
    </x:row>
    <x:row r="2294">
      <x:c r="A2294" s="14" t="n">
        <x:v>2293</x:v>
      </x:c>
      <x:c r="B2294" s="15" t="n">
        <x:v>46480</x:v>
      </x:c>
      <x:c r="C2294" s="14" t="str">
        <x:v>Cumartesi</x:v>
      </x:c>
      <x:c r="D2294" s="14" t="str">
        <x:v>Hafta Sonu</x:v>
      </x:c>
      <x:c r="E2294" s="14" t="str">
        <x:v>Tam gün</x:v>
      </x:c>
      <x:c r="F2294" s="14" t="str">
        <x:v>F3 - Kaynak/MEB Tamamlama</x:v>
      </x:c>
      <x:c r="G2294" s="14" t="str">
        <x:v>15:45</x:v>
      </x:c>
      <x:c r="H2294" s="14" t="str">
        <x:v>16:25</x:v>
      </x:c>
      <x:c r="I2294" s="14" t="str">
        <x:v>Fen</x:v>
      </x:c>
      <x:c r="J2294" s="14" t="str">
        <x:v>Konu / Tekrar</x:v>
      </x:c>
      <x:c r="K2294" s="14" t="str">
        <x:v>Kaynak Tamamlama / Zayıf Konu</x:v>
      </x:c>
      <x:c r="L2294" s="14" t="str">
        <x:v>Yeni konu açma. En zayıf/açık konunun ilgili playlist videosunu yalnız gerekiyorsa tekrar izle.</x:v>
      </x:c>
      <x:c r="M2294" s="14" t="str">
        <x:v>Fen Soru Çözüm / Tekrar</x:v>
      </x:c>
      <x:c r="N2294" s="14" t="str">
        <x:v>https://www.youtube.com/watch?v=pQXhWnDZ3vM&amp;list=PLrQm7mt99FRXcBnorCttd31HJEvg0En26&amp;index=23</x:v>
      </x:c>
      <x:c r="O2294" s="14" t="n">
        <x:v>0</x:v>
      </x:c>
      <x:c r="P2294" s="14" t="str">
        <x:v>Hayır</x:v>
      </x:c>
      <x:c r="Q2294" s="14" t="str">
        <x:v>Evet</x:v>
      </x:c>
      <x:c r="R2294" s="14" t="str">
        <x:v>Planlandı</x:v>
      </x:c>
      <x:c r="S2294" s="15" t="str"/>
      <x:c r="T2294" s="14" t="str"/>
    </x:row>
    <x:row r="2295">
      <x:c r="A2295" s="14" t="n">
        <x:v>2294</x:v>
      </x:c>
      <x:c r="B2295" s="15" t="n">
        <x:v>46480</x:v>
      </x:c>
      <x:c r="C2295" s="14" t="str">
        <x:v>Cumartesi</x:v>
      </x:c>
      <x:c r="D2295" s="14" t="str">
        <x:v>Hafta Sonu</x:v>
      </x:c>
      <x:c r="E2295" s="14" t="str">
        <x:v>Tam gün</x:v>
      </x:c>
      <x:c r="F2295" s="14" t="str">
        <x:v>F3 - Kaynak/MEB Tamamlama</x:v>
      </x:c>
      <x:c r="G2295" s="14" t="str">
        <x:v>16:35</x:v>
      </x:c>
      <x:c r="H2295" s="14" t="str">
        <x:v>17:15</x:v>
      </x:c>
      <x:c r="I2295" s="14" t="str">
        <x:v>Fen</x:v>
      </x:c>
      <x:c r="J2295" s="14" t="str">
        <x:v>Kitap / MEB / Mastery</x:v>
      </x:c>
      <x:c r="K2295" s="14" t="str">
        <x:v>Kaynak Tamamlama / Zayıf Konu</x:v>
      </x:c>
      <x:c r="L2295" s="14" t="str">
        <x:v>13 Nisan %100 tamamlama hedefine göre en geride kalan Fen soru kaynağını/eksik MEB setini ilerlet; açık yanlışları kapat.</x:v>
      </x:c>
      <x:c r="M2295" s="14" t="str">
        <x:v>Hız 8. Sınıf Fen (ISBN 9786257514859); tamamlandıysa Mozaik 8. Sınıf Fen + açık MEB/yanlışlar</x:v>
      </x:c>
      <x:c r="N2295" s="14" t="str">
        <x:v>https://odsgm.meb.gov.tr/www/8sinif-calisma-sorulari/icerik/1632</x:v>
      </x:c>
      <x:c r="O2295" s="14" t="n">
        <x:v>20</x:v>
      </x:c>
      <x:c r="P2295" s="14" t="str">
        <x:v>Hayır</x:v>
      </x:c>
      <x:c r="Q2295" s="14" t="str">
        <x:v>Evet</x:v>
      </x:c>
      <x:c r="R2295" s="14" t="str">
        <x:v>Planlandı</x:v>
      </x:c>
      <x:c r="S2295" s="15" t="str"/>
      <x:c r="T2295" s="14" t="str"/>
    </x:row>
    <x:row r="2296">
      <x:c r="A2296" s="14" t="n">
        <x:v>2295</x:v>
      </x:c>
      <x:c r="B2296" s="15" t="n">
        <x:v>46480</x:v>
      </x:c>
      <x:c r="C2296" s="14" t="str">
        <x:v>Cumartesi</x:v>
      </x:c>
      <x:c r="D2296" s="14" t="str">
        <x:v>Hafta Sonu</x:v>
      </x:c>
      <x:c r="E2296" s="14" t="str">
        <x:v>Tam gün</x:v>
      </x:c>
      <x:c r="F2296" s="14" t="str">
        <x:v>F3 - Kaynak/MEB Tamamlama</x:v>
      </x:c>
      <x:c r="G2296" s="14" t="str">
        <x:v>17:25</x:v>
      </x:c>
      <x:c r="H2296" s="14" t="str">
        <x:v>17:55</x:v>
      </x:c>
      <x:c r="I2296" s="14" t="str">
        <x:v>Fen</x:v>
      </x:c>
      <x:c r="J2296" s="14" t="str">
        <x:v>Ek Fen Pekiştirme</x:v>
      </x:c>
      <x:c r="K2296" s="14" t="str">
        <x:v>Kaynak Tamamlama / Zayıf Konu</x:v>
      </x:c>
      <x:c r="L2296" s="14" t="str">
        <x:v>Yeni konu açma. En zayıf/açık konunun ilgili playlist videosunu yalnız gerekiyorsa tekrar izle.</x:v>
      </x:c>
      <x:c r="M2296" s="14" t="str">
        <x:v>Fen Konu/Soru Oynatma Listesi</x:v>
      </x:c>
      <x:c r="N2296" s="14" t="str">
        <x:v>https://www.youtube.com/watch?v=pQXhWnDZ3vM&amp;list=PLrQm7mt99FRXcBnorCttd31HJEvg0En26&amp;index=23</x:v>
      </x:c>
      <x:c r="O2296" s="14" t="n">
        <x:v>0</x:v>
      </x:c>
      <x:c r="P2296" s="14" t="str">
        <x:v>Hayır</x:v>
      </x:c>
      <x:c r="Q2296" s="14" t="str">
        <x:v>Evet</x:v>
      </x:c>
      <x:c r="R2296" s="14" t="str">
        <x:v>Planlandı</x:v>
      </x:c>
      <x:c r="S2296" s="15" t="str"/>
      <x:c r="T2296" s="14" t="str">
        <x:v>Fen haftalık temas sıklığını artırmak için ek Cumartesi oturumu.</x:v>
      </x:c>
    </x:row>
    <x:row r="2297">
      <x:c r="A2297" s="14" t="n">
        <x:v>2296</x:v>
      </x:c>
      <x:c r="B2297" s="15" t="n">
        <x:v>46480</x:v>
      </x:c>
      <x:c r="C2297" s="14" t="str">
        <x:v>Cumartesi</x:v>
      </x:c>
      <x:c r="D2297" s="14" t="str">
        <x:v>Hafta Sonu</x:v>
      </x:c>
      <x:c r="E2297" s="14" t="str">
        <x:v>Tam gün</x:v>
      </x:c>
      <x:c r="F2297" s="14" t="str">
        <x:v>F3 - Kaynak/MEB Tamamlama</x:v>
      </x:c>
      <x:c r="G2297" s="14" t="str">
        <x:v>17:55</x:v>
      </x:c>
      <x:c r="H2297" s="14" t="str">
        <x:v>18:25</x:v>
      </x:c>
      <x:c r="I2297" s="14" t="str">
        <x:v>Fen</x:v>
      </x:c>
      <x:c r="J2297" s="14" t="str">
        <x:v>Ek Fen Kitap / MEB</x:v>
      </x:c>
      <x:c r="K2297" s="14" t="str">
        <x:v>Kaynak Tamamlama / Zayıf Konu</x:v>
      </x:c>
      <x:c r="L2297" s="14" t="str">
        <x:v>13 Nisan %100 tamamlama hedefine göre en geride kalan Fen soru kaynağını/eksik MEB setini ilerlet; açık yanlışları kapat.</x:v>
      </x:c>
      <x:c r="M2297" s="14" t="str">
        <x:v>Hız 8. Sınıf Fen (ISBN 9786257514859); tamamlandıysa Mozaik 8. Sınıf Fen + açık MEB/yanlışlar</x:v>
      </x:c>
      <x:c r="N2297" s="14" t="str">
        <x:v>https://odsgm.meb.gov.tr/www/8sinif-calisma-sorulari/icerik/1632</x:v>
      </x:c>
      <x:c r="O2297" s="14" t="n">
        <x:v>20</x:v>
      </x:c>
      <x:c r="P2297" s="14" t="str">
        <x:v>Hayır</x:v>
      </x:c>
      <x:c r="Q2297" s="14" t="str">
        <x:v>Evet</x:v>
      </x:c>
      <x:c r="R2297" s="14" t="str">
        <x:v>Planlandı</x:v>
      </x:c>
      <x:c r="S2297" s="15" t="str"/>
      <x:c r="T2297" s="14" t="str">
        <x:v>Fen için Hız → gerekiyorsa Mozaik; MEB doğrulaması konu bitiminde.</x:v>
      </x:c>
    </x:row>
    <x:row r="2298">
      <x:c r="A2298" s="14" t="n">
        <x:v>2297</x:v>
      </x:c>
      <x:c r="B2298" s="15" t="n">
        <x:v>46480</x:v>
      </x:c>
      <x:c r="C2298" s="14" t="str">
        <x:v>Cumartesi</x:v>
      </x:c>
      <x:c r="D2298" s="14" t="str">
        <x:v>Hafta Sonu</x:v>
      </x:c>
      <x:c r="E2298" s="14" t="str">
        <x:v>Tam gün</x:v>
      </x:c>
      <x:c r="F2298" s="14" t="str">
        <x:v>F3 - Kaynak/MEB Tamamlama</x:v>
      </x:c>
      <x:c r="G2298" s="14" t="str">
        <x:v>18:25</x:v>
      </x:c>
      <x:c r="H2298" s="14" t="str">
        <x:v>18:45</x:v>
      </x:c>
      <x:c r="I2298" s="14" t="str">
        <x:v>Genel</x:v>
      </x:c>
      <x:c r="J2298" s="14" t="str">
        <x:v>Yanlış / Boş Analizi</x:v>
      </x:c>
      <x:c r="K2298" s="14" t="str">
        <x:v>Günlük</x:v>
      </x:c>
      <x:c r="L2298" s="14" t="str">
        <x:v>Bugünkü yanlış/boşları kaydet; çözümünü öğrenmeden kapatma. Hata türünü sınıflandır.</x:v>
      </x:c>
      <x:c r="M2298" s="14" t="str">
        <x:v>Yanlış Defteri</x:v>
      </x:c>
      <x:c r="N2298" s="14" t="str"/>
      <x:c r="O2298" s="14" t="n">
        <x:v>0</x:v>
      </x:c>
      <x:c r="P2298" s="14" t="str">
        <x:v>Hayır</x:v>
      </x:c>
      <x:c r="Q2298" s="14" t="str">
        <x:v>Evet</x:v>
      </x:c>
      <x:c r="R2298" s="14" t="str">
        <x:v>Planlandı</x:v>
      </x:c>
      <x:c r="S2298" s="15" t="str"/>
      <x:c r="T2298" s="14" t="str"/>
    </x:row>
    <x:row r="2299">
      <x:c r="A2299" s="14" t="n">
        <x:v>2298</x:v>
      </x:c>
      <x:c r="B2299" s="15" t="n">
        <x:v>46480</x:v>
      </x:c>
      <x:c r="C2299" s="14" t="str">
        <x:v>Cumartesi</x:v>
      </x:c>
      <x:c r="D2299" s="14" t="str">
        <x:v>Hafta Sonu</x:v>
      </x:c>
      <x:c r="E2299" s="14" t="str">
        <x:v>Tam gün</x:v>
      </x:c>
      <x:c r="F2299" s="14" t="str">
        <x:v>F3 - Kaynak/MEB Tamamlama</x:v>
      </x:c>
      <x:c r="G2299" s="14" t="str">
        <x:v>18:45</x:v>
      </x:c>
      <x:c r="H2299" s="14" t="str">
        <x:v>19:05</x:v>
      </x:c>
      <x:c r="I2299" s="14" t="str">
        <x:v>Genel</x:v>
      </x:c>
      <x:c r="J2299" s="14" t="str">
        <x:v>Aralıklı Hata Tekrarı</x:v>
      </x:c>
      <x:c r="K2299" s="14" t="str">
        <x:v>+1 / +7 / +21</x:v>
      </x:c>
      <x:c r="L2299" s="14" t="str">
        <x:v>Bugün vadesi gelen yanlış soruları tekrar çöz. Vadesi yoksa bu süre serbest/okuma olabilir.</x:v>
      </x:c>
      <x:c r="M2299" s="14" t="str">
        <x:v>Yanlış Defteri</x:v>
      </x:c>
      <x:c r="N2299" s="14" t="str"/>
      <x:c r="O2299" s="14" t="n">
        <x:v>0</x:v>
      </x:c>
      <x:c r="P2299" s="14" t="str">
        <x:v>Hayır</x:v>
      </x:c>
      <x:c r="Q2299" s="14" t="str">
        <x:v>Koşullu</x:v>
      </x:c>
      <x:c r="R2299" s="14" t="str">
        <x:v>Planlandı</x:v>
      </x:c>
      <x:c r="S2299" s="15" t="str"/>
      <x:c r="T2299" s="14" t="str">
        <x:v>Yanlışlar +1, +7 ve +21 gün aralıklarıyla tekrar edilir; hâlâ yanlışsa konu mastery durumu düşürülür.</x:v>
      </x:c>
    </x:row>
    <x:row r="2300">
      <x:c r="A2300" s="14" t="n">
        <x:v>2299</x:v>
      </x:c>
      <x:c r="B2300" s="15" t="n">
        <x:v>46480</x:v>
      </x:c>
      <x:c r="C2300" s="14" t="str">
        <x:v>Cumartesi</x:v>
      </x:c>
      <x:c r="D2300" s="14" t="str">
        <x:v>Hafta Sonu</x:v>
      </x:c>
      <x:c r="E2300" s="14" t="str">
        <x:v>Tam gün</x:v>
      </x:c>
      <x:c r="F2300" s="14" t="str">
        <x:v>F3 - Kaynak/MEB Tamamlama</x:v>
      </x:c>
      <x:c r="G2300" s="14" t="str">
        <x:v>20:00</x:v>
      </x:c>
      <x:c r="H2300" s="14" t="str">
        <x:v>20:30</x:v>
      </x:c>
      <x:c r="I2300" s="14" t="str">
        <x:v>Okuma</x:v>
      </x:c>
      <x:c r="J2300" s="14" t="str">
        <x:v>İsteğe Bağlı</x:v>
      </x:c>
      <x:c r="K2300" s="14" t="str">
        <x:v>Serbest Kitap</x:v>
      </x:c>
      <x:c r="L2300" s="14" t="str">
        <x:v>Zorunlu çalışmalar bittiyse isteğe bağlı kitap oku.</x:v>
      </x:c>
      <x:c r="M2300" s="14" t="str">
        <x:v>Serbest Kitap</x:v>
      </x:c>
      <x:c r="N2300" s="14" t="str"/>
      <x:c r="O2300" s="14" t="n">
        <x:v>0</x:v>
      </x:c>
      <x:c r="P2300" s="14" t="str">
        <x:v>İsteğe Bağlı</x:v>
      </x:c>
      <x:c r="Q2300" s="14" t="str">
        <x:v>Hayır</x:v>
      </x:c>
      <x:c r="R2300" s="14" t="str">
        <x:v>Planlandı</x:v>
      </x:c>
      <x:c r="S2300" s="15" t="str"/>
      <x:c r="T2300" s="14" t="str">
        <x:v>Minimum süre yok.</x:v>
      </x:c>
    </x:row>
    <x:row r="2301">
      <x:c r="A2301" s="14" t="n">
        <x:v>2300</x:v>
      </x:c>
      <x:c r="B2301" s="15" t="n">
        <x:v>46480</x:v>
      </x:c>
      <x:c r="C2301" s="14" t="str">
        <x:v>Cumartesi</x:v>
      </x:c>
      <x:c r="D2301" s="14" t="str">
        <x:v>Hafta Sonu</x:v>
      </x:c>
      <x:c r="E2301" s="14" t="str">
        <x:v>Tam gün</x:v>
      </x:c>
      <x:c r="F2301" s="14" t="str">
        <x:v>F3 - Kaynak/MEB Tamamlama</x:v>
      </x:c>
      <x:c r="G2301" s="14" t="str">
        <x:v>21:50</x:v>
      </x:c>
      <x:c r="H2301" s="14" t="str">
        <x:v>22:00</x:v>
      </x:c>
      <x:c r="I2301" s="14" t="str">
        <x:v>Genel</x:v>
      </x:c>
      <x:c r="J2301" s="14" t="str">
        <x:v>Uyku Hazırlığı</x:v>
      </x:c>
      <x:c r="K2301" s="14" t="str"/>
      <x:c r="L2301" s="14" t="str">
        <x:v>22:00'de yatakta ve uyku.</x:v>
      </x:c>
      <x:c r="M2301" s="14" t="str"/>
      <x:c r="N2301" s="14" t="str"/>
      <x:c r="O2301" s="14" t="n">
        <x:v>0</x:v>
      </x:c>
      <x:c r="P2301" s="14" t="str">
        <x:v>Hayır</x:v>
      </x:c>
      <x:c r="Q2301" s="14" t="str">
        <x:v>Hayır</x:v>
      </x:c>
      <x:c r="R2301" s="14" t="str">
        <x:v>Planlandı</x:v>
      </x:c>
      <x:c r="S2301" s="15" t="str"/>
      <x:c r="T2301" s="14" t="str"/>
    </x:row>
    <x:row r="2302">
      <x:c r="A2302" s="14" t="n">
        <x:v>2301</x:v>
      </x:c>
      <x:c r="B2302" s="15" t="n">
        <x:v>46481</x:v>
      </x:c>
      <x:c r="C2302" s="14" t="str">
        <x:v>Pazar</x:v>
      </x:c>
      <x:c r="D2302" s="14" t="str">
        <x:v>Hafta Sonu</x:v>
      </x:c>
      <x:c r="E2302" s="14" t="str">
        <x:v>Tam gün</x:v>
      </x:c>
      <x:c r="F2302" s="14" t="str">
        <x:v>F3 - Kaynak/MEB Tamamlama</x:v>
      </x:c>
      <x:c r="G2302" s="14" t="str">
        <x:v>09:30</x:v>
      </x:c>
      <x:c r="H2302" s="14" t="str">
        <x:v>10:15</x:v>
      </x:c>
      <x:c r="I2302" s="14" t="str">
        <x:v>Matematik</x:v>
      </x:c>
      <x:c r="J2302" s="14" t="str">
        <x:v>Konu / Tekrar</x:v>
      </x:c>
      <x:c r="K2302" s="14" t="str">
        <x:v>Kaynak Tamamlama / Zayıf Konu</x:v>
      </x:c>
      <x:c r="L2302" s="14" t="str">
        <x:v>Yeni konu açma. En zayıf/açık konunun ilgili playlist videosunu yalnız gerekiyorsa tekrar izle.</x:v>
      </x:c>
      <x:c r="M2302" s="14" t="str">
        <x:v>Matematik Ana Oynatma Listesi</x:v>
      </x:c>
      <x:c r="N2302" s="14" t="str">
        <x:v>https://www.youtube.com/watch?v=EuJ89QzqrAg&amp;list=PLicNtF7vp6fnfDqrRLH6H7fIbzYT4ct4F&amp;index=11</x:v>
      </x:c>
      <x:c r="O2302" s="14" t="n">
        <x:v>0</x:v>
      </x:c>
      <x:c r="P2302" s="14" t="str">
        <x:v>Hayır</x:v>
      </x:c>
      <x:c r="Q2302" s="14" t="str">
        <x:v>Evet</x:v>
      </x:c>
      <x:c r="R2302" s="14" t="str">
        <x:v>Planlandı</x:v>
      </x:c>
      <x:c r="S2302" s="15" t="str"/>
      <x:c r="T2302" s="14" t="str">
        <x:v>Yeni konu ancak plan sırasıyla açılır; LGS dışı ileri TYT içeriği zorunlu değildir.</x:v>
      </x:c>
    </x:row>
    <x:row r="2303">
      <x:c r="A2303" s="14" t="n">
        <x:v>2302</x:v>
      </x:c>
      <x:c r="B2303" s="15" t="n">
        <x:v>46481</x:v>
      </x:c>
      <x:c r="C2303" s="14" t="str">
        <x:v>Pazar</x:v>
      </x:c>
      <x:c r="D2303" s="14" t="str">
        <x:v>Hafta Sonu</x:v>
      </x:c>
      <x:c r="E2303" s="14" t="str">
        <x:v>Tam gün</x:v>
      </x:c>
      <x:c r="F2303" s="14" t="str">
        <x:v>F3 - Kaynak/MEB Tamamlama</x:v>
      </x:c>
      <x:c r="G2303" s="14" t="str">
        <x:v>10:25</x:v>
      </x:c>
      <x:c r="H2303" s="14" t="str">
        <x:v>11:15</x:v>
      </x:c>
      <x:c r="I2303" s="14" t="str">
        <x:v>Matematik</x:v>
      </x:c>
      <x:c r="J2303" s="14" t="str">
        <x:v>Kitap / MEB / Mastery</x:v>
      </x:c>
      <x:c r="K2303" s="14" t="str">
        <x:v>Kaynak Tamamlama / Zayıf Konu</x:v>
      </x:c>
      <x:c r="L2303" s="14" t="str">
        <x:v>13 Nisan %100 tamamlama hedefine göre en geride kalan Matematik soru kaynağını/eksik MEB setini ilerlet; açık yanlışları kapat.</x:v>
      </x:c>
      <x:c r="M2303" s="14" t="str">
        <x:v>MUBA 8. Sınıf Başlangıç Matematik (ISBN 9789756526972) → tamamlandıysa Mozaik 8. Sınıf Matematik; açık MEB/yanlışlar</x:v>
      </x:c>
      <x:c r="N2303" s="14" t="str">
        <x:v>https://odsgm.meb.gov.tr/www/8sinif-calisma-sorulari/icerik/1632</x:v>
      </x:c>
      <x:c r="O2303" s="14" t="n">
        <x:v>30</x:v>
      </x:c>
      <x:c r="P2303" s="14" t="str">
        <x:v>İlk 20 soru</x:v>
      </x:c>
      <x:c r="Q2303" s="14" t="str">
        <x:v>Evet</x:v>
      </x:c>
      <x:c r="R2303" s="14" t="str">
        <x:v>Planlandı</x:v>
      </x:c>
      <x:c r="S2303" s="15" t="str"/>
      <x:c r="T2303" s="14" t="str">
        <x:v>Ayrı/rastgele matematik benchmark yoktur. Süreli ilk 20 soru o gün çalışılan konunun içindedir.</x:v>
      </x:c>
    </x:row>
    <x:row r="2304">
      <x:c r="A2304" s="14" t="n">
        <x:v>2303</x:v>
      </x:c>
      <x:c r="B2304" s="15" t="n">
        <x:v>46481</x:v>
      </x:c>
      <x:c r="C2304" s="14" t="str">
        <x:v>Pazar</x:v>
      </x:c>
      <x:c r="D2304" s="14" t="str">
        <x:v>Hafta Sonu</x:v>
      </x:c>
      <x:c r="E2304" s="14" t="str">
        <x:v>Tam gün</x:v>
      </x:c>
      <x:c r="F2304" s="14" t="str">
        <x:v>F3 - Kaynak/MEB Tamamlama</x:v>
      </x:c>
      <x:c r="G2304" s="14" t="str">
        <x:v>12:00</x:v>
      </x:c>
      <x:c r="H2304" s="14" t="str">
        <x:v>14:00</x:v>
      </x:c>
      <x:c r="I2304" s="14" t="str">
        <x:v>Genel</x:v>
      </x:c>
      <x:c r="J2304" s="14" t="str">
        <x:v>Yemek / Serbest Zaman</x:v>
      </x:c>
      <x:c r="K2304" s="14" t="str"/>
      <x:c r="L2304" s="14" t="str">
        <x:v>Yemek, hareket ve dinlenme.</x:v>
      </x:c>
      <x:c r="M2304" s="14" t="str"/>
      <x:c r="N2304" s="14" t="str"/>
      <x:c r="O2304" s="14" t="n">
        <x:v>0</x:v>
      </x:c>
      <x:c r="P2304" s="14" t="str">
        <x:v>Hayır</x:v>
      </x:c>
      <x:c r="Q2304" s="14" t="str">
        <x:v>Hayır</x:v>
      </x:c>
      <x:c r="R2304" s="14" t="str">
        <x:v>Planlandı</x:v>
      </x:c>
      <x:c r="S2304" s="15" t="str"/>
      <x:c r="T2304" s="14" t="str"/>
    </x:row>
    <x:row r="2305">
      <x:c r="A2305" s="14" t="n">
        <x:v>2304</x:v>
      </x:c>
      <x:c r="B2305" s="15" t="n">
        <x:v>46481</x:v>
      </x:c>
      <x:c r="C2305" s="14" t="str">
        <x:v>Pazar</x:v>
      </x:c>
      <x:c r="D2305" s="14" t="str">
        <x:v>Hafta Sonu</x:v>
      </x:c>
      <x:c r="E2305" s="14" t="str">
        <x:v>Tam gün</x:v>
      </x:c>
      <x:c r="F2305" s="14" t="str">
        <x:v>F3 - Kaynak/MEB Tamamlama</x:v>
      </x:c>
      <x:c r="G2305" s="14" t="str">
        <x:v>11:25</x:v>
      </x:c>
      <x:c r="H2305" s="14" t="str">
        <x:v>11:55</x:v>
      </x:c>
      <x:c r="I2305" s="14" t="str">
        <x:v>Türkçe</x:v>
      </x:c>
      <x:c r="J2305" s="14" t="str">
        <x:v>Paragraf Rutini</x:v>
      </x:c>
      <x:c r="K2305" s="14" t="str">
        <x:v>Paragraf</x:v>
      </x:c>
      <x:c r="L2305" s="14" t="str">
        <x:v>En az 30 paragraf sorusu çöz; ilk 20 soruyu ileri sayımla ölç, D/Y/B + süre kaydet.</x:v>
      </x:c>
      <x:c r="M2305" s="14" t="str">
        <x:v>Hız 8. Sınıf Türkçe Paragraf (ISBN 9786258394498)</x:v>
      </x:c>
      <x:c r="N2305" s="14" t="str"/>
      <x:c r="O2305" s="14" t="n">
        <x:v>30</x:v>
      </x:c>
      <x:c r="P2305" s="14" t="str">
        <x:v>İlk 20 soru</x:v>
      </x:c>
      <x:c r="Q2305" s="14" t="str">
        <x:v>Evet</x:v>
      </x:c>
      <x:c r="R2305" s="14" t="str">
        <x:v>Planlandı</x:v>
      </x:c>
      <x:c r="S2305" s="15" t="str"/>
      <x:c r="T2305" s="14" t="str">
        <x:v>Geri sayım ve hedef süre yok.</x:v>
      </x:c>
    </x:row>
    <x:row r="2306">
      <x:c r="A2306" s="14" t="n">
        <x:v>2305</x:v>
      </x:c>
      <x:c r="B2306" s="15" t="n">
        <x:v>46481</x:v>
      </x:c>
      <x:c r="C2306" s="14" t="str">
        <x:v>Pazar</x:v>
      </x:c>
      <x:c r="D2306" s="14" t="str">
        <x:v>Hafta Sonu</x:v>
      </x:c>
      <x:c r="E2306" s="14" t="str">
        <x:v>Tam gün</x:v>
      </x:c>
      <x:c r="F2306" s="14" t="str">
        <x:v>F3 - Kaynak/MEB Tamamlama</x:v>
      </x:c>
      <x:c r="G2306" s="14" t="str">
        <x:v>14:00</x:v>
      </x:c>
      <x:c r="H2306" s="14" t="str">
        <x:v>14:40</x:v>
      </x:c>
      <x:c r="I2306" s="14" t="str">
        <x:v>Türkçe</x:v>
      </x:c>
      <x:c r="J2306" s="14" t="str">
        <x:v>Konu / Tekrar</x:v>
      </x:c>
      <x:c r="K2306" s="14" t="str">
        <x:v>Kaynak Tamamlama / Zayıf Konu</x:v>
      </x:c>
      <x:c r="L2306" s="14" t="str">
        <x:v>Yeni konu açma. En zayıf/açık konunun ilgili playlist videosunu yalnız gerekiyorsa tekrar izle.</x:v>
      </x:c>
      <x:c r="M2306" s="14" t="str">
        <x:v>Türkçe Ana Oynatma Listesi</x:v>
      </x:c>
      <x:c r="N2306" s="14" t="str">
        <x:v>https://www.youtube.com/watch?v=VYsPntNKVdw&amp;list=PLIBjFaUoJJ91bz7QQEBlxNJNZka5YQRr6</x:v>
      </x:c>
      <x:c r="O2306" s="14" t="n">
        <x:v>0</x:v>
      </x:c>
      <x:c r="P2306" s="14" t="str">
        <x:v>Hayır</x:v>
      </x:c>
      <x:c r="Q2306" s="14" t="str">
        <x:v>Evet</x:v>
      </x:c>
      <x:c r="R2306" s="14" t="str">
        <x:v>Planlandı</x:v>
      </x:c>
      <x:c r="S2306" s="15" t="str"/>
      <x:c r="T2306" s="14" t="str">
        <x:v>TYT etiketli kaynak temelden başlamak için sabittir; LGS dışı gereksiz ayrıntı zorunlu değildir.</x:v>
      </x:c>
    </x:row>
    <x:row r="2307">
      <x:c r="A2307" s="14" t="n">
        <x:v>2306</x:v>
      </x:c>
      <x:c r="B2307" s="15" t="n">
        <x:v>46481</x:v>
      </x:c>
      <x:c r="C2307" s="14" t="str">
        <x:v>Pazar</x:v>
      </x:c>
      <x:c r="D2307" s="14" t="str">
        <x:v>Hafta Sonu</x:v>
      </x:c>
      <x:c r="E2307" s="14" t="str">
        <x:v>Tam gün</x:v>
      </x:c>
      <x:c r="F2307" s="14" t="str">
        <x:v>F3 - Kaynak/MEB Tamamlama</x:v>
      </x:c>
      <x:c r="G2307" s="14" t="str">
        <x:v>14:50</x:v>
      </x:c>
      <x:c r="H2307" s="14" t="str">
        <x:v>15:30</x:v>
      </x:c>
      <x:c r="I2307" s="14" t="str">
        <x:v>Türkçe</x:v>
      </x:c>
      <x:c r="J2307" s="14" t="str">
        <x:v>Kitap / MEB / Mastery</x:v>
      </x:c>
      <x:c r="K2307" s="14" t="str">
        <x:v>Kaynak Tamamlama / Zayıf Konu</x:v>
      </x:c>
      <x:c r="L2307" s="14" t="str">
        <x:v>13 Nisan %100 tamamlama hedefine göre en geride kalan Türkçe soru kaynağını/eksik MEB setini ilerlet; açık yanlışları kapat.</x:v>
      </x:c>
      <x:c r="M2307" s="14" t="str">
        <x:v>Ankara 8. Sınıf Dil Bilgisi Güçlendiren + açık MEB/yanlışlar</x:v>
      </x:c>
      <x:c r="N2307" s="14" t="str">
        <x:v>https://odsgm.meb.gov.tr/www/8sinif-calisma-sorulari/icerik/1632</x:v>
      </x:c>
      <x:c r="O2307" s="14" t="n">
        <x:v>20</x:v>
      </x:c>
      <x:c r="P2307" s="14" t="str">
        <x:v>Hayır</x:v>
      </x:c>
      <x:c r="Q2307" s="14" t="str">
        <x:v>Evet</x:v>
      </x:c>
      <x:c r="R2307" s="14" t="str">
        <x:v>Planlandı</x:v>
      </x:c>
      <x:c r="S2307" s="15" t="str"/>
      <x:c r="T2307" s="14" t="str"/>
    </x:row>
    <x:row r="2308">
      <x:c r="A2308" s="14" t="n">
        <x:v>2307</x:v>
      </x:c>
      <x:c r="B2308" s="15" t="n">
        <x:v>46481</x:v>
      </x:c>
      <x:c r="C2308" s="14" t="str">
        <x:v>Pazar</x:v>
      </x:c>
      <x:c r="D2308" s="14" t="str">
        <x:v>Hafta Sonu</x:v>
      </x:c>
      <x:c r="E2308" s="14" t="str">
        <x:v>Tam gün</x:v>
      </x:c>
      <x:c r="F2308" s="14" t="str">
        <x:v>F3 - Kaynak/MEB Tamamlama</x:v>
      </x:c>
      <x:c r="G2308" s="14" t="str">
        <x:v>15:45</x:v>
      </x:c>
      <x:c r="H2308" s="14" t="str">
        <x:v>16:25</x:v>
      </x:c>
      <x:c r="I2308" s="14" t="str">
        <x:v>Din</x:v>
      </x:c>
      <x:c r="J2308" s="14" t="str">
        <x:v>Konu / Tekrar</x:v>
      </x:c>
      <x:c r="K2308" s="14" t="str">
        <x:v>Kaynak Tamamlama / Zayıf Konu</x:v>
      </x:c>
      <x:c r="L2308" s="14" t="str">
        <x:v>Yeni konu açma. En zayıf/açık konunun ilgili playlist videosunu yalnız gerekiyorsa tekrar izle.</x:v>
      </x:c>
      <x:c r="M2308" s="14" t="str">
        <x:v>Din Genel Oynatma Listesi</x:v>
      </x:c>
      <x:c r="N2308" s="14" t="str">
        <x:v>https://www.youtube.com/watch?v=wvdOE_75VnA&amp;list=PLbRoPq-Zu-SWXGUbVt4t4UWo-4VjsMUo-&amp;index=2</x:v>
      </x:c>
      <x:c r="O2308" s="14" t="n">
        <x:v>0</x:v>
      </x:c>
      <x:c r="P2308" s="14" t="str">
        <x:v>Hayır</x:v>
      </x:c>
      <x:c r="Q2308" s="14" t="str">
        <x:v>Evet</x:v>
      </x:c>
      <x:c r="R2308" s="14" t="str">
        <x:v>Planlandı</x:v>
      </x:c>
      <x:c r="S2308" s="15" t="str"/>
      <x:c r="T2308" s="14" t="str"/>
    </x:row>
    <x:row r="2309">
      <x:c r="A2309" s="14" t="n">
        <x:v>2308</x:v>
      </x:c>
      <x:c r="B2309" s="15" t="n">
        <x:v>46481</x:v>
      </x:c>
      <x:c r="C2309" s="14" t="str">
        <x:v>Pazar</x:v>
      </x:c>
      <x:c r="D2309" s="14" t="str">
        <x:v>Hafta Sonu</x:v>
      </x:c>
      <x:c r="E2309" s="14" t="str">
        <x:v>Tam gün</x:v>
      </x:c>
      <x:c r="F2309" s="14" t="str">
        <x:v>F3 - Kaynak/MEB Tamamlama</x:v>
      </x:c>
      <x:c r="G2309" s="14" t="str">
        <x:v>16:35</x:v>
      </x:c>
      <x:c r="H2309" s="14" t="str">
        <x:v>17:15</x:v>
      </x:c>
      <x:c r="I2309" s="14" t="str">
        <x:v>Din</x:v>
      </x:c>
      <x:c r="J2309" s="14" t="str">
        <x:v>Kitap / MEB / Mastery</x:v>
      </x:c>
      <x:c r="K2309" s="14" t="str">
        <x:v>Kaynak Tamamlama / Zayıf Konu</x:v>
      </x:c>
      <x:c r="L2309" s="14" t="str">
        <x:v>13 Nisan %100 tamamlama hedefine göre en geride kalan Din soru kaynağını/eksik MEB setini ilerlet; açık yanlışları kapat.</x:v>
      </x:c>
      <x:c r="M2309" s="14" t="str">
        <x:v>Hız 8. Sınıf Din Kültürü ve Ahlak Bilgisi + açık MEB/yanlışlar</x:v>
      </x:c>
      <x:c r="N2309" s="14" t="str">
        <x:v>https://odsgm.meb.gov.tr/www/8sinif-calisma-sorulari/icerik/1632</x:v>
      </x:c>
      <x:c r="O2309" s="14" t="n">
        <x:v>20</x:v>
      </x:c>
      <x:c r="P2309" s="14" t="str">
        <x:v>Hayır</x:v>
      </x:c>
      <x:c r="Q2309" s="14" t="str">
        <x:v>Evet</x:v>
      </x:c>
      <x:c r="R2309" s="14" t="str">
        <x:v>Planlandı</x:v>
      </x:c>
      <x:c r="S2309" s="15" t="str"/>
      <x:c r="T2309" s="14" t="str"/>
    </x:row>
    <x:row r="2310">
      <x:c r="A2310" s="14" t="n">
        <x:v>2309</x:v>
      </x:c>
      <x:c r="B2310" s="15" t="n">
        <x:v>46481</x:v>
      </x:c>
      <x:c r="C2310" s="14" t="str">
        <x:v>Pazar</x:v>
      </x:c>
      <x:c r="D2310" s="14" t="str">
        <x:v>Hafta Sonu</x:v>
      </x:c>
      <x:c r="E2310" s="14" t="str">
        <x:v>Tam gün</x:v>
      </x:c>
      <x:c r="F2310" s="14" t="str">
        <x:v>F3 - Kaynak/MEB Tamamlama</x:v>
      </x:c>
      <x:c r="G2310" s="14" t="str">
        <x:v>17:25</x:v>
      </x:c>
      <x:c r="H2310" s="14" t="str">
        <x:v>18:25</x:v>
      </x:c>
      <x:c r="I2310" s="14" t="str">
        <x:v>Genel</x:v>
      </x:c>
      <x:c r="J2310" s="14" t="str">
        <x:v>Kaynak Tamamlama</x:v>
      </x:c>
      <x:c r="K2310" s="14" t="str">
        <x:v>En Geride Kalan Kaynak</x:v>
      </x:c>
      <x:c r="L2310" s="14" t="str">
        <x:v>Kaynak_Ilerleme sayfasında hedef yüzdesinin en gerisinde kalan ZORUNLU soru kaynağına 60 dk ayır. Öğrenilmemiş konudan ileri gitme.</x:v>
      </x:c>
      <x:c r="M2310" s="14" t="str">
        <x:v>Kaynak İlerleme</x:v>
      </x:c>
      <x:c r="N2310" s="14" t="str"/>
      <x:c r="O2310" s="14" t="n">
        <x:v>0</x:v>
      </x:c>
      <x:c r="P2310" s="14" t="str">
        <x:v>Hayır</x:v>
      </x:c>
      <x:c r="Q2310" s="14" t="str">
        <x:v>Evet</x:v>
      </x:c>
      <x:c r="R2310" s="14" t="str">
        <x:v>Planlandı</x:v>
      </x:c>
      <x:c r="S2310" s="15" t="str"/>
      <x:c r="T2310" s="14" t="str">
        <x:v>Amaç 13.04.2027'de zorunlu soru kitapları + ilgili MEB setlerini %100 tamamlamak.</x:v>
      </x:c>
    </x:row>
    <x:row r="2311">
      <x:c r="A2311" s="14" t="n">
        <x:v>2310</x:v>
      </x:c>
      <x:c r="B2311" s="15" t="n">
        <x:v>46481</x:v>
      </x:c>
      <x:c r="C2311" s="14" t="str">
        <x:v>Pazar</x:v>
      </x:c>
      <x:c r="D2311" s="14" t="str">
        <x:v>Hafta Sonu</x:v>
      </x:c>
      <x:c r="E2311" s="14" t="str">
        <x:v>Tam gün</x:v>
      </x:c>
      <x:c r="F2311" s="14" t="str">
        <x:v>F3 - Kaynak/MEB Tamamlama</x:v>
      </x:c>
      <x:c r="G2311" s="14" t="str">
        <x:v>18:25</x:v>
      </x:c>
      <x:c r="H2311" s="14" t="str">
        <x:v>18:45</x:v>
      </x:c>
      <x:c r="I2311" s="14" t="str">
        <x:v>Genel</x:v>
      </x:c>
      <x:c r="J2311" s="14" t="str">
        <x:v>Yanlış / Boş Analizi</x:v>
      </x:c>
      <x:c r="K2311" s="14" t="str">
        <x:v>Günlük</x:v>
      </x:c>
      <x:c r="L2311" s="14" t="str">
        <x:v>Bugünkü yanlış/boşları kaydet; çözümünü öğrenmeden kapatma. Hata türünü sınıflandır.</x:v>
      </x:c>
      <x:c r="M2311" s="14" t="str">
        <x:v>Yanlış Defteri</x:v>
      </x:c>
      <x:c r="N2311" s="14" t="str"/>
      <x:c r="O2311" s="14" t="n">
        <x:v>0</x:v>
      </x:c>
      <x:c r="P2311" s="14" t="str">
        <x:v>Hayır</x:v>
      </x:c>
      <x:c r="Q2311" s="14" t="str">
        <x:v>Evet</x:v>
      </x:c>
      <x:c r="R2311" s="14" t="str">
        <x:v>Planlandı</x:v>
      </x:c>
      <x:c r="S2311" s="15" t="str"/>
      <x:c r="T2311" s="14" t="str"/>
    </x:row>
    <x:row r="2312">
      <x:c r="A2312" s="14" t="n">
        <x:v>2311</x:v>
      </x:c>
      <x:c r="B2312" s="15" t="n">
        <x:v>46481</x:v>
      </x:c>
      <x:c r="C2312" s="14" t="str">
        <x:v>Pazar</x:v>
      </x:c>
      <x:c r="D2312" s="14" t="str">
        <x:v>Hafta Sonu</x:v>
      </x:c>
      <x:c r="E2312" s="14" t="str">
        <x:v>Tam gün</x:v>
      </x:c>
      <x:c r="F2312" s="14" t="str">
        <x:v>F3 - Kaynak/MEB Tamamlama</x:v>
      </x:c>
      <x:c r="G2312" s="14" t="str">
        <x:v>18:45</x:v>
      </x:c>
      <x:c r="H2312" s="14" t="str">
        <x:v>19:05</x:v>
      </x:c>
      <x:c r="I2312" s="14" t="str">
        <x:v>Genel</x:v>
      </x:c>
      <x:c r="J2312" s="14" t="str">
        <x:v>Aralıklı Hata Tekrarı</x:v>
      </x:c>
      <x:c r="K2312" s="14" t="str">
        <x:v>+1 / +7 / +21</x:v>
      </x:c>
      <x:c r="L2312" s="14" t="str">
        <x:v>Bugün vadesi gelen yanlış soruları tekrar çöz. Vadesi yoksa bu süre serbest/okuma olabilir.</x:v>
      </x:c>
      <x:c r="M2312" s="14" t="str">
        <x:v>Yanlış Defteri</x:v>
      </x:c>
      <x:c r="N2312" s="14" t="str"/>
      <x:c r="O2312" s="14" t="n">
        <x:v>0</x:v>
      </x:c>
      <x:c r="P2312" s="14" t="str">
        <x:v>Hayır</x:v>
      </x:c>
      <x:c r="Q2312" s="14" t="str">
        <x:v>Koşullu</x:v>
      </x:c>
      <x:c r="R2312" s="14" t="str">
        <x:v>Planlandı</x:v>
      </x:c>
      <x:c r="S2312" s="15" t="str"/>
      <x:c r="T2312" s="14" t="str">
        <x:v>Yanlışlar +1, +7 ve +21 gün aralıklarıyla tekrar edilir; hâlâ yanlışsa konu mastery durumu düşürülür.</x:v>
      </x:c>
    </x:row>
    <x:row r="2313">
      <x:c r="A2313" s="14" t="n">
        <x:v>2312</x:v>
      </x:c>
      <x:c r="B2313" s="15" t="n">
        <x:v>46481</x:v>
      </x:c>
      <x:c r="C2313" s="14" t="str">
        <x:v>Pazar</x:v>
      </x:c>
      <x:c r="D2313" s="14" t="str">
        <x:v>Hafta Sonu</x:v>
      </x:c>
      <x:c r="E2313" s="14" t="str">
        <x:v>Tam gün</x:v>
      </x:c>
      <x:c r="F2313" s="14" t="str">
        <x:v>F3 - Kaynak/MEB Tamamlama</x:v>
      </x:c>
      <x:c r="G2313" s="14" t="str">
        <x:v>20:00</x:v>
      </x:c>
      <x:c r="H2313" s="14" t="str">
        <x:v>20:30</x:v>
      </x:c>
      <x:c r="I2313" s="14" t="str">
        <x:v>Okuma</x:v>
      </x:c>
      <x:c r="J2313" s="14" t="str">
        <x:v>İsteğe Bağlı</x:v>
      </x:c>
      <x:c r="K2313" s="14" t="str">
        <x:v>Serbest Kitap</x:v>
      </x:c>
      <x:c r="L2313" s="14" t="str">
        <x:v>Zorunlu çalışmalar bittiyse isteğe bağlı kitap oku.</x:v>
      </x:c>
      <x:c r="M2313" s="14" t="str">
        <x:v>Serbest Kitap</x:v>
      </x:c>
      <x:c r="N2313" s="14" t="str"/>
      <x:c r="O2313" s="14" t="n">
        <x:v>0</x:v>
      </x:c>
      <x:c r="P2313" s="14" t="str">
        <x:v>İsteğe Bağlı</x:v>
      </x:c>
      <x:c r="Q2313" s="14" t="str">
        <x:v>Hayır</x:v>
      </x:c>
      <x:c r="R2313" s="14" t="str">
        <x:v>Planlandı</x:v>
      </x:c>
      <x:c r="S2313" s="15" t="str"/>
      <x:c r="T2313" s="14" t="str">
        <x:v>Minimum süre yok.</x:v>
      </x:c>
    </x:row>
    <x:row r="2314">
      <x:c r="A2314" s="14" t="n">
        <x:v>2313</x:v>
      </x:c>
      <x:c r="B2314" s="15" t="n">
        <x:v>46481</x:v>
      </x:c>
      <x:c r="C2314" s="14" t="str">
        <x:v>Pazar</x:v>
      </x:c>
      <x:c r="D2314" s="14" t="str">
        <x:v>Hafta Sonu</x:v>
      </x:c>
      <x:c r="E2314" s="14" t="str">
        <x:v>Tam gün</x:v>
      </x:c>
      <x:c r="F2314" s="14" t="str">
        <x:v>F3 - Kaynak/MEB Tamamlama</x:v>
      </x:c>
      <x:c r="G2314" s="14" t="str">
        <x:v>21:50</x:v>
      </x:c>
      <x:c r="H2314" s="14" t="str">
        <x:v>22:00</x:v>
      </x:c>
      <x:c r="I2314" s="14" t="str">
        <x:v>Genel</x:v>
      </x:c>
      <x:c r="J2314" s="14" t="str">
        <x:v>Uyku Hazırlığı</x:v>
      </x:c>
      <x:c r="K2314" s="14" t="str"/>
      <x:c r="L2314" s="14" t="str">
        <x:v>22:00'de yatakta ve uyku.</x:v>
      </x:c>
      <x:c r="M2314" s="14" t="str"/>
      <x:c r="N2314" s="14" t="str"/>
      <x:c r="O2314" s="14" t="n">
        <x:v>0</x:v>
      </x:c>
      <x:c r="P2314" s="14" t="str">
        <x:v>Hayır</x:v>
      </x:c>
      <x:c r="Q2314" s="14" t="str">
        <x:v>Hayır</x:v>
      </x:c>
      <x:c r="R2314" s="14" t="str">
        <x:v>Planlandı</x:v>
      </x:c>
      <x:c r="S2314" s="15" t="str"/>
      <x:c r="T2314" s="14" t="str"/>
    </x:row>
    <x:row r="2315">
      <x:c r="A2315" s="14" t="n">
        <x:v>2314</x:v>
      </x:c>
      <x:c r="B2315" s="15" t="n">
        <x:v>46482</x:v>
      </x:c>
      <x:c r="C2315" s="14" t="str">
        <x:v>Pazartesi</x:v>
      </x:c>
      <x:c r="D2315" s="14" t="str">
        <x:v>Okul Günü</x:v>
      </x:c>
      <x:c r="E2315" s="14" t="str">
        <x:v>16:00 sonrası</x:v>
      </x:c>
      <x:c r="F2315" s="14" t="str">
        <x:v>F3 - Kaynak/MEB Tamamlama</x:v>
      </x:c>
      <x:c r="G2315" s="14" t="str">
        <x:v>16:00</x:v>
      </x:c>
      <x:c r="H2315" s="14" t="str">
        <x:v>16:25</x:v>
      </x:c>
      <x:c r="I2315" s="14" t="str">
        <x:v>Genel</x:v>
      </x:c>
      <x:c r="J2315" s="14" t="str">
        <x:v>Dinlenme</x:v>
      </x:c>
      <x:c r="K2315" s="14" t="str"/>
      <x:c r="L2315" s="14" t="str">
        <x:v>Eve geliş, atıştırma ve dinlenme.</x:v>
      </x:c>
      <x:c r="M2315" s="14" t="str"/>
      <x:c r="N2315" s="14" t="str"/>
      <x:c r="O2315" s="14" t="n">
        <x:v>0</x:v>
      </x:c>
      <x:c r="P2315" s="14" t="str">
        <x:v>Hayır</x:v>
      </x:c>
      <x:c r="Q2315" s="14" t="str">
        <x:v>Hayır</x:v>
      </x:c>
      <x:c r="R2315" s="14" t="str">
        <x:v>Planlandı</x:v>
      </x:c>
      <x:c r="S2315" s="15" t="str"/>
      <x:c r="T2315" s="14" t="str"/>
    </x:row>
    <x:row r="2316">
      <x:c r="A2316" s="14" t="n">
        <x:v>2315</x:v>
      </x:c>
      <x:c r="B2316" s="15" t="n">
        <x:v>46482</x:v>
      </x:c>
      <x:c r="C2316" s="14" t="str">
        <x:v>Pazartesi</x:v>
      </x:c>
      <x:c r="D2316" s="14" t="str">
        <x:v>Okul Günü</x:v>
      </x:c>
      <x:c r="E2316" s="14" t="str">
        <x:v>16:00 sonrası</x:v>
      </x:c>
      <x:c r="F2316" s="14" t="str">
        <x:v>F3 - Kaynak/MEB Tamamlama</x:v>
      </x:c>
      <x:c r="G2316" s="14" t="str">
        <x:v>16:25</x:v>
      </x:c>
      <x:c r="H2316" s="14" t="str">
        <x:v>17:05</x:v>
      </x:c>
      <x:c r="I2316" s="14" t="str">
        <x:v>Matematik</x:v>
      </x:c>
      <x:c r="J2316" s="14" t="str">
        <x:v>Konu / Tekrar</x:v>
      </x:c>
      <x:c r="K2316" s="14" t="str">
        <x:v>Kaynak Tamamlama / Zayıf Konu</x:v>
      </x:c>
      <x:c r="L2316" s="14" t="str">
        <x:v>Yeni konu açma. En zayıf/açık konunun ilgili playlist videosunu yalnız gerekiyorsa tekrar izle.</x:v>
      </x:c>
      <x:c r="M2316" s="14" t="str">
        <x:v>Matematik Ana Oynatma Listesi</x:v>
      </x:c>
      <x:c r="N2316" s="14" t="str">
        <x:v>https://www.youtube.com/watch?v=EuJ89QzqrAg&amp;list=PLicNtF7vp6fnfDqrRLH6H7fIbzYT4ct4F&amp;index=11</x:v>
      </x:c>
      <x:c r="O2316" s="14" t="n">
        <x:v>0</x:v>
      </x:c>
      <x:c r="P2316" s="14" t="str">
        <x:v>Hayır</x:v>
      </x:c>
      <x:c r="Q2316" s="14" t="str">
        <x:v>Evet</x:v>
      </x:c>
      <x:c r="R2316" s="14" t="str">
        <x:v>Planlandı</x:v>
      </x:c>
      <x:c r="S2316" s="15" t="str"/>
      <x:c r="T2316" s="14" t="str">
        <x:v>Yeni konu ancak plan sırasıyla açılır; LGS dışı ileri TYT içeriği zorunlu değildir.</x:v>
      </x:c>
    </x:row>
    <x:row r="2317">
      <x:c r="A2317" s="14" t="n">
        <x:v>2316</x:v>
      </x:c>
      <x:c r="B2317" s="15" t="n">
        <x:v>46482</x:v>
      </x:c>
      <x:c r="C2317" s="14" t="str">
        <x:v>Pazartesi</x:v>
      </x:c>
      <x:c r="D2317" s="14" t="str">
        <x:v>Okul Günü</x:v>
      </x:c>
      <x:c r="E2317" s="14" t="str">
        <x:v>16:00 sonrası</x:v>
      </x:c>
      <x:c r="F2317" s="14" t="str">
        <x:v>F3 - Kaynak/MEB Tamamlama</x:v>
      </x:c>
      <x:c r="G2317" s="14" t="str">
        <x:v>17:10</x:v>
      </x:c>
      <x:c r="H2317" s="14" t="str">
        <x:v>17:55</x:v>
      </x:c>
      <x:c r="I2317" s="14" t="str">
        <x:v>Matematik</x:v>
      </x:c>
      <x:c r="J2317" s="14" t="str">
        <x:v>Kitap / MEB / Mastery</x:v>
      </x:c>
      <x:c r="K2317" s="14" t="str">
        <x:v>Kaynak Tamamlama / Zayıf Konu</x:v>
      </x:c>
      <x:c r="L2317" s="14" t="str">
        <x:v>13 Nisan %100 tamamlama hedefine göre en geride kalan Matematik soru kaynağını/eksik MEB setini ilerlet; açık yanlışları kapat.</x:v>
      </x:c>
      <x:c r="M2317" s="14" t="str">
        <x:v>MUBA 8. Sınıf Başlangıç Matematik (ISBN 9789756526972) → tamamlandıysa Mozaik 8. Sınıf Matematik; açık MEB/yanlışlar</x:v>
      </x:c>
      <x:c r="N2317" s="14" t="str">
        <x:v>https://odsgm.meb.gov.tr/www/8sinif-calisma-sorulari/icerik/1632</x:v>
      </x:c>
      <x:c r="O2317" s="14" t="n">
        <x:v>30</x:v>
      </x:c>
      <x:c r="P2317" s="14" t="str">
        <x:v>İlk 20 soru</x:v>
      </x:c>
      <x:c r="Q2317" s="14" t="str">
        <x:v>Evet</x:v>
      </x:c>
      <x:c r="R2317" s="14" t="str">
        <x:v>Planlandı</x:v>
      </x:c>
      <x:c r="S2317" s="15" t="str"/>
      <x:c r="T2317" s="14" t="str">
        <x:v>Ayrı/rastgele matematik benchmark yoktur. Süreli ilk 20 soru o gün çalışılan konunun içindedir.</x:v>
      </x:c>
    </x:row>
    <x:row r="2318">
      <x:c r="A2318" s="14" t="n">
        <x:v>2317</x:v>
      </x:c>
      <x:c r="B2318" s="15" t="n">
        <x:v>46482</x:v>
      </x:c>
      <x:c r="C2318" s="14" t="str">
        <x:v>Pazartesi</x:v>
      </x:c>
      <x:c r="D2318" s="14" t="str">
        <x:v>Okul Günü</x:v>
      </x:c>
      <x:c r="E2318" s="14" t="str">
        <x:v>16:00 sonrası</x:v>
      </x:c>
      <x:c r="F2318" s="14" t="str">
        <x:v>F3 - Kaynak/MEB Tamamlama</x:v>
      </x:c>
      <x:c r="G2318" s="14" t="str">
        <x:v>17:55</x:v>
      </x:c>
      <x:c r="H2318" s="14" t="str">
        <x:v>18:25</x:v>
      </x:c>
      <x:c r="I2318" s="14" t="str">
        <x:v>Genel</x:v>
      </x:c>
      <x:c r="J2318" s="14" t="str">
        <x:v>Yemek / Serbest Zaman</x:v>
      </x:c>
      <x:c r="K2318" s="14" t="str"/>
      <x:c r="L2318" s="14" t="str">
        <x:v>Yemek, hareket ve dinlenme.</x:v>
      </x:c>
      <x:c r="M2318" s="14" t="str"/>
      <x:c r="N2318" s="14" t="str"/>
      <x:c r="O2318" s="14" t="n">
        <x:v>0</x:v>
      </x:c>
      <x:c r="P2318" s="14" t="str">
        <x:v>Hayır</x:v>
      </x:c>
      <x:c r="Q2318" s="14" t="str">
        <x:v>Hayır</x:v>
      </x:c>
      <x:c r="R2318" s="14" t="str">
        <x:v>Planlandı</x:v>
      </x:c>
      <x:c r="S2318" s="15" t="str"/>
      <x:c r="T2318" s="14" t="str"/>
    </x:row>
    <x:row r="2319">
      <x:c r="A2319" s="14" t="n">
        <x:v>2318</x:v>
      </x:c>
      <x:c r="B2319" s="15" t="n">
        <x:v>46482</x:v>
      </x:c>
      <x:c r="C2319" s="14" t="str">
        <x:v>Pazartesi</x:v>
      </x:c>
      <x:c r="D2319" s="14" t="str">
        <x:v>Okul Günü</x:v>
      </x:c>
      <x:c r="E2319" s="14" t="str">
        <x:v>16:00 sonrası</x:v>
      </x:c>
      <x:c r="F2319" s="14" t="str">
        <x:v>F3 - Kaynak/MEB Tamamlama</x:v>
      </x:c>
      <x:c r="G2319" s="14" t="str">
        <x:v>18:25</x:v>
      </x:c>
      <x:c r="H2319" s="14" t="str">
        <x:v>18:55</x:v>
      </x:c>
      <x:c r="I2319" s="14" t="str">
        <x:v>Türkçe</x:v>
      </x:c>
      <x:c r="J2319" s="14" t="str">
        <x:v>Paragraf Rutini</x:v>
      </x:c>
      <x:c r="K2319" s="14" t="str">
        <x:v>Paragraf</x:v>
      </x:c>
      <x:c r="L2319" s="14" t="str">
        <x:v>En az 30 paragraf sorusu çöz; ilk 20 soruyu ileri sayımla ölç, D/Y/B + süre kaydet.</x:v>
      </x:c>
      <x:c r="M2319" s="14" t="str">
        <x:v>Hız 8. Sınıf Türkçe Paragraf (ISBN 9786258394498)</x:v>
      </x:c>
      <x:c r="N2319" s="14" t="str"/>
      <x:c r="O2319" s="14" t="n">
        <x:v>30</x:v>
      </x:c>
      <x:c r="P2319" s="14" t="str">
        <x:v>İlk 20 soru</x:v>
      </x:c>
      <x:c r="Q2319" s="14" t="str">
        <x:v>Evet</x:v>
      </x:c>
      <x:c r="R2319" s="14" t="str">
        <x:v>Planlandı</x:v>
      </x:c>
      <x:c r="S2319" s="15" t="str"/>
      <x:c r="T2319" s="14" t="str">
        <x:v>Geri sayım ve hedef süre yok.</x:v>
      </x:c>
    </x:row>
    <x:row r="2320">
      <x:c r="A2320" s="14" t="n">
        <x:v>2319</x:v>
      </x:c>
      <x:c r="B2320" s="15" t="n">
        <x:v>46482</x:v>
      </x:c>
      <x:c r="C2320" s="14" t="str">
        <x:v>Pazartesi</x:v>
      </x:c>
      <x:c r="D2320" s="14" t="str">
        <x:v>Okul Günü</x:v>
      </x:c>
      <x:c r="E2320" s="14" t="str">
        <x:v>16:00 sonrası</x:v>
      </x:c>
      <x:c r="F2320" s="14" t="str">
        <x:v>F3 - Kaynak/MEB Tamamlama</x:v>
      </x:c>
      <x:c r="G2320" s="14" t="str">
        <x:v>19:00</x:v>
      </x:c>
      <x:c r="H2320" s="14" t="str">
        <x:v>19:35</x:v>
      </x:c>
      <x:c r="I2320" s="14" t="str">
        <x:v>Türkçe</x:v>
      </x:c>
      <x:c r="J2320" s="14" t="str">
        <x:v>Konu / Tekrar</x:v>
      </x:c>
      <x:c r="K2320" s="14" t="str">
        <x:v>Kaynak Tamamlama / Zayıf Konu</x:v>
      </x:c>
      <x:c r="L2320" s="14" t="str">
        <x:v>Yeni konu açma. En zayıf/açık konunun ilgili playlist videosunu yalnız gerekiyorsa tekrar izle.</x:v>
      </x:c>
      <x:c r="M2320" s="14" t="str">
        <x:v>Türkçe Ana Oynatma Listesi</x:v>
      </x:c>
      <x:c r="N2320" s="14" t="str">
        <x:v>https://www.youtube.com/watch?v=VYsPntNKVdw&amp;list=PLIBjFaUoJJ91bz7QQEBlxNJNZka5YQRr6</x:v>
      </x:c>
      <x:c r="O2320" s="14" t="n">
        <x:v>0</x:v>
      </x:c>
      <x:c r="P2320" s="14" t="str">
        <x:v>Hayır</x:v>
      </x:c>
      <x:c r="Q2320" s="14" t="str">
        <x:v>Evet</x:v>
      </x:c>
      <x:c r="R2320" s="14" t="str">
        <x:v>Planlandı</x:v>
      </x:c>
      <x:c r="S2320" s="15" t="str"/>
      <x:c r="T2320" s="14" t="str">
        <x:v>TYT etiketli kaynak temelden başlamak için sabittir; LGS dışı gereksiz ayrıntı zorunlu değildir.</x:v>
      </x:c>
    </x:row>
    <x:row r="2321">
      <x:c r="A2321" s="14" t="n">
        <x:v>2320</x:v>
      </x:c>
      <x:c r="B2321" s="15" t="n">
        <x:v>46482</x:v>
      </x:c>
      <x:c r="C2321" s="14" t="str">
        <x:v>Pazartesi</x:v>
      </x:c>
      <x:c r="D2321" s="14" t="str">
        <x:v>Okul Günü</x:v>
      </x:c>
      <x:c r="E2321" s="14" t="str">
        <x:v>16:00 sonrası</x:v>
      </x:c>
      <x:c r="F2321" s="14" t="str">
        <x:v>F3 - Kaynak/MEB Tamamlama</x:v>
      </x:c>
      <x:c r="G2321" s="14" t="str">
        <x:v>19:40</x:v>
      </x:c>
      <x:c r="H2321" s="14" t="str">
        <x:v>20:10</x:v>
      </x:c>
      <x:c r="I2321" s="14" t="str">
        <x:v>Türkçe</x:v>
      </x:c>
      <x:c r="J2321" s="14" t="str">
        <x:v>Kitap / MEB / Mastery</x:v>
      </x:c>
      <x:c r="K2321" s="14" t="str">
        <x:v>Kaynak Tamamlama / Zayıf Konu</x:v>
      </x:c>
      <x:c r="L2321" s="14" t="str">
        <x:v>13 Nisan %100 tamamlama hedefine göre en geride kalan Türkçe soru kaynağını/eksik MEB setini ilerlet; açık yanlışları kapat.</x:v>
      </x:c>
      <x:c r="M2321" s="14" t="str">
        <x:v>Ankara 8. Sınıf Dil Bilgisi Güçlendiren + açık MEB/yanlışlar</x:v>
      </x:c>
      <x:c r="N2321" s="14" t="str">
        <x:v>https://odsgm.meb.gov.tr/www/8sinif-calisma-sorulari/icerik/1632</x:v>
      </x:c>
      <x:c r="O2321" s="14" t="n">
        <x:v>20</x:v>
      </x:c>
      <x:c r="P2321" s="14" t="str">
        <x:v>Hayır</x:v>
      </x:c>
      <x:c r="Q2321" s="14" t="str">
        <x:v>Evet</x:v>
      </x:c>
      <x:c r="R2321" s="14" t="str">
        <x:v>Planlandı</x:v>
      </x:c>
      <x:c r="S2321" s="15" t="str"/>
      <x:c r="T2321" s="14" t="str"/>
    </x:row>
    <x:row r="2322">
      <x:c r="A2322" s="14" t="n">
        <x:v>2321</x:v>
      </x:c>
      <x:c r="B2322" s="15" t="n">
        <x:v>46482</x:v>
      </x:c>
      <x:c r="C2322" s="14" t="str">
        <x:v>Pazartesi</x:v>
      </x:c>
      <x:c r="D2322" s="14" t="str">
        <x:v>Okul Günü</x:v>
      </x:c>
      <x:c r="E2322" s="14" t="str">
        <x:v>16:00 sonrası</x:v>
      </x:c>
      <x:c r="F2322" s="14" t="str">
        <x:v>F3 - Kaynak/MEB Tamamlama</x:v>
      </x:c>
      <x:c r="G2322" s="14" t="str">
        <x:v>20:15</x:v>
      </x:c>
      <x:c r="H2322" s="14" t="str">
        <x:v>20:50</x:v>
      </x:c>
      <x:c r="I2322" s="14" t="str">
        <x:v>İnkılap</x:v>
      </x:c>
      <x:c r="J2322" s="14" t="str">
        <x:v>Konu / Tekrar</x:v>
      </x:c>
      <x:c r="K2322" s="14" t="str">
        <x:v>Kaynak Tamamlama / Zayıf Konu</x:v>
      </x:c>
      <x:c r="L2322" s="14" t="str">
        <x:v>Yeni konu açma. En zayıf/açık konunun ilgili playlist videosunu yalnız gerekiyorsa tekrar izle.</x:v>
      </x:c>
      <x:c r="M2322" s="14" t="str">
        <x:v>İnkılap Genel Oynatma Listesi</x:v>
      </x:c>
      <x:c r="N2322" s="14" t="str">
        <x:v>https://www.youtube.com/watch?v=MltIX0oKpYU&amp;list=PLsAsBPsriHNbXit4Ra3iuBrk1ZHZWxsOR&amp;index=78</x:v>
      </x:c>
      <x:c r="O2322" s="14" t="n">
        <x:v>0</x:v>
      </x:c>
      <x:c r="P2322" s="14" t="str">
        <x:v>Hayır</x:v>
      </x:c>
      <x:c r="Q2322" s="14" t="str">
        <x:v>Evet</x:v>
      </x:c>
      <x:c r="R2322" s="14" t="str">
        <x:v>Planlandı</x:v>
      </x:c>
      <x:c r="S2322" s="15" t="str"/>
      <x:c r="T2322" s="14" t="str">
        <x:v>İnkılapta okul yazılısı videoları zorunlu değildir.</x:v>
      </x:c>
    </x:row>
    <x:row r="2323">
      <x:c r="A2323" s="14" t="n">
        <x:v>2322</x:v>
      </x:c>
      <x:c r="B2323" s="15" t="n">
        <x:v>46482</x:v>
      </x:c>
      <x:c r="C2323" s="14" t="str">
        <x:v>Pazartesi</x:v>
      </x:c>
      <x:c r="D2323" s="14" t="str">
        <x:v>Okul Günü</x:v>
      </x:c>
      <x:c r="E2323" s="14" t="str">
        <x:v>16:00 sonrası</x:v>
      </x:c>
      <x:c r="F2323" s="14" t="str">
        <x:v>F3 - Kaynak/MEB Tamamlama</x:v>
      </x:c>
      <x:c r="G2323" s="14" t="str">
        <x:v>20:55</x:v>
      </x:c>
      <x:c r="H2323" s="14" t="str">
        <x:v>21:20</x:v>
      </x:c>
      <x:c r="I2323" s="14" t="str">
        <x:v>İnkılap</x:v>
      </x:c>
      <x:c r="J2323" s="14" t="str">
        <x:v>Kitap / MEB / Mastery</x:v>
      </x:c>
      <x:c r="K2323" s="14" t="str">
        <x:v>Kaynak Tamamlama / Zayıf Konu</x:v>
      </x:c>
      <x:c r="L2323" s="14" t="str">
        <x:v>13 Nisan %100 tamamlama hedefine göre en geride kalan İnkılap soru kaynağını/eksik MEB setini ilerlet; açık yanlışları kapat.</x:v>
      </x:c>
      <x:c r="M2323" s="14" t="str">
        <x:v>Hız 8. Sınıf T.C. İnkılap Tarihi ve Atatürkçülük + açık MEB/yanlışlar</x:v>
      </x:c>
      <x:c r="N2323" s="14" t="str">
        <x:v>https://odsgm.meb.gov.tr/www/8sinif-calisma-sorulari/icerik/1632</x:v>
      </x:c>
      <x:c r="O2323" s="14" t="n">
        <x:v>20</x:v>
      </x:c>
      <x:c r="P2323" s="14" t="str">
        <x:v>Hayır</x:v>
      </x:c>
      <x:c r="Q2323" s="14" t="str">
        <x:v>Evet</x:v>
      </x:c>
      <x:c r="R2323" s="14" t="str">
        <x:v>Planlandı</x:v>
      </x:c>
      <x:c r="S2323" s="15" t="str"/>
      <x:c r="T2323" s="14" t="str"/>
    </x:row>
    <x:row r="2324">
      <x:c r="A2324" s="14" t="n">
        <x:v>2323</x:v>
      </x:c>
      <x:c r="B2324" s="15" t="n">
        <x:v>46482</x:v>
      </x:c>
      <x:c r="C2324" s="14" t="str">
        <x:v>Pazartesi</x:v>
      </x:c>
      <x:c r="D2324" s="14" t="str">
        <x:v>Okul Günü</x:v>
      </x:c>
      <x:c r="E2324" s="14" t="str">
        <x:v>16:00 sonrası</x:v>
      </x:c>
      <x:c r="F2324" s="14" t="str">
        <x:v>F3 - Kaynak/MEB Tamamlama</x:v>
      </x:c>
      <x:c r="G2324" s="14" t="str">
        <x:v>21:20</x:v>
      </x:c>
      <x:c r="H2324" s="14" t="str">
        <x:v>21:35</x:v>
      </x:c>
      <x:c r="I2324" s="14" t="str">
        <x:v>Genel</x:v>
      </x:c>
      <x:c r="J2324" s="14" t="str">
        <x:v>Yanlış / Boş Analizi</x:v>
      </x:c>
      <x:c r="K2324" s="14" t="str">
        <x:v>Günlük</x:v>
      </x:c>
      <x:c r="L2324" s="14" t="str">
        <x:v>Bugünkü yanlış/boşları kaydet; çözümünü öğrenmeden kapatma. Hata türünü sınıflandır.</x:v>
      </x:c>
      <x:c r="M2324" s="14" t="str">
        <x:v>Yanlış Defteri</x:v>
      </x:c>
      <x:c r="N2324" s="14" t="str"/>
      <x:c r="O2324" s="14" t="n">
        <x:v>0</x:v>
      </x:c>
      <x:c r="P2324" s="14" t="str">
        <x:v>Hayır</x:v>
      </x:c>
      <x:c r="Q2324" s="14" t="str">
        <x:v>Evet</x:v>
      </x:c>
      <x:c r="R2324" s="14" t="str">
        <x:v>Planlandı</x:v>
      </x:c>
      <x:c r="S2324" s="15" t="str"/>
      <x:c r="T2324" s="14" t="str"/>
    </x:row>
    <x:row r="2325">
      <x:c r="A2325" s="14" t="n">
        <x:v>2324</x:v>
      </x:c>
      <x:c r="B2325" s="15" t="n">
        <x:v>46482</x:v>
      </x:c>
      <x:c r="C2325" s="14" t="str">
        <x:v>Pazartesi</x:v>
      </x:c>
      <x:c r="D2325" s="14" t="str">
        <x:v>Okul Günü</x:v>
      </x:c>
      <x:c r="E2325" s="14" t="str">
        <x:v>16:00 sonrası</x:v>
      </x:c>
      <x:c r="F2325" s="14" t="str">
        <x:v>F3 - Kaynak/MEB Tamamlama</x:v>
      </x:c>
      <x:c r="G2325" s="14" t="str">
        <x:v>21:35</x:v>
      </x:c>
      <x:c r="H2325" s="14" t="str">
        <x:v>21:50</x:v>
      </x:c>
      <x:c r="I2325" s="14" t="str">
        <x:v>Genel</x:v>
      </x:c>
      <x:c r="J2325" s="14" t="str">
        <x:v>Aralıklı Hata Tekrarı</x:v>
      </x:c>
      <x:c r="K2325" s="14" t="str">
        <x:v>+1 / +7 / +21</x:v>
      </x:c>
      <x:c r="L2325" s="14" t="str">
        <x:v>Bugün vadesi gelen yanlış soruları tekrar çöz. Vadesi yoksa bu süre serbest/okuma olabilir.</x:v>
      </x:c>
      <x:c r="M2325" s="14" t="str">
        <x:v>Yanlış Defteri</x:v>
      </x:c>
      <x:c r="N2325" s="14" t="str"/>
      <x:c r="O2325" s="14" t="n">
        <x:v>0</x:v>
      </x:c>
      <x:c r="P2325" s="14" t="str">
        <x:v>Hayır</x:v>
      </x:c>
      <x:c r="Q2325" s="14" t="str">
        <x:v>Koşullu</x:v>
      </x:c>
      <x:c r="R2325" s="14" t="str">
        <x:v>Planlandı</x:v>
      </x:c>
      <x:c r="S2325" s="15" t="str"/>
      <x:c r="T2325" s="14" t="str">
        <x:v>Yanlışlar +1, +7 ve +21 gün aralıklarıyla tekrar edilir; hâlâ yanlışsa konu mastery durumu düşürülür.</x:v>
      </x:c>
    </x:row>
    <x:row r="2326">
      <x:c r="A2326" s="14" t="n">
        <x:v>2325</x:v>
      </x:c>
      <x:c r="B2326" s="15" t="n">
        <x:v>46482</x:v>
      </x:c>
      <x:c r="C2326" s="14" t="str">
        <x:v>Pazartesi</x:v>
      </x:c>
      <x:c r="D2326" s="14" t="str">
        <x:v>Okul Günü</x:v>
      </x:c>
      <x:c r="E2326" s="14" t="str">
        <x:v>16:00 sonrası</x:v>
      </x:c>
      <x:c r="F2326" s="14" t="str">
        <x:v>F3 - Kaynak/MEB Tamamlama</x:v>
      </x:c>
      <x:c r="G2326" s="14" t="str">
        <x:v>21:50</x:v>
      </x:c>
      <x:c r="H2326" s="14" t="str">
        <x:v>22:00</x:v>
      </x:c>
      <x:c r="I2326" s="14" t="str">
        <x:v>Genel</x:v>
      </x:c>
      <x:c r="J2326" s="14" t="str">
        <x:v>Uyku Hazırlığı</x:v>
      </x:c>
      <x:c r="K2326" s="14" t="str"/>
      <x:c r="L2326" s="14" t="str">
        <x:v>22:00'de yatakta ve uyku.</x:v>
      </x:c>
      <x:c r="M2326" s="14" t="str"/>
      <x:c r="N2326" s="14" t="str"/>
      <x:c r="O2326" s="14" t="n">
        <x:v>0</x:v>
      </x:c>
      <x:c r="P2326" s="14" t="str">
        <x:v>Hayır</x:v>
      </x:c>
      <x:c r="Q2326" s="14" t="str">
        <x:v>Hayır</x:v>
      </x:c>
      <x:c r="R2326" s="14" t="str">
        <x:v>Planlandı</x:v>
      </x:c>
      <x:c r="S2326" s="15" t="str"/>
      <x:c r="T2326" s="14" t="str"/>
    </x:row>
    <x:row r="2327">
      <x:c r="A2327" s="14" t="n">
        <x:v>2326</x:v>
      </x:c>
      <x:c r="B2327" s="15" t="n">
        <x:v>46483</x:v>
      </x:c>
      <x:c r="C2327" s="14" t="str">
        <x:v>Salı</x:v>
      </x:c>
      <x:c r="D2327" s="14" t="str">
        <x:v>Okul Günü</x:v>
      </x:c>
      <x:c r="E2327" s="14" t="str">
        <x:v>16:00 sonrası</x:v>
      </x:c>
      <x:c r="F2327" s="14" t="str">
        <x:v>F3 - Kaynak/MEB Tamamlama</x:v>
      </x:c>
      <x:c r="G2327" s="14" t="str">
        <x:v>16:00</x:v>
      </x:c>
      <x:c r="H2327" s="14" t="str">
        <x:v>16:25</x:v>
      </x:c>
      <x:c r="I2327" s="14" t="str">
        <x:v>Genel</x:v>
      </x:c>
      <x:c r="J2327" s="14" t="str">
        <x:v>Dinlenme</x:v>
      </x:c>
      <x:c r="K2327" s="14" t="str"/>
      <x:c r="L2327" s="14" t="str">
        <x:v>Eve geliş, atıştırma ve dinlenme.</x:v>
      </x:c>
      <x:c r="M2327" s="14" t="str"/>
      <x:c r="N2327" s="14" t="str"/>
      <x:c r="O2327" s="14" t="n">
        <x:v>0</x:v>
      </x:c>
      <x:c r="P2327" s="14" t="str">
        <x:v>Hayır</x:v>
      </x:c>
      <x:c r="Q2327" s="14" t="str">
        <x:v>Hayır</x:v>
      </x:c>
      <x:c r="R2327" s="14" t="str">
        <x:v>Planlandı</x:v>
      </x:c>
      <x:c r="S2327" s="15" t="str"/>
      <x:c r="T2327" s="14" t="str"/>
    </x:row>
    <x:row r="2328">
      <x:c r="A2328" s="14" t="n">
        <x:v>2327</x:v>
      </x:c>
      <x:c r="B2328" s="15" t="n">
        <x:v>46483</x:v>
      </x:c>
      <x:c r="C2328" s="14" t="str">
        <x:v>Salı</x:v>
      </x:c>
      <x:c r="D2328" s="14" t="str">
        <x:v>Okul Günü</x:v>
      </x:c>
      <x:c r="E2328" s="14" t="str">
        <x:v>16:00 sonrası</x:v>
      </x:c>
      <x:c r="F2328" s="14" t="str">
        <x:v>F3 - Kaynak/MEB Tamamlama</x:v>
      </x:c>
      <x:c r="G2328" s="14" t="str">
        <x:v>16:25</x:v>
      </x:c>
      <x:c r="H2328" s="14" t="str">
        <x:v>17:05</x:v>
      </x:c>
      <x:c r="I2328" s="14" t="str">
        <x:v>Matematik</x:v>
      </x:c>
      <x:c r="J2328" s="14" t="str">
        <x:v>Konu / Tekrar</x:v>
      </x:c>
      <x:c r="K2328" s="14" t="str">
        <x:v>Kaynak Tamamlama / Zayıf Konu</x:v>
      </x:c>
      <x:c r="L2328" s="14" t="str">
        <x:v>Yeni konu açma. En zayıf/açık konunun ilgili playlist videosunu yalnız gerekiyorsa tekrar izle.</x:v>
      </x:c>
      <x:c r="M2328" s="14" t="str">
        <x:v>Matematik Ana Oynatma Listesi</x:v>
      </x:c>
      <x:c r="N2328" s="14" t="str">
        <x:v>https://www.youtube.com/watch?v=EuJ89QzqrAg&amp;list=PLicNtF7vp6fnfDqrRLH6H7fIbzYT4ct4F&amp;index=11</x:v>
      </x:c>
      <x:c r="O2328" s="14" t="n">
        <x:v>0</x:v>
      </x:c>
      <x:c r="P2328" s="14" t="str">
        <x:v>Hayır</x:v>
      </x:c>
      <x:c r="Q2328" s="14" t="str">
        <x:v>Evet</x:v>
      </x:c>
      <x:c r="R2328" s="14" t="str">
        <x:v>Planlandı</x:v>
      </x:c>
      <x:c r="S2328" s="15" t="str"/>
      <x:c r="T2328" s="14" t="str">
        <x:v>Yeni konu ancak plan sırasıyla açılır; LGS dışı ileri TYT içeriği zorunlu değildir.</x:v>
      </x:c>
    </x:row>
    <x:row r="2329">
      <x:c r="A2329" s="14" t="n">
        <x:v>2328</x:v>
      </x:c>
      <x:c r="B2329" s="15" t="n">
        <x:v>46483</x:v>
      </x:c>
      <x:c r="C2329" s="14" t="str">
        <x:v>Salı</x:v>
      </x:c>
      <x:c r="D2329" s="14" t="str">
        <x:v>Okul Günü</x:v>
      </x:c>
      <x:c r="E2329" s="14" t="str">
        <x:v>16:00 sonrası</x:v>
      </x:c>
      <x:c r="F2329" s="14" t="str">
        <x:v>F3 - Kaynak/MEB Tamamlama</x:v>
      </x:c>
      <x:c r="G2329" s="14" t="str">
        <x:v>17:10</x:v>
      </x:c>
      <x:c r="H2329" s="14" t="str">
        <x:v>17:55</x:v>
      </x:c>
      <x:c r="I2329" s="14" t="str">
        <x:v>Matematik</x:v>
      </x:c>
      <x:c r="J2329" s="14" t="str">
        <x:v>Kitap / MEB / Mastery</x:v>
      </x:c>
      <x:c r="K2329" s="14" t="str">
        <x:v>Kaynak Tamamlama / Zayıf Konu</x:v>
      </x:c>
      <x:c r="L2329" s="14" t="str">
        <x:v>13 Nisan %100 tamamlama hedefine göre en geride kalan Matematik soru kaynağını/eksik MEB setini ilerlet; açık yanlışları kapat.</x:v>
      </x:c>
      <x:c r="M2329" s="14" t="str">
        <x:v>MUBA 8. Sınıf Başlangıç Matematik (ISBN 9789756526972) → tamamlandıysa Mozaik 8. Sınıf Matematik; açık MEB/yanlışlar</x:v>
      </x:c>
      <x:c r="N2329" s="14" t="str">
        <x:v>https://odsgm.meb.gov.tr/www/8sinif-calisma-sorulari/icerik/1632</x:v>
      </x:c>
      <x:c r="O2329" s="14" t="n">
        <x:v>30</x:v>
      </x:c>
      <x:c r="P2329" s="14" t="str">
        <x:v>İlk 20 soru</x:v>
      </x:c>
      <x:c r="Q2329" s="14" t="str">
        <x:v>Evet</x:v>
      </x:c>
      <x:c r="R2329" s="14" t="str">
        <x:v>Planlandı</x:v>
      </x:c>
      <x:c r="S2329" s="15" t="str"/>
      <x:c r="T2329" s="14" t="str">
        <x:v>Ayrı/rastgele matematik benchmark yoktur. Süreli ilk 20 soru o gün çalışılan konunun içindedir.</x:v>
      </x:c>
    </x:row>
    <x:row r="2330">
      <x:c r="A2330" s="14" t="n">
        <x:v>2329</x:v>
      </x:c>
      <x:c r="B2330" s="15" t="n">
        <x:v>46483</x:v>
      </x:c>
      <x:c r="C2330" s="14" t="str">
        <x:v>Salı</x:v>
      </x:c>
      <x:c r="D2330" s="14" t="str">
        <x:v>Okul Günü</x:v>
      </x:c>
      <x:c r="E2330" s="14" t="str">
        <x:v>16:00 sonrası</x:v>
      </x:c>
      <x:c r="F2330" s="14" t="str">
        <x:v>F3 - Kaynak/MEB Tamamlama</x:v>
      </x:c>
      <x:c r="G2330" s="14" t="str">
        <x:v>17:55</x:v>
      </x:c>
      <x:c r="H2330" s="14" t="str">
        <x:v>18:25</x:v>
      </x:c>
      <x:c r="I2330" s="14" t="str">
        <x:v>Genel</x:v>
      </x:c>
      <x:c r="J2330" s="14" t="str">
        <x:v>Yemek / Serbest Zaman</x:v>
      </x:c>
      <x:c r="K2330" s="14" t="str"/>
      <x:c r="L2330" s="14" t="str">
        <x:v>Yemek, hareket ve dinlenme.</x:v>
      </x:c>
      <x:c r="M2330" s="14" t="str"/>
      <x:c r="N2330" s="14" t="str"/>
      <x:c r="O2330" s="14" t="n">
        <x:v>0</x:v>
      </x:c>
      <x:c r="P2330" s="14" t="str">
        <x:v>Hayır</x:v>
      </x:c>
      <x:c r="Q2330" s="14" t="str">
        <x:v>Hayır</x:v>
      </x:c>
      <x:c r="R2330" s="14" t="str">
        <x:v>Planlandı</x:v>
      </x:c>
      <x:c r="S2330" s="15" t="str"/>
      <x:c r="T2330" s="14" t="str"/>
    </x:row>
    <x:row r="2331">
      <x:c r="A2331" s="14" t="n">
        <x:v>2330</x:v>
      </x:c>
      <x:c r="B2331" s="15" t="n">
        <x:v>46483</x:v>
      </x:c>
      <x:c r="C2331" s="14" t="str">
        <x:v>Salı</x:v>
      </x:c>
      <x:c r="D2331" s="14" t="str">
        <x:v>Okul Günü</x:v>
      </x:c>
      <x:c r="E2331" s="14" t="str">
        <x:v>16:00 sonrası</x:v>
      </x:c>
      <x:c r="F2331" s="14" t="str">
        <x:v>F3 - Kaynak/MEB Tamamlama</x:v>
      </x:c>
      <x:c r="G2331" s="14" t="str">
        <x:v>18:25</x:v>
      </x:c>
      <x:c r="H2331" s="14" t="str">
        <x:v>18:55</x:v>
      </x:c>
      <x:c r="I2331" s="14" t="str">
        <x:v>Türkçe</x:v>
      </x:c>
      <x:c r="J2331" s="14" t="str">
        <x:v>Paragraf Rutini</x:v>
      </x:c>
      <x:c r="K2331" s="14" t="str">
        <x:v>Paragraf</x:v>
      </x:c>
      <x:c r="L2331" s="14" t="str">
        <x:v>En az 30 paragraf sorusu çöz; ilk 20 soruyu ileri sayımla ölç, D/Y/B + süre kaydet.</x:v>
      </x:c>
      <x:c r="M2331" s="14" t="str">
        <x:v>Hız 8. Sınıf Türkçe Paragraf (ISBN 9786258394498)</x:v>
      </x:c>
      <x:c r="N2331" s="14" t="str"/>
      <x:c r="O2331" s="14" t="n">
        <x:v>30</x:v>
      </x:c>
      <x:c r="P2331" s="14" t="str">
        <x:v>İlk 20 soru</x:v>
      </x:c>
      <x:c r="Q2331" s="14" t="str">
        <x:v>Evet</x:v>
      </x:c>
      <x:c r="R2331" s="14" t="str">
        <x:v>Planlandı</x:v>
      </x:c>
      <x:c r="S2331" s="15" t="str"/>
      <x:c r="T2331" s="14" t="str">
        <x:v>Geri sayım ve hedef süre yok.</x:v>
      </x:c>
    </x:row>
    <x:row r="2332">
      <x:c r="A2332" s="14" t="n">
        <x:v>2331</x:v>
      </x:c>
      <x:c r="B2332" s="15" t="n">
        <x:v>46483</x:v>
      </x:c>
      <x:c r="C2332" s="14" t="str">
        <x:v>Salı</x:v>
      </x:c>
      <x:c r="D2332" s="14" t="str">
        <x:v>Okul Günü</x:v>
      </x:c>
      <x:c r="E2332" s="14" t="str">
        <x:v>16:00 sonrası</x:v>
      </x:c>
      <x:c r="F2332" s="14" t="str">
        <x:v>F3 - Kaynak/MEB Tamamlama</x:v>
      </x:c>
      <x:c r="G2332" s="14" t="str">
        <x:v>19:00</x:v>
      </x:c>
      <x:c r="H2332" s="14" t="str">
        <x:v>19:35</x:v>
      </x:c>
      <x:c r="I2332" s="14" t="str">
        <x:v>Türkçe</x:v>
      </x:c>
      <x:c r="J2332" s="14" t="str">
        <x:v>Konu / Tekrar</x:v>
      </x:c>
      <x:c r="K2332" s="14" t="str">
        <x:v>Kaynak Tamamlama / Zayıf Konu</x:v>
      </x:c>
      <x:c r="L2332" s="14" t="str">
        <x:v>Yeni konu açma. En zayıf/açık konunun ilgili playlist videosunu yalnız gerekiyorsa tekrar izle.</x:v>
      </x:c>
      <x:c r="M2332" s="14" t="str">
        <x:v>Türkçe Ana Oynatma Listesi</x:v>
      </x:c>
      <x:c r="N2332" s="14" t="str">
        <x:v>https://www.youtube.com/watch?v=VYsPntNKVdw&amp;list=PLIBjFaUoJJ91bz7QQEBlxNJNZka5YQRr6</x:v>
      </x:c>
      <x:c r="O2332" s="14" t="n">
        <x:v>0</x:v>
      </x:c>
      <x:c r="P2332" s="14" t="str">
        <x:v>Hayır</x:v>
      </x:c>
      <x:c r="Q2332" s="14" t="str">
        <x:v>Evet</x:v>
      </x:c>
      <x:c r="R2332" s="14" t="str">
        <x:v>Planlandı</x:v>
      </x:c>
      <x:c r="S2332" s="15" t="str"/>
      <x:c r="T2332" s="14" t="str">
        <x:v>TYT etiketli kaynak temelden başlamak için sabittir; LGS dışı gereksiz ayrıntı zorunlu değildir.</x:v>
      </x:c>
    </x:row>
    <x:row r="2333">
      <x:c r="A2333" s="14" t="n">
        <x:v>2332</x:v>
      </x:c>
      <x:c r="B2333" s="15" t="n">
        <x:v>46483</x:v>
      </x:c>
      <x:c r="C2333" s="14" t="str">
        <x:v>Salı</x:v>
      </x:c>
      <x:c r="D2333" s="14" t="str">
        <x:v>Okul Günü</x:v>
      </x:c>
      <x:c r="E2333" s="14" t="str">
        <x:v>16:00 sonrası</x:v>
      </x:c>
      <x:c r="F2333" s="14" t="str">
        <x:v>F3 - Kaynak/MEB Tamamlama</x:v>
      </x:c>
      <x:c r="G2333" s="14" t="str">
        <x:v>19:40</x:v>
      </x:c>
      <x:c r="H2333" s="14" t="str">
        <x:v>20:10</x:v>
      </x:c>
      <x:c r="I2333" s="14" t="str">
        <x:v>Türkçe</x:v>
      </x:c>
      <x:c r="J2333" s="14" t="str">
        <x:v>Kitap / MEB / Mastery</x:v>
      </x:c>
      <x:c r="K2333" s="14" t="str">
        <x:v>Kaynak Tamamlama / Zayıf Konu</x:v>
      </x:c>
      <x:c r="L2333" s="14" t="str">
        <x:v>13 Nisan %100 tamamlama hedefine göre en geride kalan Türkçe soru kaynağını/eksik MEB setini ilerlet; açık yanlışları kapat.</x:v>
      </x:c>
      <x:c r="M2333" s="14" t="str">
        <x:v>Ankara 8. Sınıf Dil Bilgisi Güçlendiren + açık MEB/yanlışlar</x:v>
      </x:c>
      <x:c r="N2333" s="14" t="str">
        <x:v>https://odsgm.meb.gov.tr/www/8sinif-calisma-sorulari/icerik/1632</x:v>
      </x:c>
      <x:c r="O2333" s="14" t="n">
        <x:v>20</x:v>
      </x:c>
      <x:c r="P2333" s="14" t="str">
        <x:v>Hayır</x:v>
      </x:c>
      <x:c r="Q2333" s="14" t="str">
        <x:v>Evet</x:v>
      </x:c>
      <x:c r="R2333" s="14" t="str">
        <x:v>Planlandı</x:v>
      </x:c>
      <x:c r="S2333" s="15" t="str"/>
      <x:c r="T2333" s="14" t="str"/>
    </x:row>
    <x:row r="2334">
      <x:c r="A2334" s="14" t="n">
        <x:v>2333</x:v>
      </x:c>
      <x:c r="B2334" s="15" t="n">
        <x:v>46483</x:v>
      </x:c>
      <x:c r="C2334" s="14" t="str">
        <x:v>Salı</x:v>
      </x:c>
      <x:c r="D2334" s="14" t="str">
        <x:v>Okul Günü</x:v>
      </x:c>
      <x:c r="E2334" s="14" t="str">
        <x:v>16:00 sonrası</x:v>
      </x:c>
      <x:c r="F2334" s="14" t="str">
        <x:v>F3 - Kaynak/MEB Tamamlama</x:v>
      </x:c>
      <x:c r="G2334" s="14" t="str">
        <x:v>20:15</x:v>
      </x:c>
      <x:c r="H2334" s="14" t="str">
        <x:v>20:50</x:v>
      </x:c>
      <x:c r="I2334" s="14" t="str">
        <x:v>İngilizce</x:v>
      </x:c>
      <x:c r="J2334" s="14" t="str">
        <x:v>Konu / Tekrar</x:v>
      </x:c>
      <x:c r="K2334" s="14" t="str">
        <x:v>Kaynak Tamamlama / Zayıf Konu</x:v>
      </x:c>
      <x:c r="L2334" s="14" t="str">
        <x:v>Yeni konu açma. En zayıf/açık konunun ilgili playlist videosunu yalnız gerekiyorsa tekrar izle.</x:v>
      </x:c>
      <x:c r="M2334" s="14" t="str">
        <x:v>İngilizce Genel Oynatma Listesi</x:v>
      </x:c>
      <x:c r="N2334" s="14" t="str">
        <x:v>https://www.youtube.com/watch?v=FaY3dFjZbns&amp;list=PLSgpQDrUSYp94WgE9pzpHiOG5FwxnZBrr</x:v>
      </x:c>
      <x:c r="O2334" s="14" t="n">
        <x:v>0</x:v>
      </x:c>
      <x:c r="P2334" s="14" t="str">
        <x:v>Hayır</x:v>
      </x:c>
      <x:c r="Q2334" s="14" t="str">
        <x:v>Evet</x:v>
      </x:c>
      <x:c r="R2334" s="14" t="str">
        <x:v>Planlandı</x:v>
      </x:c>
      <x:c r="S2334" s="15" t="str"/>
      <x:c r="T2334" s="14" t="str"/>
    </x:row>
    <x:row r="2335">
      <x:c r="A2335" s="14" t="n">
        <x:v>2334</x:v>
      </x:c>
      <x:c r="B2335" s="15" t="n">
        <x:v>46483</x:v>
      </x:c>
      <x:c r="C2335" s="14" t="str">
        <x:v>Salı</x:v>
      </x:c>
      <x:c r="D2335" s="14" t="str">
        <x:v>Okul Günü</x:v>
      </x:c>
      <x:c r="E2335" s="14" t="str">
        <x:v>16:00 sonrası</x:v>
      </x:c>
      <x:c r="F2335" s="14" t="str">
        <x:v>F3 - Kaynak/MEB Tamamlama</x:v>
      </x:c>
      <x:c r="G2335" s="14" t="str">
        <x:v>20:55</x:v>
      </x:c>
      <x:c r="H2335" s="14" t="str">
        <x:v>21:20</x:v>
      </x:c>
      <x:c r="I2335" s="14" t="str">
        <x:v>İngilizce</x:v>
      </x:c>
      <x:c r="J2335" s="14" t="str">
        <x:v>Kitap / MEB / Mastery</x:v>
      </x:c>
      <x:c r="K2335" s="14" t="str">
        <x:v>Kaynak Tamamlama / Zayıf Konu</x:v>
      </x:c>
      <x:c r="L2335" s="14" t="str">
        <x:v>13 Nisan %100 tamamlama hedefine göre en geride kalan İngilizce soru kaynağını/eksik MEB setini ilerlet; açık yanlışları kapat.</x:v>
      </x:c>
      <x:c r="M2335" s="14" t="str">
        <x:v>More &amp; More 8 Worksheets Notebook + açık MEB/yanlışlar</x:v>
      </x:c>
      <x:c r="N2335" s="14" t="str">
        <x:v>https://odsgm.meb.gov.tr/www/8sinif-calisma-sorulari/icerik/1632</x:v>
      </x:c>
      <x:c r="O2335" s="14" t="n">
        <x:v>20</x:v>
      </x:c>
      <x:c r="P2335" s="14" t="str">
        <x:v>Hayır</x:v>
      </x:c>
      <x:c r="Q2335" s="14" t="str">
        <x:v>Evet</x:v>
      </x:c>
      <x:c r="R2335" s="14" t="str">
        <x:v>Planlandı</x:v>
      </x:c>
      <x:c r="S2335" s="15" t="str"/>
      <x:c r="T2335" s="14" t="str"/>
    </x:row>
    <x:row r="2336">
      <x:c r="A2336" s="14" t="n">
        <x:v>2335</x:v>
      </x:c>
      <x:c r="B2336" s="15" t="n">
        <x:v>46483</x:v>
      </x:c>
      <x:c r="C2336" s="14" t="str">
        <x:v>Salı</x:v>
      </x:c>
      <x:c r="D2336" s="14" t="str">
        <x:v>Okul Günü</x:v>
      </x:c>
      <x:c r="E2336" s="14" t="str">
        <x:v>16:00 sonrası</x:v>
      </x:c>
      <x:c r="F2336" s="14" t="str">
        <x:v>F3 - Kaynak/MEB Tamamlama</x:v>
      </x:c>
      <x:c r="G2336" s="14" t="str">
        <x:v>21:20</x:v>
      </x:c>
      <x:c r="H2336" s="14" t="str">
        <x:v>21:35</x:v>
      </x:c>
      <x:c r="I2336" s="14" t="str">
        <x:v>Genel</x:v>
      </x:c>
      <x:c r="J2336" s="14" t="str">
        <x:v>Yanlış / Boş Analizi</x:v>
      </x:c>
      <x:c r="K2336" s="14" t="str">
        <x:v>Günlük</x:v>
      </x:c>
      <x:c r="L2336" s="14" t="str">
        <x:v>Bugünkü yanlış/boşları kaydet; çözümünü öğrenmeden kapatma. Hata türünü sınıflandır.</x:v>
      </x:c>
      <x:c r="M2336" s="14" t="str">
        <x:v>Yanlış Defteri</x:v>
      </x:c>
      <x:c r="N2336" s="14" t="str"/>
      <x:c r="O2336" s="14" t="n">
        <x:v>0</x:v>
      </x:c>
      <x:c r="P2336" s="14" t="str">
        <x:v>Hayır</x:v>
      </x:c>
      <x:c r="Q2336" s="14" t="str">
        <x:v>Evet</x:v>
      </x:c>
      <x:c r="R2336" s="14" t="str">
        <x:v>Planlandı</x:v>
      </x:c>
      <x:c r="S2336" s="15" t="str"/>
      <x:c r="T2336" s="14" t="str"/>
    </x:row>
    <x:row r="2337">
      <x:c r="A2337" s="14" t="n">
        <x:v>2336</x:v>
      </x:c>
      <x:c r="B2337" s="15" t="n">
        <x:v>46483</x:v>
      </x:c>
      <x:c r="C2337" s="14" t="str">
        <x:v>Salı</x:v>
      </x:c>
      <x:c r="D2337" s="14" t="str">
        <x:v>Okul Günü</x:v>
      </x:c>
      <x:c r="E2337" s="14" t="str">
        <x:v>16:00 sonrası</x:v>
      </x:c>
      <x:c r="F2337" s="14" t="str">
        <x:v>F3 - Kaynak/MEB Tamamlama</x:v>
      </x:c>
      <x:c r="G2337" s="14" t="str">
        <x:v>21:35</x:v>
      </x:c>
      <x:c r="H2337" s="14" t="str">
        <x:v>21:50</x:v>
      </x:c>
      <x:c r="I2337" s="14" t="str">
        <x:v>Genel</x:v>
      </x:c>
      <x:c r="J2337" s="14" t="str">
        <x:v>Aralıklı Hata Tekrarı</x:v>
      </x:c>
      <x:c r="K2337" s="14" t="str">
        <x:v>+1 / +7 / +21</x:v>
      </x:c>
      <x:c r="L2337" s="14" t="str">
        <x:v>Bugün vadesi gelen yanlış soruları tekrar çöz. Vadesi yoksa bu süre serbest/okuma olabilir.</x:v>
      </x:c>
      <x:c r="M2337" s="14" t="str">
        <x:v>Yanlış Defteri</x:v>
      </x:c>
      <x:c r="N2337" s="14" t="str"/>
      <x:c r="O2337" s="14" t="n">
        <x:v>0</x:v>
      </x:c>
      <x:c r="P2337" s="14" t="str">
        <x:v>Hayır</x:v>
      </x:c>
      <x:c r="Q2337" s="14" t="str">
        <x:v>Koşullu</x:v>
      </x:c>
      <x:c r="R2337" s="14" t="str">
        <x:v>Planlandı</x:v>
      </x:c>
      <x:c r="S2337" s="15" t="str"/>
      <x:c r="T2337" s="14" t="str">
        <x:v>Yanlışlar +1, +7 ve +21 gün aralıklarıyla tekrar edilir; hâlâ yanlışsa konu mastery durumu düşürülür.</x:v>
      </x:c>
    </x:row>
    <x:row r="2338">
      <x:c r="A2338" s="14" t="n">
        <x:v>2337</x:v>
      </x:c>
      <x:c r="B2338" s="15" t="n">
        <x:v>46483</x:v>
      </x:c>
      <x:c r="C2338" s="14" t="str">
        <x:v>Salı</x:v>
      </x:c>
      <x:c r="D2338" s="14" t="str">
        <x:v>Okul Günü</x:v>
      </x:c>
      <x:c r="E2338" s="14" t="str">
        <x:v>16:00 sonrası</x:v>
      </x:c>
      <x:c r="F2338" s="14" t="str">
        <x:v>F3 - Kaynak/MEB Tamamlama</x:v>
      </x:c>
      <x:c r="G2338" s="14" t="str">
        <x:v>21:50</x:v>
      </x:c>
      <x:c r="H2338" s="14" t="str">
        <x:v>22:00</x:v>
      </x:c>
      <x:c r="I2338" s="14" t="str">
        <x:v>Genel</x:v>
      </x:c>
      <x:c r="J2338" s="14" t="str">
        <x:v>Uyku Hazırlığı</x:v>
      </x:c>
      <x:c r="K2338" s="14" t="str"/>
      <x:c r="L2338" s="14" t="str">
        <x:v>22:00'de yatakta ve uyku.</x:v>
      </x:c>
      <x:c r="M2338" s="14" t="str"/>
      <x:c r="N2338" s="14" t="str"/>
      <x:c r="O2338" s="14" t="n">
        <x:v>0</x:v>
      </x:c>
      <x:c r="P2338" s="14" t="str">
        <x:v>Hayır</x:v>
      </x:c>
      <x:c r="Q2338" s="14" t="str">
        <x:v>Hayır</x:v>
      </x:c>
      <x:c r="R2338" s="14" t="str">
        <x:v>Planlandı</x:v>
      </x:c>
      <x:c r="S2338" s="15" t="str"/>
      <x:c r="T2338" s="14" t="str"/>
    </x:row>
    <x:row r="2339">
      <x:c r="A2339" s="14" t="n">
        <x:v>2338</x:v>
      </x:c>
      <x:c r="B2339" s="15" t="n">
        <x:v>46484</x:v>
      </x:c>
      <x:c r="C2339" s="14" t="str">
        <x:v>Çarşamba</x:v>
      </x:c>
      <x:c r="D2339" s="14" t="str">
        <x:v>Okul Günü</x:v>
      </x:c>
      <x:c r="E2339" s="14" t="str">
        <x:v>16:00 sonrası</x:v>
      </x:c>
      <x:c r="F2339" s="14" t="str">
        <x:v>F3 - Kaynak/MEB Tamamlama</x:v>
      </x:c>
      <x:c r="G2339" s="14" t="str">
        <x:v>16:00</x:v>
      </x:c>
      <x:c r="H2339" s="14" t="str">
        <x:v>16:25</x:v>
      </x:c>
      <x:c r="I2339" s="14" t="str">
        <x:v>Genel</x:v>
      </x:c>
      <x:c r="J2339" s="14" t="str">
        <x:v>Dinlenme</x:v>
      </x:c>
      <x:c r="K2339" s="14" t="str"/>
      <x:c r="L2339" s="14" t="str">
        <x:v>Eve geliş, atıştırma ve dinlenme.</x:v>
      </x:c>
      <x:c r="M2339" s="14" t="str"/>
      <x:c r="N2339" s="14" t="str"/>
      <x:c r="O2339" s="14" t="n">
        <x:v>0</x:v>
      </x:c>
      <x:c r="P2339" s="14" t="str">
        <x:v>Hayır</x:v>
      </x:c>
      <x:c r="Q2339" s="14" t="str">
        <x:v>Hayır</x:v>
      </x:c>
      <x:c r="R2339" s="14" t="str">
        <x:v>Planlandı</x:v>
      </x:c>
      <x:c r="S2339" s="15" t="str"/>
      <x:c r="T2339" s="14" t="str"/>
    </x:row>
    <x:row r="2340">
      <x:c r="A2340" s="14" t="n">
        <x:v>2339</x:v>
      </x:c>
      <x:c r="B2340" s="15" t="n">
        <x:v>46484</x:v>
      </x:c>
      <x:c r="C2340" s="14" t="str">
        <x:v>Çarşamba</x:v>
      </x:c>
      <x:c r="D2340" s="14" t="str">
        <x:v>Okul Günü</x:v>
      </x:c>
      <x:c r="E2340" s="14" t="str">
        <x:v>16:00 sonrası</x:v>
      </x:c>
      <x:c r="F2340" s="14" t="str">
        <x:v>F3 - Kaynak/MEB Tamamlama</x:v>
      </x:c>
      <x:c r="G2340" s="14" t="str">
        <x:v>16:25</x:v>
      </x:c>
      <x:c r="H2340" s="14" t="str">
        <x:v>17:05</x:v>
      </x:c>
      <x:c r="I2340" s="14" t="str">
        <x:v>Matematik</x:v>
      </x:c>
      <x:c r="J2340" s="14" t="str">
        <x:v>Konu / Tekrar</x:v>
      </x:c>
      <x:c r="K2340" s="14" t="str">
        <x:v>Kaynak Tamamlama / Zayıf Konu</x:v>
      </x:c>
      <x:c r="L2340" s="14" t="str">
        <x:v>Yeni konu açma. En zayıf/açık konunun ilgili playlist videosunu yalnız gerekiyorsa tekrar izle.</x:v>
      </x:c>
      <x:c r="M2340" s="14" t="str">
        <x:v>Matematik Ana Oynatma Listesi</x:v>
      </x:c>
      <x:c r="N2340" s="14" t="str">
        <x:v>https://www.youtube.com/watch?v=EuJ89QzqrAg&amp;list=PLicNtF7vp6fnfDqrRLH6H7fIbzYT4ct4F&amp;index=11</x:v>
      </x:c>
      <x:c r="O2340" s="14" t="n">
        <x:v>0</x:v>
      </x:c>
      <x:c r="P2340" s="14" t="str">
        <x:v>Hayır</x:v>
      </x:c>
      <x:c r="Q2340" s="14" t="str">
        <x:v>Evet</x:v>
      </x:c>
      <x:c r="R2340" s="14" t="str">
        <x:v>Planlandı</x:v>
      </x:c>
      <x:c r="S2340" s="15" t="str"/>
      <x:c r="T2340" s="14" t="str">
        <x:v>Yeni konu ancak plan sırasıyla açılır; LGS dışı ileri TYT içeriği zorunlu değildir.</x:v>
      </x:c>
    </x:row>
    <x:row r="2341">
      <x:c r="A2341" s="14" t="n">
        <x:v>2340</x:v>
      </x:c>
      <x:c r="B2341" s="15" t="n">
        <x:v>46484</x:v>
      </x:c>
      <x:c r="C2341" s="14" t="str">
        <x:v>Çarşamba</x:v>
      </x:c>
      <x:c r="D2341" s="14" t="str">
        <x:v>Okul Günü</x:v>
      </x:c>
      <x:c r="E2341" s="14" t="str">
        <x:v>16:00 sonrası</x:v>
      </x:c>
      <x:c r="F2341" s="14" t="str">
        <x:v>F3 - Kaynak/MEB Tamamlama</x:v>
      </x:c>
      <x:c r="G2341" s="14" t="str">
        <x:v>17:10</x:v>
      </x:c>
      <x:c r="H2341" s="14" t="str">
        <x:v>17:55</x:v>
      </x:c>
      <x:c r="I2341" s="14" t="str">
        <x:v>Matematik</x:v>
      </x:c>
      <x:c r="J2341" s="14" t="str">
        <x:v>Kitap / MEB / Mastery</x:v>
      </x:c>
      <x:c r="K2341" s="14" t="str">
        <x:v>Kaynak Tamamlama / Zayıf Konu</x:v>
      </x:c>
      <x:c r="L2341" s="14" t="str">
        <x:v>13 Nisan %100 tamamlama hedefine göre en geride kalan Matematik soru kaynağını/eksik MEB setini ilerlet; açık yanlışları kapat.</x:v>
      </x:c>
      <x:c r="M2341" s="14" t="str">
        <x:v>MUBA 8. Sınıf Başlangıç Matematik (ISBN 9789756526972) → tamamlandıysa Mozaik 8. Sınıf Matematik; açık MEB/yanlışlar</x:v>
      </x:c>
      <x:c r="N2341" s="14" t="str">
        <x:v>https://odsgm.meb.gov.tr/www/8sinif-calisma-sorulari/icerik/1632</x:v>
      </x:c>
      <x:c r="O2341" s="14" t="n">
        <x:v>30</x:v>
      </x:c>
      <x:c r="P2341" s="14" t="str">
        <x:v>İlk 20 soru</x:v>
      </x:c>
      <x:c r="Q2341" s="14" t="str">
        <x:v>Evet</x:v>
      </x:c>
      <x:c r="R2341" s="14" t="str">
        <x:v>Planlandı</x:v>
      </x:c>
      <x:c r="S2341" s="15" t="str"/>
      <x:c r="T2341" s="14" t="str">
        <x:v>Ayrı/rastgele matematik benchmark yoktur. Süreli ilk 20 soru o gün çalışılan konunun içindedir.</x:v>
      </x:c>
    </x:row>
    <x:row r="2342">
      <x:c r="A2342" s="14" t="n">
        <x:v>2341</x:v>
      </x:c>
      <x:c r="B2342" s="15" t="n">
        <x:v>46484</x:v>
      </x:c>
      <x:c r="C2342" s="14" t="str">
        <x:v>Çarşamba</x:v>
      </x:c>
      <x:c r="D2342" s="14" t="str">
        <x:v>Okul Günü</x:v>
      </x:c>
      <x:c r="E2342" s="14" t="str">
        <x:v>16:00 sonrası</x:v>
      </x:c>
      <x:c r="F2342" s="14" t="str">
        <x:v>F3 - Kaynak/MEB Tamamlama</x:v>
      </x:c>
      <x:c r="G2342" s="14" t="str">
        <x:v>17:55</x:v>
      </x:c>
      <x:c r="H2342" s="14" t="str">
        <x:v>18:25</x:v>
      </x:c>
      <x:c r="I2342" s="14" t="str">
        <x:v>Genel</x:v>
      </x:c>
      <x:c r="J2342" s="14" t="str">
        <x:v>Yemek / Serbest Zaman</x:v>
      </x:c>
      <x:c r="K2342" s="14" t="str"/>
      <x:c r="L2342" s="14" t="str">
        <x:v>Yemek, hareket ve dinlenme.</x:v>
      </x:c>
      <x:c r="M2342" s="14" t="str"/>
      <x:c r="N2342" s="14" t="str"/>
      <x:c r="O2342" s="14" t="n">
        <x:v>0</x:v>
      </x:c>
      <x:c r="P2342" s="14" t="str">
        <x:v>Hayır</x:v>
      </x:c>
      <x:c r="Q2342" s="14" t="str">
        <x:v>Hayır</x:v>
      </x:c>
      <x:c r="R2342" s="14" t="str">
        <x:v>Planlandı</x:v>
      </x:c>
      <x:c r="S2342" s="15" t="str"/>
      <x:c r="T2342" s="14" t="str"/>
    </x:row>
    <x:row r="2343">
      <x:c r="A2343" s="14" t="n">
        <x:v>2342</x:v>
      </x:c>
      <x:c r="B2343" s="15" t="n">
        <x:v>46484</x:v>
      </x:c>
      <x:c r="C2343" s="14" t="str">
        <x:v>Çarşamba</x:v>
      </x:c>
      <x:c r="D2343" s="14" t="str">
        <x:v>Okul Günü</x:v>
      </x:c>
      <x:c r="E2343" s="14" t="str">
        <x:v>16:00 sonrası</x:v>
      </x:c>
      <x:c r="F2343" s="14" t="str">
        <x:v>F3 - Kaynak/MEB Tamamlama</x:v>
      </x:c>
      <x:c r="G2343" s="14" t="str">
        <x:v>18:25</x:v>
      </x:c>
      <x:c r="H2343" s="14" t="str">
        <x:v>18:55</x:v>
      </x:c>
      <x:c r="I2343" s="14" t="str">
        <x:v>Türkçe</x:v>
      </x:c>
      <x:c r="J2343" s="14" t="str">
        <x:v>Paragraf Rutini</x:v>
      </x:c>
      <x:c r="K2343" s="14" t="str">
        <x:v>Paragraf</x:v>
      </x:c>
      <x:c r="L2343" s="14" t="str">
        <x:v>En az 30 paragraf sorusu çöz; ilk 20 soruyu ileri sayımla ölç, D/Y/B + süre kaydet.</x:v>
      </x:c>
      <x:c r="M2343" s="14" t="str">
        <x:v>Hız 8. Sınıf Türkçe Paragraf (ISBN 9786258394498)</x:v>
      </x:c>
      <x:c r="N2343" s="14" t="str"/>
      <x:c r="O2343" s="14" t="n">
        <x:v>30</x:v>
      </x:c>
      <x:c r="P2343" s="14" t="str">
        <x:v>İlk 20 soru</x:v>
      </x:c>
      <x:c r="Q2343" s="14" t="str">
        <x:v>Evet</x:v>
      </x:c>
      <x:c r="R2343" s="14" t="str">
        <x:v>Planlandı</x:v>
      </x:c>
      <x:c r="S2343" s="15" t="str"/>
      <x:c r="T2343" s="14" t="str">
        <x:v>Geri sayım ve hedef süre yok.</x:v>
      </x:c>
    </x:row>
    <x:row r="2344">
      <x:c r="A2344" s="14" t="n">
        <x:v>2343</x:v>
      </x:c>
      <x:c r="B2344" s="15" t="n">
        <x:v>46484</x:v>
      </x:c>
      <x:c r="C2344" s="14" t="str">
        <x:v>Çarşamba</x:v>
      </x:c>
      <x:c r="D2344" s="14" t="str">
        <x:v>Okul Günü</x:v>
      </x:c>
      <x:c r="E2344" s="14" t="str">
        <x:v>16:00 sonrası</x:v>
      </x:c>
      <x:c r="F2344" s="14" t="str">
        <x:v>F3 - Kaynak/MEB Tamamlama</x:v>
      </x:c>
      <x:c r="G2344" s="14" t="str">
        <x:v>19:00</x:v>
      </x:c>
      <x:c r="H2344" s="14" t="str">
        <x:v>19:35</x:v>
      </x:c>
      <x:c r="I2344" s="14" t="str">
        <x:v>Türkçe</x:v>
      </x:c>
      <x:c r="J2344" s="14" t="str">
        <x:v>Konu / Tekrar</x:v>
      </x:c>
      <x:c r="K2344" s="14" t="str">
        <x:v>Kaynak Tamamlama / Zayıf Konu</x:v>
      </x:c>
      <x:c r="L2344" s="14" t="str">
        <x:v>Yeni konu açma. En zayıf/açık konunun ilgili playlist videosunu yalnız gerekiyorsa tekrar izle.</x:v>
      </x:c>
      <x:c r="M2344" s="14" t="str">
        <x:v>Türkçe Ana Oynatma Listesi</x:v>
      </x:c>
      <x:c r="N2344" s="14" t="str">
        <x:v>https://www.youtube.com/watch?v=VYsPntNKVdw&amp;list=PLIBjFaUoJJ91bz7QQEBlxNJNZka5YQRr6</x:v>
      </x:c>
      <x:c r="O2344" s="14" t="n">
        <x:v>0</x:v>
      </x:c>
      <x:c r="P2344" s="14" t="str">
        <x:v>Hayır</x:v>
      </x:c>
      <x:c r="Q2344" s="14" t="str">
        <x:v>Evet</x:v>
      </x:c>
      <x:c r="R2344" s="14" t="str">
        <x:v>Planlandı</x:v>
      </x:c>
      <x:c r="S2344" s="15" t="str"/>
      <x:c r="T2344" s="14" t="str">
        <x:v>TYT etiketli kaynak temelden başlamak için sabittir; LGS dışı gereksiz ayrıntı zorunlu değildir.</x:v>
      </x:c>
    </x:row>
    <x:row r="2345">
      <x:c r="A2345" s="14" t="n">
        <x:v>2344</x:v>
      </x:c>
      <x:c r="B2345" s="15" t="n">
        <x:v>46484</x:v>
      </x:c>
      <x:c r="C2345" s="14" t="str">
        <x:v>Çarşamba</x:v>
      </x:c>
      <x:c r="D2345" s="14" t="str">
        <x:v>Okul Günü</x:v>
      </x:c>
      <x:c r="E2345" s="14" t="str">
        <x:v>16:00 sonrası</x:v>
      </x:c>
      <x:c r="F2345" s="14" t="str">
        <x:v>F3 - Kaynak/MEB Tamamlama</x:v>
      </x:c>
      <x:c r="G2345" s="14" t="str">
        <x:v>19:40</x:v>
      </x:c>
      <x:c r="H2345" s="14" t="str">
        <x:v>20:10</x:v>
      </x:c>
      <x:c r="I2345" s="14" t="str">
        <x:v>Türkçe</x:v>
      </x:c>
      <x:c r="J2345" s="14" t="str">
        <x:v>Kitap / MEB / Mastery</x:v>
      </x:c>
      <x:c r="K2345" s="14" t="str">
        <x:v>Kaynak Tamamlama / Zayıf Konu</x:v>
      </x:c>
      <x:c r="L2345" s="14" t="str">
        <x:v>13 Nisan %100 tamamlama hedefine göre en geride kalan Türkçe soru kaynağını/eksik MEB setini ilerlet; açık yanlışları kapat.</x:v>
      </x:c>
      <x:c r="M2345" s="14" t="str">
        <x:v>Ankara 8. Sınıf Dil Bilgisi Güçlendiren + açık MEB/yanlışlar</x:v>
      </x:c>
      <x:c r="N2345" s="14" t="str">
        <x:v>https://odsgm.meb.gov.tr/www/8sinif-calisma-sorulari/icerik/1632</x:v>
      </x:c>
      <x:c r="O2345" s="14" t="n">
        <x:v>20</x:v>
      </x:c>
      <x:c r="P2345" s="14" t="str">
        <x:v>Hayır</x:v>
      </x:c>
      <x:c r="Q2345" s="14" t="str">
        <x:v>Evet</x:v>
      </x:c>
      <x:c r="R2345" s="14" t="str">
        <x:v>Planlandı</x:v>
      </x:c>
      <x:c r="S2345" s="15" t="str"/>
      <x:c r="T2345" s="14" t="str"/>
    </x:row>
    <x:row r="2346">
      <x:c r="A2346" s="14" t="n">
        <x:v>2345</x:v>
      </x:c>
      <x:c r="B2346" s="15" t="n">
        <x:v>46484</x:v>
      </x:c>
      <x:c r="C2346" s="14" t="str">
        <x:v>Çarşamba</x:v>
      </x:c>
      <x:c r="D2346" s="14" t="str">
        <x:v>Okul Günü</x:v>
      </x:c>
      <x:c r="E2346" s="14" t="str">
        <x:v>16:00 sonrası</x:v>
      </x:c>
      <x:c r="F2346" s="14" t="str">
        <x:v>F3 - Kaynak/MEB Tamamlama</x:v>
      </x:c>
      <x:c r="G2346" s="14" t="str">
        <x:v>20:15</x:v>
      </x:c>
      <x:c r="H2346" s="14" t="str">
        <x:v>20:50</x:v>
      </x:c>
      <x:c r="I2346" s="14" t="str">
        <x:v>Fen</x:v>
      </x:c>
      <x:c r="J2346" s="14" t="str">
        <x:v>Konu / Tekrar</x:v>
      </x:c>
      <x:c r="K2346" s="14" t="str">
        <x:v>Kaynak Tamamlama / Zayıf Konu</x:v>
      </x:c>
      <x:c r="L2346" s="14" t="str">
        <x:v>Yeni konu açma. En zayıf/açık konunun ilgili playlist videosunu yalnız gerekiyorsa tekrar izle.</x:v>
      </x:c>
      <x:c r="M2346" s="14" t="str">
        <x:v>Fen Soru Çözüm / Tekrar</x:v>
      </x:c>
      <x:c r="N2346" s="14" t="str">
        <x:v>https://www.youtube.com/watch?v=pQXhWnDZ3vM&amp;list=PLrQm7mt99FRXcBnorCttd31HJEvg0En26&amp;index=23</x:v>
      </x:c>
      <x:c r="O2346" s="14" t="n">
        <x:v>0</x:v>
      </x:c>
      <x:c r="P2346" s="14" t="str">
        <x:v>Hayır</x:v>
      </x:c>
      <x:c r="Q2346" s="14" t="str">
        <x:v>Evet</x:v>
      </x:c>
      <x:c r="R2346" s="14" t="str">
        <x:v>Planlandı</x:v>
      </x:c>
      <x:c r="S2346" s="15" t="str"/>
      <x:c r="T2346" s="14" t="str"/>
    </x:row>
    <x:row r="2347">
      <x:c r="A2347" s="14" t="n">
        <x:v>2346</x:v>
      </x:c>
      <x:c r="B2347" s="15" t="n">
        <x:v>46484</x:v>
      </x:c>
      <x:c r="C2347" s="14" t="str">
        <x:v>Çarşamba</x:v>
      </x:c>
      <x:c r="D2347" s="14" t="str">
        <x:v>Okul Günü</x:v>
      </x:c>
      <x:c r="E2347" s="14" t="str">
        <x:v>16:00 sonrası</x:v>
      </x:c>
      <x:c r="F2347" s="14" t="str">
        <x:v>F3 - Kaynak/MEB Tamamlama</x:v>
      </x:c>
      <x:c r="G2347" s="14" t="str">
        <x:v>20:55</x:v>
      </x:c>
      <x:c r="H2347" s="14" t="str">
        <x:v>21:20</x:v>
      </x:c>
      <x:c r="I2347" s="14" t="str">
        <x:v>Fen</x:v>
      </x:c>
      <x:c r="J2347" s="14" t="str">
        <x:v>Kitap / MEB / Mastery</x:v>
      </x:c>
      <x:c r="K2347" s="14" t="str">
        <x:v>Kaynak Tamamlama / Zayıf Konu</x:v>
      </x:c>
      <x:c r="L2347" s="14" t="str">
        <x:v>13 Nisan %100 tamamlama hedefine göre en geride kalan Fen soru kaynağını/eksik MEB setini ilerlet; açık yanlışları kapat.</x:v>
      </x:c>
      <x:c r="M2347" s="14" t="str">
        <x:v>Hız 8. Sınıf Fen (ISBN 9786257514859); tamamlandıysa Mozaik 8. Sınıf Fen + açık MEB/yanlışlar</x:v>
      </x:c>
      <x:c r="N2347" s="14" t="str">
        <x:v>https://odsgm.meb.gov.tr/www/8sinif-calisma-sorulari/icerik/1632</x:v>
      </x:c>
      <x:c r="O2347" s="14" t="n">
        <x:v>20</x:v>
      </x:c>
      <x:c r="P2347" s="14" t="str">
        <x:v>Hayır</x:v>
      </x:c>
      <x:c r="Q2347" s="14" t="str">
        <x:v>Evet</x:v>
      </x:c>
      <x:c r="R2347" s="14" t="str">
        <x:v>Planlandı</x:v>
      </x:c>
      <x:c r="S2347" s="15" t="str"/>
      <x:c r="T2347" s="14" t="str"/>
    </x:row>
    <x:row r="2348">
      <x:c r="A2348" s="14" t="n">
        <x:v>2347</x:v>
      </x:c>
      <x:c r="B2348" s="15" t="n">
        <x:v>46484</x:v>
      </x:c>
      <x:c r="C2348" s="14" t="str">
        <x:v>Çarşamba</x:v>
      </x:c>
      <x:c r="D2348" s="14" t="str">
        <x:v>Okul Günü</x:v>
      </x:c>
      <x:c r="E2348" s="14" t="str">
        <x:v>16:00 sonrası</x:v>
      </x:c>
      <x:c r="F2348" s="14" t="str">
        <x:v>F3 - Kaynak/MEB Tamamlama</x:v>
      </x:c>
      <x:c r="G2348" s="14" t="str">
        <x:v>21:20</x:v>
      </x:c>
      <x:c r="H2348" s="14" t="str">
        <x:v>21:35</x:v>
      </x:c>
      <x:c r="I2348" s="14" t="str">
        <x:v>Genel</x:v>
      </x:c>
      <x:c r="J2348" s="14" t="str">
        <x:v>Yanlış / Boş Analizi</x:v>
      </x:c>
      <x:c r="K2348" s="14" t="str">
        <x:v>Günlük</x:v>
      </x:c>
      <x:c r="L2348" s="14" t="str">
        <x:v>Bugünkü yanlış/boşları kaydet; çözümünü öğrenmeden kapatma. Hata türünü sınıflandır.</x:v>
      </x:c>
      <x:c r="M2348" s="14" t="str">
        <x:v>Yanlış Defteri</x:v>
      </x:c>
      <x:c r="N2348" s="14" t="str"/>
      <x:c r="O2348" s="14" t="n">
        <x:v>0</x:v>
      </x:c>
      <x:c r="P2348" s="14" t="str">
        <x:v>Hayır</x:v>
      </x:c>
      <x:c r="Q2348" s="14" t="str">
        <x:v>Evet</x:v>
      </x:c>
      <x:c r="R2348" s="14" t="str">
        <x:v>Planlandı</x:v>
      </x:c>
      <x:c r="S2348" s="15" t="str"/>
      <x:c r="T2348" s="14" t="str"/>
    </x:row>
    <x:row r="2349">
      <x:c r="A2349" s="14" t="n">
        <x:v>2348</x:v>
      </x:c>
      <x:c r="B2349" s="15" t="n">
        <x:v>46484</x:v>
      </x:c>
      <x:c r="C2349" s="14" t="str">
        <x:v>Çarşamba</x:v>
      </x:c>
      <x:c r="D2349" s="14" t="str">
        <x:v>Okul Günü</x:v>
      </x:c>
      <x:c r="E2349" s="14" t="str">
        <x:v>16:00 sonrası</x:v>
      </x:c>
      <x:c r="F2349" s="14" t="str">
        <x:v>F3 - Kaynak/MEB Tamamlama</x:v>
      </x:c>
      <x:c r="G2349" s="14" t="str">
        <x:v>21:35</x:v>
      </x:c>
      <x:c r="H2349" s="14" t="str">
        <x:v>21:50</x:v>
      </x:c>
      <x:c r="I2349" s="14" t="str">
        <x:v>Genel</x:v>
      </x:c>
      <x:c r="J2349" s="14" t="str">
        <x:v>Aralıklı Hata Tekrarı</x:v>
      </x:c>
      <x:c r="K2349" s="14" t="str">
        <x:v>+1 / +7 / +21</x:v>
      </x:c>
      <x:c r="L2349" s="14" t="str">
        <x:v>Bugün vadesi gelen yanlış soruları tekrar çöz. Vadesi yoksa bu süre serbest/okuma olabilir.</x:v>
      </x:c>
      <x:c r="M2349" s="14" t="str">
        <x:v>Yanlış Defteri</x:v>
      </x:c>
      <x:c r="N2349" s="14" t="str"/>
      <x:c r="O2349" s="14" t="n">
        <x:v>0</x:v>
      </x:c>
      <x:c r="P2349" s="14" t="str">
        <x:v>Hayır</x:v>
      </x:c>
      <x:c r="Q2349" s="14" t="str">
        <x:v>Koşullu</x:v>
      </x:c>
      <x:c r="R2349" s="14" t="str">
        <x:v>Planlandı</x:v>
      </x:c>
      <x:c r="S2349" s="15" t="str"/>
      <x:c r="T2349" s="14" t="str">
        <x:v>Yanlışlar +1, +7 ve +21 gün aralıklarıyla tekrar edilir; hâlâ yanlışsa konu mastery durumu düşürülür.</x:v>
      </x:c>
    </x:row>
    <x:row r="2350">
      <x:c r="A2350" s="14" t="n">
        <x:v>2349</x:v>
      </x:c>
      <x:c r="B2350" s="15" t="n">
        <x:v>46484</x:v>
      </x:c>
      <x:c r="C2350" s="14" t="str">
        <x:v>Çarşamba</x:v>
      </x:c>
      <x:c r="D2350" s="14" t="str">
        <x:v>Okul Günü</x:v>
      </x:c>
      <x:c r="E2350" s="14" t="str">
        <x:v>16:00 sonrası</x:v>
      </x:c>
      <x:c r="F2350" s="14" t="str">
        <x:v>F3 - Kaynak/MEB Tamamlama</x:v>
      </x:c>
      <x:c r="G2350" s="14" t="str">
        <x:v>21:50</x:v>
      </x:c>
      <x:c r="H2350" s="14" t="str">
        <x:v>22:00</x:v>
      </x:c>
      <x:c r="I2350" s="14" t="str">
        <x:v>Genel</x:v>
      </x:c>
      <x:c r="J2350" s="14" t="str">
        <x:v>Uyku Hazırlığı</x:v>
      </x:c>
      <x:c r="K2350" s="14" t="str"/>
      <x:c r="L2350" s="14" t="str">
        <x:v>22:00'de yatakta ve uyku.</x:v>
      </x:c>
      <x:c r="M2350" s="14" t="str"/>
      <x:c r="N2350" s="14" t="str"/>
      <x:c r="O2350" s="14" t="n">
        <x:v>0</x:v>
      </x:c>
      <x:c r="P2350" s="14" t="str">
        <x:v>Hayır</x:v>
      </x:c>
      <x:c r="Q2350" s="14" t="str">
        <x:v>Hayır</x:v>
      </x:c>
      <x:c r="R2350" s="14" t="str">
        <x:v>Planlandı</x:v>
      </x:c>
      <x:c r="S2350" s="15" t="str"/>
      <x:c r="T2350" s="14" t="str"/>
    </x:row>
    <x:row r="2351">
      <x:c r="A2351" s="14" t="n">
        <x:v>2350</x:v>
      </x:c>
      <x:c r="B2351" s="15" t="n">
        <x:v>46485</x:v>
      </x:c>
      <x:c r="C2351" s="14" t="str">
        <x:v>Perşembe</x:v>
      </x:c>
      <x:c r="D2351" s="14" t="str">
        <x:v>Okul Günü</x:v>
      </x:c>
      <x:c r="E2351" s="14" t="str">
        <x:v>16:00 sonrası</x:v>
      </x:c>
      <x:c r="F2351" s="14" t="str">
        <x:v>F3 - Kaynak/MEB Tamamlama</x:v>
      </x:c>
      <x:c r="G2351" s="14" t="str">
        <x:v>16:00</x:v>
      </x:c>
      <x:c r="H2351" s="14" t="str">
        <x:v>16:25</x:v>
      </x:c>
      <x:c r="I2351" s="14" t="str">
        <x:v>Genel</x:v>
      </x:c>
      <x:c r="J2351" s="14" t="str">
        <x:v>Dinlenme</x:v>
      </x:c>
      <x:c r="K2351" s="14" t="str"/>
      <x:c r="L2351" s="14" t="str">
        <x:v>Eve geliş, atıştırma ve dinlenme.</x:v>
      </x:c>
      <x:c r="M2351" s="14" t="str"/>
      <x:c r="N2351" s="14" t="str"/>
      <x:c r="O2351" s="14" t="n">
        <x:v>0</x:v>
      </x:c>
      <x:c r="P2351" s="14" t="str">
        <x:v>Hayır</x:v>
      </x:c>
      <x:c r="Q2351" s="14" t="str">
        <x:v>Hayır</x:v>
      </x:c>
      <x:c r="R2351" s="14" t="str">
        <x:v>Planlandı</x:v>
      </x:c>
      <x:c r="S2351" s="15" t="str"/>
      <x:c r="T2351" s="14" t="str"/>
    </x:row>
    <x:row r="2352">
      <x:c r="A2352" s="14" t="n">
        <x:v>2351</x:v>
      </x:c>
      <x:c r="B2352" s="15" t="n">
        <x:v>46485</x:v>
      </x:c>
      <x:c r="C2352" s="14" t="str">
        <x:v>Perşembe</x:v>
      </x:c>
      <x:c r="D2352" s="14" t="str">
        <x:v>Okul Günü</x:v>
      </x:c>
      <x:c r="E2352" s="14" t="str">
        <x:v>16:00 sonrası</x:v>
      </x:c>
      <x:c r="F2352" s="14" t="str">
        <x:v>F3 - Kaynak/MEB Tamamlama</x:v>
      </x:c>
      <x:c r="G2352" s="14" t="str">
        <x:v>16:25</x:v>
      </x:c>
      <x:c r="H2352" s="14" t="str">
        <x:v>17:05</x:v>
      </x:c>
      <x:c r="I2352" s="14" t="str">
        <x:v>Matematik</x:v>
      </x:c>
      <x:c r="J2352" s="14" t="str">
        <x:v>Konu / Tekrar</x:v>
      </x:c>
      <x:c r="K2352" s="14" t="str">
        <x:v>Kaynak Tamamlama / Zayıf Konu</x:v>
      </x:c>
      <x:c r="L2352" s="14" t="str">
        <x:v>Yeni konu açma. En zayıf/açık konunun ilgili playlist videosunu yalnız gerekiyorsa tekrar izle.</x:v>
      </x:c>
      <x:c r="M2352" s="14" t="str">
        <x:v>Matematik Ana Oynatma Listesi</x:v>
      </x:c>
      <x:c r="N2352" s="14" t="str">
        <x:v>https://www.youtube.com/watch?v=EuJ89QzqrAg&amp;list=PLicNtF7vp6fnfDqrRLH6H7fIbzYT4ct4F&amp;index=11</x:v>
      </x:c>
      <x:c r="O2352" s="14" t="n">
        <x:v>0</x:v>
      </x:c>
      <x:c r="P2352" s="14" t="str">
        <x:v>Hayır</x:v>
      </x:c>
      <x:c r="Q2352" s="14" t="str">
        <x:v>Evet</x:v>
      </x:c>
      <x:c r="R2352" s="14" t="str">
        <x:v>Planlandı</x:v>
      </x:c>
      <x:c r="S2352" s="15" t="str"/>
      <x:c r="T2352" s="14" t="str">
        <x:v>Yeni konu ancak plan sırasıyla açılır; LGS dışı ileri TYT içeriği zorunlu değildir.</x:v>
      </x:c>
    </x:row>
    <x:row r="2353">
      <x:c r="A2353" s="14" t="n">
        <x:v>2352</x:v>
      </x:c>
      <x:c r="B2353" s="15" t="n">
        <x:v>46485</x:v>
      </x:c>
      <x:c r="C2353" s="14" t="str">
        <x:v>Perşembe</x:v>
      </x:c>
      <x:c r="D2353" s="14" t="str">
        <x:v>Okul Günü</x:v>
      </x:c>
      <x:c r="E2353" s="14" t="str">
        <x:v>16:00 sonrası</x:v>
      </x:c>
      <x:c r="F2353" s="14" t="str">
        <x:v>F3 - Kaynak/MEB Tamamlama</x:v>
      </x:c>
      <x:c r="G2353" s="14" t="str">
        <x:v>17:10</x:v>
      </x:c>
      <x:c r="H2353" s="14" t="str">
        <x:v>17:55</x:v>
      </x:c>
      <x:c r="I2353" s="14" t="str">
        <x:v>Matematik</x:v>
      </x:c>
      <x:c r="J2353" s="14" t="str">
        <x:v>Kitap / MEB / Mastery</x:v>
      </x:c>
      <x:c r="K2353" s="14" t="str">
        <x:v>Kaynak Tamamlama / Zayıf Konu</x:v>
      </x:c>
      <x:c r="L2353" s="14" t="str">
        <x:v>13 Nisan %100 tamamlama hedefine göre en geride kalan Matematik soru kaynağını/eksik MEB setini ilerlet; açık yanlışları kapat.</x:v>
      </x:c>
      <x:c r="M2353" s="14" t="str">
        <x:v>MUBA 8. Sınıf Başlangıç Matematik (ISBN 9789756526972) → tamamlandıysa Mozaik 8. Sınıf Matematik; açık MEB/yanlışlar</x:v>
      </x:c>
      <x:c r="N2353" s="14" t="str">
        <x:v>https://odsgm.meb.gov.tr/www/8sinif-calisma-sorulari/icerik/1632</x:v>
      </x:c>
      <x:c r="O2353" s="14" t="n">
        <x:v>30</x:v>
      </x:c>
      <x:c r="P2353" s="14" t="str">
        <x:v>İlk 20 soru</x:v>
      </x:c>
      <x:c r="Q2353" s="14" t="str">
        <x:v>Evet</x:v>
      </x:c>
      <x:c r="R2353" s="14" t="str">
        <x:v>Planlandı</x:v>
      </x:c>
      <x:c r="S2353" s="15" t="str"/>
      <x:c r="T2353" s="14" t="str">
        <x:v>Ayrı/rastgele matematik benchmark yoktur. Süreli ilk 20 soru o gün çalışılan konunun içindedir.</x:v>
      </x:c>
    </x:row>
    <x:row r="2354">
      <x:c r="A2354" s="14" t="n">
        <x:v>2353</x:v>
      </x:c>
      <x:c r="B2354" s="15" t="n">
        <x:v>46485</x:v>
      </x:c>
      <x:c r="C2354" s="14" t="str">
        <x:v>Perşembe</x:v>
      </x:c>
      <x:c r="D2354" s="14" t="str">
        <x:v>Okul Günü</x:v>
      </x:c>
      <x:c r="E2354" s="14" t="str">
        <x:v>16:00 sonrası</x:v>
      </x:c>
      <x:c r="F2354" s="14" t="str">
        <x:v>F3 - Kaynak/MEB Tamamlama</x:v>
      </x:c>
      <x:c r="G2354" s="14" t="str">
        <x:v>17:55</x:v>
      </x:c>
      <x:c r="H2354" s="14" t="str">
        <x:v>18:25</x:v>
      </x:c>
      <x:c r="I2354" s="14" t="str">
        <x:v>Genel</x:v>
      </x:c>
      <x:c r="J2354" s="14" t="str">
        <x:v>Yemek / Serbest Zaman</x:v>
      </x:c>
      <x:c r="K2354" s="14" t="str"/>
      <x:c r="L2354" s="14" t="str">
        <x:v>Yemek, hareket ve dinlenme.</x:v>
      </x:c>
      <x:c r="M2354" s="14" t="str"/>
      <x:c r="N2354" s="14" t="str"/>
      <x:c r="O2354" s="14" t="n">
        <x:v>0</x:v>
      </x:c>
      <x:c r="P2354" s="14" t="str">
        <x:v>Hayır</x:v>
      </x:c>
      <x:c r="Q2354" s="14" t="str">
        <x:v>Hayır</x:v>
      </x:c>
      <x:c r="R2354" s="14" t="str">
        <x:v>Planlandı</x:v>
      </x:c>
      <x:c r="S2354" s="15" t="str"/>
      <x:c r="T2354" s="14" t="str"/>
    </x:row>
    <x:row r="2355">
      <x:c r="A2355" s="14" t="n">
        <x:v>2354</x:v>
      </x:c>
      <x:c r="B2355" s="15" t="n">
        <x:v>46485</x:v>
      </x:c>
      <x:c r="C2355" s="14" t="str">
        <x:v>Perşembe</x:v>
      </x:c>
      <x:c r="D2355" s="14" t="str">
        <x:v>Okul Günü</x:v>
      </x:c>
      <x:c r="E2355" s="14" t="str">
        <x:v>16:00 sonrası</x:v>
      </x:c>
      <x:c r="F2355" s="14" t="str">
        <x:v>F3 - Kaynak/MEB Tamamlama</x:v>
      </x:c>
      <x:c r="G2355" s="14" t="str">
        <x:v>18:25</x:v>
      </x:c>
      <x:c r="H2355" s="14" t="str">
        <x:v>18:55</x:v>
      </x:c>
      <x:c r="I2355" s="14" t="str">
        <x:v>Türkçe</x:v>
      </x:c>
      <x:c r="J2355" s="14" t="str">
        <x:v>Paragraf Rutini</x:v>
      </x:c>
      <x:c r="K2355" s="14" t="str">
        <x:v>Paragraf</x:v>
      </x:c>
      <x:c r="L2355" s="14" t="str">
        <x:v>En az 30 paragraf sorusu çöz; ilk 20 soruyu ileri sayımla ölç, D/Y/B + süre kaydet.</x:v>
      </x:c>
      <x:c r="M2355" s="14" t="str">
        <x:v>Hız 8. Sınıf Türkçe Paragraf (ISBN 9786258394498)</x:v>
      </x:c>
      <x:c r="N2355" s="14" t="str"/>
      <x:c r="O2355" s="14" t="n">
        <x:v>30</x:v>
      </x:c>
      <x:c r="P2355" s="14" t="str">
        <x:v>İlk 20 soru</x:v>
      </x:c>
      <x:c r="Q2355" s="14" t="str">
        <x:v>Evet</x:v>
      </x:c>
      <x:c r="R2355" s="14" t="str">
        <x:v>Planlandı</x:v>
      </x:c>
      <x:c r="S2355" s="15" t="str"/>
      <x:c r="T2355" s="14" t="str">
        <x:v>Geri sayım ve hedef süre yok.</x:v>
      </x:c>
    </x:row>
    <x:row r="2356">
      <x:c r="A2356" s="14" t="n">
        <x:v>2355</x:v>
      </x:c>
      <x:c r="B2356" s="15" t="n">
        <x:v>46485</x:v>
      </x:c>
      <x:c r="C2356" s="14" t="str">
        <x:v>Perşembe</x:v>
      </x:c>
      <x:c r="D2356" s="14" t="str">
        <x:v>Okul Günü</x:v>
      </x:c>
      <x:c r="E2356" s="14" t="str">
        <x:v>16:00 sonrası</x:v>
      </x:c>
      <x:c r="F2356" s="14" t="str">
        <x:v>F3 - Kaynak/MEB Tamamlama</x:v>
      </x:c>
      <x:c r="G2356" s="14" t="str">
        <x:v>19:00</x:v>
      </x:c>
      <x:c r="H2356" s="14" t="str">
        <x:v>19:35</x:v>
      </x:c>
      <x:c r="I2356" s="14" t="str">
        <x:v>Türkçe</x:v>
      </x:c>
      <x:c r="J2356" s="14" t="str">
        <x:v>Konu / Tekrar</x:v>
      </x:c>
      <x:c r="K2356" s="14" t="str">
        <x:v>Kaynak Tamamlama / Zayıf Konu</x:v>
      </x:c>
      <x:c r="L2356" s="14" t="str">
        <x:v>Yeni konu açma. En zayıf/açık konunun ilgili playlist videosunu yalnız gerekiyorsa tekrar izle.</x:v>
      </x:c>
      <x:c r="M2356" s="14" t="str">
        <x:v>Türkçe Ana Oynatma Listesi</x:v>
      </x:c>
      <x:c r="N2356" s="14" t="str">
        <x:v>https://www.youtube.com/watch?v=VYsPntNKVdw&amp;list=PLIBjFaUoJJ91bz7QQEBlxNJNZka5YQRr6</x:v>
      </x:c>
      <x:c r="O2356" s="14" t="n">
        <x:v>0</x:v>
      </x:c>
      <x:c r="P2356" s="14" t="str">
        <x:v>Hayır</x:v>
      </x:c>
      <x:c r="Q2356" s="14" t="str">
        <x:v>Evet</x:v>
      </x:c>
      <x:c r="R2356" s="14" t="str">
        <x:v>Planlandı</x:v>
      </x:c>
      <x:c r="S2356" s="15" t="str"/>
      <x:c r="T2356" s="14" t="str">
        <x:v>TYT etiketli kaynak temelden başlamak için sabittir; LGS dışı gereksiz ayrıntı zorunlu değildir.</x:v>
      </x:c>
    </x:row>
    <x:row r="2357">
      <x:c r="A2357" s="14" t="n">
        <x:v>2356</x:v>
      </x:c>
      <x:c r="B2357" s="15" t="n">
        <x:v>46485</x:v>
      </x:c>
      <x:c r="C2357" s="14" t="str">
        <x:v>Perşembe</x:v>
      </x:c>
      <x:c r="D2357" s="14" t="str">
        <x:v>Okul Günü</x:v>
      </x:c>
      <x:c r="E2357" s="14" t="str">
        <x:v>16:00 sonrası</x:v>
      </x:c>
      <x:c r="F2357" s="14" t="str">
        <x:v>F3 - Kaynak/MEB Tamamlama</x:v>
      </x:c>
      <x:c r="G2357" s="14" t="str">
        <x:v>19:40</x:v>
      </x:c>
      <x:c r="H2357" s="14" t="str">
        <x:v>20:10</x:v>
      </x:c>
      <x:c r="I2357" s="14" t="str">
        <x:v>Türkçe</x:v>
      </x:c>
      <x:c r="J2357" s="14" t="str">
        <x:v>Kitap / MEB / Mastery</x:v>
      </x:c>
      <x:c r="K2357" s="14" t="str">
        <x:v>Kaynak Tamamlama / Zayıf Konu</x:v>
      </x:c>
      <x:c r="L2357" s="14" t="str">
        <x:v>13 Nisan %100 tamamlama hedefine göre en geride kalan Türkçe soru kaynağını/eksik MEB setini ilerlet; açık yanlışları kapat.</x:v>
      </x:c>
      <x:c r="M2357" s="14" t="str">
        <x:v>Ankara 8. Sınıf Dil Bilgisi Güçlendiren + açık MEB/yanlışlar</x:v>
      </x:c>
      <x:c r="N2357" s="14" t="str">
        <x:v>https://odsgm.meb.gov.tr/www/8sinif-calisma-sorulari/icerik/1632</x:v>
      </x:c>
      <x:c r="O2357" s="14" t="n">
        <x:v>20</x:v>
      </x:c>
      <x:c r="P2357" s="14" t="str">
        <x:v>Hayır</x:v>
      </x:c>
      <x:c r="Q2357" s="14" t="str">
        <x:v>Evet</x:v>
      </x:c>
      <x:c r="R2357" s="14" t="str">
        <x:v>Planlandı</x:v>
      </x:c>
      <x:c r="S2357" s="15" t="str"/>
      <x:c r="T2357" s="14" t="str"/>
    </x:row>
    <x:row r="2358">
      <x:c r="A2358" s="14" t="n">
        <x:v>2357</x:v>
      </x:c>
      <x:c r="B2358" s="15" t="n">
        <x:v>46485</x:v>
      </x:c>
      <x:c r="C2358" s="14" t="str">
        <x:v>Perşembe</x:v>
      </x:c>
      <x:c r="D2358" s="14" t="str">
        <x:v>Okul Günü</x:v>
      </x:c>
      <x:c r="E2358" s="14" t="str">
        <x:v>16:00 sonrası</x:v>
      </x:c>
      <x:c r="F2358" s="14" t="str">
        <x:v>F3 - Kaynak/MEB Tamamlama</x:v>
      </x:c>
      <x:c r="G2358" s="14" t="str">
        <x:v>20:15</x:v>
      </x:c>
      <x:c r="H2358" s="14" t="str">
        <x:v>20:50</x:v>
      </x:c>
      <x:c r="I2358" s="14" t="str">
        <x:v>Din</x:v>
      </x:c>
      <x:c r="J2358" s="14" t="str">
        <x:v>Konu / Tekrar</x:v>
      </x:c>
      <x:c r="K2358" s="14" t="str">
        <x:v>Kaynak Tamamlama / Zayıf Konu</x:v>
      </x:c>
      <x:c r="L2358" s="14" t="str">
        <x:v>Yeni konu açma. En zayıf/açık konunun ilgili playlist videosunu yalnız gerekiyorsa tekrar izle.</x:v>
      </x:c>
      <x:c r="M2358" s="14" t="str">
        <x:v>Din Genel Oynatma Listesi</x:v>
      </x:c>
      <x:c r="N2358" s="14" t="str">
        <x:v>https://www.youtube.com/watch?v=wvdOE_75VnA&amp;list=PLbRoPq-Zu-SWXGUbVt4t4UWo-4VjsMUo-&amp;index=2</x:v>
      </x:c>
      <x:c r="O2358" s="14" t="n">
        <x:v>0</x:v>
      </x:c>
      <x:c r="P2358" s="14" t="str">
        <x:v>Hayır</x:v>
      </x:c>
      <x:c r="Q2358" s="14" t="str">
        <x:v>Evet</x:v>
      </x:c>
      <x:c r="R2358" s="14" t="str">
        <x:v>Planlandı</x:v>
      </x:c>
      <x:c r="S2358" s="15" t="str"/>
      <x:c r="T2358" s="14" t="str"/>
    </x:row>
    <x:row r="2359">
      <x:c r="A2359" s="14" t="n">
        <x:v>2358</x:v>
      </x:c>
      <x:c r="B2359" s="15" t="n">
        <x:v>46485</x:v>
      </x:c>
      <x:c r="C2359" s="14" t="str">
        <x:v>Perşembe</x:v>
      </x:c>
      <x:c r="D2359" s="14" t="str">
        <x:v>Okul Günü</x:v>
      </x:c>
      <x:c r="E2359" s="14" t="str">
        <x:v>16:00 sonrası</x:v>
      </x:c>
      <x:c r="F2359" s="14" t="str">
        <x:v>F3 - Kaynak/MEB Tamamlama</x:v>
      </x:c>
      <x:c r="G2359" s="14" t="str">
        <x:v>20:55</x:v>
      </x:c>
      <x:c r="H2359" s="14" t="str">
        <x:v>21:20</x:v>
      </x:c>
      <x:c r="I2359" s="14" t="str">
        <x:v>Din</x:v>
      </x:c>
      <x:c r="J2359" s="14" t="str">
        <x:v>Kitap / MEB / Mastery</x:v>
      </x:c>
      <x:c r="K2359" s="14" t="str">
        <x:v>Kaynak Tamamlama / Zayıf Konu</x:v>
      </x:c>
      <x:c r="L2359" s="14" t="str">
        <x:v>13 Nisan %100 tamamlama hedefine göre en geride kalan Din soru kaynağını/eksik MEB setini ilerlet; açık yanlışları kapat.</x:v>
      </x:c>
      <x:c r="M2359" s="14" t="str">
        <x:v>Hız 8. Sınıf Din Kültürü ve Ahlak Bilgisi + açık MEB/yanlışlar</x:v>
      </x:c>
      <x:c r="N2359" s="14" t="str">
        <x:v>https://odsgm.meb.gov.tr/www/8sinif-calisma-sorulari/icerik/1632</x:v>
      </x:c>
      <x:c r="O2359" s="14" t="n">
        <x:v>20</x:v>
      </x:c>
      <x:c r="P2359" s="14" t="str">
        <x:v>Hayır</x:v>
      </x:c>
      <x:c r="Q2359" s="14" t="str">
        <x:v>Evet</x:v>
      </x:c>
      <x:c r="R2359" s="14" t="str">
        <x:v>Planlandı</x:v>
      </x:c>
      <x:c r="S2359" s="15" t="str"/>
      <x:c r="T2359" s="14" t="str"/>
    </x:row>
    <x:row r="2360">
      <x:c r="A2360" s="14" t="n">
        <x:v>2359</x:v>
      </x:c>
      <x:c r="B2360" s="15" t="n">
        <x:v>46485</x:v>
      </x:c>
      <x:c r="C2360" s="14" t="str">
        <x:v>Perşembe</x:v>
      </x:c>
      <x:c r="D2360" s="14" t="str">
        <x:v>Okul Günü</x:v>
      </x:c>
      <x:c r="E2360" s="14" t="str">
        <x:v>16:00 sonrası</x:v>
      </x:c>
      <x:c r="F2360" s="14" t="str">
        <x:v>F3 - Kaynak/MEB Tamamlama</x:v>
      </x:c>
      <x:c r="G2360" s="14" t="str">
        <x:v>21:20</x:v>
      </x:c>
      <x:c r="H2360" s="14" t="str">
        <x:v>21:35</x:v>
      </x:c>
      <x:c r="I2360" s="14" t="str">
        <x:v>Genel</x:v>
      </x:c>
      <x:c r="J2360" s="14" t="str">
        <x:v>Yanlış / Boş Analizi</x:v>
      </x:c>
      <x:c r="K2360" s="14" t="str">
        <x:v>Günlük</x:v>
      </x:c>
      <x:c r="L2360" s="14" t="str">
        <x:v>Bugünkü yanlış/boşları kaydet; çözümünü öğrenmeden kapatma. Hata türünü sınıflandır.</x:v>
      </x:c>
      <x:c r="M2360" s="14" t="str">
        <x:v>Yanlış Defteri</x:v>
      </x:c>
      <x:c r="N2360" s="14" t="str"/>
      <x:c r="O2360" s="14" t="n">
        <x:v>0</x:v>
      </x:c>
      <x:c r="P2360" s="14" t="str">
        <x:v>Hayır</x:v>
      </x:c>
      <x:c r="Q2360" s="14" t="str">
        <x:v>Evet</x:v>
      </x:c>
      <x:c r="R2360" s="14" t="str">
        <x:v>Planlandı</x:v>
      </x:c>
      <x:c r="S2360" s="15" t="str"/>
      <x:c r="T2360" s="14" t="str"/>
    </x:row>
    <x:row r="2361">
      <x:c r="A2361" s="14" t="n">
        <x:v>2360</x:v>
      </x:c>
      <x:c r="B2361" s="15" t="n">
        <x:v>46485</x:v>
      </x:c>
      <x:c r="C2361" s="14" t="str">
        <x:v>Perşembe</x:v>
      </x:c>
      <x:c r="D2361" s="14" t="str">
        <x:v>Okul Günü</x:v>
      </x:c>
      <x:c r="E2361" s="14" t="str">
        <x:v>16:00 sonrası</x:v>
      </x:c>
      <x:c r="F2361" s="14" t="str">
        <x:v>F3 - Kaynak/MEB Tamamlama</x:v>
      </x:c>
      <x:c r="G2361" s="14" t="str">
        <x:v>21:35</x:v>
      </x:c>
      <x:c r="H2361" s="14" t="str">
        <x:v>21:50</x:v>
      </x:c>
      <x:c r="I2361" s="14" t="str">
        <x:v>Genel</x:v>
      </x:c>
      <x:c r="J2361" s="14" t="str">
        <x:v>Aralıklı Hata Tekrarı</x:v>
      </x:c>
      <x:c r="K2361" s="14" t="str">
        <x:v>+1 / +7 / +21</x:v>
      </x:c>
      <x:c r="L2361" s="14" t="str">
        <x:v>Bugün vadesi gelen yanlış soruları tekrar çöz. Vadesi yoksa bu süre serbest/okuma olabilir.</x:v>
      </x:c>
      <x:c r="M2361" s="14" t="str">
        <x:v>Yanlış Defteri</x:v>
      </x:c>
      <x:c r="N2361" s="14" t="str"/>
      <x:c r="O2361" s="14" t="n">
        <x:v>0</x:v>
      </x:c>
      <x:c r="P2361" s="14" t="str">
        <x:v>Hayır</x:v>
      </x:c>
      <x:c r="Q2361" s="14" t="str">
        <x:v>Koşullu</x:v>
      </x:c>
      <x:c r="R2361" s="14" t="str">
        <x:v>Planlandı</x:v>
      </x:c>
      <x:c r="S2361" s="15" t="str"/>
      <x:c r="T2361" s="14" t="str">
        <x:v>Yanlışlar +1, +7 ve +21 gün aralıklarıyla tekrar edilir; hâlâ yanlışsa konu mastery durumu düşürülür.</x:v>
      </x:c>
    </x:row>
    <x:row r="2362">
      <x:c r="A2362" s="14" t="n">
        <x:v>2361</x:v>
      </x:c>
      <x:c r="B2362" s="15" t="n">
        <x:v>46485</x:v>
      </x:c>
      <x:c r="C2362" s="14" t="str">
        <x:v>Perşembe</x:v>
      </x:c>
      <x:c r="D2362" s="14" t="str">
        <x:v>Okul Günü</x:v>
      </x:c>
      <x:c r="E2362" s="14" t="str">
        <x:v>16:00 sonrası</x:v>
      </x:c>
      <x:c r="F2362" s="14" t="str">
        <x:v>F3 - Kaynak/MEB Tamamlama</x:v>
      </x:c>
      <x:c r="G2362" s="14" t="str">
        <x:v>21:50</x:v>
      </x:c>
      <x:c r="H2362" s="14" t="str">
        <x:v>22:00</x:v>
      </x:c>
      <x:c r="I2362" s="14" t="str">
        <x:v>Genel</x:v>
      </x:c>
      <x:c r="J2362" s="14" t="str">
        <x:v>Uyku Hazırlığı</x:v>
      </x:c>
      <x:c r="K2362" s="14" t="str"/>
      <x:c r="L2362" s="14" t="str">
        <x:v>22:00'de yatakta ve uyku.</x:v>
      </x:c>
      <x:c r="M2362" s="14" t="str"/>
      <x:c r="N2362" s="14" t="str"/>
      <x:c r="O2362" s="14" t="n">
        <x:v>0</x:v>
      </x:c>
      <x:c r="P2362" s="14" t="str">
        <x:v>Hayır</x:v>
      </x:c>
      <x:c r="Q2362" s="14" t="str">
        <x:v>Hayır</x:v>
      </x:c>
      <x:c r="R2362" s="14" t="str">
        <x:v>Planlandı</x:v>
      </x:c>
      <x:c r="S2362" s="15" t="str"/>
      <x:c r="T2362" s="14" t="str"/>
    </x:row>
    <x:row r="2363">
      <x:c r="A2363" s="14" t="n">
        <x:v>2362</x:v>
      </x:c>
      <x:c r="B2363" s="15" t="n">
        <x:v>46486</x:v>
      </x:c>
      <x:c r="C2363" s="14" t="str">
        <x:v>Cuma</x:v>
      </x:c>
      <x:c r="D2363" s="14" t="str">
        <x:v>Okul Günü</x:v>
      </x:c>
      <x:c r="E2363" s="14" t="str">
        <x:v>16:00 sonrası</x:v>
      </x:c>
      <x:c r="F2363" s="14" t="str">
        <x:v>F3 - Kaynak/MEB Tamamlama</x:v>
      </x:c>
      <x:c r="G2363" s="14" t="str">
        <x:v>16:00</x:v>
      </x:c>
      <x:c r="H2363" s="14" t="str">
        <x:v>16:25</x:v>
      </x:c>
      <x:c r="I2363" s="14" t="str">
        <x:v>Genel</x:v>
      </x:c>
      <x:c r="J2363" s="14" t="str">
        <x:v>Dinlenme</x:v>
      </x:c>
      <x:c r="K2363" s="14" t="str"/>
      <x:c r="L2363" s="14" t="str">
        <x:v>Eve geliş, atıştırma ve dinlenme.</x:v>
      </x:c>
      <x:c r="M2363" s="14" t="str"/>
      <x:c r="N2363" s="14" t="str"/>
      <x:c r="O2363" s="14" t="n">
        <x:v>0</x:v>
      </x:c>
      <x:c r="P2363" s="14" t="str">
        <x:v>Hayır</x:v>
      </x:c>
      <x:c r="Q2363" s="14" t="str">
        <x:v>Hayır</x:v>
      </x:c>
      <x:c r="R2363" s="14" t="str">
        <x:v>Planlandı</x:v>
      </x:c>
      <x:c r="S2363" s="15" t="str"/>
      <x:c r="T2363" s="14" t="str"/>
    </x:row>
    <x:row r="2364">
      <x:c r="A2364" s="14" t="n">
        <x:v>2363</x:v>
      </x:c>
      <x:c r="B2364" s="15" t="n">
        <x:v>46486</x:v>
      </x:c>
      <x:c r="C2364" s="14" t="str">
        <x:v>Cuma</x:v>
      </x:c>
      <x:c r="D2364" s="14" t="str">
        <x:v>Okul Günü</x:v>
      </x:c>
      <x:c r="E2364" s="14" t="str">
        <x:v>16:00 sonrası</x:v>
      </x:c>
      <x:c r="F2364" s="14" t="str">
        <x:v>F3 - Kaynak/MEB Tamamlama</x:v>
      </x:c>
      <x:c r="G2364" s="14" t="str">
        <x:v>16:25</x:v>
      </x:c>
      <x:c r="H2364" s="14" t="str">
        <x:v>17:05</x:v>
      </x:c>
      <x:c r="I2364" s="14" t="str">
        <x:v>Matematik</x:v>
      </x:c>
      <x:c r="J2364" s="14" t="str">
        <x:v>Konu / Tekrar</x:v>
      </x:c>
      <x:c r="K2364" s="14" t="str">
        <x:v>Kaynak Tamamlama / Zayıf Konu</x:v>
      </x:c>
      <x:c r="L2364" s="14" t="str">
        <x:v>Yeni konu açma. En zayıf/açık konunun ilgili playlist videosunu yalnız gerekiyorsa tekrar izle.</x:v>
      </x:c>
      <x:c r="M2364" s="14" t="str">
        <x:v>Matematik Ana Oynatma Listesi</x:v>
      </x:c>
      <x:c r="N2364" s="14" t="str">
        <x:v>https://www.youtube.com/watch?v=EuJ89QzqrAg&amp;list=PLicNtF7vp6fnfDqrRLH6H7fIbzYT4ct4F&amp;index=11</x:v>
      </x:c>
      <x:c r="O2364" s="14" t="n">
        <x:v>0</x:v>
      </x:c>
      <x:c r="P2364" s="14" t="str">
        <x:v>Hayır</x:v>
      </x:c>
      <x:c r="Q2364" s="14" t="str">
        <x:v>Evet</x:v>
      </x:c>
      <x:c r="R2364" s="14" t="str">
        <x:v>Planlandı</x:v>
      </x:c>
      <x:c r="S2364" s="15" t="str"/>
      <x:c r="T2364" s="14" t="str">
        <x:v>Yeni konu ancak plan sırasıyla açılır; LGS dışı ileri TYT içeriği zorunlu değildir.</x:v>
      </x:c>
    </x:row>
    <x:row r="2365">
      <x:c r="A2365" s="14" t="n">
        <x:v>2364</x:v>
      </x:c>
      <x:c r="B2365" s="15" t="n">
        <x:v>46486</x:v>
      </x:c>
      <x:c r="C2365" s="14" t="str">
        <x:v>Cuma</x:v>
      </x:c>
      <x:c r="D2365" s="14" t="str">
        <x:v>Okul Günü</x:v>
      </x:c>
      <x:c r="E2365" s="14" t="str">
        <x:v>16:00 sonrası</x:v>
      </x:c>
      <x:c r="F2365" s="14" t="str">
        <x:v>F3 - Kaynak/MEB Tamamlama</x:v>
      </x:c>
      <x:c r="G2365" s="14" t="str">
        <x:v>17:10</x:v>
      </x:c>
      <x:c r="H2365" s="14" t="str">
        <x:v>17:55</x:v>
      </x:c>
      <x:c r="I2365" s="14" t="str">
        <x:v>Matematik</x:v>
      </x:c>
      <x:c r="J2365" s="14" t="str">
        <x:v>Kitap / MEB / Mastery</x:v>
      </x:c>
      <x:c r="K2365" s="14" t="str">
        <x:v>Kaynak Tamamlama / Zayıf Konu</x:v>
      </x:c>
      <x:c r="L2365" s="14" t="str">
        <x:v>13 Nisan %100 tamamlama hedefine göre en geride kalan Matematik soru kaynağını/eksik MEB setini ilerlet; açık yanlışları kapat.</x:v>
      </x:c>
      <x:c r="M2365" s="14" t="str">
        <x:v>MUBA 8. Sınıf Başlangıç Matematik (ISBN 9789756526972) → tamamlandıysa Mozaik 8. Sınıf Matematik; açık MEB/yanlışlar</x:v>
      </x:c>
      <x:c r="N2365" s="14" t="str">
        <x:v>https://odsgm.meb.gov.tr/www/8sinif-calisma-sorulari/icerik/1632</x:v>
      </x:c>
      <x:c r="O2365" s="14" t="n">
        <x:v>30</x:v>
      </x:c>
      <x:c r="P2365" s="14" t="str">
        <x:v>İlk 20 soru</x:v>
      </x:c>
      <x:c r="Q2365" s="14" t="str">
        <x:v>Evet</x:v>
      </x:c>
      <x:c r="R2365" s="14" t="str">
        <x:v>Planlandı</x:v>
      </x:c>
      <x:c r="S2365" s="15" t="str"/>
      <x:c r="T2365" s="14" t="str">
        <x:v>Ayrı/rastgele matematik benchmark yoktur. Süreli ilk 20 soru o gün çalışılan konunun içindedir.</x:v>
      </x:c>
    </x:row>
    <x:row r="2366">
      <x:c r="A2366" s="14" t="n">
        <x:v>2365</x:v>
      </x:c>
      <x:c r="B2366" s="15" t="n">
        <x:v>46486</x:v>
      </x:c>
      <x:c r="C2366" s="14" t="str">
        <x:v>Cuma</x:v>
      </x:c>
      <x:c r="D2366" s="14" t="str">
        <x:v>Okul Günü</x:v>
      </x:c>
      <x:c r="E2366" s="14" t="str">
        <x:v>16:00 sonrası</x:v>
      </x:c>
      <x:c r="F2366" s="14" t="str">
        <x:v>F3 - Kaynak/MEB Tamamlama</x:v>
      </x:c>
      <x:c r="G2366" s="14" t="str">
        <x:v>17:55</x:v>
      </x:c>
      <x:c r="H2366" s="14" t="str">
        <x:v>18:25</x:v>
      </x:c>
      <x:c r="I2366" s="14" t="str">
        <x:v>Genel</x:v>
      </x:c>
      <x:c r="J2366" s="14" t="str">
        <x:v>Yemek / Serbest Zaman</x:v>
      </x:c>
      <x:c r="K2366" s="14" t="str"/>
      <x:c r="L2366" s="14" t="str">
        <x:v>Yemek, hareket ve dinlenme.</x:v>
      </x:c>
      <x:c r="M2366" s="14" t="str"/>
      <x:c r="N2366" s="14" t="str"/>
      <x:c r="O2366" s="14" t="n">
        <x:v>0</x:v>
      </x:c>
      <x:c r="P2366" s="14" t="str">
        <x:v>Hayır</x:v>
      </x:c>
      <x:c r="Q2366" s="14" t="str">
        <x:v>Hayır</x:v>
      </x:c>
      <x:c r="R2366" s="14" t="str">
        <x:v>Planlandı</x:v>
      </x:c>
      <x:c r="S2366" s="15" t="str"/>
      <x:c r="T2366" s="14" t="str"/>
    </x:row>
    <x:row r="2367">
      <x:c r="A2367" s="14" t="n">
        <x:v>2366</x:v>
      </x:c>
      <x:c r="B2367" s="15" t="n">
        <x:v>46486</x:v>
      </x:c>
      <x:c r="C2367" s="14" t="str">
        <x:v>Cuma</x:v>
      </x:c>
      <x:c r="D2367" s="14" t="str">
        <x:v>Okul Günü</x:v>
      </x:c>
      <x:c r="E2367" s="14" t="str">
        <x:v>16:00 sonrası</x:v>
      </x:c>
      <x:c r="F2367" s="14" t="str">
        <x:v>F3 - Kaynak/MEB Tamamlama</x:v>
      </x:c>
      <x:c r="G2367" s="14" t="str">
        <x:v>18:25</x:v>
      </x:c>
      <x:c r="H2367" s="14" t="str">
        <x:v>18:55</x:v>
      </x:c>
      <x:c r="I2367" s="14" t="str">
        <x:v>Türkçe</x:v>
      </x:c>
      <x:c r="J2367" s="14" t="str">
        <x:v>Paragraf Rutini</x:v>
      </x:c>
      <x:c r="K2367" s="14" t="str">
        <x:v>Paragraf</x:v>
      </x:c>
      <x:c r="L2367" s="14" t="str">
        <x:v>En az 30 paragraf sorusu çöz; ilk 20 soruyu ileri sayımla ölç, D/Y/B + süre kaydet.</x:v>
      </x:c>
      <x:c r="M2367" s="14" t="str">
        <x:v>Hız 8. Sınıf Türkçe Paragraf (ISBN 9786258394498)</x:v>
      </x:c>
      <x:c r="N2367" s="14" t="str"/>
      <x:c r="O2367" s="14" t="n">
        <x:v>30</x:v>
      </x:c>
      <x:c r="P2367" s="14" t="str">
        <x:v>İlk 20 soru</x:v>
      </x:c>
      <x:c r="Q2367" s="14" t="str">
        <x:v>Evet</x:v>
      </x:c>
      <x:c r="R2367" s="14" t="str">
        <x:v>Planlandı</x:v>
      </x:c>
      <x:c r="S2367" s="15" t="str"/>
      <x:c r="T2367" s="14" t="str">
        <x:v>Geri sayım ve hedef süre yok.</x:v>
      </x:c>
    </x:row>
    <x:row r="2368">
      <x:c r="A2368" s="14" t="n">
        <x:v>2367</x:v>
      </x:c>
      <x:c r="B2368" s="15" t="n">
        <x:v>46486</x:v>
      </x:c>
      <x:c r="C2368" s="14" t="str">
        <x:v>Cuma</x:v>
      </x:c>
      <x:c r="D2368" s="14" t="str">
        <x:v>Okul Günü</x:v>
      </x:c>
      <x:c r="E2368" s="14" t="str">
        <x:v>16:00 sonrası</x:v>
      </x:c>
      <x:c r="F2368" s="14" t="str">
        <x:v>F3 - Kaynak/MEB Tamamlama</x:v>
      </x:c>
      <x:c r="G2368" s="14" t="str">
        <x:v>19:00</x:v>
      </x:c>
      <x:c r="H2368" s="14" t="str">
        <x:v>19:35</x:v>
      </x:c>
      <x:c r="I2368" s="14" t="str">
        <x:v>Türkçe</x:v>
      </x:c>
      <x:c r="J2368" s="14" t="str">
        <x:v>Konu / Tekrar</x:v>
      </x:c>
      <x:c r="K2368" s="14" t="str">
        <x:v>Kaynak Tamamlama / Zayıf Konu</x:v>
      </x:c>
      <x:c r="L2368" s="14" t="str">
        <x:v>Yeni konu açma. En zayıf/açık konunun ilgili playlist videosunu yalnız gerekiyorsa tekrar izle.</x:v>
      </x:c>
      <x:c r="M2368" s="14" t="str">
        <x:v>Türkçe Ana Oynatma Listesi</x:v>
      </x:c>
      <x:c r="N2368" s="14" t="str">
        <x:v>https://www.youtube.com/watch?v=VYsPntNKVdw&amp;list=PLIBjFaUoJJ91bz7QQEBlxNJNZka5YQRr6</x:v>
      </x:c>
      <x:c r="O2368" s="14" t="n">
        <x:v>0</x:v>
      </x:c>
      <x:c r="P2368" s="14" t="str">
        <x:v>Hayır</x:v>
      </x:c>
      <x:c r="Q2368" s="14" t="str">
        <x:v>Evet</x:v>
      </x:c>
      <x:c r="R2368" s="14" t="str">
        <x:v>Planlandı</x:v>
      </x:c>
      <x:c r="S2368" s="15" t="str"/>
      <x:c r="T2368" s="14" t="str">
        <x:v>TYT etiketli kaynak temelden başlamak için sabittir; LGS dışı gereksiz ayrıntı zorunlu değildir.</x:v>
      </x:c>
    </x:row>
    <x:row r="2369">
      <x:c r="A2369" s="14" t="n">
        <x:v>2368</x:v>
      </x:c>
      <x:c r="B2369" s="15" t="n">
        <x:v>46486</x:v>
      </x:c>
      <x:c r="C2369" s="14" t="str">
        <x:v>Cuma</x:v>
      </x:c>
      <x:c r="D2369" s="14" t="str">
        <x:v>Okul Günü</x:v>
      </x:c>
      <x:c r="E2369" s="14" t="str">
        <x:v>16:00 sonrası</x:v>
      </x:c>
      <x:c r="F2369" s="14" t="str">
        <x:v>F3 - Kaynak/MEB Tamamlama</x:v>
      </x:c>
      <x:c r="G2369" s="14" t="str">
        <x:v>19:40</x:v>
      </x:c>
      <x:c r="H2369" s="14" t="str">
        <x:v>20:10</x:v>
      </x:c>
      <x:c r="I2369" s="14" t="str">
        <x:v>Türkçe</x:v>
      </x:c>
      <x:c r="J2369" s="14" t="str">
        <x:v>Kitap / MEB / Mastery</x:v>
      </x:c>
      <x:c r="K2369" s="14" t="str">
        <x:v>Kaynak Tamamlama / Zayıf Konu</x:v>
      </x:c>
      <x:c r="L2369" s="14" t="str">
        <x:v>13 Nisan %100 tamamlama hedefine göre en geride kalan Türkçe soru kaynağını/eksik MEB setini ilerlet; açık yanlışları kapat.</x:v>
      </x:c>
      <x:c r="M2369" s="14" t="str">
        <x:v>Ankara 8. Sınıf Dil Bilgisi Güçlendiren + açık MEB/yanlışlar</x:v>
      </x:c>
      <x:c r="N2369" s="14" t="str">
        <x:v>https://odsgm.meb.gov.tr/www/8sinif-calisma-sorulari/icerik/1632</x:v>
      </x:c>
      <x:c r="O2369" s="14" t="n">
        <x:v>20</x:v>
      </x:c>
      <x:c r="P2369" s="14" t="str">
        <x:v>Hayır</x:v>
      </x:c>
      <x:c r="Q2369" s="14" t="str">
        <x:v>Evet</x:v>
      </x:c>
      <x:c r="R2369" s="14" t="str">
        <x:v>Planlandı</x:v>
      </x:c>
      <x:c r="S2369" s="15" t="str"/>
      <x:c r="T2369" s="14" t="str"/>
    </x:row>
    <x:row r="2370">
      <x:c r="A2370" s="14" t="n">
        <x:v>2369</x:v>
      </x:c>
      <x:c r="B2370" s="15" t="n">
        <x:v>46486</x:v>
      </x:c>
      <x:c r="C2370" s="14" t="str">
        <x:v>Cuma</x:v>
      </x:c>
      <x:c r="D2370" s="14" t="str">
        <x:v>Okul Günü</x:v>
      </x:c>
      <x:c r="E2370" s="14" t="str">
        <x:v>16:00 sonrası</x:v>
      </x:c>
      <x:c r="F2370" s="14" t="str">
        <x:v>F3 - Kaynak/MEB Tamamlama</x:v>
      </x:c>
      <x:c r="G2370" s="14" t="str">
        <x:v>20:15</x:v>
      </x:c>
      <x:c r="H2370" s="14" t="str">
        <x:v>20:50</x:v>
      </x:c>
      <x:c r="I2370" s="14" t="str">
        <x:v>İnkılap</x:v>
      </x:c>
      <x:c r="J2370" s="14" t="str">
        <x:v>Konu / Tekrar</x:v>
      </x:c>
      <x:c r="K2370" s="14" t="str">
        <x:v>Kaynak Tamamlama / Zayıf Konu</x:v>
      </x:c>
      <x:c r="L2370" s="14" t="str">
        <x:v>Yeni konu açma. En zayıf/açık konunun ilgili playlist videosunu yalnız gerekiyorsa tekrar izle.</x:v>
      </x:c>
      <x:c r="M2370" s="14" t="str">
        <x:v>İnkılap Genel Oynatma Listesi</x:v>
      </x:c>
      <x:c r="N2370" s="14" t="str">
        <x:v>https://www.youtube.com/watch?v=MltIX0oKpYU&amp;list=PLsAsBPsriHNbXit4Ra3iuBrk1ZHZWxsOR&amp;index=78</x:v>
      </x:c>
      <x:c r="O2370" s="14" t="n">
        <x:v>0</x:v>
      </x:c>
      <x:c r="P2370" s="14" t="str">
        <x:v>Hayır</x:v>
      </x:c>
      <x:c r="Q2370" s="14" t="str">
        <x:v>Evet</x:v>
      </x:c>
      <x:c r="R2370" s="14" t="str">
        <x:v>Planlandı</x:v>
      </x:c>
      <x:c r="S2370" s="15" t="str"/>
      <x:c r="T2370" s="14" t="str">
        <x:v>İnkılapta okul yazılısı videoları zorunlu değildir.</x:v>
      </x:c>
    </x:row>
    <x:row r="2371">
      <x:c r="A2371" s="14" t="n">
        <x:v>2370</x:v>
      </x:c>
      <x:c r="B2371" s="15" t="n">
        <x:v>46486</x:v>
      </x:c>
      <x:c r="C2371" s="14" t="str">
        <x:v>Cuma</x:v>
      </x:c>
      <x:c r="D2371" s="14" t="str">
        <x:v>Okul Günü</x:v>
      </x:c>
      <x:c r="E2371" s="14" t="str">
        <x:v>16:00 sonrası</x:v>
      </x:c>
      <x:c r="F2371" s="14" t="str">
        <x:v>F3 - Kaynak/MEB Tamamlama</x:v>
      </x:c>
      <x:c r="G2371" s="14" t="str">
        <x:v>20:55</x:v>
      </x:c>
      <x:c r="H2371" s="14" t="str">
        <x:v>21:20</x:v>
      </x:c>
      <x:c r="I2371" s="14" t="str">
        <x:v>İnkılap</x:v>
      </x:c>
      <x:c r="J2371" s="14" t="str">
        <x:v>Kitap / MEB / Mastery</x:v>
      </x:c>
      <x:c r="K2371" s="14" t="str">
        <x:v>Kaynak Tamamlama / Zayıf Konu</x:v>
      </x:c>
      <x:c r="L2371" s="14" t="str">
        <x:v>13 Nisan %100 tamamlama hedefine göre en geride kalan İnkılap soru kaynağını/eksik MEB setini ilerlet; açık yanlışları kapat.</x:v>
      </x:c>
      <x:c r="M2371" s="14" t="str">
        <x:v>Hız 8. Sınıf T.C. İnkılap Tarihi ve Atatürkçülük + açık MEB/yanlışlar</x:v>
      </x:c>
      <x:c r="N2371" s="14" t="str">
        <x:v>https://odsgm.meb.gov.tr/www/8sinif-calisma-sorulari/icerik/1632</x:v>
      </x:c>
      <x:c r="O2371" s="14" t="n">
        <x:v>20</x:v>
      </x:c>
      <x:c r="P2371" s="14" t="str">
        <x:v>Hayır</x:v>
      </x:c>
      <x:c r="Q2371" s="14" t="str">
        <x:v>Evet</x:v>
      </x:c>
      <x:c r="R2371" s="14" t="str">
        <x:v>Planlandı</x:v>
      </x:c>
      <x:c r="S2371" s="15" t="str"/>
      <x:c r="T2371" s="14" t="str"/>
    </x:row>
    <x:row r="2372">
      <x:c r="A2372" s="14" t="n">
        <x:v>2371</x:v>
      </x:c>
      <x:c r="B2372" s="15" t="n">
        <x:v>46486</x:v>
      </x:c>
      <x:c r="C2372" s="14" t="str">
        <x:v>Cuma</x:v>
      </x:c>
      <x:c r="D2372" s="14" t="str">
        <x:v>Okul Günü</x:v>
      </x:c>
      <x:c r="E2372" s="14" t="str">
        <x:v>16:00 sonrası</x:v>
      </x:c>
      <x:c r="F2372" s="14" t="str">
        <x:v>F3 - Kaynak/MEB Tamamlama</x:v>
      </x:c>
      <x:c r="G2372" s="14" t="str">
        <x:v>21:20</x:v>
      </x:c>
      <x:c r="H2372" s="14" t="str">
        <x:v>21:35</x:v>
      </x:c>
      <x:c r="I2372" s="14" t="str">
        <x:v>Genel</x:v>
      </x:c>
      <x:c r="J2372" s="14" t="str">
        <x:v>Yanlış / Boş Analizi</x:v>
      </x:c>
      <x:c r="K2372" s="14" t="str">
        <x:v>Günlük</x:v>
      </x:c>
      <x:c r="L2372" s="14" t="str">
        <x:v>Bugünkü yanlış/boşları kaydet; çözümünü öğrenmeden kapatma. Hata türünü sınıflandır.</x:v>
      </x:c>
      <x:c r="M2372" s="14" t="str">
        <x:v>Yanlış Defteri</x:v>
      </x:c>
      <x:c r="N2372" s="14" t="str"/>
      <x:c r="O2372" s="14" t="n">
        <x:v>0</x:v>
      </x:c>
      <x:c r="P2372" s="14" t="str">
        <x:v>Hayır</x:v>
      </x:c>
      <x:c r="Q2372" s="14" t="str">
        <x:v>Evet</x:v>
      </x:c>
      <x:c r="R2372" s="14" t="str">
        <x:v>Planlandı</x:v>
      </x:c>
      <x:c r="S2372" s="15" t="str"/>
      <x:c r="T2372" s="14" t="str"/>
    </x:row>
    <x:row r="2373">
      <x:c r="A2373" s="14" t="n">
        <x:v>2372</x:v>
      </x:c>
      <x:c r="B2373" s="15" t="n">
        <x:v>46486</x:v>
      </x:c>
      <x:c r="C2373" s="14" t="str">
        <x:v>Cuma</x:v>
      </x:c>
      <x:c r="D2373" s="14" t="str">
        <x:v>Okul Günü</x:v>
      </x:c>
      <x:c r="E2373" s="14" t="str">
        <x:v>16:00 sonrası</x:v>
      </x:c>
      <x:c r="F2373" s="14" t="str">
        <x:v>F3 - Kaynak/MEB Tamamlama</x:v>
      </x:c>
      <x:c r="G2373" s="14" t="str">
        <x:v>21:35</x:v>
      </x:c>
      <x:c r="H2373" s="14" t="str">
        <x:v>21:50</x:v>
      </x:c>
      <x:c r="I2373" s="14" t="str">
        <x:v>Genel</x:v>
      </x:c>
      <x:c r="J2373" s="14" t="str">
        <x:v>Aralıklı Hata Tekrarı</x:v>
      </x:c>
      <x:c r="K2373" s="14" t="str">
        <x:v>+1 / +7 / +21</x:v>
      </x:c>
      <x:c r="L2373" s="14" t="str">
        <x:v>Bugün vadesi gelen yanlış soruları tekrar çöz. Vadesi yoksa bu süre serbest/okuma olabilir.</x:v>
      </x:c>
      <x:c r="M2373" s="14" t="str">
        <x:v>Yanlış Defteri</x:v>
      </x:c>
      <x:c r="N2373" s="14" t="str"/>
      <x:c r="O2373" s="14" t="n">
        <x:v>0</x:v>
      </x:c>
      <x:c r="P2373" s="14" t="str">
        <x:v>Hayır</x:v>
      </x:c>
      <x:c r="Q2373" s="14" t="str">
        <x:v>Koşullu</x:v>
      </x:c>
      <x:c r="R2373" s="14" t="str">
        <x:v>Planlandı</x:v>
      </x:c>
      <x:c r="S2373" s="15" t="str"/>
      <x:c r="T2373" s="14" t="str">
        <x:v>Yanlışlar +1, +7 ve +21 gün aralıklarıyla tekrar edilir; hâlâ yanlışsa konu mastery durumu düşürülür.</x:v>
      </x:c>
    </x:row>
    <x:row r="2374">
      <x:c r="A2374" s="14" t="n">
        <x:v>2373</x:v>
      </x:c>
      <x:c r="B2374" s="15" t="n">
        <x:v>46486</x:v>
      </x:c>
      <x:c r="C2374" s="14" t="str">
        <x:v>Cuma</x:v>
      </x:c>
      <x:c r="D2374" s="14" t="str">
        <x:v>Okul Günü</x:v>
      </x:c>
      <x:c r="E2374" s="14" t="str">
        <x:v>16:00 sonrası</x:v>
      </x:c>
      <x:c r="F2374" s="14" t="str">
        <x:v>F3 - Kaynak/MEB Tamamlama</x:v>
      </x:c>
      <x:c r="G2374" s="14" t="str">
        <x:v>21:50</x:v>
      </x:c>
      <x:c r="H2374" s="14" t="str">
        <x:v>22:00</x:v>
      </x:c>
      <x:c r="I2374" s="14" t="str">
        <x:v>Genel</x:v>
      </x:c>
      <x:c r="J2374" s="14" t="str">
        <x:v>Uyku Hazırlığı</x:v>
      </x:c>
      <x:c r="K2374" s="14" t="str"/>
      <x:c r="L2374" s="14" t="str">
        <x:v>22:00'de yatakta ve uyku.</x:v>
      </x:c>
      <x:c r="M2374" s="14" t="str"/>
      <x:c r="N2374" s="14" t="str"/>
      <x:c r="O2374" s="14" t="n">
        <x:v>0</x:v>
      </x:c>
      <x:c r="P2374" s="14" t="str">
        <x:v>Hayır</x:v>
      </x:c>
      <x:c r="Q2374" s="14" t="str">
        <x:v>Hayır</x:v>
      </x:c>
      <x:c r="R2374" s="14" t="str">
        <x:v>Planlandı</x:v>
      </x:c>
      <x:c r="S2374" s="15" t="str"/>
      <x:c r="T2374" s="14" t="str"/>
    </x:row>
    <x:row r="2375">
      <x:c r="A2375" s="14" t="n">
        <x:v>2374</x:v>
      </x:c>
      <x:c r="B2375" s="15" t="n">
        <x:v>46487</x:v>
      </x:c>
      <x:c r="C2375" s="14" t="str">
        <x:v>Cumartesi</x:v>
      </x:c>
      <x:c r="D2375" s="14" t="str">
        <x:v>Hafta Sonu</x:v>
      </x:c>
      <x:c r="E2375" s="14" t="str">
        <x:v>Tam gün</x:v>
      </x:c>
      <x:c r="F2375" s="14" t="str">
        <x:v>F3 - Kaynak/MEB Tamamlama</x:v>
      </x:c>
      <x:c r="G2375" s="14" t="str">
        <x:v>09:30</x:v>
      </x:c>
      <x:c r="H2375" s="14" t="str">
        <x:v>10:15</x:v>
      </x:c>
      <x:c r="I2375" s="14" t="str">
        <x:v>Matematik</x:v>
      </x:c>
      <x:c r="J2375" s="14" t="str">
        <x:v>Konu / Tekrar</x:v>
      </x:c>
      <x:c r="K2375" s="14" t="str">
        <x:v>Kaynak Tamamlama / Zayıf Konu</x:v>
      </x:c>
      <x:c r="L2375" s="14" t="str">
        <x:v>Yeni konu açma. En zayıf/açık konunun ilgili playlist videosunu yalnız gerekiyorsa tekrar izle.</x:v>
      </x:c>
      <x:c r="M2375" s="14" t="str">
        <x:v>Matematik Ana Oynatma Listesi</x:v>
      </x:c>
      <x:c r="N2375" s="14" t="str">
        <x:v>https://www.youtube.com/watch?v=EuJ89QzqrAg&amp;list=PLicNtF7vp6fnfDqrRLH6H7fIbzYT4ct4F&amp;index=11</x:v>
      </x:c>
      <x:c r="O2375" s="14" t="n">
        <x:v>0</x:v>
      </x:c>
      <x:c r="P2375" s="14" t="str">
        <x:v>Hayır</x:v>
      </x:c>
      <x:c r="Q2375" s="14" t="str">
        <x:v>Evet</x:v>
      </x:c>
      <x:c r="R2375" s="14" t="str">
        <x:v>Planlandı</x:v>
      </x:c>
      <x:c r="S2375" s="15" t="str"/>
      <x:c r="T2375" s="14" t="str">
        <x:v>Yeni konu ancak plan sırasıyla açılır; LGS dışı ileri TYT içeriği zorunlu değildir.</x:v>
      </x:c>
    </x:row>
    <x:row r="2376">
      <x:c r="A2376" s="14" t="n">
        <x:v>2375</x:v>
      </x:c>
      <x:c r="B2376" s="15" t="n">
        <x:v>46487</x:v>
      </x:c>
      <x:c r="C2376" s="14" t="str">
        <x:v>Cumartesi</x:v>
      </x:c>
      <x:c r="D2376" s="14" t="str">
        <x:v>Hafta Sonu</x:v>
      </x:c>
      <x:c r="E2376" s="14" t="str">
        <x:v>Tam gün</x:v>
      </x:c>
      <x:c r="F2376" s="14" t="str">
        <x:v>F3 - Kaynak/MEB Tamamlama</x:v>
      </x:c>
      <x:c r="G2376" s="14" t="str">
        <x:v>10:25</x:v>
      </x:c>
      <x:c r="H2376" s="14" t="str">
        <x:v>11:15</x:v>
      </x:c>
      <x:c r="I2376" s="14" t="str">
        <x:v>Matematik</x:v>
      </x:c>
      <x:c r="J2376" s="14" t="str">
        <x:v>Kitap / MEB / Mastery</x:v>
      </x:c>
      <x:c r="K2376" s="14" t="str">
        <x:v>Kaynak Tamamlama / Zayıf Konu</x:v>
      </x:c>
      <x:c r="L2376" s="14" t="str">
        <x:v>13 Nisan %100 tamamlama hedefine göre en geride kalan Matematik soru kaynağını/eksik MEB setini ilerlet; açık yanlışları kapat.</x:v>
      </x:c>
      <x:c r="M2376" s="14" t="str">
        <x:v>MUBA 8. Sınıf Başlangıç Matematik (ISBN 9789756526972) → tamamlandıysa Mozaik 8. Sınıf Matematik; açık MEB/yanlışlar</x:v>
      </x:c>
      <x:c r="N2376" s="14" t="str">
        <x:v>https://odsgm.meb.gov.tr/www/8sinif-calisma-sorulari/icerik/1632</x:v>
      </x:c>
      <x:c r="O2376" s="14" t="n">
        <x:v>30</x:v>
      </x:c>
      <x:c r="P2376" s="14" t="str">
        <x:v>İlk 20 soru</x:v>
      </x:c>
      <x:c r="Q2376" s="14" t="str">
        <x:v>Evet</x:v>
      </x:c>
      <x:c r="R2376" s="14" t="str">
        <x:v>Planlandı</x:v>
      </x:c>
      <x:c r="S2376" s="15" t="str"/>
      <x:c r="T2376" s="14" t="str">
        <x:v>Ayrı/rastgele matematik benchmark yoktur. Süreli ilk 20 soru o gün çalışılan konunun içindedir.</x:v>
      </x:c>
    </x:row>
    <x:row r="2377">
      <x:c r="A2377" s="14" t="n">
        <x:v>2376</x:v>
      </x:c>
      <x:c r="B2377" s="15" t="n">
        <x:v>46487</x:v>
      </x:c>
      <x:c r="C2377" s="14" t="str">
        <x:v>Cumartesi</x:v>
      </x:c>
      <x:c r="D2377" s="14" t="str">
        <x:v>Hafta Sonu</x:v>
      </x:c>
      <x:c r="E2377" s="14" t="str">
        <x:v>Tam gün</x:v>
      </x:c>
      <x:c r="F2377" s="14" t="str">
        <x:v>F3 - Kaynak/MEB Tamamlama</x:v>
      </x:c>
      <x:c r="G2377" s="14" t="str">
        <x:v>12:00</x:v>
      </x:c>
      <x:c r="H2377" s="14" t="str">
        <x:v>14:00</x:v>
      </x:c>
      <x:c r="I2377" s="14" t="str">
        <x:v>Genel</x:v>
      </x:c>
      <x:c r="J2377" s="14" t="str">
        <x:v>Yemek / Serbest Zaman</x:v>
      </x:c>
      <x:c r="K2377" s="14" t="str"/>
      <x:c r="L2377" s="14" t="str">
        <x:v>Yemek, hareket ve dinlenme.</x:v>
      </x:c>
      <x:c r="M2377" s="14" t="str"/>
      <x:c r="N2377" s="14" t="str"/>
      <x:c r="O2377" s="14" t="n">
        <x:v>0</x:v>
      </x:c>
      <x:c r="P2377" s="14" t="str">
        <x:v>Hayır</x:v>
      </x:c>
      <x:c r="Q2377" s="14" t="str">
        <x:v>Hayır</x:v>
      </x:c>
      <x:c r="R2377" s="14" t="str">
        <x:v>Planlandı</x:v>
      </x:c>
      <x:c r="S2377" s="15" t="str"/>
      <x:c r="T2377" s="14" t="str"/>
    </x:row>
    <x:row r="2378">
      <x:c r="A2378" s="14" t="n">
        <x:v>2377</x:v>
      </x:c>
      <x:c r="B2378" s="15" t="n">
        <x:v>46487</x:v>
      </x:c>
      <x:c r="C2378" s="14" t="str">
        <x:v>Cumartesi</x:v>
      </x:c>
      <x:c r="D2378" s="14" t="str">
        <x:v>Hafta Sonu</x:v>
      </x:c>
      <x:c r="E2378" s="14" t="str">
        <x:v>Tam gün</x:v>
      </x:c>
      <x:c r="F2378" s="14" t="str">
        <x:v>F3 - Kaynak/MEB Tamamlama</x:v>
      </x:c>
      <x:c r="G2378" s="14" t="str">
        <x:v>11:25</x:v>
      </x:c>
      <x:c r="H2378" s="14" t="str">
        <x:v>11:55</x:v>
      </x:c>
      <x:c r="I2378" s="14" t="str">
        <x:v>Türkçe</x:v>
      </x:c>
      <x:c r="J2378" s="14" t="str">
        <x:v>Paragraf Rutini</x:v>
      </x:c>
      <x:c r="K2378" s="14" t="str">
        <x:v>Paragraf</x:v>
      </x:c>
      <x:c r="L2378" s="14" t="str">
        <x:v>En az 30 paragraf sorusu çöz; ilk 20 soruyu ileri sayımla ölç, D/Y/B + süre kaydet.</x:v>
      </x:c>
      <x:c r="M2378" s="14" t="str">
        <x:v>Hız 8. Sınıf Türkçe Paragraf (ISBN 9786258394498)</x:v>
      </x:c>
      <x:c r="N2378" s="14" t="str"/>
      <x:c r="O2378" s="14" t="n">
        <x:v>30</x:v>
      </x:c>
      <x:c r="P2378" s="14" t="str">
        <x:v>İlk 20 soru</x:v>
      </x:c>
      <x:c r="Q2378" s="14" t="str">
        <x:v>Evet</x:v>
      </x:c>
      <x:c r="R2378" s="14" t="str">
        <x:v>Planlandı</x:v>
      </x:c>
      <x:c r="S2378" s="15" t="str"/>
      <x:c r="T2378" s="14" t="str">
        <x:v>Geri sayım ve hedef süre yok.</x:v>
      </x:c>
    </x:row>
    <x:row r="2379">
      <x:c r="A2379" s="14" t="n">
        <x:v>2378</x:v>
      </x:c>
      <x:c r="B2379" s="15" t="n">
        <x:v>46487</x:v>
      </x:c>
      <x:c r="C2379" s="14" t="str">
        <x:v>Cumartesi</x:v>
      </x:c>
      <x:c r="D2379" s="14" t="str">
        <x:v>Hafta Sonu</x:v>
      </x:c>
      <x:c r="E2379" s="14" t="str">
        <x:v>Tam gün</x:v>
      </x:c>
      <x:c r="F2379" s="14" t="str">
        <x:v>F3 - Kaynak/MEB Tamamlama</x:v>
      </x:c>
      <x:c r="G2379" s="14" t="str">
        <x:v>14:00</x:v>
      </x:c>
      <x:c r="H2379" s="14" t="str">
        <x:v>14:40</x:v>
      </x:c>
      <x:c r="I2379" s="14" t="str">
        <x:v>Türkçe</x:v>
      </x:c>
      <x:c r="J2379" s="14" t="str">
        <x:v>Konu / Tekrar</x:v>
      </x:c>
      <x:c r="K2379" s="14" t="str">
        <x:v>Kaynak Tamamlama / Zayıf Konu</x:v>
      </x:c>
      <x:c r="L2379" s="14" t="str">
        <x:v>Yeni konu açma. En zayıf/açık konunun ilgili playlist videosunu yalnız gerekiyorsa tekrar izle.</x:v>
      </x:c>
      <x:c r="M2379" s="14" t="str">
        <x:v>Türkçe Ana Oynatma Listesi</x:v>
      </x:c>
      <x:c r="N2379" s="14" t="str">
        <x:v>https://www.youtube.com/watch?v=VYsPntNKVdw&amp;list=PLIBjFaUoJJ91bz7QQEBlxNJNZka5YQRr6</x:v>
      </x:c>
      <x:c r="O2379" s="14" t="n">
        <x:v>0</x:v>
      </x:c>
      <x:c r="P2379" s="14" t="str">
        <x:v>Hayır</x:v>
      </x:c>
      <x:c r="Q2379" s="14" t="str">
        <x:v>Evet</x:v>
      </x:c>
      <x:c r="R2379" s="14" t="str">
        <x:v>Planlandı</x:v>
      </x:c>
      <x:c r="S2379" s="15" t="str"/>
      <x:c r="T2379" s="14" t="str">
        <x:v>TYT etiketli kaynak temelden başlamak için sabittir; LGS dışı gereksiz ayrıntı zorunlu değildir.</x:v>
      </x:c>
    </x:row>
    <x:row r="2380">
      <x:c r="A2380" s="14" t="n">
        <x:v>2379</x:v>
      </x:c>
      <x:c r="B2380" s="15" t="n">
        <x:v>46487</x:v>
      </x:c>
      <x:c r="C2380" s="14" t="str">
        <x:v>Cumartesi</x:v>
      </x:c>
      <x:c r="D2380" s="14" t="str">
        <x:v>Hafta Sonu</x:v>
      </x:c>
      <x:c r="E2380" s="14" t="str">
        <x:v>Tam gün</x:v>
      </x:c>
      <x:c r="F2380" s="14" t="str">
        <x:v>F3 - Kaynak/MEB Tamamlama</x:v>
      </x:c>
      <x:c r="G2380" s="14" t="str">
        <x:v>14:50</x:v>
      </x:c>
      <x:c r="H2380" s="14" t="str">
        <x:v>15:30</x:v>
      </x:c>
      <x:c r="I2380" s="14" t="str">
        <x:v>Türkçe</x:v>
      </x:c>
      <x:c r="J2380" s="14" t="str">
        <x:v>Kitap / MEB / Mastery</x:v>
      </x:c>
      <x:c r="K2380" s="14" t="str">
        <x:v>Kaynak Tamamlama / Zayıf Konu</x:v>
      </x:c>
      <x:c r="L2380" s="14" t="str">
        <x:v>13 Nisan %100 tamamlama hedefine göre en geride kalan Türkçe soru kaynağını/eksik MEB setini ilerlet; açık yanlışları kapat.</x:v>
      </x:c>
      <x:c r="M2380" s="14" t="str">
        <x:v>Ankara 8. Sınıf Dil Bilgisi Güçlendiren + açık MEB/yanlışlar</x:v>
      </x:c>
      <x:c r="N2380" s="14" t="str">
        <x:v>https://odsgm.meb.gov.tr/www/8sinif-calisma-sorulari/icerik/1632</x:v>
      </x:c>
      <x:c r="O2380" s="14" t="n">
        <x:v>20</x:v>
      </x:c>
      <x:c r="P2380" s="14" t="str">
        <x:v>Hayır</x:v>
      </x:c>
      <x:c r="Q2380" s="14" t="str">
        <x:v>Evet</x:v>
      </x:c>
      <x:c r="R2380" s="14" t="str">
        <x:v>Planlandı</x:v>
      </x:c>
      <x:c r="S2380" s="15" t="str"/>
      <x:c r="T2380" s="14" t="str"/>
    </x:row>
    <x:row r="2381">
      <x:c r="A2381" s="14" t="n">
        <x:v>2380</x:v>
      </x:c>
      <x:c r="B2381" s="15" t="n">
        <x:v>46487</x:v>
      </x:c>
      <x:c r="C2381" s="14" t="str">
        <x:v>Cumartesi</x:v>
      </x:c>
      <x:c r="D2381" s="14" t="str">
        <x:v>Hafta Sonu</x:v>
      </x:c>
      <x:c r="E2381" s="14" t="str">
        <x:v>Tam gün</x:v>
      </x:c>
      <x:c r="F2381" s="14" t="str">
        <x:v>F3 - Kaynak/MEB Tamamlama</x:v>
      </x:c>
      <x:c r="G2381" s="14" t="str">
        <x:v>15:45</x:v>
      </x:c>
      <x:c r="H2381" s="14" t="str">
        <x:v>16:25</x:v>
      </x:c>
      <x:c r="I2381" s="14" t="str">
        <x:v>İngilizce</x:v>
      </x:c>
      <x:c r="J2381" s="14" t="str">
        <x:v>Konu / Tekrar</x:v>
      </x:c>
      <x:c r="K2381" s="14" t="str">
        <x:v>Kaynak Tamamlama / Zayıf Konu</x:v>
      </x:c>
      <x:c r="L2381" s="14" t="str">
        <x:v>Yeni konu açma. En zayıf/açık konunun ilgili playlist videosunu yalnız gerekiyorsa tekrar izle.</x:v>
      </x:c>
      <x:c r="M2381" s="14" t="str">
        <x:v>İngilizce Genel Oynatma Listesi</x:v>
      </x:c>
      <x:c r="N2381" s="14" t="str">
        <x:v>https://www.youtube.com/watch?v=FaY3dFjZbns&amp;list=PLSgpQDrUSYp94WgE9pzpHiOG5FwxnZBrr</x:v>
      </x:c>
      <x:c r="O2381" s="14" t="n">
        <x:v>0</x:v>
      </x:c>
      <x:c r="P2381" s="14" t="str">
        <x:v>Hayır</x:v>
      </x:c>
      <x:c r="Q2381" s="14" t="str">
        <x:v>Evet</x:v>
      </x:c>
      <x:c r="R2381" s="14" t="str">
        <x:v>Planlandı</x:v>
      </x:c>
      <x:c r="S2381" s="15" t="str"/>
      <x:c r="T2381" s="14" t="str"/>
    </x:row>
    <x:row r="2382">
      <x:c r="A2382" s="14" t="n">
        <x:v>2381</x:v>
      </x:c>
      <x:c r="B2382" s="15" t="n">
        <x:v>46487</x:v>
      </x:c>
      <x:c r="C2382" s="14" t="str">
        <x:v>Cumartesi</x:v>
      </x:c>
      <x:c r="D2382" s="14" t="str">
        <x:v>Hafta Sonu</x:v>
      </x:c>
      <x:c r="E2382" s="14" t="str">
        <x:v>Tam gün</x:v>
      </x:c>
      <x:c r="F2382" s="14" t="str">
        <x:v>F3 - Kaynak/MEB Tamamlama</x:v>
      </x:c>
      <x:c r="G2382" s="14" t="str">
        <x:v>16:35</x:v>
      </x:c>
      <x:c r="H2382" s="14" t="str">
        <x:v>17:15</x:v>
      </x:c>
      <x:c r="I2382" s="14" t="str">
        <x:v>İngilizce</x:v>
      </x:c>
      <x:c r="J2382" s="14" t="str">
        <x:v>Kitap / MEB / Mastery</x:v>
      </x:c>
      <x:c r="K2382" s="14" t="str">
        <x:v>Kaynak Tamamlama / Zayıf Konu</x:v>
      </x:c>
      <x:c r="L2382" s="14" t="str">
        <x:v>13 Nisan %100 tamamlama hedefine göre en geride kalan İngilizce soru kaynağını/eksik MEB setini ilerlet; açık yanlışları kapat.</x:v>
      </x:c>
      <x:c r="M2382" s="14" t="str">
        <x:v>More &amp; More 8 Worksheets Notebook + açık MEB/yanlışlar</x:v>
      </x:c>
      <x:c r="N2382" s="14" t="str">
        <x:v>https://odsgm.meb.gov.tr/www/8sinif-calisma-sorulari/icerik/1632</x:v>
      </x:c>
      <x:c r="O2382" s="14" t="n">
        <x:v>20</x:v>
      </x:c>
      <x:c r="P2382" s="14" t="str">
        <x:v>Hayır</x:v>
      </x:c>
      <x:c r="Q2382" s="14" t="str">
        <x:v>Evet</x:v>
      </x:c>
      <x:c r="R2382" s="14" t="str">
        <x:v>Planlandı</x:v>
      </x:c>
      <x:c r="S2382" s="15" t="str"/>
      <x:c r="T2382" s="14" t="str"/>
    </x:row>
    <x:row r="2383">
      <x:c r="A2383" s="14" t="n">
        <x:v>2382</x:v>
      </x:c>
      <x:c r="B2383" s="15" t="n">
        <x:v>46487</x:v>
      </x:c>
      <x:c r="C2383" s="14" t="str">
        <x:v>Cumartesi</x:v>
      </x:c>
      <x:c r="D2383" s="14" t="str">
        <x:v>Hafta Sonu</x:v>
      </x:c>
      <x:c r="E2383" s="14" t="str">
        <x:v>Tam gün</x:v>
      </x:c>
      <x:c r="F2383" s="14" t="str">
        <x:v>F3 - Kaynak/MEB Tamamlama</x:v>
      </x:c>
      <x:c r="G2383" s="14" t="str">
        <x:v>17:25</x:v>
      </x:c>
      <x:c r="H2383" s="14" t="str">
        <x:v>17:55</x:v>
      </x:c>
      <x:c r="I2383" s="14" t="str">
        <x:v>Fen</x:v>
      </x:c>
      <x:c r="J2383" s="14" t="str">
        <x:v>Ek Fen Pekiştirme</x:v>
      </x:c>
      <x:c r="K2383" s="14" t="str">
        <x:v>Kaynak Tamamlama / Zayıf Konu</x:v>
      </x:c>
      <x:c r="L2383" s="14" t="str">
        <x:v>Yeni konu açma. En zayıf/açık konunun ilgili playlist videosunu yalnız gerekiyorsa tekrar izle.</x:v>
      </x:c>
      <x:c r="M2383" s="14" t="str">
        <x:v>Fen Konu/Soru Oynatma Listesi</x:v>
      </x:c>
      <x:c r="N2383" s="14" t="str">
        <x:v>https://www.youtube.com/watch?v=pQXhWnDZ3vM&amp;list=PLrQm7mt99FRXcBnorCttd31HJEvg0En26&amp;index=23</x:v>
      </x:c>
      <x:c r="O2383" s="14" t="n">
        <x:v>0</x:v>
      </x:c>
      <x:c r="P2383" s="14" t="str">
        <x:v>Hayır</x:v>
      </x:c>
      <x:c r="Q2383" s="14" t="str">
        <x:v>Evet</x:v>
      </x:c>
      <x:c r="R2383" s="14" t="str">
        <x:v>Planlandı</x:v>
      </x:c>
      <x:c r="S2383" s="15" t="str"/>
      <x:c r="T2383" s="14" t="str">
        <x:v>Fen haftalık temas sıklığını artırmak için ek Cumartesi oturumu.</x:v>
      </x:c>
    </x:row>
    <x:row r="2384">
      <x:c r="A2384" s="14" t="n">
        <x:v>2383</x:v>
      </x:c>
      <x:c r="B2384" s="15" t="n">
        <x:v>46487</x:v>
      </x:c>
      <x:c r="C2384" s="14" t="str">
        <x:v>Cumartesi</x:v>
      </x:c>
      <x:c r="D2384" s="14" t="str">
        <x:v>Hafta Sonu</x:v>
      </x:c>
      <x:c r="E2384" s="14" t="str">
        <x:v>Tam gün</x:v>
      </x:c>
      <x:c r="F2384" s="14" t="str">
        <x:v>F3 - Kaynak/MEB Tamamlama</x:v>
      </x:c>
      <x:c r="G2384" s="14" t="str">
        <x:v>17:55</x:v>
      </x:c>
      <x:c r="H2384" s="14" t="str">
        <x:v>18:25</x:v>
      </x:c>
      <x:c r="I2384" s="14" t="str">
        <x:v>Fen</x:v>
      </x:c>
      <x:c r="J2384" s="14" t="str">
        <x:v>Ek Fen Kitap / MEB</x:v>
      </x:c>
      <x:c r="K2384" s="14" t="str">
        <x:v>Kaynak Tamamlama / Zayıf Konu</x:v>
      </x:c>
      <x:c r="L2384" s="14" t="str">
        <x:v>13 Nisan %100 tamamlama hedefine göre en geride kalan Fen soru kaynağını/eksik MEB setini ilerlet; açık yanlışları kapat.</x:v>
      </x:c>
      <x:c r="M2384" s="14" t="str">
        <x:v>Hız 8. Sınıf Fen (ISBN 9786257514859); tamamlandıysa Mozaik 8. Sınıf Fen + açık MEB/yanlışlar</x:v>
      </x:c>
      <x:c r="N2384" s="14" t="str">
        <x:v>https://odsgm.meb.gov.tr/www/8sinif-calisma-sorulari/icerik/1632</x:v>
      </x:c>
      <x:c r="O2384" s="14" t="n">
        <x:v>20</x:v>
      </x:c>
      <x:c r="P2384" s="14" t="str">
        <x:v>Hayır</x:v>
      </x:c>
      <x:c r="Q2384" s="14" t="str">
        <x:v>Evet</x:v>
      </x:c>
      <x:c r="R2384" s="14" t="str">
        <x:v>Planlandı</x:v>
      </x:c>
      <x:c r="S2384" s="15" t="str"/>
      <x:c r="T2384" s="14" t="str">
        <x:v>Fen için Hız → gerekiyorsa Mozaik; MEB doğrulaması konu bitiminde.</x:v>
      </x:c>
    </x:row>
    <x:row r="2385">
      <x:c r="A2385" s="14" t="n">
        <x:v>2384</x:v>
      </x:c>
      <x:c r="B2385" s="15" t="n">
        <x:v>46487</x:v>
      </x:c>
      <x:c r="C2385" s="14" t="str">
        <x:v>Cumartesi</x:v>
      </x:c>
      <x:c r="D2385" s="14" t="str">
        <x:v>Hafta Sonu</x:v>
      </x:c>
      <x:c r="E2385" s="14" t="str">
        <x:v>Tam gün</x:v>
      </x:c>
      <x:c r="F2385" s="14" t="str">
        <x:v>F3 - Kaynak/MEB Tamamlama</x:v>
      </x:c>
      <x:c r="G2385" s="14" t="str">
        <x:v>18:25</x:v>
      </x:c>
      <x:c r="H2385" s="14" t="str">
        <x:v>18:45</x:v>
      </x:c>
      <x:c r="I2385" s="14" t="str">
        <x:v>Genel</x:v>
      </x:c>
      <x:c r="J2385" s="14" t="str">
        <x:v>Yanlış / Boş Analizi</x:v>
      </x:c>
      <x:c r="K2385" s="14" t="str">
        <x:v>Günlük</x:v>
      </x:c>
      <x:c r="L2385" s="14" t="str">
        <x:v>Bugünkü yanlış/boşları kaydet; çözümünü öğrenmeden kapatma. Hata türünü sınıflandır.</x:v>
      </x:c>
      <x:c r="M2385" s="14" t="str">
        <x:v>Yanlış Defteri</x:v>
      </x:c>
      <x:c r="N2385" s="14" t="str"/>
      <x:c r="O2385" s="14" t="n">
        <x:v>0</x:v>
      </x:c>
      <x:c r="P2385" s="14" t="str">
        <x:v>Hayır</x:v>
      </x:c>
      <x:c r="Q2385" s="14" t="str">
        <x:v>Evet</x:v>
      </x:c>
      <x:c r="R2385" s="14" t="str">
        <x:v>Planlandı</x:v>
      </x:c>
      <x:c r="S2385" s="15" t="str"/>
      <x:c r="T2385" s="14" t="str"/>
    </x:row>
    <x:row r="2386">
      <x:c r="A2386" s="14" t="n">
        <x:v>2385</x:v>
      </x:c>
      <x:c r="B2386" s="15" t="n">
        <x:v>46487</x:v>
      </x:c>
      <x:c r="C2386" s="14" t="str">
        <x:v>Cumartesi</x:v>
      </x:c>
      <x:c r="D2386" s="14" t="str">
        <x:v>Hafta Sonu</x:v>
      </x:c>
      <x:c r="E2386" s="14" t="str">
        <x:v>Tam gün</x:v>
      </x:c>
      <x:c r="F2386" s="14" t="str">
        <x:v>F3 - Kaynak/MEB Tamamlama</x:v>
      </x:c>
      <x:c r="G2386" s="14" t="str">
        <x:v>18:45</x:v>
      </x:c>
      <x:c r="H2386" s="14" t="str">
        <x:v>19:05</x:v>
      </x:c>
      <x:c r="I2386" s="14" t="str">
        <x:v>Genel</x:v>
      </x:c>
      <x:c r="J2386" s="14" t="str">
        <x:v>Aralıklı Hata Tekrarı</x:v>
      </x:c>
      <x:c r="K2386" s="14" t="str">
        <x:v>+1 / +7 / +21</x:v>
      </x:c>
      <x:c r="L2386" s="14" t="str">
        <x:v>Bugün vadesi gelen yanlış soruları tekrar çöz. Vadesi yoksa bu süre serbest/okuma olabilir.</x:v>
      </x:c>
      <x:c r="M2386" s="14" t="str">
        <x:v>Yanlış Defteri</x:v>
      </x:c>
      <x:c r="N2386" s="14" t="str"/>
      <x:c r="O2386" s="14" t="n">
        <x:v>0</x:v>
      </x:c>
      <x:c r="P2386" s="14" t="str">
        <x:v>Hayır</x:v>
      </x:c>
      <x:c r="Q2386" s="14" t="str">
        <x:v>Koşullu</x:v>
      </x:c>
      <x:c r="R2386" s="14" t="str">
        <x:v>Planlandı</x:v>
      </x:c>
      <x:c r="S2386" s="15" t="str"/>
      <x:c r="T2386" s="14" t="str">
        <x:v>Yanlışlar +1, +7 ve +21 gün aralıklarıyla tekrar edilir; hâlâ yanlışsa konu mastery durumu düşürülür.</x:v>
      </x:c>
    </x:row>
    <x:row r="2387">
      <x:c r="A2387" s="14" t="n">
        <x:v>2386</x:v>
      </x:c>
      <x:c r="B2387" s="15" t="n">
        <x:v>46487</x:v>
      </x:c>
      <x:c r="C2387" s="14" t="str">
        <x:v>Cumartesi</x:v>
      </x:c>
      <x:c r="D2387" s="14" t="str">
        <x:v>Hafta Sonu</x:v>
      </x:c>
      <x:c r="E2387" s="14" t="str">
        <x:v>Tam gün</x:v>
      </x:c>
      <x:c r="F2387" s="14" t="str">
        <x:v>F3 - Kaynak/MEB Tamamlama</x:v>
      </x:c>
      <x:c r="G2387" s="14" t="str">
        <x:v>20:00</x:v>
      </x:c>
      <x:c r="H2387" s="14" t="str">
        <x:v>20:30</x:v>
      </x:c>
      <x:c r="I2387" s="14" t="str">
        <x:v>Okuma</x:v>
      </x:c>
      <x:c r="J2387" s="14" t="str">
        <x:v>İsteğe Bağlı</x:v>
      </x:c>
      <x:c r="K2387" s="14" t="str">
        <x:v>Serbest Kitap</x:v>
      </x:c>
      <x:c r="L2387" s="14" t="str">
        <x:v>Zorunlu çalışmalar bittiyse isteğe bağlı kitap oku.</x:v>
      </x:c>
      <x:c r="M2387" s="14" t="str">
        <x:v>Serbest Kitap</x:v>
      </x:c>
      <x:c r="N2387" s="14" t="str"/>
      <x:c r="O2387" s="14" t="n">
        <x:v>0</x:v>
      </x:c>
      <x:c r="P2387" s="14" t="str">
        <x:v>İsteğe Bağlı</x:v>
      </x:c>
      <x:c r="Q2387" s="14" t="str">
        <x:v>Hayır</x:v>
      </x:c>
      <x:c r="R2387" s="14" t="str">
        <x:v>Planlandı</x:v>
      </x:c>
      <x:c r="S2387" s="15" t="str"/>
      <x:c r="T2387" s="14" t="str">
        <x:v>Minimum süre yok.</x:v>
      </x:c>
    </x:row>
    <x:row r="2388">
      <x:c r="A2388" s="14" t="n">
        <x:v>2387</x:v>
      </x:c>
      <x:c r="B2388" s="15" t="n">
        <x:v>46487</x:v>
      </x:c>
      <x:c r="C2388" s="14" t="str">
        <x:v>Cumartesi</x:v>
      </x:c>
      <x:c r="D2388" s="14" t="str">
        <x:v>Hafta Sonu</x:v>
      </x:c>
      <x:c r="E2388" s="14" t="str">
        <x:v>Tam gün</x:v>
      </x:c>
      <x:c r="F2388" s="14" t="str">
        <x:v>F3 - Kaynak/MEB Tamamlama</x:v>
      </x:c>
      <x:c r="G2388" s="14" t="str">
        <x:v>21:50</x:v>
      </x:c>
      <x:c r="H2388" s="14" t="str">
        <x:v>22:00</x:v>
      </x:c>
      <x:c r="I2388" s="14" t="str">
        <x:v>Genel</x:v>
      </x:c>
      <x:c r="J2388" s="14" t="str">
        <x:v>Uyku Hazırlığı</x:v>
      </x:c>
      <x:c r="K2388" s="14" t="str"/>
      <x:c r="L2388" s="14" t="str">
        <x:v>22:00'de yatakta ve uyku.</x:v>
      </x:c>
      <x:c r="M2388" s="14" t="str"/>
      <x:c r="N2388" s="14" t="str"/>
      <x:c r="O2388" s="14" t="n">
        <x:v>0</x:v>
      </x:c>
      <x:c r="P2388" s="14" t="str">
        <x:v>Hayır</x:v>
      </x:c>
      <x:c r="Q2388" s="14" t="str">
        <x:v>Hayır</x:v>
      </x:c>
      <x:c r="R2388" s="14" t="str">
        <x:v>Planlandı</x:v>
      </x:c>
      <x:c r="S2388" s="15" t="str"/>
      <x:c r="T2388" s="14" t="str"/>
    </x:row>
    <x:row r="2389">
      <x:c r="A2389" s="14" t="n">
        <x:v>2388</x:v>
      </x:c>
      <x:c r="B2389" s="15" t="n">
        <x:v>46488</x:v>
      </x:c>
      <x:c r="C2389" s="14" t="str">
        <x:v>Pazar</x:v>
      </x:c>
      <x:c r="D2389" s="14" t="str">
        <x:v>Hafta Sonu</x:v>
      </x:c>
      <x:c r="E2389" s="14" t="str">
        <x:v>Tam gün</x:v>
      </x:c>
      <x:c r="F2389" s="14" t="str">
        <x:v>F3 - Kaynak/MEB Tamamlama</x:v>
      </x:c>
      <x:c r="G2389" s="14" t="str">
        <x:v>09:30</x:v>
      </x:c>
      <x:c r="H2389" s="14" t="str">
        <x:v>10:15</x:v>
      </x:c>
      <x:c r="I2389" s="14" t="str">
        <x:v>Matematik</x:v>
      </x:c>
      <x:c r="J2389" s="14" t="str">
        <x:v>Konu / Tekrar</x:v>
      </x:c>
      <x:c r="K2389" s="14" t="str">
        <x:v>Kaynak Tamamlama / Zayıf Konu</x:v>
      </x:c>
      <x:c r="L2389" s="14" t="str">
        <x:v>Yeni konu açma. En zayıf/açık konunun ilgili playlist videosunu yalnız gerekiyorsa tekrar izle.</x:v>
      </x:c>
      <x:c r="M2389" s="14" t="str">
        <x:v>Matematik Ana Oynatma Listesi</x:v>
      </x:c>
      <x:c r="N2389" s="14" t="str">
        <x:v>https://www.youtube.com/watch?v=EuJ89QzqrAg&amp;list=PLicNtF7vp6fnfDqrRLH6H7fIbzYT4ct4F&amp;index=11</x:v>
      </x:c>
      <x:c r="O2389" s="14" t="n">
        <x:v>0</x:v>
      </x:c>
      <x:c r="P2389" s="14" t="str">
        <x:v>Hayır</x:v>
      </x:c>
      <x:c r="Q2389" s="14" t="str">
        <x:v>Evet</x:v>
      </x:c>
      <x:c r="R2389" s="14" t="str">
        <x:v>Planlandı</x:v>
      </x:c>
      <x:c r="S2389" s="15" t="str"/>
      <x:c r="T2389" s="14" t="str">
        <x:v>Yeni konu ancak plan sırasıyla açılır; LGS dışı ileri TYT içeriği zorunlu değildir.</x:v>
      </x:c>
    </x:row>
    <x:row r="2390">
      <x:c r="A2390" s="14" t="n">
        <x:v>2389</x:v>
      </x:c>
      <x:c r="B2390" s="15" t="n">
        <x:v>46488</x:v>
      </x:c>
      <x:c r="C2390" s="14" t="str">
        <x:v>Pazar</x:v>
      </x:c>
      <x:c r="D2390" s="14" t="str">
        <x:v>Hafta Sonu</x:v>
      </x:c>
      <x:c r="E2390" s="14" t="str">
        <x:v>Tam gün</x:v>
      </x:c>
      <x:c r="F2390" s="14" t="str">
        <x:v>F3 - Kaynak/MEB Tamamlama</x:v>
      </x:c>
      <x:c r="G2390" s="14" t="str">
        <x:v>10:25</x:v>
      </x:c>
      <x:c r="H2390" s="14" t="str">
        <x:v>11:15</x:v>
      </x:c>
      <x:c r="I2390" s="14" t="str">
        <x:v>Matematik</x:v>
      </x:c>
      <x:c r="J2390" s="14" t="str">
        <x:v>Kitap / MEB / Mastery</x:v>
      </x:c>
      <x:c r="K2390" s="14" t="str">
        <x:v>Kaynak Tamamlama / Zayıf Konu</x:v>
      </x:c>
      <x:c r="L2390" s="14" t="str">
        <x:v>13 Nisan %100 tamamlama hedefine göre en geride kalan Matematik soru kaynağını/eksik MEB setini ilerlet; açık yanlışları kapat.</x:v>
      </x:c>
      <x:c r="M2390" s="14" t="str">
        <x:v>MUBA 8. Sınıf Başlangıç Matematik (ISBN 9789756526972) → tamamlandıysa Mozaik 8. Sınıf Matematik; açık MEB/yanlışlar</x:v>
      </x:c>
      <x:c r="N2390" s="14" t="str">
        <x:v>https://odsgm.meb.gov.tr/www/8sinif-calisma-sorulari/icerik/1632</x:v>
      </x:c>
      <x:c r="O2390" s="14" t="n">
        <x:v>30</x:v>
      </x:c>
      <x:c r="P2390" s="14" t="str">
        <x:v>İlk 20 soru</x:v>
      </x:c>
      <x:c r="Q2390" s="14" t="str">
        <x:v>Evet</x:v>
      </x:c>
      <x:c r="R2390" s="14" t="str">
        <x:v>Planlandı</x:v>
      </x:c>
      <x:c r="S2390" s="15" t="str"/>
      <x:c r="T2390" s="14" t="str">
        <x:v>Ayrı/rastgele matematik benchmark yoktur. Süreli ilk 20 soru o gün çalışılan konunun içindedir.</x:v>
      </x:c>
    </x:row>
    <x:row r="2391">
      <x:c r="A2391" s="14" t="n">
        <x:v>2390</x:v>
      </x:c>
      <x:c r="B2391" s="15" t="n">
        <x:v>46488</x:v>
      </x:c>
      <x:c r="C2391" s="14" t="str">
        <x:v>Pazar</x:v>
      </x:c>
      <x:c r="D2391" s="14" t="str">
        <x:v>Hafta Sonu</x:v>
      </x:c>
      <x:c r="E2391" s="14" t="str">
        <x:v>Tam gün</x:v>
      </x:c>
      <x:c r="F2391" s="14" t="str">
        <x:v>F3 - Kaynak/MEB Tamamlama</x:v>
      </x:c>
      <x:c r="G2391" s="14" t="str">
        <x:v>12:00</x:v>
      </x:c>
      <x:c r="H2391" s="14" t="str">
        <x:v>14:00</x:v>
      </x:c>
      <x:c r="I2391" s="14" t="str">
        <x:v>Genel</x:v>
      </x:c>
      <x:c r="J2391" s="14" t="str">
        <x:v>Yemek / Serbest Zaman</x:v>
      </x:c>
      <x:c r="K2391" s="14" t="str"/>
      <x:c r="L2391" s="14" t="str">
        <x:v>Yemek, hareket ve dinlenme.</x:v>
      </x:c>
      <x:c r="M2391" s="14" t="str"/>
      <x:c r="N2391" s="14" t="str"/>
      <x:c r="O2391" s="14" t="n">
        <x:v>0</x:v>
      </x:c>
      <x:c r="P2391" s="14" t="str">
        <x:v>Hayır</x:v>
      </x:c>
      <x:c r="Q2391" s="14" t="str">
        <x:v>Hayır</x:v>
      </x:c>
      <x:c r="R2391" s="14" t="str">
        <x:v>Planlandı</x:v>
      </x:c>
      <x:c r="S2391" s="15" t="str"/>
      <x:c r="T2391" s="14" t="str"/>
    </x:row>
    <x:row r="2392">
      <x:c r="A2392" s="14" t="n">
        <x:v>2391</x:v>
      </x:c>
      <x:c r="B2392" s="15" t="n">
        <x:v>46488</x:v>
      </x:c>
      <x:c r="C2392" s="14" t="str">
        <x:v>Pazar</x:v>
      </x:c>
      <x:c r="D2392" s="14" t="str">
        <x:v>Hafta Sonu</x:v>
      </x:c>
      <x:c r="E2392" s="14" t="str">
        <x:v>Tam gün</x:v>
      </x:c>
      <x:c r="F2392" s="14" t="str">
        <x:v>F3 - Kaynak/MEB Tamamlama</x:v>
      </x:c>
      <x:c r="G2392" s="14" t="str">
        <x:v>11:25</x:v>
      </x:c>
      <x:c r="H2392" s="14" t="str">
        <x:v>11:55</x:v>
      </x:c>
      <x:c r="I2392" s="14" t="str">
        <x:v>Türkçe</x:v>
      </x:c>
      <x:c r="J2392" s="14" t="str">
        <x:v>Paragraf Rutini</x:v>
      </x:c>
      <x:c r="K2392" s="14" t="str">
        <x:v>Paragraf</x:v>
      </x:c>
      <x:c r="L2392" s="14" t="str">
        <x:v>En az 30 paragraf sorusu çöz; ilk 20 soruyu ileri sayımla ölç, D/Y/B + süre kaydet.</x:v>
      </x:c>
      <x:c r="M2392" s="14" t="str">
        <x:v>Hız 8. Sınıf Türkçe Paragraf (ISBN 9786258394498)</x:v>
      </x:c>
      <x:c r="N2392" s="14" t="str"/>
      <x:c r="O2392" s="14" t="n">
        <x:v>30</x:v>
      </x:c>
      <x:c r="P2392" s="14" t="str">
        <x:v>İlk 20 soru</x:v>
      </x:c>
      <x:c r="Q2392" s="14" t="str">
        <x:v>Evet</x:v>
      </x:c>
      <x:c r="R2392" s="14" t="str">
        <x:v>Planlandı</x:v>
      </x:c>
      <x:c r="S2392" s="15" t="str"/>
      <x:c r="T2392" s="14" t="str">
        <x:v>Geri sayım ve hedef süre yok.</x:v>
      </x:c>
    </x:row>
    <x:row r="2393">
      <x:c r="A2393" s="14" t="n">
        <x:v>2392</x:v>
      </x:c>
      <x:c r="B2393" s="15" t="n">
        <x:v>46488</x:v>
      </x:c>
      <x:c r="C2393" s="14" t="str">
        <x:v>Pazar</x:v>
      </x:c>
      <x:c r="D2393" s="14" t="str">
        <x:v>Hafta Sonu</x:v>
      </x:c>
      <x:c r="E2393" s="14" t="str">
        <x:v>Tam gün</x:v>
      </x:c>
      <x:c r="F2393" s="14" t="str">
        <x:v>F3 - Kaynak/MEB Tamamlama</x:v>
      </x:c>
      <x:c r="G2393" s="14" t="str">
        <x:v>14:00</x:v>
      </x:c>
      <x:c r="H2393" s="14" t="str">
        <x:v>14:40</x:v>
      </x:c>
      <x:c r="I2393" s="14" t="str">
        <x:v>Türkçe</x:v>
      </x:c>
      <x:c r="J2393" s="14" t="str">
        <x:v>Konu / Tekrar</x:v>
      </x:c>
      <x:c r="K2393" s="14" t="str">
        <x:v>Kaynak Tamamlama / Zayıf Konu</x:v>
      </x:c>
      <x:c r="L2393" s="14" t="str">
        <x:v>Yeni konu açma. En zayıf/açık konunun ilgili playlist videosunu yalnız gerekiyorsa tekrar izle.</x:v>
      </x:c>
      <x:c r="M2393" s="14" t="str">
        <x:v>Türkçe Ana Oynatma Listesi</x:v>
      </x:c>
      <x:c r="N2393" s="14" t="str">
        <x:v>https://www.youtube.com/watch?v=VYsPntNKVdw&amp;list=PLIBjFaUoJJ91bz7QQEBlxNJNZka5YQRr6</x:v>
      </x:c>
      <x:c r="O2393" s="14" t="n">
        <x:v>0</x:v>
      </x:c>
      <x:c r="P2393" s="14" t="str">
        <x:v>Hayır</x:v>
      </x:c>
      <x:c r="Q2393" s="14" t="str">
        <x:v>Evet</x:v>
      </x:c>
      <x:c r="R2393" s="14" t="str">
        <x:v>Planlandı</x:v>
      </x:c>
      <x:c r="S2393" s="15" t="str"/>
      <x:c r="T2393" s="14" t="str">
        <x:v>TYT etiketli kaynak temelden başlamak için sabittir; LGS dışı gereksiz ayrıntı zorunlu değildir.</x:v>
      </x:c>
    </x:row>
    <x:row r="2394">
      <x:c r="A2394" s="14" t="n">
        <x:v>2393</x:v>
      </x:c>
      <x:c r="B2394" s="15" t="n">
        <x:v>46488</x:v>
      </x:c>
      <x:c r="C2394" s="14" t="str">
        <x:v>Pazar</x:v>
      </x:c>
      <x:c r="D2394" s="14" t="str">
        <x:v>Hafta Sonu</x:v>
      </x:c>
      <x:c r="E2394" s="14" t="str">
        <x:v>Tam gün</x:v>
      </x:c>
      <x:c r="F2394" s="14" t="str">
        <x:v>F3 - Kaynak/MEB Tamamlama</x:v>
      </x:c>
      <x:c r="G2394" s="14" t="str">
        <x:v>14:50</x:v>
      </x:c>
      <x:c r="H2394" s="14" t="str">
        <x:v>15:30</x:v>
      </x:c>
      <x:c r="I2394" s="14" t="str">
        <x:v>Türkçe</x:v>
      </x:c>
      <x:c r="J2394" s="14" t="str">
        <x:v>Kitap / MEB / Mastery</x:v>
      </x:c>
      <x:c r="K2394" s="14" t="str">
        <x:v>Kaynak Tamamlama / Zayıf Konu</x:v>
      </x:c>
      <x:c r="L2394" s="14" t="str">
        <x:v>13 Nisan %100 tamamlama hedefine göre en geride kalan Türkçe soru kaynağını/eksik MEB setini ilerlet; açık yanlışları kapat.</x:v>
      </x:c>
      <x:c r="M2394" s="14" t="str">
        <x:v>Ankara 8. Sınıf Dil Bilgisi Güçlendiren + açık MEB/yanlışlar</x:v>
      </x:c>
      <x:c r="N2394" s="14" t="str">
        <x:v>https://odsgm.meb.gov.tr/www/8sinif-calisma-sorulari/icerik/1632</x:v>
      </x:c>
      <x:c r="O2394" s="14" t="n">
        <x:v>20</x:v>
      </x:c>
      <x:c r="P2394" s="14" t="str">
        <x:v>Hayır</x:v>
      </x:c>
      <x:c r="Q2394" s="14" t="str">
        <x:v>Evet</x:v>
      </x:c>
      <x:c r="R2394" s="14" t="str">
        <x:v>Planlandı</x:v>
      </x:c>
      <x:c r="S2394" s="15" t="str"/>
      <x:c r="T2394" s="14" t="str"/>
    </x:row>
    <x:row r="2395">
      <x:c r="A2395" s="14" t="n">
        <x:v>2394</x:v>
      </x:c>
      <x:c r="B2395" s="15" t="n">
        <x:v>46488</x:v>
      </x:c>
      <x:c r="C2395" s="14" t="str">
        <x:v>Pazar</x:v>
      </x:c>
      <x:c r="D2395" s="14" t="str">
        <x:v>Hafta Sonu</x:v>
      </x:c>
      <x:c r="E2395" s="14" t="str">
        <x:v>Tam gün</x:v>
      </x:c>
      <x:c r="F2395" s="14" t="str">
        <x:v>F3 - Kaynak/MEB Tamamlama</x:v>
      </x:c>
      <x:c r="G2395" s="14" t="str">
        <x:v>15:45</x:v>
      </x:c>
      <x:c r="H2395" s="14" t="str">
        <x:v>16:25</x:v>
      </x:c>
      <x:c r="I2395" s="14" t="str">
        <x:v>Fen</x:v>
      </x:c>
      <x:c r="J2395" s="14" t="str">
        <x:v>Konu / Tekrar</x:v>
      </x:c>
      <x:c r="K2395" s="14" t="str">
        <x:v>Kaynak Tamamlama / Zayıf Konu</x:v>
      </x:c>
      <x:c r="L2395" s="14" t="str">
        <x:v>Yeni konu açma. En zayıf/açık konunun ilgili playlist videosunu yalnız gerekiyorsa tekrar izle.</x:v>
      </x:c>
      <x:c r="M2395" s="14" t="str">
        <x:v>Fen Soru Çözüm / Tekrar</x:v>
      </x:c>
      <x:c r="N2395" s="14" t="str">
        <x:v>https://www.youtube.com/watch?v=pQXhWnDZ3vM&amp;list=PLrQm7mt99FRXcBnorCttd31HJEvg0En26&amp;index=23</x:v>
      </x:c>
      <x:c r="O2395" s="14" t="n">
        <x:v>0</x:v>
      </x:c>
      <x:c r="P2395" s="14" t="str">
        <x:v>Hayır</x:v>
      </x:c>
      <x:c r="Q2395" s="14" t="str">
        <x:v>Evet</x:v>
      </x:c>
      <x:c r="R2395" s="14" t="str">
        <x:v>Planlandı</x:v>
      </x:c>
      <x:c r="S2395" s="15" t="str"/>
      <x:c r="T2395" s="14" t="str"/>
    </x:row>
    <x:row r="2396">
      <x:c r="A2396" s="14" t="n">
        <x:v>2395</x:v>
      </x:c>
      <x:c r="B2396" s="15" t="n">
        <x:v>46488</x:v>
      </x:c>
      <x:c r="C2396" s="14" t="str">
        <x:v>Pazar</x:v>
      </x:c>
      <x:c r="D2396" s="14" t="str">
        <x:v>Hafta Sonu</x:v>
      </x:c>
      <x:c r="E2396" s="14" t="str">
        <x:v>Tam gün</x:v>
      </x:c>
      <x:c r="F2396" s="14" t="str">
        <x:v>F3 - Kaynak/MEB Tamamlama</x:v>
      </x:c>
      <x:c r="G2396" s="14" t="str">
        <x:v>16:35</x:v>
      </x:c>
      <x:c r="H2396" s="14" t="str">
        <x:v>17:15</x:v>
      </x:c>
      <x:c r="I2396" s="14" t="str">
        <x:v>Fen</x:v>
      </x:c>
      <x:c r="J2396" s="14" t="str">
        <x:v>Kitap / MEB / Mastery</x:v>
      </x:c>
      <x:c r="K2396" s="14" t="str">
        <x:v>Kaynak Tamamlama / Zayıf Konu</x:v>
      </x:c>
      <x:c r="L2396" s="14" t="str">
        <x:v>13 Nisan %100 tamamlama hedefine göre en geride kalan Fen soru kaynağını/eksik MEB setini ilerlet; açık yanlışları kapat.</x:v>
      </x:c>
      <x:c r="M2396" s="14" t="str">
        <x:v>Hız 8. Sınıf Fen (ISBN 9786257514859); tamamlandıysa Mozaik 8. Sınıf Fen + açık MEB/yanlışlar</x:v>
      </x:c>
      <x:c r="N2396" s="14" t="str">
        <x:v>https://odsgm.meb.gov.tr/www/8sinif-calisma-sorulari/icerik/1632</x:v>
      </x:c>
      <x:c r="O2396" s="14" t="n">
        <x:v>20</x:v>
      </x:c>
      <x:c r="P2396" s="14" t="str">
        <x:v>Hayır</x:v>
      </x:c>
      <x:c r="Q2396" s="14" t="str">
        <x:v>Evet</x:v>
      </x:c>
      <x:c r="R2396" s="14" t="str">
        <x:v>Planlandı</x:v>
      </x:c>
      <x:c r="S2396" s="15" t="str"/>
      <x:c r="T2396" s="14" t="str"/>
    </x:row>
    <x:row r="2397">
      <x:c r="A2397" s="14" t="n">
        <x:v>2396</x:v>
      </x:c>
      <x:c r="B2397" s="15" t="n">
        <x:v>46488</x:v>
      </x:c>
      <x:c r="C2397" s="14" t="str">
        <x:v>Pazar</x:v>
      </x:c>
      <x:c r="D2397" s="14" t="str">
        <x:v>Hafta Sonu</x:v>
      </x:c>
      <x:c r="E2397" s="14" t="str">
        <x:v>Tam gün</x:v>
      </x:c>
      <x:c r="F2397" s="14" t="str">
        <x:v>F3 - Kaynak/MEB Tamamlama</x:v>
      </x:c>
      <x:c r="G2397" s="14" t="str">
        <x:v>17:25</x:v>
      </x:c>
      <x:c r="H2397" s="14" t="str">
        <x:v>18:25</x:v>
      </x:c>
      <x:c r="I2397" s="14" t="str">
        <x:v>Genel</x:v>
      </x:c>
      <x:c r="J2397" s="14" t="str">
        <x:v>Kaynak Tamamlama</x:v>
      </x:c>
      <x:c r="K2397" s="14" t="str">
        <x:v>En Geride Kalan Kaynak</x:v>
      </x:c>
      <x:c r="L2397" s="14" t="str">
        <x:v>Kaynak_Ilerleme sayfasında hedef yüzdesinin en gerisinde kalan ZORUNLU soru kaynağına 60 dk ayır. Öğrenilmemiş konudan ileri gitme.</x:v>
      </x:c>
      <x:c r="M2397" s="14" t="str">
        <x:v>Kaynak İlerleme</x:v>
      </x:c>
      <x:c r="N2397" s="14" t="str"/>
      <x:c r="O2397" s="14" t="n">
        <x:v>0</x:v>
      </x:c>
      <x:c r="P2397" s="14" t="str">
        <x:v>Hayır</x:v>
      </x:c>
      <x:c r="Q2397" s="14" t="str">
        <x:v>Evet</x:v>
      </x:c>
      <x:c r="R2397" s="14" t="str">
        <x:v>Planlandı</x:v>
      </x:c>
      <x:c r="S2397" s="15" t="str"/>
      <x:c r="T2397" s="14" t="str">
        <x:v>Amaç 13.04.2027'de zorunlu soru kitapları + ilgili MEB setlerini %100 tamamlamak.</x:v>
      </x:c>
    </x:row>
    <x:row r="2398">
      <x:c r="A2398" s="14" t="n">
        <x:v>2397</x:v>
      </x:c>
      <x:c r="B2398" s="15" t="n">
        <x:v>46488</x:v>
      </x:c>
      <x:c r="C2398" s="14" t="str">
        <x:v>Pazar</x:v>
      </x:c>
      <x:c r="D2398" s="14" t="str">
        <x:v>Hafta Sonu</x:v>
      </x:c>
      <x:c r="E2398" s="14" t="str">
        <x:v>Tam gün</x:v>
      </x:c>
      <x:c r="F2398" s="14" t="str">
        <x:v>F3 - Kaynak/MEB Tamamlama</x:v>
      </x:c>
      <x:c r="G2398" s="14" t="str">
        <x:v>18:25</x:v>
      </x:c>
      <x:c r="H2398" s="14" t="str">
        <x:v>18:45</x:v>
      </x:c>
      <x:c r="I2398" s="14" t="str">
        <x:v>Genel</x:v>
      </x:c>
      <x:c r="J2398" s="14" t="str">
        <x:v>Yanlış / Boş Analizi</x:v>
      </x:c>
      <x:c r="K2398" s="14" t="str">
        <x:v>Günlük</x:v>
      </x:c>
      <x:c r="L2398" s="14" t="str">
        <x:v>Bugünkü yanlış/boşları kaydet; çözümünü öğrenmeden kapatma. Hata türünü sınıflandır.</x:v>
      </x:c>
      <x:c r="M2398" s="14" t="str">
        <x:v>Yanlış Defteri</x:v>
      </x:c>
      <x:c r="N2398" s="14" t="str"/>
      <x:c r="O2398" s="14" t="n">
        <x:v>0</x:v>
      </x:c>
      <x:c r="P2398" s="14" t="str">
        <x:v>Hayır</x:v>
      </x:c>
      <x:c r="Q2398" s="14" t="str">
        <x:v>Evet</x:v>
      </x:c>
      <x:c r="R2398" s="14" t="str">
        <x:v>Planlandı</x:v>
      </x:c>
      <x:c r="S2398" s="15" t="str"/>
      <x:c r="T2398" s="14" t="str"/>
    </x:row>
    <x:row r="2399">
      <x:c r="A2399" s="14" t="n">
        <x:v>2398</x:v>
      </x:c>
      <x:c r="B2399" s="15" t="n">
        <x:v>46488</x:v>
      </x:c>
      <x:c r="C2399" s="14" t="str">
        <x:v>Pazar</x:v>
      </x:c>
      <x:c r="D2399" s="14" t="str">
        <x:v>Hafta Sonu</x:v>
      </x:c>
      <x:c r="E2399" s="14" t="str">
        <x:v>Tam gün</x:v>
      </x:c>
      <x:c r="F2399" s="14" t="str">
        <x:v>F3 - Kaynak/MEB Tamamlama</x:v>
      </x:c>
      <x:c r="G2399" s="14" t="str">
        <x:v>18:45</x:v>
      </x:c>
      <x:c r="H2399" s="14" t="str">
        <x:v>19:05</x:v>
      </x:c>
      <x:c r="I2399" s="14" t="str">
        <x:v>Genel</x:v>
      </x:c>
      <x:c r="J2399" s="14" t="str">
        <x:v>Aralıklı Hata Tekrarı</x:v>
      </x:c>
      <x:c r="K2399" s="14" t="str">
        <x:v>+1 / +7 / +21</x:v>
      </x:c>
      <x:c r="L2399" s="14" t="str">
        <x:v>Bugün vadesi gelen yanlış soruları tekrar çöz. Vadesi yoksa bu süre serbest/okuma olabilir.</x:v>
      </x:c>
      <x:c r="M2399" s="14" t="str">
        <x:v>Yanlış Defteri</x:v>
      </x:c>
      <x:c r="N2399" s="14" t="str"/>
      <x:c r="O2399" s="14" t="n">
        <x:v>0</x:v>
      </x:c>
      <x:c r="P2399" s="14" t="str">
        <x:v>Hayır</x:v>
      </x:c>
      <x:c r="Q2399" s="14" t="str">
        <x:v>Koşullu</x:v>
      </x:c>
      <x:c r="R2399" s="14" t="str">
        <x:v>Planlandı</x:v>
      </x:c>
      <x:c r="S2399" s="15" t="str"/>
      <x:c r="T2399" s="14" t="str">
        <x:v>Yanlışlar +1, +7 ve +21 gün aralıklarıyla tekrar edilir; hâlâ yanlışsa konu mastery durumu düşürülür.</x:v>
      </x:c>
    </x:row>
    <x:row r="2400">
      <x:c r="A2400" s="14" t="n">
        <x:v>2399</x:v>
      </x:c>
      <x:c r="B2400" s="15" t="n">
        <x:v>46488</x:v>
      </x:c>
      <x:c r="C2400" s="14" t="str">
        <x:v>Pazar</x:v>
      </x:c>
      <x:c r="D2400" s="14" t="str">
        <x:v>Hafta Sonu</x:v>
      </x:c>
      <x:c r="E2400" s="14" t="str">
        <x:v>Tam gün</x:v>
      </x:c>
      <x:c r="F2400" s="14" t="str">
        <x:v>F3 - Kaynak/MEB Tamamlama</x:v>
      </x:c>
      <x:c r="G2400" s="14" t="str">
        <x:v>20:00</x:v>
      </x:c>
      <x:c r="H2400" s="14" t="str">
        <x:v>20:30</x:v>
      </x:c>
      <x:c r="I2400" s="14" t="str">
        <x:v>Okuma</x:v>
      </x:c>
      <x:c r="J2400" s="14" t="str">
        <x:v>İsteğe Bağlı</x:v>
      </x:c>
      <x:c r="K2400" s="14" t="str">
        <x:v>Serbest Kitap</x:v>
      </x:c>
      <x:c r="L2400" s="14" t="str">
        <x:v>Zorunlu çalışmalar bittiyse isteğe bağlı kitap oku.</x:v>
      </x:c>
      <x:c r="M2400" s="14" t="str">
        <x:v>Serbest Kitap</x:v>
      </x:c>
      <x:c r="N2400" s="14" t="str"/>
      <x:c r="O2400" s="14" t="n">
        <x:v>0</x:v>
      </x:c>
      <x:c r="P2400" s="14" t="str">
        <x:v>İsteğe Bağlı</x:v>
      </x:c>
      <x:c r="Q2400" s="14" t="str">
        <x:v>Hayır</x:v>
      </x:c>
      <x:c r="R2400" s="14" t="str">
        <x:v>Planlandı</x:v>
      </x:c>
      <x:c r="S2400" s="15" t="str"/>
      <x:c r="T2400" s="14" t="str">
        <x:v>Minimum süre yok.</x:v>
      </x:c>
    </x:row>
    <x:row r="2401">
      <x:c r="A2401" s="14" t="n">
        <x:v>2400</x:v>
      </x:c>
      <x:c r="B2401" s="15" t="n">
        <x:v>46488</x:v>
      </x:c>
      <x:c r="C2401" s="14" t="str">
        <x:v>Pazar</x:v>
      </x:c>
      <x:c r="D2401" s="14" t="str">
        <x:v>Hafta Sonu</x:v>
      </x:c>
      <x:c r="E2401" s="14" t="str">
        <x:v>Tam gün</x:v>
      </x:c>
      <x:c r="F2401" s="14" t="str">
        <x:v>F3 - Kaynak/MEB Tamamlama</x:v>
      </x:c>
      <x:c r="G2401" s="14" t="str">
        <x:v>21:50</x:v>
      </x:c>
      <x:c r="H2401" s="14" t="str">
        <x:v>22:00</x:v>
      </x:c>
      <x:c r="I2401" s="14" t="str">
        <x:v>Genel</x:v>
      </x:c>
      <x:c r="J2401" s="14" t="str">
        <x:v>Uyku Hazırlığı</x:v>
      </x:c>
      <x:c r="K2401" s="14" t="str"/>
      <x:c r="L2401" s="14" t="str">
        <x:v>22:00'de yatakta ve uyku.</x:v>
      </x:c>
      <x:c r="M2401" s="14" t="str"/>
      <x:c r="N2401" s="14" t="str"/>
      <x:c r="O2401" s="14" t="n">
        <x:v>0</x:v>
      </x:c>
      <x:c r="P2401" s="14" t="str">
        <x:v>Hayır</x:v>
      </x:c>
      <x:c r="Q2401" s="14" t="str">
        <x:v>Hayır</x:v>
      </x:c>
      <x:c r="R2401" s="14" t="str">
        <x:v>Planlandı</x:v>
      </x:c>
      <x:c r="S2401" s="15" t="str"/>
      <x:c r="T2401" s="14" t="str"/>
    </x:row>
    <x:row r="2402">
      <x:c r="A2402" s="14" t="n">
        <x:v>2401</x:v>
      </x:c>
      <x:c r="B2402" s="15" t="n">
        <x:v>46489</x:v>
      </x:c>
      <x:c r="C2402" s="14" t="str">
        <x:v>Pazartesi</x:v>
      </x:c>
      <x:c r="D2402" s="14" t="str">
        <x:v>Okul Günü</x:v>
      </x:c>
      <x:c r="E2402" s="14" t="str">
        <x:v>16:00 sonrası</x:v>
      </x:c>
      <x:c r="F2402" s="14" t="str">
        <x:v>F3 - Kaynak/MEB Tamamlama</x:v>
      </x:c>
      <x:c r="G2402" s="14" t="str">
        <x:v>16:00</x:v>
      </x:c>
      <x:c r="H2402" s="14" t="str">
        <x:v>16:25</x:v>
      </x:c>
      <x:c r="I2402" s="14" t="str">
        <x:v>Genel</x:v>
      </x:c>
      <x:c r="J2402" s="14" t="str">
        <x:v>Dinlenme</x:v>
      </x:c>
      <x:c r="K2402" s="14" t="str"/>
      <x:c r="L2402" s="14" t="str">
        <x:v>Eve geliş, atıştırma ve dinlenme.</x:v>
      </x:c>
      <x:c r="M2402" s="14" t="str"/>
      <x:c r="N2402" s="14" t="str"/>
      <x:c r="O2402" s="14" t="n">
        <x:v>0</x:v>
      </x:c>
      <x:c r="P2402" s="14" t="str">
        <x:v>Hayır</x:v>
      </x:c>
      <x:c r="Q2402" s="14" t="str">
        <x:v>Hayır</x:v>
      </x:c>
      <x:c r="R2402" s="14" t="str">
        <x:v>Planlandı</x:v>
      </x:c>
      <x:c r="S2402" s="15" t="str"/>
      <x:c r="T2402" s="14" t="str"/>
    </x:row>
    <x:row r="2403">
      <x:c r="A2403" s="14" t="n">
        <x:v>2402</x:v>
      </x:c>
      <x:c r="B2403" s="15" t="n">
        <x:v>46489</x:v>
      </x:c>
      <x:c r="C2403" s="14" t="str">
        <x:v>Pazartesi</x:v>
      </x:c>
      <x:c r="D2403" s="14" t="str">
        <x:v>Okul Günü</x:v>
      </x:c>
      <x:c r="E2403" s="14" t="str">
        <x:v>16:00 sonrası</x:v>
      </x:c>
      <x:c r="F2403" s="14" t="str">
        <x:v>F3 - Kaynak/MEB Tamamlama</x:v>
      </x:c>
      <x:c r="G2403" s="14" t="str">
        <x:v>16:25</x:v>
      </x:c>
      <x:c r="H2403" s="14" t="str">
        <x:v>17:05</x:v>
      </x:c>
      <x:c r="I2403" s="14" t="str">
        <x:v>Matematik</x:v>
      </x:c>
      <x:c r="J2403" s="14" t="str">
        <x:v>Konu / Tekrar</x:v>
      </x:c>
      <x:c r="K2403" s="14" t="str">
        <x:v>Kaynak Tamamlama / Zayıf Konu</x:v>
      </x:c>
      <x:c r="L2403" s="14" t="str">
        <x:v>Yeni konu açma. En zayıf/açık konunun ilgili playlist videosunu yalnız gerekiyorsa tekrar izle.</x:v>
      </x:c>
      <x:c r="M2403" s="14" t="str">
        <x:v>Matematik Ana Oynatma Listesi</x:v>
      </x:c>
      <x:c r="N2403" s="14" t="str">
        <x:v>https://www.youtube.com/watch?v=EuJ89QzqrAg&amp;list=PLicNtF7vp6fnfDqrRLH6H7fIbzYT4ct4F&amp;index=11</x:v>
      </x:c>
      <x:c r="O2403" s="14" t="n">
        <x:v>0</x:v>
      </x:c>
      <x:c r="P2403" s="14" t="str">
        <x:v>Hayır</x:v>
      </x:c>
      <x:c r="Q2403" s="14" t="str">
        <x:v>Evet</x:v>
      </x:c>
      <x:c r="R2403" s="14" t="str">
        <x:v>Planlandı</x:v>
      </x:c>
      <x:c r="S2403" s="15" t="str"/>
      <x:c r="T2403" s="14" t="str">
        <x:v>Yeni konu ancak plan sırasıyla açılır; LGS dışı ileri TYT içeriği zorunlu değildir.</x:v>
      </x:c>
    </x:row>
    <x:row r="2404">
      <x:c r="A2404" s="14" t="n">
        <x:v>2403</x:v>
      </x:c>
      <x:c r="B2404" s="15" t="n">
        <x:v>46489</x:v>
      </x:c>
      <x:c r="C2404" s="14" t="str">
        <x:v>Pazartesi</x:v>
      </x:c>
      <x:c r="D2404" s="14" t="str">
        <x:v>Okul Günü</x:v>
      </x:c>
      <x:c r="E2404" s="14" t="str">
        <x:v>16:00 sonrası</x:v>
      </x:c>
      <x:c r="F2404" s="14" t="str">
        <x:v>F3 - Kaynak/MEB Tamamlama</x:v>
      </x:c>
      <x:c r="G2404" s="14" t="str">
        <x:v>17:10</x:v>
      </x:c>
      <x:c r="H2404" s="14" t="str">
        <x:v>17:55</x:v>
      </x:c>
      <x:c r="I2404" s="14" t="str">
        <x:v>Matematik</x:v>
      </x:c>
      <x:c r="J2404" s="14" t="str">
        <x:v>Kitap / MEB / Mastery</x:v>
      </x:c>
      <x:c r="K2404" s="14" t="str">
        <x:v>Kaynak Tamamlama / Zayıf Konu</x:v>
      </x:c>
      <x:c r="L2404" s="14" t="str">
        <x:v>13 Nisan %100 tamamlama hedefine göre en geride kalan Matematik soru kaynağını/eksik MEB setini ilerlet; açık yanlışları kapat.</x:v>
      </x:c>
      <x:c r="M2404" s="14" t="str">
        <x:v>MUBA 8. Sınıf Başlangıç Matematik (ISBN 9789756526972) → tamamlandıysa Mozaik 8. Sınıf Matematik; açık MEB/yanlışlar</x:v>
      </x:c>
      <x:c r="N2404" s="14" t="str">
        <x:v>https://odsgm.meb.gov.tr/www/8sinif-calisma-sorulari/icerik/1632</x:v>
      </x:c>
      <x:c r="O2404" s="14" t="n">
        <x:v>30</x:v>
      </x:c>
      <x:c r="P2404" s="14" t="str">
        <x:v>İlk 20 soru</x:v>
      </x:c>
      <x:c r="Q2404" s="14" t="str">
        <x:v>Evet</x:v>
      </x:c>
      <x:c r="R2404" s="14" t="str">
        <x:v>Planlandı</x:v>
      </x:c>
      <x:c r="S2404" s="15" t="str"/>
      <x:c r="T2404" s="14" t="str">
        <x:v>Ayrı/rastgele matematik benchmark yoktur. Süreli ilk 20 soru o gün çalışılan konunun içindedir.</x:v>
      </x:c>
    </x:row>
    <x:row r="2405">
      <x:c r="A2405" s="14" t="n">
        <x:v>2404</x:v>
      </x:c>
      <x:c r="B2405" s="15" t="n">
        <x:v>46489</x:v>
      </x:c>
      <x:c r="C2405" s="14" t="str">
        <x:v>Pazartesi</x:v>
      </x:c>
      <x:c r="D2405" s="14" t="str">
        <x:v>Okul Günü</x:v>
      </x:c>
      <x:c r="E2405" s="14" t="str">
        <x:v>16:00 sonrası</x:v>
      </x:c>
      <x:c r="F2405" s="14" t="str">
        <x:v>F3 - Kaynak/MEB Tamamlama</x:v>
      </x:c>
      <x:c r="G2405" s="14" t="str">
        <x:v>17:55</x:v>
      </x:c>
      <x:c r="H2405" s="14" t="str">
        <x:v>18:25</x:v>
      </x:c>
      <x:c r="I2405" s="14" t="str">
        <x:v>Genel</x:v>
      </x:c>
      <x:c r="J2405" s="14" t="str">
        <x:v>Yemek / Serbest Zaman</x:v>
      </x:c>
      <x:c r="K2405" s="14" t="str"/>
      <x:c r="L2405" s="14" t="str">
        <x:v>Yemek, hareket ve dinlenme.</x:v>
      </x:c>
      <x:c r="M2405" s="14" t="str"/>
      <x:c r="N2405" s="14" t="str"/>
      <x:c r="O2405" s="14" t="n">
        <x:v>0</x:v>
      </x:c>
      <x:c r="P2405" s="14" t="str">
        <x:v>Hayır</x:v>
      </x:c>
      <x:c r="Q2405" s="14" t="str">
        <x:v>Hayır</x:v>
      </x:c>
      <x:c r="R2405" s="14" t="str">
        <x:v>Planlandı</x:v>
      </x:c>
      <x:c r="S2405" s="15" t="str"/>
      <x:c r="T2405" s="14" t="str"/>
    </x:row>
    <x:row r="2406">
      <x:c r="A2406" s="14" t="n">
        <x:v>2405</x:v>
      </x:c>
      <x:c r="B2406" s="15" t="n">
        <x:v>46489</x:v>
      </x:c>
      <x:c r="C2406" s="14" t="str">
        <x:v>Pazartesi</x:v>
      </x:c>
      <x:c r="D2406" s="14" t="str">
        <x:v>Okul Günü</x:v>
      </x:c>
      <x:c r="E2406" s="14" t="str">
        <x:v>16:00 sonrası</x:v>
      </x:c>
      <x:c r="F2406" s="14" t="str">
        <x:v>F3 - Kaynak/MEB Tamamlama</x:v>
      </x:c>
      <x:c r="G2406" s="14" t="str">
        <x:v>18:25</x:v>
      </x:c>
      <x:c r="H2406" s="14" t="str">
        <x:v>18:55</x:v>
      </x:c>
      <x:c r="I2406" s="14" t="str">
        <x:v>Türkçe</x:v>
      </x:c>
      <x:c r="J2406" s="14" t="str">
        <x:v>Paragraf Rutini</x:v>
      </x:c>
      <x:c r="K2406" s="14" t="str">
        <x:v>Paragraf</x:v>
      </x:c>
      <x:c r="L2406" s="14" t="str">
        <x:v>En az 30 paragraf sorusu çöz; ilk 20 soruyu ileri sayımla ölç, D/Y/B + süre kaydet.</x:v>
      </x:c>
      <x:c r="M2406" s="14" t="str">
        <x:v>Hız 8. Sınıf Türkçe Paragraf (ISBN 9786258394498)</x:v>
      </x:c>
      <x:c r="N2406" s="14" t="str"/>
      <x:c r="O2406" s="14" t="n">
        <x:v>30</x:v>
      </x:c>
      <x:c r="P2406" s="14" t="str">
        <x:v>İlk 20 soru</x:v>
      </x:c>
      <x:c r="Q2406" s="14" t="str">
        <x:v>Evet</x:v>
      </x:c>
      <x:c r="R2406" s="14" t="str">
        <x:v>Planlandı</x:v>
      </x:c>
      <x:c r="S2406" s="15" t="str"/>
      <x:c r="T2406" s="14" t="str">
        <x:v>Geri sayım ve hedef süre yok.</x:v>
      </x:c>
    </x:row>
    <x:row r="2407">
      <x:c r="A2407" s="14" t="n">
        <x:v>2406</x:v>
      </x:c>
      <x:c r="B2407" s="15" t="n">
        <x:v>46489</x:v>
      </x:c>
      <x:c r="C2407" s="14" t="str">
        <x:v>Pazartesi</x:v>
      </x:c>
      <x:c r="D2407" s="14" t="str">
        <x:v>Okul Günü</x:v>
      </x:c>
      <x:c r="E2407" s="14" t="str">
        <x:v>16:00 sonrası</x:v>
      </x:c>
      <x:c r="F2407" s="14" t="str">
        <x:v>F3 - Kaynak/MEB Tamamlama</x:v>
      </x:c>
      <x:c r="G2407" s="14" t="str">
        <x:v>19:00</x:v>
      </x:c>
      <x:c r="H2407" s="14" t="str">
        <x:v>19:35</x:v>
      </x:c>
      <x:c r="I2407" s="14" t="str">
        <x:v>Türkçe</x:v>
      </x:c>
      <x:c r="J2407" s="14" t="str">
        <x:v>Konu / Tekrar</x:v>
      </x:c>
      <x:c r="K2407" s="14" t="str">
        <x:v>Kaynak Tamamlama / Zayıf Konu</x:v>
      </x:c>
      <x:c r="L2407" s="14" t="str">
        <x:v>Yeni konu açma. En zayıf/açık konunun ilgili playlist videosunu yalnız gerekiyorsa tekrar izle.</x:v>
      </x:c>
      <x:c r="M2407" s="14" t="str">
        <x:v>Türkçe Ana Oynatma Listesi</x:v>
      </x:c>
      <x:c r="N2407" s="14" t="str">
        <x:v>https://www.youtube.com/watch?v=VYsPntNKVdw&amp;list=PLIBjFaUoJJ91bz7QQEBlxNJNZka5YQRr6</x:v>
      </x:c>
      <x:c r="O2407" s="14" t="n">
        <x:v>0</x:v>
      </x:c>
      <x:c r="P2407" s="14" t="str">
        <x:v>Hayır</x:v>
      </x:c>
      <x:c r="Q2407" s="14" t="str">
        <x:v>Evet</x:v>
      </x:c>
      <x:c r="R2407" s="14" t="str">
        <x:v>Planlandı</x:v>
      </x:c>
      <x:c r="S2407" s="15" t="str"/>
      <x:c r="T2407" s="14" t="str">
        <x:v>TYT etiketli kaynak temelden başlamak için sabittir; LGS dışı gereksiz ayrıntı zorunlu değildir.</x:v>
      </x:c>
    </x:row>
    <x:row r="2408">
      <x:c r="A2408" s="14" t="n">
        <x:v>2407</x:v>
      </x:c>
      <x:c r="B2408" s="15" t="n">
        <x:v>46489</x:v>
      </x:c>
      <x:c r="C2408" s="14" t="str">
        <x:v>Pazartesi</x:v>
      </x:c>
      <x:c r="D2408" s="14" t="str">
        <x:v>Okul Günü</x:v>
      </x:c>
      <x:c r="E2408" s="14" t="str">
        <x:v>16:00 sonrası</x:v>
      </x:c>
      <x:c r="F2408" s="14" t="str">
        <x:v>F3 - Kaynak/MEB Tamamlama</x:v>
      </x:c>
      <x:c r="G2408" s="14" t="str">
        <x:v>19:40</x:v>
      </x:c>
      <x:c r="H2408" s="14" t="str">
        <x:v>20:10</x:v>
      </x:c>
      <x:c r="I2408" s="14" t="str">
        <x:v>Türkçe</x:v>
      </x:c>
      <x:c r="J2408" s="14" t="str">
        <x:v>Kitap / MEB / Mastery</x:v>
      </x:c>
      <x:c r="K2408" s="14" t="str">
        <x:v>Kaynak Tamamlama / Zayıf Konu</x:v>
      </x:c>
      <x:c r="L2408" s="14" t="str">
        <x:v>13 Nisan %100 tamamlama hedefine göre en geride kalan Türkçe soru kaynağını/eksik MEB setini ilerlet; açık yanlışları kapat.</x:v>
      </x:c>
      <x:c r="M2408" s="14" t="str">
        <x:v>Ankara 8. Sınıf Dil Bilgisi Güçlendiren + açık MEB/yanlışlar</x:v>
      </x:c>
      <x:c r="N2408" s="14" t="str">
        <x:v>https://odsgm.meb.gov.tr/www/8sinif-calisma-sorulari/icerik/1632</x:v>
      </x:c>
      <x:c r="O2408" s="14" t="n">
        <x:v>20</x:v>
      </x:c>
      <x:c r="P2408" s="14" t="str">
        <x:v>Hayır</x:v>
      </x:c>
      <x:c r="Q2408" s="14" t="str">
        <x:v>Evet</x:v>
      </x:c>
      <x:c r="R2408" s="14" t="str">
        <x:v>Planlandı</x:v>
      </x:c>
      <x:c r="S2408" s="15" t="str"/>
      <x:c r="T2408" s="14" t="str"/>
    </x:row>
    <x:row r="2409">
      <x:c r="A2409" s="14" t="n">
        <x:v>2408</x:v>
      </x:c>
      <x:c r="B2409" s="15" t="n">
        <x:v>46489</x:v>
      </x:c>
      <x:c r="C2409" s="14" t="str">
        <x:v>Pazartesi</x:v>
      </x:c>
      <x:c r="D2409" s="14" t="str">
        <x:v>Okul Günü</x:v>
      </x:c>
      <x:c r="E2409" s="14" t="str">
        <x:v>16:00 sonrası</x:v>
      </x:c>
      <x:c r="F2409" s="14" t="str">
        <x:v>F3 - Kaynak/MEB Tamamlama</x:v>
      </x:c>
      <x:c r="G2409" s="14" t="str">
        <x:v>20:15</x:v>
      </x:c>
      <x:c r="H2409" s="14" t="str">
        <x:v>20:50</x:v>
      </x:c>
      <x:c r="I2409" s="14" t="str">
        <x:v>Din</x:v>
      </x:c>
      <x:c r="J2409" s="14" t="str">
        <x:v>Konu / Tekrar</x:v>
      </x:c>
      <x:c r="K2409" s="14" t="str">
        <x:v>Kaynak Tamamlama / Zayıf Konu</x:v>
      </x:c>
      <x:c r="L2409" s="14" t="str">
        <x:v>Yeni konu açma. En zayıf/açık konunun ilgili playlist videosunu yalnız gerekiyorsa tekrar izle.</x:v>
      </x:c>
      <x:c r="M2409" s="14" t="str">
        <x:v>Din Genel Oynatma Listesi</x:v>
      </x:c>
      <x:c r="N2409" s="14" t="str">
        <x:v>https://www.youtube.com/watch?v=wvdOE_75VnA&amp;list=PLbRoPq-Zu-SWXGUbVt4t4UWo-4VjsMUo-&amp;index=2</x:v>
      </x:c>
      <x:c r="O2409" s="14" t="n">
        <x:v>0</x:v>
      </x:c>
      <x:c r="P2409" s="14" t="str">
        <x:v>Hayır</x:v>
      </x:c>
      <x:c r="Q2409" s="14" t="str">
        <x:v>Evet</x:v>
      </x:c>
      <x:c r="R2409" s="14" t="str">
        <x:v>Planlandı</x:v>
      </x:c>
      <x:c r="S2409" s="15" t="str"/>
      <x:c r="T2409" s="14" t="str"/>
    </x:row>
    <x:row r="2410">
      <x:c r="A2410" s="14" t="n">
        <x:v>2409</x:v>
      </x:c>
      <x:c r="B2410" s="15" t="n">
        <x:v>46489</x:v>
      </x:c>
      <x:c r="C2410" s="14" t="str">
        <x:v>Pazartesi</x:v>
      </x:c>
      <x:c r="D2410" s="14" t="str">
        <x:v>Okul Günü</x:v>
      </x:c>
      <x:c r="E2410" s="14" t="str">
        <x:v>16:00 sonrası</x:v>
      </x:c>
      <x:c r="F2410" s="14" t="str">
        <x:v>F3 - Kaynak/MEB Tamamlama</x:v>
      </x:c>
      <x:c r="G2410" s="14" t="str">
        <x:v>20:55</x:v>
      </x:c>
      <x:c r="H2410" s="14" t="str">
        <x:v>21:20</x:v>
      </x:c>
      <x:c r="I2410" s="14" t="str">
        <x:v>Din</x:v>
      </x:c>
      <x:c r="J2410" s="14" t="str">
        <x:v>Kitap / MEB / Mastery</x:v>
      </x:c>
      <x:c r="K2410" s="14" t="str">
        <x:v>Kaynak Tamamlama / Zayıf Konu</x:v>
      </x:c>
      <x:c r="L2410" s="14" t="str">
        <x:v>13 Nisan %100 tamamlama hedefine göre en geride kalan Din soru kaynağını/eksik MEB setini ilerlet; açık yanlışları kapat.</x:v>
      </x:c>
      <x:c r="M2410" s="14" t="str">
        <x:v>Hız 8. Sınıf Din Kültürü ve Ahlak Bilgisi + açık MEB/yanlışlar</x:v>
      </x:c>
      <x:c r="N2410" s="14" t="str">
        <x:v>https://odsgm.meb.gov.tr/www/8sinif-calisma-sorulari/icerik/1632</x:v>
      </x:c>
      <x:c r="O2410" s="14" t="n">
        <x:v>20</x:v>
      </x:c>
      <x:c r="P2410" s="14" t="str">
        <x:v>Hayır</x:v>
      </x:c>
      <x:c r="Q2410" s="14" t="str">
        <x:v>Evet</x:v>
      </x:c>
      <x:c r="R2410" s="14" t="str">
        <x:v>Planlandı</x:v>
      </x:c>
      <x:c r="S2410" s="15" t="str"/>
      <x:c r="T2410" s="14" t="str"/>
    </x:row>
    <x:row r="2411">
      <x:c r="A2411" s="14" t="n">
        <x:v>2410</x:v>
      </x:c>
      <x:c r="B2411" s="15" t="n">
        <x:v>46489</x:v>
      </x:c>
      <x:c r="C2411" s="14" t="str">
        <x:v>Pazartesi</x:v>
      </x:c>
      <x:c r="D2411" s="14" t="str">
        <x:v>Okul Günü</x:v>
      </x:c>
      <x:c r="E2411" s="14" t="str">
        <x:v>16:00 sonrası</x:v>
      </x:c>
      <x:c r="F2411" s="14" t="str">
        <x:v>F3 - Kaynak/MEB Tamamlama</x:v>
      </x:c>
      <x:c r="G2411" s="14" t="str">
        <x:v>21:20</x:v>
      </x:c>
      <x:c r="H2411" s="14" t="str">
        <x:v>21:35</x:v>
      </x:c>
      <x:c r="I2411" s="14" t="str">
        <x:v>Genel</x:v>
      </x:c>
      <x:c r="J2411" s="14" t="str">
        <x:v>Yanlış / Boş Analizi</x:v>
      </x:c>
      <x:c r="K2411" s="14" t="str">
        <x:v>Günlük</x:v>
      </x:c>
      <x:c r="L2411" s="14" t="str">
        <x:v>Bugünkü yanlış/boşları kaydet; çözümünü öğrenmeden kapatma. Hata türünü sınıflandır.</x:v>
      </x:c>
      <x:c r="M2411" s="14" t="str">
        <x:v>Yanlış Defteri</x:v>
      </x:c>
      <x:c r="N2411" s="14" t="str"/>
      <x:c r="O2411" s="14" t="n">
        <x:v>0</x:v>
      </x:c>
      <x:c r="P2411" s="14" t="str">
        <x:v>Hayır</x:v>
      </x:c>
      <x:c r="Q2411" s="14" t="str">
        <x:v>Evet</x:v>
      </x:c>
      <x:c r="R2411" s="14" t="str">
        <x:v>Planlandı</x:v>
      </x:c>
      <x:c r="S2411" s="15" t="str"/>
      <x:c r="T2411" s="14" t="str"/>
    </x:row>
    <x:row r="2412">
      <x:c r="A2412" s="14" t="n">
        <x:v>2411</x:v>
      </x:c>
      <x:c r="B2412" s="15" t="n">
        <x:v>46489</x:v>
      </x:c>
      <x:c r="C2412" s="14" t="str">
        <x:v>Pazartesi</x:v>
      </x:c>
      <x:c r="D2412" s="14" t="str">
        <x:v>Okul Günü</x:v>
      </x:c>
      <x:c r="E2412" s="14" t="str">
        <x:v>16:00 sonrası</x:v>
      </x:c>
      <x:c r="F2412" s="14" t="str">
        <x:v>F3 - Kaynak/MEB Tamamlama</x:v>
      </x:c>
      <x:c r="G2412" s="14" t="str">
        <x:v>21:35</x:v>
      </x:c>
      <x:c r="H2412" s="14" t="str">
        <x:v>21:50</x:v>
      </x:c>
      <x:c r="I2412" s="14" t="str">
        <x:v>Genel</x:v>
      </x:c>
      <x:c r="J2412" s="14" t="str">
        <x:v>Aralıklı Hata Tekrarı</x:v>
      </x:c>
      <x:c r="K2412" s="14" t="str">
        <x:v>+1 / +7 / +21</x:v>
      </x:c>
      <x:c r="L2412" s="14" t="str">
        <x:v>Bugün vadesi gelen yanlış soruları tekrar çöz. Vadesi yoksa bu süre serbest/okuma olabilir.</x:v>
      </x:c>
      <x:c r="M2412" s="14" t="str">
        <x:v>Yanlış Defteri</x:v>
      </x:c>
      <x:c r="N2412" s="14" t="str"/>
      <x:c r="O2412" s="14" t="n">
        <x:v>0</x:v>
      </x:c>
      <x:c r="P2412" s="14" t="str">
        <x:v>Hayır</x:v>
      </x:c>
      <x:c r="Q2412" s="14" t="str">
        <x:v>Koşullu</x:v>
      </x:c>
      <x:c r="R2412" s="14" t="str">
        <x:v>Planlandı</x:v>
      </x:c>
      <x:c r="S2412" s="15" t="str"/>
      <x:c r="T2412" s="14" t="str">
        <x:v>Yanlışlar +1, +7 ve +21 gün aralıklarıyla tekrar edilir; hâlâ yanlışsa konu mastery durumu düşürülür.</x:v>
      </x:c>
    </x:row>
    <x:row r="2413">
      <x:c r="A2413" s="14" t="n">
        <x:v>2412</x:v>
      </x:c>
      <x:c r="B2413" s="15" t="n">
        <x:v>46489</x:v>
      </x:c>
      <x:c r="C2413" s="14" t="str">
        <x:v>Pazartesi</x:v>
      </x:c>
      <x:c r="D2413" s="14" t="str">
        <x:v>Okul Günü</x:v>
      </x:c>
      <x:c r="E2413" s="14" t="str">
        <x:v>16:00 sonrası</x:v>
      </x:c>
      <x:c r="F2413" s="14" t="str">
        <x:v>F3 - Kaynak/MEB Tamamlama</x:v>
      </x:c>
      <x:c r="G2413" s="14" t="str">
        <x:v>21:50</x:v>
      </x:c>
      <x:c r="H2413" s="14" t="str">
        <x:v>22:00</x:v>
      </x:c>
      <x:c r="I2413" s="14" t="str">
        <x:v>Genel</x:v>
      </x:c>
      <x:c r="J2413" s="14" t="str">
        <x:v>Uyku Hazırlığı</x:v>
      </x:c>
      <x:c r="K2413" s="14" t="str"/>
      <x:c r="L2413" s="14" t="str">
        <x:v>22:00'de yatakta ve uyku.</x:v>
      </x:c>
      <x:c r="M2413" s="14" t="str"/>
      <x:c r="N2413" s="14" t="str"/>
      <x:c r="O2413" s="14" t="n">
        <x:v>0</x:v>
      </x:c>
      <x:c r="P2413" s="14" t="str">
        <x:v>Hayır</x:v>
      </x:c>
      <x:c r="Q2413" s="14" t="str">
        <x:v>Hayır</x:v>
      </x:c>
      <x:c r="R2413" s="14" t="str">
        <x:v>Planlandı</x:v>
      </x:c>
      <x:c r="S2413" s="15" t="str"/>
      <x:c r="T2413" s="14" t="str"/>
    </x:row>
    <x:row r="2414">
      <x:c r="A2414" s="14" t="n">
        <x:v>2413</x:v>
      </x:c>
      <x:c r="B2414" s="15" t="n">
        <x:v>46490</x:v>
      </x:c>
      <x:c r="C2414" s="14" t="str">
        <x:v>Salı</x:v>
      </x:c>
      <x:c r="D2414" s="14" t="str">
        <x:v>Okul Günü</x:v>
      </x:c>
      <x:c r="E2414" s="14" t="str">
        <x:v>16:00 sonrası</x:v>
      </x:c>
      <x:c r="F2414" s="14" t="str">
        <x:v>F3 - Kaynak/MEB Tamamlama</x:v>
      </x:c>
      <x:c r="G2414" s="14" t="str">
        <x:v>16:00</x:v>
      </x:c>
      <x:c r="H2414" s="14" t="str">
        <x:v>16:25</x:v>
      </x:c>
      <x:c r="I2414" s="14" t="str">
        <x:v>Genel</x:v>
      </x:c>
      <x:c r="J2414" s="14" t="str">
        <x:v>Dinlenme</x:v>
      </x:c>
      <x:c r="K2414" s="14" t="str"/>
      <x:c r="L2414" s="14" t="str">
        <x:v>Eve geliş, atıştırma ve dinlenme.</x:v>
      </x:c>
      <x:c r="M2414" s="14" t="str"/>
      <x:c r="N2414" s="14" t="str"/>
      <x:c r="O2414" s="14" t="n">
        <x:v>0</x:v>
      </x:c>
      <x:c r="P2414" s="14" t="str">
        <x:v>Hayır</x:v>
      </x:c>
      <x:c r="Q2414" s="14" t="str">
        <x:v>Hayır</x:v>
      </x:c>
      <x:c r="R2414" s="14" t="str">
        <x:v>Planlandı</x:v>
      </x:c>
      <x:c r="S2414" s="15" t="str"/>
      <x:c r="T2414" s="14" t="str"/>
    </x:row>
    <x:row r="2415">
      <x:c r="A2415" s="14" t="n">
        <x:v>2414</x:v>
      </x:c>
      <x:c r="B2415" s="15" t="n">
        <x:v>46490</x:v>
      </x:c>
      <x:c r="C2415" s="14" t="str">
        <x:v>Salı</x:v>
      </x:c>
      <x:c r="D2415" s="14" t="str">
        <x:v>Okul Günü</x:v>
      </x:c>
      <x:c r="E2415" s="14" t="str">
        <x:v>16:00 sonrası</x:v>
      </x:c>
      <x:c r="F2415" s="14" t="str">
        <x:v>F3 - Kaynak/MEB Tamamlama</x:v>
      </x:c>
      <x:c r="G2415" s="14" t="str">
        <x:v>16:25</x:v>
      </x:c>
      <x:c r="H2415" s="14" t="str">
        <x:v>17:05</x:v>
      </x:c>
      <x:c r="I2415" s="14" t="str">
        <x:v>Matematik</x:v>
      </x:c>
      <x:c r="J2415" s="14" t="str">
        <x:v>Konu / Tekrar</x:v>
      </x:c>
      <x:c r="K2415" s="14" t="str">
        <x:v>Kaynak Tamamlama / Zayıf Konu</x:v>
      </x:c>
      <x:c r="L2415" s="14" t="str">
        <x:v>Yeni konu açma. En zayıf/açık konunun ilgili playlist videosunu yalnız gerekiyorsa tekrar izle.</x:v>
      </x:c>
      <x:c r="M2415" s="14" t="str">
        <x:v>Matematik Ana Oynatma Listesi</x:v>
      </x:c>
      <x:c r="N2415" s="14" t="str">
        <x:v>https://www.youtube.com/watch?v=EuJ89QzqrAg&amp;list=PLicNtF7vp6fnfDqrRLH6H7fIbzYT4ct4F&amp;index=11</x:v>
      </x:c>
      <x:c r="O2415" s="14" t="n">
        <x:v>0</x:v>
      </x:c>
      <x:c r="P2415" s="14" t="str">
        <x:v>Hayır</x:v>
      </x:c>
      <x:c r="Q2415" s="14" t="str">
        <x:v>Evet</x:v>
      </x:c>
      <x:c r="R2415" s="14" t="str">
        <x:v>Planlandı</x:v>
      </x:c>
      <x:c r="S2415" s="15" t="str"/>
      <x:c r="T2415" s="14" t="str">
        <x:v>Yeni konu ancak plan sırasıyla açılır; LGS dışı ileri TYT içeriği zorunlu değildir.</x:v>
      </x:c>
    </x:row>
    <x:row r="2416">
      <x:c r="A2416" s="14" t="n">
        <x:v>2415</x:v>
      </x:c>
      <x:c r="B2416" s="15" t="n">
        <x:v>46490</x:v>
      </x:c>
      <x:c r="C2416" s="14" t="str">
        <x:v>Salı</x:v>
      </x:c>
      <x:c r="D2416" s="14" t="str">
        <x:v>Okul Günü</x:v>
      </x:c>
      <x:c r="E2416" s="14" t="str">
        <x:v>16:00 sonrası</x:v>
      </x:c>
      <x:c r="F2416" s="14" t="str">
        <x:v>F3 - Kaynak/MEB Tamamlama</x:v>
      </x:c>
      <x:c r="G2416" s="14" t="str">
        <x:v>17:10</x:v>
      </x:c>
      <x:c r="H2416" s="14" t="str">
        <x:v>17:55</x:v>
      </x:c>
      <x:c r="I2416" s="14" t="str">
        <x:v>Matematik</x:v>
      </x:c>
      <x:c r="J2416" s="14" t="str">
        <x:v>Kitap / MEB / Mastery</x:v>
      </x:c>
      <x:c r="K2416" s="14" t="str">
        <x:v>Kaynak Tamamlama / Zayıf Konu</x:v>
      </x:c>
      <x:c r="L2416" s="14" t="str">
        <x:v>13 Nisan %100 tamamlama hedefine göre en geride kalan Matematik soru kaynağını/eksik MEB setini ilerlet; açık yanlışları kapat.</x:v>
      </x:c>
      <x:c r="M2416" s="14" t="str">
        <x:v>MUBA 8. Sınıf Başlangıç Matematik (ISBN 9789756526972) → tamamlandıysa Mozaik 8. Sınıf Matematik; açık MEB/yanlışlar</x:v>
      </x:c>
      <x:c r="N2416" s="14" t="str">
        <x:v>https://odsgm.meb.gov.tr/www/8sinif-calisma-sorulari/icerik/1632</x:v>
      </x:c>
      <x:c r="O2416" s="14" t="n">
        <x:v>30</x:v>
      </x:c>
      <x:c r="P2416" s="14" t="str">
        <x:v>İlk 20 soru</x:v>
      </x:c>
      <x:c r="Q2416" s="14" t="str">
        <x:v>Evet</x:v>
      </x:c>
      <x:c r="R2416" s="14" t="str">
        <x:v>Planlandı</x:v>
      </x:c>
      <x:c r="S2416" s="15" t="str"/>
      <x:c r="T2416" s="14" t="str">
        <x:v>Ayrı/rastgele matematik benchmark yoktur. Süreli ilk 20 soru o gün çalışılan konunun içindedir.</x:v>
      </x:c>
    </x:row>
    <x:row r="2417">
      <x:c r="A2417" s="14" t="n">
        <x:v>2416</x:v>
      </x:c>
      <x:c r="B2417" s="15" t="n">
        <x:v>46490</x:v>
      </x:c>
      <x:c r="C2417" s="14" t="str">
        <x:v>Salı</x:v>
      </x:c>
      <x:c r="D2417" s="14" t="str">
        <x:v>Okul Günü</x:v>
      </x:c>
      <x:c r="E2417" s="14" t="str">
        <x:v>16:00 sonrası</x:v>
      </x:c>
      <x:c r="F2417" s="14" t="str">
        <x:v>F3 - Kaynak/MEB Tamamlama</x:v>
      </x:c>
      <x:c r="G2417" s="14" t="str">
        <x:v>17:55</x:v>
      </x:c>
      <x:c r="H2417" s="14" t="str">
        <x:v>18:25</x:v>
      </x:c>
      <x:c r="I2417" s="14" t="str">
        <x:v>Genel</x:v>
      </x:c>
      <x:c r="J2417" s="14" t="str">
        <x:v>Yemek / Serbest Zaman</x:v>
      </x:c>
      <x:c r="K2417" s="14" t="str"/>
      <x:c r="L2417" s="14" t="str">
        <x:v>Yemek, hareket ve dinlenme.</x:v>
      </x:c>
      <x:c r="M2417" s="14" t="str"/>
      <x:c r="N2417" s="14" t="str"/>
      <x:c r="O2417" s="14" t="n">
        <x:v>0</x:v>
      </x:c>
      <x:c r="P2417" s="14" t="str">
        <x:v>Hayır</x:v>
      </x:c>
      <x:c r="Q2417" s="14" t="str">
        <x:v>Hayır</x:v>
      </x:c>
      <x:c r="R2417" s="14" t="str">
        <x:v>Planlandı</x:v>
      </x:c>
      <x:c r="S2417" s="15" t="str"/>
      <x:c r="T2417" s="14" t="str"/>
    </x:row>
    <x:row r="2418">
      <x:c r="A2418" s="14" t="n">
        <x:v>2417</x:v>
      </x:c>
      <x:c r="B2418" s="15" t="n">
        <x:v>46490</x:v>
      </x:c>
      <x:c r="C2418" s="14" t="str">
        <x:v>Salı</x:v>
      </x:c>
      <x:c r="D2418" s="14" t="str">
        <x:v>Okul Günü</x:v>
      </x:c>
      <x:c r="E2418" s="14" t="str">
        <x:v>16:00 sonrası</x:v>
      </x:c>
      <x:c r="F2418" s="14" t="str">
        <x:v>F3 - Kaynak/MEB Tamamlama</x:v>
      </x:c>
      <x:c r="G2418" s="14" t="str">
        <x:v>18:25</x:v>
      </x:c>
      <x:c r="H2418" s="14" t="str">
        <x:v>18:55</x:v>
      </x:c>
      <x:c r="I2418" s="14" t="str">
        <x:v>Türkçe</x:v>
      </x:c>
      <x:c r="J2418" s="14" t="str">
        <x:v>Paragraf Rutini</x:v>
      </x:c>
      <x:c r="K2418" s="14" t="str">
        <x:v>Paragraf</x:v>
      </x:c>
      <x:c r="L2418" s="14" t="str">
        <x:v>En az 30 paragraf sorusu çöz; ilk 20 soruyu ileri sayımla ölç, D/Y/B + süre kaydet.</x:v>
      </x:c>
      <x:c r="M2418" s="14" t="str">
        <x:v>Hız 8. Sınıf Türkçe Paragraf (ISBN 9786258394498)</x:v>
      </x:c>
      <x:c r="N2418" s="14" t="str"/>
      <x:c r="O2418" s="14" t="n">
        <x:v>30</x:v>
      </x:c>
      <x:c r="P2418" s="14" t="str">
        <x:v>İlk 20 soru</x:v>
      </x:c>
      <x:c r="Q2418" s="14" t="str">
        <x:v>Evet</x:v>
      </x:c>
      <x:c r="R2418" s="14" t="str">
        <x:v>Planlandı</x:v>
      </x:c>
      <x:c r="S2418" s="15" t="str"/>
      <x:c r="T2418" s="14" t="str">
        <x:v>Geri sayım ve hedef süre yok.</x:v>
      </x:c>
    </x:row>
    <x:row r="2419">
      <x:c r="A2419" s="14" t="n">
        <x:v>2418</x:v>
      </x:c>
      <x:c r="B2419" s="15" t="n">
        <x:v>46490</x:v>
      </x:c>
      <x:c r="C2419" s="14" t="str">
        <x:v>Salı</x:v>
      </x:c>
      <x:c r="D2419" s="14" t="str">
        <x:v>Okul Günü</x:v>
      </x:c>
      <x:c r="E2419" s="14" t="str">
        <x:v>16:00 sonrası</x:v>
      </x:c>
      <x:c r="F2419" s="14" t="str">
        <x:v>F3 - Kaynak/MEB Tamamlama</x:v>
      </x:c>
      <x:c r="G2419" s="14" t="str">
        <x:v>19:00</x:v>
      </x:c>
      <x:c r="H2419" s="14" t="str">
        <x:v>19:35</x:v>
      </x:c>
      <x:c r="I2419" s="14" t="str">
        <x:v>Türkçe</x:v>
      </x:c>
      <x:c r="J2419" s="14" t="str">
        <x:v>Konu / Tekrar</x:v>
      </x:c>
      <x:c r="K2419" s="14" t="str">
        <x:v>Kaynak Tamamlama / Zayıf Konu</x:v>
      </x:c>
      <x:c r="L2419" s="14" t="str">
        <x:v>Yeni konu açma. En zayıf/açık konunun ilgili playlist videosunu yalnız gerekiyorsa tekrar izle.</x:v>
      </x:c>
      <x:c r="M2419" s="14" t="str">
        <x:v>Türkçe Ana Oynatma Listesi</x:v>
      </x:c>
      <x:c r="N2419" s="14" t="str">
        <x:v>https://www.youtube.com/watch?v=VYsPntNKVdw&amp;list=PLIBjFaUoJJ91bz7QQEBlxNJNZka5YQRr6</x:v>
      </x:c>
      <x:c r="O2419" s="14" t="n">
        <x:v>0</x:v>
      </x:c>
      <x:c r="P2419" s="14" t="str">
        <x:v>Hayır</x:v>
      </x:c>
      <x:c r="Q2419" s="14" t="str">
        <x:v>Evet</x:v>
      </x:c>
      <x:c r="R2419" s="14" t="str">
        <x:v>Planlandı</x:v>
      </x:c>
      <x:c r="S2419" s="15" t="str"/>
      <x:c r="T2419" s="14" t="str">
        <x:v>TYT etiketli kaynak temelden başlamak için sabittir; LGS dışı gereksiz ayrıntı zorunlu değildir.</x:v>
      </x:c>
    </x:row>
    <x:row r="2420">
      <x:c r="A2420" s="14" t="n">
        <x:v>2419</x:v>
      </x:c>
      <x:c r="B2420" s="15" t="n">
        <x:v>46490</x:v>
      </x:c>
      <x:c r="C2420" s="14" t="str">
        <x:v>Salı</x:v>
      </x:c>
      <x:c r="D2420" s="14" t="str">
        <x:v>Okul Günü</x:v>
      </x:c>
      <x:c r="E2420" s="14" t="str">
        <x:v>16:00 sonrası</x:v>
      </x:c>
      <x:c r="F2420" s="14" t="str">
        <x:v>F3 - Kaynak/MEB Tamamlama</x:v>
      </x:c>
      <x:c r="G2420" s="14" t="str">
        <x:v>19:40</x:v>
      </x:c>
      <x:c r="H2420" s="14" t="str">
        <x:v>20:10</x:v>
      </x:c>
      <x:c r="I2420" s="14" t="str">
        <x:v>Türkçe</x:v>
      </x:c>
      <x:c r="J2420" s="14" t="str">
        <x:v>Kitap / MEB / Mastery</x:v>
      </x:c>
      <x:c r="K2420" s="14" t="str">
        <x:v>Kaynak Tamamlama / Zayıf Konu</x:v>
      </x:c>
      <x:c r="L2420" s="14" t="str">
        <x:v>13 Nisan %100 tamamlama hedefine göre en geride kalan Türkçe soru kaynağını/eksik MEB setini ilerlet; açık yanlışları kapat.</x:v>
      </x:c>
      <x:c r="M2420" s="14" t="str">
        <x:v>Ankara 8. Sınıf Dil Bilgisi Güçlendiren + açık MEB/yanlışlar</x:v>
      </x:c>
      <x:c r="N2420" s="14" t="str">
        <x:v>https://odsgm.meb.gov.tr/www/8sinif-calisma-sorulari/icerik/1632</x:v>
      </x:c>
      <x:c r="O2420" s="14" t="n">
        <x:v>20</x:v>
      </x:c>
      <x:c r="P2420" s="14" t="str">
        <x:v>Hayır</x:v>
      </x:c>
      <x:c r="Q2420" s="14" t="str">
        <x:v>Evet</x:v>
      </x:c>
      <x:c r="R2420" s="14" t="str">
        <x:v>Planlandı</x:v>
      </x:c>
      <x:c r="S2420" s="15" t="str"/>
      <x:c r="T2420" s="14" t="str"/>
    </x:row>
    <x:row r="2421">
      <x:c r="A2421" s="14" t="n">
        <x:v>2420</x:v>
      </x:c>
      <x:c r="B2421" s="15" t="n">
        <x:v>46490</x:v>
      </x:c>
      <x:c r="C2421" s="14" t="str">
        <x:v>Salı</x:v>
      </x:c>
      <x:c r="D2421" s="14" t="str">
        <x:v>Okul Günü</x:v>
      </x:c>
      <x:c r="E2421" s="14" t="str">
        <x:v>16:00 sonrası</x:v>
      </x:c>
      <x:c r="F2421" s="14" t="str">
        <x:v>F3 - Kaynak/MEB Tamamlama</x:v>
      </x:c>
      <x:c r="G2421" s="14" t="str">
        <x:v>20:15</x:v>
      </x:c>
      <x:c r="H2421" s="14" t="str">
        <x:v>20:50</x:v>
      </x:c>
      <x:c r="I2421" s="14" t="str">
        <x:v>İnkılap</x:v>
      </x:c>
      <x:c r="J2421" s="14" t="str">
        <x:v>Konu / Tekrar</x:v>
      </x:c>
      <x:c r="K2421" s="14" t="str">
        <x:v>Kaynak Tamamlama / Zayıf Konu</x:v>
      </x:c>
      <x:c r="L2421" s="14" t="str">
        <x:v>Yeni konu açma. En zayıf/açık konunun ilgili playlist videosunu yalnız gerekiyorsa tekrar izle.</x:v>
      </x:c>
      <x:c r="M2421" s="14" t="str">
        <x:v>İnkılap Genel Oynatma Listesi</x:v>
      </x:c>
      <x:c r="N2421" s="14" t="str">
        <x:v>https://www.youtube.com/watch?v=MltIX0oKpYU&amp;list=PLsAsBPsriHNbXit4Ra3iuBrk1ZHZWxsOR&amp;index=78</x:v>
      </x:c>
      <x:c r="O2421" s="14" t="n">
        <x:v>0</x:v>
      </x:c>
      <x:c r="P2421" s="14" t="str">
        <x:v>Hayır</x:v>
      </x:c>
      <x:c r="Q2421" s="14" t="str">
        <x:v>Evet</x:v>
      </x:c>
      <x:c r="R2421" s="14" t="str">
        <x:v>Planlandı</x:v>
      </x:c>
      <x:c r="S2421" s="15" t="str"/>
      <x:c r="T2421" s="14" t="str">
        <x:v>İnkılapta okul yazılısı videoları zorunlu değildir.</x:v>
      </x:c>
    </x:row>
    <x:row r="2422">
      <x:c r="A2422" s="14" t="n">
        <x:v>2421</x:v>
      </x:c>
      <x:c r="B2422" s="15" t="n">
        <x:v>46490</x:v>
      </x:c>
      <x:c r="C2422" s="14" t="str">
        <x:v>Salı</x:v>
      </x:c>
      <x:c r="D2422" s="14" t="str">
        <x:v>Okul Günü</x:v>
      </x:c>
      <x:c r="E2422" s="14" t="str">
        <x:v>16:00 sonrası</x:v>
      </x:c>
      <x:c r="F2422" s="14" t="str">
        <x:v>F3 - Kaynak/MEB Tamamlama</x:v>
      </x:c>
      <x:c r="G2422" s="14" t="str">
        <x:v>20:55</x:v>
      </x:c>
      <x:c r="H2422" s="14" t="str">
        <x:v>21:20</x:v>
      </x:c>
      <x:c r="I2422" s="14" t="str">
        <x:v>İnkılap</x:v>
      </x:c>
      <x:c r="J2422" s="14" t="str">
        <x:v>Kitap / MEB / Mastery</x:v>
      </x:c>
      <x:c r="K2422" s="14" t="str">
        <x:v>Kaynak Tamamlama / Zayıf Konu</x:v>
      </x:c>
      <x:c r="L2422" s="14" t="str">
        <x:v>13 Nisan %100 tamamlama hedefine göre en geride kalan İnkılap soru kaynağını/eksik MEB setini ilerlet; açık yanlışları kapat.</x:v>
      </x:c>
      <x:c r="M2422" s="14" t="str">
        <x:v>Hız 8. Sınıf T.C. İnkılap Tarihi ve Atatürkçülük + açık MEB/yanlışlar</x:v>
      </x:c>
      <x:c r="N2422" s="14" t="str">
        <x:v>https://odsgm.meb.gov.tr/www/8sinif-calisma-sorulari/icerik/1632</x:v>
      </x:c>
      <x:c r="O2422" s="14" t="n">
        <x:v>20</x:v>
      </x:c>
      <x:c r="P2422" s="14" t="str">
        <x:v>Hayır</x:v>
      </x:c>
      <x:c r="Q2422" s="14" t="str">
        <x:v>Evet</x:v>
      </x:c>
      <x:c r="R2422" s="14" t="str">
        <x:v>Planlandı</x:v>
      </x:c>
      <x:c r="S2422" s="15" t="str"/>
      <x:c r="T2422" s="14" t="str"/>
    </x:row>
    <x:row r="2423">
      <x:c r="A2423" s="14" t="n">
        <x:v>2422</x:v>
      </x:c>
      <x:c r="B2423" s="15" t="n">
        <x:v>46490</x:v>
      </x:c>
      <x:c r="C2423" s="14" t="str">
        <x:v>Salı</x:v>
      </x:c>
      <x:c r="D2423" s="14" t="str">
        <x:v>Okul Günü</x:v>
      </x:c>
      <x:c r="E2423" s="14" t="str">
        <x:v>16:00 sonrası</x:v>
      </x:c>
      <x:c r="F2423" s="14" t="str">
        <x:v>F3 - Kaynak/MEB Tamamlama</x:v>
      </x:c>
      <x:c r="G2423" s="14" t="str">
        <x:v>21:20</x:v>
      </x:c>
      <x:c r="H2423" s="14" t="str">
        <x:v>21:35</x:v>
      </x:c>
      <x:c r="I2423" s="14" t="str">
        <x:v>Genel</x:v>
      </x:c>
      <x:c r="J2423" s="14" t="str">
        <x:v>Yanlış / Boş Analizi</x:v>
      </x:c>
      <x:c r="K2423" s="14" t="str">
        <x:v>Günlük</x:v>
      </x:c>
      <x:c r="L2423" s="14" t="str">
        <x:v>Bugünkü yanlış/boşları kaydet; çözümünü öğrenmeden kapatma. Hata türünü sınıflandır.</x:v>
      </x:c>
      <x:c r="M2423" s="14" t="str">
        <x:v>Yanlış Defteri</x:v>
      </x:c>
      <x:c r="N2423" s="14" t="str"/>
      <x:c r="O2423" s="14" t="n">
        <x:v>0</x:v>
      </x:c>
      <x:c r="P2423" s="14" t="str">
        <x:v>Hayır</x:v>
      </x:c>
      <x:c r="Q2423" s="14" t="str">
        <x:v>Evet</x:v>
      </x:c>
      <x:c r="R2423" s="14" t="str">
        <x:v>Planlandı</x:v>
      </x:c>
      <x:c r="S2423" s="15" t="str"/>
      <x:c r="T2423" s="14" t="str"/>
    </x:row>
    <x:row r="2424">
      <x:c r="A2424" s="14" t="n">
        <x:v>2423</x:v>
      </x:c>
      <x:c r="B2424" s="15" t="n">
        <x:v>46490</x:v>
      </x:c>
      <x:c r="C2424" s="14" t="str">
        <x:v>Salı</x:v>
      </x:c>
      <x:c r="D2424" s="14" t="str">
        <x:v>Okul Günü</x:v>
      </x:c>
      <x:c r="E2424" s="14" t="str">
        <x:v>16:00 sonrası</x:v>
      </x:c>
      <x:c r="F2424" s="14" t="str">
        <x:v>F3 - Kaynak/MEB Tamamlama</x:v>
      </x:c>
      <x:c r="G2424" s="14" t="str">
        <x:v>21:35</x:v>
      </x:c>
      <x:c r="H2424" s="14" t="str">
        <x:v>21:50</x:v>
      </x:c>
      <x:c r="I2424" s="14" t="str">
        <x:v>Genel</x:v>
      </x:c>
      <x:c r="J2424" s="14" t="str">
        <x:v>Aralıklı Hata Tekrarı</x:v>
      </x:c>
      <x:c r="K2424" s="14" t="str">
        <x:v>+1 / +7 / +21</x:v>
      </x:c>
      <x:c r="L2424" s="14" t="str">
        <x:v>Bugün vadesi gelen yanlış soruları tekrar çöz. Vadesi yoksa bu süre serbest/okuma olabilir.</x:v>
      </x:c>
      <x:c r="M2424" s="14" t="str">
        <x:v>Yanlış Defteri</x:v>
      </x:c>
      <x:c r="N2424" s="14" t="str"/>
      <x:c r="O2424" s="14" t="n">
        <x:v>0</x:v>
      </x:c>
      <x:c r="P2424" s="14" t="str">
        <x:v>Hayır</x:v>
      </x:c>
      <x:c r="Q2424" s="14" t="str">
        <x:v>Koşullu</x:v>
      </x:c>
      <x:c r="R2424" s="14" t="str">
        <x:v>Planlandı</x:v>
      </x:c>
      <x:c r="S2424" s="15" t="str"/>
      <x:c r="T2424" s="14" t="str">
        <x:v>Yanlışlar +1, +7 ve +21 gün aralıklarıyla tekrar edilir; hâlâ yanlışsa konu mastery durumu düşürülür.</x:v>
      </x:c>
    </x:row>
    <x:row r="2425">
      <x:c r="A2425" s="14" t="n">
        <x:v>2424</x:v>
      </x:c>
      <x:c r="B2425" s="15" t="n">
        <x:v>46490</x:v>
      </x:c>
      <x:c r="C2425" s="14" t="str">
        <x:v>Salı</x:v>
      </x:c>
      <x:c r="D2425" s="14" t="str">
        <x:v>Okul Günü</x:v>
      </x:c>
      <x:c r="E2425" s="14" t="str">
        <x:v>16:00 sonrası</x:v>
      </x:c>
      <x:c r="F2425" s="14" t="str">
        <x:v>F3 - Kaynak/MEB Tamamlama</x:v>
      </x:c>
      <x:c r="G2425" s="14" t="str">
        <x:v>21:50</x:v>
      </x:c>
      <x:c r="H2425" s="14" t="str">
        <x:v>22:00</x:v>
      </x:c>
      <x:c r="I2425" s="14" t="str">
        <x:v>Genel</x:v>
      </x:c>
      <x:c r="J2425" s="14" t="str">
        <x:v>Uyku Hazırlığı</x:v>
      </x:c>
      <x:c r="K2425" s="14" t="str"/>
      <x:c r="L2425" s="14" t="str">
        <x:v>22:00'de yatakta ve uyku.</x:v>
      </x:c>
      <x:c r="M2425" s="14" t="str"/>
      <x:c r="N2425" s="14" t="str"/>
      <x:c r="O2425" s="14" t="n">
        <x:v>0</x:v>
      </x:c>
      <x:c r="P2425" s="14" t="str">
        <x:v>Hayır</x:v>
      </x:c>
      <x:c r="Q2425" s="14" t="str">
        <x:v>Hayır</x:v>
      </x:c>
      <x:c r="R2425" s="14" t="str">
        <x:v>Planlandı</x:v>
      </x:c>
      <x:c r="S2425" s="15" t="str"/>
      <x:c r="T2425" s="14" t="str"/>
    </x:row>
    <x:row r="2426">
      <x:c r="A2426" s="14" t="n">
        <x:v>2425</x:v>
      </x:c>
      <x:c r="B2426" s="15" t="n">
        <x:v>46491</x:v>
      </x:c>
      <x:c r="C2426" s="14" t="str">
        <x:v>Çarşamba</x:v>
      </x:c>
      <x:c r="D2426" s="14" t="str">
        <x:v>Okul Günü</x:v>
      </x:c>
      <x:c r="E2426" s="14" t="str">
        <x:v>16:00 sonrası</x:v>
      </x:c>
      <x:c r="F2426" s="14" t="str">
        <x:v>F4 - 60 Gün / 60 Tam Deneme</x:v>
      </x:c>
      <x:c r="G2426" s="14" t="str">
        <x:v>16:00</x:v>
      </x:c>
      <x:c r="H2426" s="14" t="str">
        <x:v>16:25</x:v>
      </x:c>
      <x:c r="I2426" s="14" t="str">
        <x:v>Genel</x:v>
      </x:c>
      <x:c r="J2426" s="14" t="str">
        <x:v>Dinlenme</x:v>
      </x:c>
      <x:c r="K2426" s="14" t="str"/>
      <x:c r="L2426" s="14" t="str">
        <x:v>Eve geliş + kısa dinlenme.</x:v>
      </x:c>
      <x:c r="M2426" s="14" t="str"/>
      <x:c r="N2426" s="14" t="str"/>
      <x:c r="O2426" s="14" t="n">
        <x:v>0</x:v>
      </x:c>
      <x:c r="P2426" s="14" t="str">
        <x:v>Hayır</x:v>
      </x:c>
      <x:c r="Q2426" s="14" t="str">
        <x:v>Hayır</x:v>
      </x:c>
      <x:c r="R2426" s="14" t="str">
        <x:v>Planlandı</x:v>
      </x:c>
      <x:c r="S2426" s="15" t="str"/>
      <x:c r="T2426" s="14" t="str"/>
    </x:row>
    <x:row r="2427">
      <x:c r="A2427" s="14" t="n">
        <x:v>2426</x:v>
      </x:c>
      <x:c r="B2427" s="15" t="n">
        <x:v>46491</x:v>
      </x:c>
      <x:c r="C2427" s="14" t="str">
        <x:v>Çarşamba</x:v>
      </x:c>
      <x:c r="D2427" s="14" t="str">
        <x:v>Okul Günü</x:v>
      </x:c>
      <x:c r="E2427" s="14" t="str">
        <x:v>16:00 sonrası</x:v>
      </x:c>
      <x:c r="F2427" s="14" t="str">
        <x:v>F4 - 60 Gün / 60 Tam Deneme</x:v>
      </x:c>
      <x:c r="G2427" s="14" t="str">
        <x:v>16:30</x:v>
      </x:c>
      <x:c r="H2427" s="14" t="str">
        <x:v>17:45</x:v>
      </x:c>
      <x:c r="I2427" s="14" t="str">
        <x:v>Deneme</x:v>
      </x:c>
      <x:c r="J2427" s="14" t="str">
        <x:v>Tam LGS Denemesi - Sözel</x:v>
      </x:c>
      <x:c r="K2427" s="14" t="str">
        <x:v>Deneme 01</x:v>
      </x:c>
      <x:c r="L2427" s="14" t="str">
        <x:v>Deneme 1/60 — Sözel oturum: Türkçe 20 + İnkılap 10 + Din 10 + İngilizce 10. 75 dakika.</x:v>
      </x:c>
      <x:c r="M2427" s="14" t="str">
        <x:v>Tam LGS Denemesi</x:v>
      </x:c>
      <x:c r="N2427" s="14" t="str"/>
      <x:c r="O2427" s="14" t="n">
        <x:v>50</x:v>
      </x:c>
      <x:c r="P2427" s="14" t="str">
        <x:v>75 dk</x:v>
      </x:c>
      <x:c r="Q2427" s="14" t="str">
        <x:v>Evet</x:v>
      </x:c>
      <x:c r="R2427" s="14" t="str">
        <x:v>Planlandı</x:v>
      </x:c>
      <x:c r="S2427" s="15" t="str"/>
      <x:c r="T2427" s="14" t="str">
        <x:v>2026 LGS formatı çalışma referansıdır; 2027 kılavuzu yayımlanırsa güncellenir.</x:v>
      </x:c>
    </x:row>
    <x:row r="2428">
      <x:c r="A2428" s="14" t="n">
        <x:v>2427</x:v>
      </x:c>
      <x:c r="B2428" s="15" t="n">
        <x:v>46491</x:v>
      </x:c>
      <x:c r="C2428" s="14" t="str">
        <x:v>Çarşamba</x:v>
      </x:c>
      <x:c r="D2428" s="14" t="str">
        <x:v>Okul Günü</x:v>
      </x:c>
      <x:c r="E2428" s="14" t="str">
        <x:v>16:00 sonrası</x:v>
      </x:c>
      <x:c r="F2428" s="14" t="str">
        <x:v>F4 - 60 Gün / 60 Tam Deneme</x:v>
      </x:c>
      <x:c r="G2428" s="14" t="str">
        <x:v>17:45</x:v>
      </x:c>
      <x:c r="H2428" s="14" t="str">
        <x:v>18:30</x:v>
      </x:c>
      <x:c r="I2428" s="14" t="str">
        <x:v>Genel</x:v>
      </x:c>
      <x:c r="J2428" s="14" t="str">
        <x:v>Deneme Arası</x:v>
      </x:c>
      <x:c r="K2428" s="14" t="str"/>
      <x:c r="L2428" s="14" t="str">
        <x:v>45 dakika gerçek sınav arası simülasyonu: yemek/su/tuvalet; soru analizi yapma.</x:v>
      </x:c>
      <x:c r="M2428" s="14" t="str"/>
      <x:c r="N2428" s="14" t="str"/>
      <x:c r="O2428" s="14" t="n">
        <x:v>0</x:v>
      </x:c>
      <x:c r="P2428" s="14" t="str">
        <x:v>Hayır</x:v>
      </x:c>
      <x:c r="Q2428" s="14" t="str">
        <x:v>Evet</x:v>
      </x:c>
      <x:c r="R2428" s="14" t="str">
        <x:v>Planlandı</x:v>
      </x:c>
      <x:c r="S2428" s="15" t="str"/>
      <x:c r="T2428" s="14" t="str"/>
    </x:row>
    <x:row r="2429">
      <x:c r="A2429" s="14" t="n">
        <x:v>2428</x:v>
      </x:c>
      <x:c r="B2429" s="15" t="n">
        <x:v>46491</x:v>
      </x:c>
      <x:c r="C2429" s="14" t="str">
        <x:v>Çarşamba</x:v>
      </x:c>
      <x:c r="D2429" s="14" t="str">
        <x:v>Okul Günü</x:v>
      </x:c>
      <x:c r="E2429" s="14" t="str">
        <x:v>16:00 sonrası</x:v>
      </x:c>
      <x:c r="F2429" s="14" t="str">
        <x:v>F4 - 60 Gün / 60 Tam Deneme</x:v>
      </x:c>
      <x:c r="G2429" s="14" t="str">
        <x:v>18:30</x:v>
      </x:c>
      <x:c r="H2429" s="14" t="str">
        <x:v>19:50</x:v>
      </x:c>
      <x:c r="I2429" s="14" t="str">
        <x:v>Deneme</x:v>
      </x:c>
      <x:c r="J2429" s="14" t="str">
        <x:v>Tam LGS Denemesi - Sayısal</x:v>
      </x:c>
      <x:c r="K2429" s="14" t="str">
        <x:v>Deneme 01</x:v>
      </x:c>
      <x:c r="L2429" s="14" t="str">
        <x:v>Deneme 1/60 — Sayısal oturum: Matematik 20 + Fen 20. 80 dakika.</x:v>
      </x:c>
      <x:c r="M2429" s="14" t="str">
        <x:v>Tam LGS Denemesi</x:v>
      </x:c>
      <x:c r="N2429" s="14" t="str"/>
      <x:c r="O2429" s="14" t="n">
        <x:v>40</x:v>
      </x:c>
      <x:c r="P2429" s="14" t="str">
        <x:v>80 dk</x:v>
      </x:c>
      <x:c r="Q2429" s="14" t="str">
        <x:v>Evet</x:v>
      </x:c>
      <x:c r="R2429" s="14" t="str">
        <x:v>Planlandı</x:v>
      </x:c>
      <x:c r="S2429" s="15" t="str"/>
      <x:c r="T2429" s="14" t="str"/>
    </x:row>
    <x:row r="2430">
      <x:c r="A2430" s="14" t="n">
        <x:v>2429</x:v>
      </x:c>
      <x:c r="B2430" s="15" t="n">
        <x:v>46491</x:v>
      </x:c>
      <x:c r="C2430" s="14" t="str">
        <x:v>Çarşamba</x:v>
      </x:c>
      <x:c r="D2430" s="14" t="str">
        <x:v>Okul Günü</x:v>
      </x:c>
      <x:c r="E2430" s="14" t="str">
        <x:v>16:00 sonrası</x:v>
      </x:c>
      <x:c r="F2430" s="14" t="str">
        <x:v>F4 - 60 Gün / 60 Tam Deneme</x:v>
      </x:c>
      <x:c r="G2430" s="14" t="str">
        <x:v>20:00</x:v>
      </x:c>
      <x:c r="H2430" s="14" t="str">
        <x:v>20:45</x:v>
      </x:c>
      <x:c r="I2430" s="14" t="str">
        <x:v>Deneme</x:v>
      </x:c>
      <x:c r="J2430" s="14" t="str">
        <x:v>Deneme Analizi</x:v>
      </x:c>
      <x:c r="K2430" s="14" t="str">
        <x:v>Deneme 01</x:v>
      </x:c>
      <x:c r="L2430" s="14" t="str">
        <x:v>Tüm yanlış/boşları nedenleriyle analiz et; bilgi eksikliği, işlem, dikkat, yanlış okuma veya yorumlama olarak sınıflandır.</x:v>
      </x:c>
      <x:c r="M2430" s="14" t="str">
        <x:v>Deneme Takibi</x:v>
      </x:c>
      <x:c r="N2430" s="14" t="str"/>
      <x:c r="O2430" s="14" t="n">
        <x:v>0</x:v>
      </x:c>
      <x:c r="P2430" s="14" t="str">
        <x:v>Hayır</x:v>
      </x:c>
      <x:c r="Q2430" s="14" t="str">
        <x:v>Evet</x:v>
      </x:c>
      <x:c r="R2430" s="14" t="str">
        <x:v>Planlandı</x:v>
      </x:c>
      <x:c r="S2430" s="15" t="str"/>
      <x:c r="T2430" s="14" t="str">
        <x:v>Deneme çözülüp analiz edilmediyse gün tamamlanmış sayılmaz.</x:v>
      </x:c>
    </x:row>
    <x:row r="2431">
      <x:c r="A2431" s="14" t="n">
        <x:v>2430</x:v>
      </x:c>
      <x:c r="B2431" s="15" t="n">
        <x:v>46491</x:v>
      </x:c>
      <x:c r="C2431" s="14" t="str">
        <x:v>Çarşamba</x:v>
      </x:c>
      <x:c r="D2431" s="14" t="str">
        <x:v>Okul Günü</x:v>
      </x:c>
      <x:c r="E2431" s="14" t="str">
        <x:v>16:00 sonrası</x:v>
      </x:c>
      <x:c r="F2431" s="14" t="str">
        <x:v>F4 - 60 Gün / 60 Tam Deneme</x:v>
      </x:c>
      <x:c r="G2431" s="14" t="str">
        <x:v>20:50</x:v>
      </x:c>
      <x:c r="H2431" s="14" t="str">
        <x:v>21:25</x:v>
      </x:c>
      <x:c r="I2431" s="14" t="str">
        <x:v>Genel</x:v>
      </x:c>
      <x:c r="J2431" s="14" t="str">
        <x:v>Hedefli Eksik Giderme</x:v>
      </x:c>
      <x:c r="K2431" s="14" t="str">
        <x:v>Denemeden Gelen Eksikler</x:v>
      </x:c>
      <x:c r="L2431" s="14" t="str">
        <x:v>Denemenin gösterdiği en kritik 1-3 eksiği gider: gerekirse ilgili playlist videosuna kısa dönüş + hedefli soru çözümü.</x:v>
      </x:c>
      <x:c r="M2431" s="14" t="str">
        <x:v>Playlist + Soru Kitabı + MEB</x:v>
      </x:c>
      <x:c r="N2431" s="14" t="str"/>
      <x:c r="O2431" s="14" t="n">
        <x:v>0</x:v>
      </x:c>
      <x:c r="P2431" s="14" t="str">
        <x:v>Hayır</x:v>
      </x:c>
      <x:c r="Q2431" s="14" t="str">
        <x:v>Evet</x:v>
      </x:c>
      <x:c r="R2431" s="14" t="str">
        <x:v>Planlandı</x:v>
      </x:c>
      <x:c r="S2431" s="15" t="str"/>
      <x:c r="T2431" s="14" t="str">
        <x:v>Yeni konu açılmaz; yalnız denemenin kanıtladığı eksiğe müdahale edilir.</x:v>
      </x:c>
    </x:row>
    <x:row r="2432">
      <x:c r="A2432" s="14" t="n">
        <x:v>2431</x:v>
      </x:c>
      <x:c r="B2432" s="15" t="n">
        <x:v>46491</x:v>
      </x:c>
      <x:c r="C2432" s="14" t="str">
        <x:v>Çarşamba</x:v>
      </x:c>
      <x:c r="D2432" s="14" t="str">
        <x:v>Okul Günü</x:v>
      </x:c>
      <x:c r="E2432" s="14" t="str">
        <x:v>16:00 sonrası</x:v>
      </x:c>
      <x:c r="F2432" s="14" t="str">
        <x:v>F4 - 60 Gün / 60 Tam Deneme</x:v>
      </x:c>
      <x:c r="G2432" s="14" t="str">
        <x:v>21:25</x:v>
      </x:c>
      <x:c r="H2432" s="14" t="str">
        <x:v>21:40</x:v>
      </x:c>
      <x:c r="I2432" s="14" t="str">
        <x:v>Genel</x:v>
      </x:c>
      <x:c r="J2432" s="14" t="str">
        <x:v>Aralıklı Hata Tekrarı</x:v>
      </x:c>
      <x:c r="K2432" s="14" t="str">
        <x:v>+1 / +7 / +21</x:v>
      </x:c>
      <x:c r="L2432" s="14" t="str">
        <x:v>Bugün vadesi gelen eski yanlışları tekrar çöz ve bugünkü yanlışları Yanlış Defteri'ne ekle.</x:v>
      </x:c>
      <x:c r="M2432" s="14" t="str">
        <x:v>Yanlış Defteri</x:v>
      </x:c>
      <x:c r="N2432" s="14" t="str"/>
      <x:c r="O2432" s="14" t="n">
        <x:v>0</x:v>
      </x:c>
      <x:c r="P2432" s="14" t="str">
        <x:v>Hayır</x:v>
      </x:c>
      <x:c r="Q2432" s="14" t="str">
        <x:v>Evet</x:v>
      </x:c>
      <x:c r="R2432" s="14" t="str">
        <x:v>Planlandı</x:v>
      </x:c>
      <x:c r="S2432" s="15" t="str"/>
      <x:c r="T2432" s="14" t="str"/>
    </x:row>
    <x:row r="2433">
      <x:c r="A2433" s="14" t="n">
        <x:v>2432</x:v>
      </x:c>
      <x:c r="B2433" s="15" t="n">
        <x:v>46491</x:v>
      </x:c>
      <x:c r="C2433" s="14" t="str">
        <x:v>Çarşamba</x:v>
      </x:c>
      <x:c r="D2433" s="14" t="str">
        <x:v>Okul Günü</x:v>
      </x:c>
      <x:c r="E2433" s="14" t="str">
        <x:v>16:00 sonrası</x:v>
      </x:c>
      <x:c r="F2433" s="14" t="str">
        <x:v>F4 - 60 Gün / 60 Tam Deneme</x:v>
      </x:c>
      <x:c r="G2433" s="14" t="str">
        <x:v>21:40</x:v>
      </x:c>
      <x:c r="H2433" s="14" t="str">
        <x:v>21:50</x:v>
      </x:c>
      <x:c r="I2433" s="14" t="str">
        <x:v>Okuma</x:v>
      </x:c>
      <x:c r="J2433" s="14" t="str">
        <x:v>İsteğe Bağlı</x:v>
      </x:c>
      <x:c r="K2433" s="14" t="str">
        <x:v>Serbest Kitap</x:v>
      </x:c>
      <x:c r="L2433" s="14" t="str">
        <x:v>Enerji uygunsa kısa isteğe bağlı okuma.</x:v>
      </x:c>
      <x:c r="M2433" s="14" t="str">
        <x:v>Serbest Kitap</x:v>
      </x:c>
      <x:c r="N2433" s="14" t="str"/>
      <x:c r="O2433" s="14" t="n">
        <x:v>0</x:v>
      </x:c>
      <x:c r="P2433" s="14" t="str">
        <x:v>İsteğe Bağlı</x:v>
      </x:c>
      <x:c r="Q2433" s="14" t="str">
        <x:v>Hayır</x:v>
      </x:c>
      <x:c r="R2433" s="14" t="str">
        <x:v>Planlandı</x:v>
      </x:c>
      <x:c r="S2433" s="15" t="str"/>
      <x:c r="T2433" s="14" t="str"/>
    </x:row>
    <x:row r="2434">
      <x:c r="A2434" s="14" t="n">
        <x:v>2433</x:v>
      </x:c>
      <x:c r="B2434" s="15" t="n">
        <x:v>46491</x:v>
      </x:c>
      <x:c r="C2434" s="14" t="str">
        <x:v>Çarşamba</x:v>
      </x:c>
      <x:c r="D2434" s="14" t="str">
        <x:v>Okul Günü</x:v>
      </x:c>
      <x:c r="E2434" s="14" t="str">
        <x:v>16:00 sonrası</x:v>
      </x:c>
      <x:c r="F2434" s="14" t="str">
        <x:v>F4 - 60 Gün / 60 Tam Deneme</x:v>
      </x:c>
      <x:c r="G2434" s="14" t="str">
        <x:v>21:50</x:v>
      </x:c>
      <x:c r="H2434" s="14" t="str">
        <x:v>22:00</x:v>
      </x:c>
      <x:c r="I2434" s="14" t="str">
        <x:v>Genel</x:v>
      </x:c>
      <x:c r="J2434" s="14" t="str">
        <x:v>Uyku Hazırlığı</x:v>
      </x:c>
      <x:c r="K2434" s="14" t="str"/>
      <x:c r="L2434" s="14" t="str">
        <x:v>22:00'de yatakta ve uyku.</x:v>
      </x:c>
      <x:c r="M2434" s="14" t="str"/>
      <x:c r="N2434" s="14" t="str"/>
      <x:c r="O2434" s="14" t="n">
        <x:v>0</x:v>
      </x:c>
      <x:c r="P2434" s="14" t="str">
        <x:v>Hayır</x:v>
      </x:c>
      <x:c r="Q2434" s="14" t="str">
        <x:v>Hayır</x:v>
      </x:c>
      <x:c r="R2434" s="14" t="str">
        <x:v>Planlandı</x:v>
      </x:c>
      <x:c r="S2434" s="15" t="str"/>
      <x:c r="T2434" s="14" t="str"/>
    </x:row>
    <x:row r="2435">
      <x:c r="A2435" s="14" t="n">
        <x:v>2434</x:v>
      </x:c>
      <x:c r="B2435" s="15" t="n">
        <x:v>46492</x:v>
      </x:c>
      <x:c r="C2435" s="14" t="str">
        <x:v>Perşembe</x:v>
      </x:c>
      <x:c r="D2435" s="14" t="str">
        <x:v>Okul Günü</x:v>
      </x:c>
      <x:c r="E2435" s="14" t="str">
        <x:v>16:00 sonrası</x:v>
      </x:c>
      <x:c r="F2435" s="14" t="str">
        <x:v>F4 - 60 Gün / 60 Tam Deneme</x:v>
      </x:c>
      <x:c r="G2435" s="14" t="str">
        <x:v>16:00</x:v>
      </x:c>
      <x:c r="H2435" s="14" t="str">
        <x:v>16:25</x:v>
      </x:c>
      <x:c r="I2435" s="14" t="str">
        <x:v>Genel</x:v>
      </x:c>
      <x:c r="J2435" s="14" t="str">
        <x:v>Dinlenme</x:v>
      </x:c>
      <x:c r="K2435" s="14" t="str"/>
      <x:c r="L2435" s="14" t="str">
        <x:v>Eve geliş + kısa dinlenme.</x:v>
      </x:c>
      <x:c r="M2435" s="14" t="str"/>
      <x:c r="N2435" s="14" t="str"/>
      <x:c r="O2435" s="14" t="n">
        <x:v>0</x:v>
      </x:c>
      <x:c r="P2435" s="14" t="str">
        <x:v>Hayır</x:v>
      </x:c>
      <x:c r="Q2435" s="14" t="str">
        <x:v>Hayır</x:v>
      </x:c>
      <x:c r="R2435" s="14" t="str">
        <x:v>Planlandı</x:v>
      </x:c>
      <x:c r="S2435" s="15" t="str"/>
      <x:c r="T2435" s="14" t="str"/>
    </x:row>
    <x:row r="2436">
      <x:c r="A2436" s="14" t="n">
        <x:v>2435</x:v>
      </x:c>
      <x:c r="B2436" s="15" t="n">
        <x:v>46492</x:v>
      </x:c>
      <x:c r="C2436" s="14" t="str">
        <x:v>Perşembe</x:v>
      </x:c>
      <x:c r="D2436" s="14" t="str">
        <x:v>Okul Günü</x:v>
      </x:c>
      <x:c r="E2436" s="14" t="str">
        <x:v>16:00 sonrası</x:v>
      </x:c>
      <x:c r="F2436" s="14" t="str">
        <x:v>F4 - 60 Gün / 60 Tam Deneme</x:v>
      </x:c>
      <x:c r="G2436" s="14" t="str">
        <x:v>16:30</x:v>
      </x:c>
      <x:c r="H2436" s="14" t="str">
        <x:v>17:45</x:v>
      </x:c>
      <x:c r="I2436" s="14" t="str">
        <x:v>Deneme</x:v>
      </x:c>
      <x:c r="J2436" s="14" t="str">
        <x:v>Tam LGS Denemesi - Sözel</x:v>
      </x:c>
      <x:c r="K2436" s="14" t="str">
        <x:v>Deneme 02</x:v>
      </x:c>
      <x:c r="L2436" s="14" t="str">
        <x:v>Deneme 2/60 — Sözel oturum: Türkçe 20 + İnkılap 10 + Din 10 + İngilizce 10. 75 dakika.</x:v>
      </x:c>
      <x:c r="M2436" s="14" t="str">
        <x:v>Tam LGS Denemesi</x:v>
      </x:c>
      <x:c r="N2436" s="14" t="str"/>
      <x:c r="O2436" s="14" t="n">
        <x:v>50</x:v>
      </x:c>
      <x:c r="P2436" s="14" t="str">
        <x:v>75 dk</x:v>
      </x:c>
      <x:c r="Q2436" s="14" t="str">
        <x:v>Evet</x:v>
      </x:c>
      <x:c r="R2436" s="14" t="str">
        <x:v>Planlandı</x:v>
      </x:c>
      <x:c r="S2436" s="15" t="str"/>
      <x:c r="T2436" s="14" t="str">
        <x:v>2026 LGS formatı çalışma referansıdır; 2027 kılavuzu yayımlanırsa güncellenir.</x:v>
      </x:c>
    </x:row>
    <x:row r="2437">
      <x:c r="A2437" s="14" t="n">
        <x:v>2436</x:v>
      </x:c>
      <x:c r="B2437" s="15" t="n">
        <x:v>46492</x:v>
      </x:c>
      <x:c r="C2437" s="14" t="str">
        <x:v>Perşembe</x:v>
      </x:c>
      <x:c r="D2437" s="14" t="str">
        <x:v>Okul Günü</x:v>
      </x:c>
      <x:c r="E2437" s="14" t="str">
        <x:v>16:00 sonrası</x:v>
      </x:c>
      <x:c r="F2437" s="14" t="str">
        <x:v>F4 - 60 Gün / 60 Tam Deneme</x:v>
      </x:c>
      <x:c r="G2437" s="14" t="str">
        <x:v>17:45</x:v>
      </x:c>
      <x:c r="H2437" s="14" t="str">
        <x:v>18:30</x:v>
      </x:c>
      <x:c r="I2437" s="14" t="str">
        <x:v>Genel</x:v>
      </x:c>
      <x:c r="J2437" s="14" t="str">
        <x:v>Deneme Arası</x:v>
      </x:c>
      <x:c r="K2437" s="14" t="str"/>
      <x:c r="L2437" s="14" t="str">
        <x:v>45 dakika gerçek sınav arası simülasyonu: yemek/su/tuvalet; soru analizi yapma.</x:v>
      </x:c>
      <x:c r="M2437" s="14" t="str"/>
      <x:c r="N2437" s="14" t="str"/>
      <x:c r="O2437" s="14" t="n">
        <x:v>0</x:v>
      </x:c>
      <x:c r="P2437" s="14" t="str">
        <x:v>Hayır</x:v>
      </x:c>
      <x:c r="Q2437" s="14" t="str">
        <x:v>Evet</x:v>
      </x:c>
      <x:c r="R2437" s="14" t="str">
        <x:v>Planlandı</x:v>
      </x:c>
      <x:c r="S2437" s="15" t="str"/>
      <x:c r="T2437" s="14" t="str"/>
    </x:row>
    <x:row r="2438">
      <x:c r="A2438" s="14" t="n">
        <x:v>2437</x:v>
      </x:c>
      <x:c r="B2438" s="15" t="n">
        <x:v>46492</x:v>
      </x:c>
      <x:c r="C2438" s="14" t="str">
        <x:v>Perşembe</x:v>
      </x:c>
      <x:c r="D2438" s="14" t="str">
        <x:v>Okul Günü</x:v>
      </x:c>
      <x:c r="E2438" s="14" t="str">
        <x:v>16:00 sonrası</x:v>
      </x:c>
      <x:c r="F2438" s="14" t="str">
        <x:v>F4 - 60 Gün / 60 Tam Deneme</x:v>
      </x:c>
      <x:c r="G2438" s="14" t="str">
        <x:v>18:30</x:v>
      </x:c>
      <x:c r="H2438" s="14" t="str">
        <x:v>19:50</x:v>
      </x:c>
      <x:c r="I2438" s="14" t="str">
        <x:v>Deneme</x:v>
      </x:c>
      <x:c r="J2438" s="14" t="str">
        <x:v>Tam LGS Denemesi - Sayısal</x:v>
      </x:c>
      <x:c r="K2438" s="14" t="str">
        <x:v>Deneme 02</x:v>
      </x:c>
      <x:c r="L2438" s="14" t="str">
        <x:v>Deneme 2/60 — Sayısal oturum: Matematik 20 + Fen 20. 80 dakika.</x:v>
      </x:c>
      <x:c r="M2438" s="14" t="str">
        <x:v>Tam LGS Denemesi</x:v>
      </x:c>
      <x:c r="N2438" s="14" t="str"/>
      <x:c r="O2438" s="14" t="n">
        <x:v>40</x:v>
      </x:c>
      <x:c r="P2438" s="14" t="str">
        <x:v>80 dk</x:v>
      </x:c>
      <x:c r="Q2438" s="14" t="str">
        <x:v>Evet</x:v>
      </x:c>
      <x:c r="R2438" s="14" t="str">
        <x:v>Planlandı</x:v>
      </x:c>
      <x:c r="S2438" s="15" t="str"/>
      <x:c r="T2438" s="14" t="str"/>
    </x:row>
    <x:row r="2439">
      <x:c r="A2439" s="14" t="n">
        <x:v>2438</x:v>
      </x:c>
      <x:c r="B2439" s="15" t="n">
        <x:v>46492</x:v>
      </x:c>
      <x:c r="C2439" s="14" t="str">
        <x:v>Perşembe</x:v>
      </x:c>
      <x:c r="D2439" s="14" t="str">
        <x:v>Okul Günü</x:v>
      </x:c>
      <x:c r="E2439" s="14" t="str">
        <x:v>16:00 sonrası</x:v>
      </x:c>
      <x:c r="F2439" s="14" t="str">
        <x:v>F4 - 60 Gün / 60 Tam Deneme</x:v>
      </x:c>
      <x:c r="G2439" s="14" t="str">
        <x:v>20:00</x:v>
      </x:c>
      <x:c r="H2439" s="14" t="str">
        <x:v>20:45</x:v>
      </x:c>
      <x:c r="I2439" s="14" t="str">
        <x:v>Deneme</x:v>
      </x:c>
      <x:c r="J2439" s="14" t="str">
        <x:v>Deneme Analizi</x:v>
      </x:c>
      <x:c r="K2439" s="14" t="str">
        <x:v>Deneme 02</x:v>
      </x:c>
      <x:c r="L2439" s="14" t="str">
        <x:v>Tüm yanlış/boşları nedenleriyle analiz et; bilgi eksikliği, işlem, dikkat, yanlış okuma veya yorumlama olarak sınıflandır.</x:v>
      </x:c>
      <x:c r="M2439" s="14" t="str">
        <x:v>Deneme Takibi</x:v>
      </x:c>
      <x:c r="N2439" s="14" t="str"/>
      <x:c r="O2439" s="14" t="n">
        <x:v>0</x:v>
      </x:c>
      <x:c r="P2439" s="14" t="str">
        <x:v>Hayır</x:v>
      </x:c>
      <x:c r="Q2439" s="14" t="str">
        <x:v>Evet</x:v>
      </x:c>
      <x:c r="R2439" s="14" t="str">
        <x:v>Planlandı</x:v>
      </x:c>
      <x:c r="S2439" s="15" t="str"/>
      <x:c r="T2439" s="14" t="str">
        <x:v>Deneme çözülüp analiz edilmediyse gün tamamlanmış sayılmaz.</x:v>
      </x:c>
    </x:row>
    <x:row r="2440">
      <x:c r="A2440" s="14" t="n">
        <x:v>2439</x:v>
      </x:c>
      <x:c r="B2440" s="15" t="n">
        <x:v>46492</x:v>
      </x:c>
      <x:c r="C2440" s="14" t="str">
        <x:v>Perşembe</x:v>
      </x:c>
      <x:c r="D2440" s="14" t="str">
        <x:v>Okul Günü</x:v>
      </x:c>
      <x:c r="E2440" s="14" t="str">
        <x:v>16:00 sonrası</x:v>
      </x:c>
      <x:c r="F2440" s="14" t="str">
        <x:v>F4 - 60 Gün / 60 Tam Deneme</x:v>
      </x:c>
      <x:c r="G2440" s="14" t="str">
        <x:v>20:50</x:v>
      </x:c>
      <x:c r="H2440" s="14" t="str">
        <x:v>21:25</x:v>
      </x:c>
      <x:c r="I2440" s="14" t="str">
        <x:v>Genel</x:v>
      </x:c>
      <x:c r="J2440" s="14" t="str">
        <x:v>Hedefli Eksik Giderme</x:v>
      </x:c>
      <x:c r="K2440" s="14" t="str">
        <x:v>Denemeden Gelen Eksikler</x:v>
      </x:c>
      <x:c r="L2440" s="14" t="str">
        <x:v>Denemenin gösterdiği en kritik 1-3 eksiği gider: gerekirse ilgili playlist videosuna kısa dönüş + hedefli soru çözümü.</x:v>
      </x:c>
      <x:c r="M2440" s="14" t="str">
        <x:v>Playlist + Soru Kitabı + MEB</x:v>
      </x:c>
      <x:c r="N2440" s="14" t="str"/>
      <x:c r="O2440" s="14" t="n">
        <x:v>0</x:v>
      </x:c>
      <x:c r="P2440" s="14" t="str">
        <x:v>Hayır</x:v>
      </x:c>
      <x:c r="Q2440" s="14" t="str">
        <x:v>Evet</x:v>
      </x:c>
      <x:c r="R2440" s="14" t="str">
        <x:v>Planlandı</x:v>
      </x:c>
      <x:c r="S2440" s="15" t="str"/>
      <x:c r="T2440" s="14" t="str">
        <x:v>Yeni konu açılmaz; yalnız denemenin kanıtladığı eksiğe müdahale edilir.</x:v>
      </x:c>
    </x:row>
    <x:row r="2441">
      <x:c r="A2441" s="14" t="n">
        <x:v>2440</x:v>
      </x:c>
      <x:c r="B2441" s="15" t="n">
        <x:v>46492</x:v>
      </x:c>
      <x:c r="C2441" s="14" t="str">
        <x:v>Perşembe</x:v>
      </x:c>
      <x:c r="D2441" s="14" t="str">
        <x:v>Okul Günü</x:v>
      </x:c>
      <x:c r="E2441" s="14" t="str">
        <x:v>16:00 sonrası</x:v>
      </x:c>
      <x:c r="F2441" s="14" t="str">
        <x:v>F4 - 60 Gün / 60 Tam Deneme</x:v>
      </x:c>
      <x:c r="G2441" s="14" t="str">
        <x:v>21:25</x:v>
      </x:c>
      <x:c r="H2441" s="14" t="str">
        <x:v>21:40</x:v>
      </x:c>
      <x:c r="I2441" s="14" t="str">
        <x:v>Genel</x:v>
      </x:c>
      <x:c r="J2441" s="14" t="str">
        <x:v>Aralıklı Hata Tekrarı</x:v>
      </x:c>
      <x:c r="K2441" s="14" t="str">
        <x:v>+1 / +7 / +21</x:v>
      </x:c>
      <x:c r="L2441" s="14" t="str">
        <x:v>Bugün vadesi gelen eski yanlışları tekrar çöz ve bugünkü yanlışları Yanlış Defteri'ne ekle.</x:v>
      </x:c>
      <x:c r="M2441" s="14" t="str">
        <x:v>Yanlış Defteri</x:v>
      </x:c>
      <x:c r="N2441" s="14" t="str"/>
      <x:c r="O2441" s="14" t="n">
        <x:v>0</x:v>
      </x:c>
      <x:c r="P2441" s="14" t="str">
        <x:v>Hayır</x:v>
      </x:c>
      <x:c r="Q2441" s="14" t="str">
        <x:v>Evet</x:v>
      </x:c>
      <x:c r="R2441" s="14" t="str">
        <x:v>Planlandı</x:v>
      </x:c>
      <x:c r="S2441" s="15" t="str"/>
      <x:c r="T2441" s="14" t="str"/>
    </x:row>
    <x:row r="2442">
      <x:c r="A2442" s="14" t="n">
        <x:v>2441</x:v>
      </x:c>
      <x:c r="B2442" s="15" t="n">
        <x:v>46492</x:v>
      </x:c>
      <x:c r="C2442" s="14" t="str">
        <x:v>Perşembe</x:v>
      </x:c>
      <x:c r="D2442" s="14" t="str">
        <x:v>Okul Günü</x:v>
      </x:c>
      <x:c r="E2442" s="14" t="str">
        <x:v>16:00 sonrası</x:v>
      </x:c>
      <x:c r="F2442" s="14" t="str">
        <x:v>F4 - 60 Gün / 60 Tam Deneme</x:v>
      </x:c>
      <x:c r="G2442" s="14" t="str">
        <x:v>21:40</x:v>
      </x:c>
      <x:c r="H2442" s="14" t="str">
        <x:v>21:50</x:v>
      </x:c>
      <x:c r="I2442" s="14" t="str">
        <x:v>Okuma</x:v>
      </x:c>
      <x:c r="J2442" s="14" t="str">
        <x:v>İsteğe Bağlı</x:v>
      </x:c>
      <x:c r="K2442" s="14" t="str">
        <x:v>Serbest Kitap</x:v>
      </x:c>
      <x:c r="L2442" s="14" t="str">
        <x:v>Enerji uygunsa kısa isteğe bağlı okuma.</x:v>
      </x:c>
      <x:c r="M2442" s="14" t="str">
        <x:v>Serbest Kitap</x:v>
      </x:c>
      <x:c r="N2442" s="14" t="str"/>
      <x:c r="O2442" s="14" t="n">
        <x:v>0</x:v>
      </x:c>
      <x:c r="P2442" s="14" t="str">
        <x:v>İsteğe Bağlı</x:v>
      </x:c>
      <x:c r="Q2442" s="14" t="str">
        <x:v>Hayır</x:v>
      </x:c>
      <x:c r="R2442" s="14" t="str">
        <x:v>Planlandı</x:v>
      </x:c>
      <x:c r="S2442" s="15" t="str"/>
      <x:c r="T2442" s="14" t="str"/>
    </x:row>
    <x:row r="2443">
      <x:c r="A2443" s="14" t="n">
        <x:v>2442</x:v>
      </x:c>
      <x:c r="B2443" s="15" t="n">
        <x:v>46492</x:v>
      </x:c>
      <x:c r="C2443" s="14" t="str">
        <x:v>Perşembe</x:v>
      </x:c>
      <x:c r="D2443" s="14" t="str">
        <x:v>Okul Günü</x:v>
      </x:c>
      <x:c r="E2443" s="14" t="str">
        <x:v>16:00 sonrası</x:v>
      </x:c>
      <x:c r="F2443" s="14" t="str">
        <x:v>F4 - 60 Gün / 60 Tam Deneme</x:v>
      </x:c>
      <x:c r="G2443" s="14" t="str">
        <x:v>21:50</x:v>
      </x:c>
      <x:c r="H2443" s="14" t="str">
        <x:v>22:00</x:v>
      </x:c>
      <x:c r="I2443" s="14" t="str">
        <x:v>Genel</x:v>
      </x:c>
      <x:c r="J2443" s="14" t="str">
        <x:v>Uyku Hazırlığı</x:v>
      </x:c>
      <x:c r="K2443" s="14" t="str"/>
      <x:c r="L2443" s="14" t="str">
        <x:v>22:00'de yatakta ve uyku.</x:v>
      </x:c>
      <x:c r="M2443" s="14" t="str"/>
      <x:c r="N2443" s="14" t="str"/>
      <x:c r="O2443" s="14" t="n">
        <x:v>0</x:v>
      </x:c>
      <x:c r="P2443" s="14" t="str">
        <x:v>Hayır</x:v>
      </x:c>
      <x:c r="Q2443" s="14" t="str">
        <x:v>Hayır</x:v>
      </x:c>
      <x:c r="R2443" s="14" t="str">
        <x:v>Planlandı</x:v>
      </x:c>
      <x:c r="S2443" s="15" t="str"/>
      <x:c r="T2443" s="14" t="str"/>
    </x:row>
    <x:row r="2444">
      <x:c r="A2444" s="14" t="n">
        <x:v>2443</x:v>
      </x:c>
      <x:c r="B2444" s="15" t="n">
        <x:v>46493</x:v>
      </x:c>
      <x:c r="C2444" s="14" t="str">
        <x:v>Cuma</x:v>
      </x:c>
      <x:c r="D2444" s="14" t="str">
        <x:v>Okul Günü</x:v>
      </x:c>
      <x:c r="E2444" s="14" t="str">
        <x:v>16:00 sonrası</x:v>
      </x:c>
      <x:c r="F2444" s="14" t="str">
        <x:v>F4 - 60 Gün / 60 Tam Deneme</x:v>
      </x:c>
      <x:c r="G2444" s="14" t="str">
        <x:v>16:00</x:v>
      </x:c>
      <x:c r="H2444" s="14" t="str">
        <x:v>16:25</x:v>
      </x:c>
      <x:c r="I2444" s="14" t="str">
        <x:v>Genel</x:v>
      </x:c>
      <x:c r="J2444" s="14" t="str">
        <x:v>Dinlenme</x:v>
      </x:c>
      <x:c r="K2444" s="14" t="str"/>
      <x:c r="L2444" s="14" t="str">
        <x:v>Eve geliş + kısa dinlenme.</x:v>
      </x:c>
      <x:c r="M2444" s="14" t="str"/>
      <x:c r="N2444" s="14" t="str"/>
      <x:c r="O2444" s="14" t="n">
        <x:v>0</x:v>
      </x:c>
      <x:c r="P2444" s="14" t="str">
        <x:v>Hayır</x:v>
      </x:c>
      <x:c r="Q2444" s="14" t="str">
        <x:v>Hayır</x:v>
      </x:c>
      <x:c r="R2444" s="14" t="str">
        <x:v>Planlandı</x:v>
      </x:c>
      <x:c r="S2444" s="15" t="str"/>
      <x:c r="T2444" s="14" t="str"/>
    </x:row>
    <x:row r="2445">
      <x:c r="A2445" s="14" t="n">
        <x:v>2444</x:v>
      </x:c>
      <x:c r="B2445" s="15" t="n">
        <x:v>46493</x:v>
      </x:c>
      <x:c r="C2445" s="14" t="str">
        <x:v>Cuma</x:v>
      </x:c>
      <x:c r="D2445" s="14" t="str">
        <x:v>Okul Günü</x:v>
      </x:c>
      <x:c r="E2445" s="14" t="str">
        <x:v>16:00 sonrası</x:v>
      </x:c>
      <x:c r="F2445" s="14" t="str">
        <x:v>F4 - 60 Gün / 60 Tam Deneme</x:v>
      </x:c>
      <x:c r="G2445" s="14" t="str">
        <x:v>16:30</x:v>
      </x:c>
      <x:c r="H2445" s="14" t="str">
        <x:v>17:45</x:v>
      </x:c>
      <x:c r="I2445" s="14" t="str">
        <x:v>Deneme</x:v>
      </x:c>
      <x:c r="J2445" s="14" t="str">
        <x:v>Tam LGS Denemesi - Sözel</x:v>
      </x:c>
      <x:c r="K2445" s="14" t="str">
        <x:v>Deneme 03</x:v>
      </x:c>
      <x:c r="L2445" s="14" t="str">
        <x:v>Deneme 3/60 — Sözel oturum: Türkçe 20 + İnkılap 10 + Din 10 + İngilizce 10. 75 dakika.</x:v>
      </x:c>
      <x:c r="M2445" s="14" t="str">
        <x:v>Tam LGS Denemesi</x:v>
      </x:c>
      <x:c r="N2445" s="14" t="str"/>
      <x:c r="O2445" s="14" t="n">
        <x:v>50</x:v>
      </x:c>
      <x:c r="P2445" s="14" t="str">
        <x:v>75 dk</x:v>
      </x:c>
      <x:c r="Q2445" s="14" t="str">
        <x:v>Evet</x:v>
      </x:c>
      <x:c r="R2445" s="14" t="str">
        <x:v>Planlandı</x:v>
      </x:c>
      <x:c r="S2445" s="15" t="str"/>
      <x:c r="T2445" s="14" t="str">
        <x:v>2026 LGS formatı çalışma referansıdır; 2027 kılavuzu yayımlanırsa güncellenir.</x:v>
      </x:c>
    </x:row>
    <x:row r="2446">
      <x:c r="A2446" s="14" t="n">
        <x:v>2445</x:v>
      </x:c>
      <x:c r="B2446" s="15" t="n">
        <x:v>46493</x:v>
      </x:c>
      <x:c r="C2446" s="14" t="str">
        <x:v>Cuma</x:v>
      </x:c>
      <x:c r="D2446" s="14" t="str">
        <x:v>Okul Günü</x:v>
      </x:c>
      <x:c r="E2446" s="14" t="str">
        <x:v>16:00 sonrası</x:v>
      </x:c>
      <x:c r="F2446" s="14" t="str">
        <x:v>F4 - 60 Gün / 60 Tam Deneme</x:v>
      </x:c>
      <x:c r="G2446" s="14" t="str">
        <x:v>17:45</x:v>
      </x:c>
      <x:c r="H2446" s="14" t="str">
        <x:v>18:30</x:v>
      </x:c>
      <x:c r="I2446" s="14" t="str">
        <x:v>Genel</x:v>
      </x:c>
      <x:c r="J2446" s="14" t="str">
        <x:v>Deneme Arası</x:v>
      </x:c>
      <x:c r="K2446" s="14" t="str"/>
      <x:c r="L2446" s="14" t="str">
        <x:v>45 dakika gerçek sınav arası simülasyonu: yemek/su/tuvalet; soru analizi yapma.</x:v>
      </x:c>
      <x:c r="M2446" s="14" t="str"/>
      <x:c r="N2446" s="14" t="str"/>
      <x:c r="O2446" s="14" t="n">
        <x:v>0</x:v>
      </x:c>
      <x:c r="P2446" s="14" t="str">
        <x:v>Hayır</x:v>
      </x:c>
      <x:c r="Q2446" s="14" t="str">
        <x:v>Evet</x:v>
      </x:c>
      <x:c r="R2446" s="14" t="str">
        <x:v>Planlandı</x:v>
      </x:c>
      <x:c r="S2446" s="15" t="str"/>
      <x:c r="T2446" s="14" t="str"/>
    </x:row>
    <x:row r="2447">
      <x:c r="A2447" s="14" t="n">
        <x:v>2446</x:v>
      </x:c>
      <x:c r="B2447" s="15" t="n">
        <x:v>46493</x:v>
      </x:c>
      <x:c r="C2447" s="14" t="str">
        <x:v>Cuma</x:v>
      </x:c>
      <x:c r="D2447" s="14" t="str">
        <x:v>Okul Günü</x:v>
      </x:c>
      <x:c r="E2447" s="14" t="str">
        <x:v>16:00 sonrası</x:v>
      </x:c>
      <x:c r="F2447" s="14" t="str">
        <x:v>F4 - 60 Gün / 60 Tam Deneme</x:v>
      </x:c>
      <x:c r="G2447" s="14" t="str">
        <x:v>18:30</x:v>
      </x:c>
      <x:c r="H2447" s="14" t="str">
        <x:v>19:50</x:v>
      </x:c>
      <x:c r="I2447" s="14" t="str">
        <x:v>Deneme</x:v>
      </x:c>
      <x:c r="J2447" s="14" t="str">
        <x:v>Tam LGS Denemesi - Sayısal</x:v>
      </x:c>
      <x:c r="K2447" s="14" t="str">
        <x:v>Deneme 03</x:v>
      </x:c>
      <x:c r="L2447" s="14" t="str">
        <x:v>Deneme 3/60 — Sayısal oturum: Matematik 20 + Fen 20. 80 dakika.</x:v>
      </x:c>
      <x:c r="M2447" s="14" t="str">
        <x:v>Tam LGS Denemesi</x:v>
      </x:c>
      <x:c r="N2447" s="14" t="str"/>
      <x:c r="O2447" s="14" t="n">
        <x:v>40</x:v>
      </x:c>
      <x:c r="P2447" s="14" t="str">
        <x:v>80 dk</x:v>
      </x:c>
      <x:c r="Q2447" s="14" t="str">
        <x:v>Evet</x:v>
      </x:c>
      <x:c r="R2447" s="14" t="str">
        <x:v>Planlandı</x:v>
      </x:c>
      <x:c r="S2447" s="15" t="str"/>
      <x:c r="T2447" s="14" t="str"/>
    </x:row>
    <x:row r="2448">
      <x:c r="A2448" s="14" t="n">
        <x:v>2447</x:v>
      </x:c>
      <x:c r="B2448" s="15" t="n">
        <x:v>46493</x:v>
      </x:c>
      <x:c r="C2448" s="14" t="str">
        <x:v>Cuma</x:v>
      </x:c>
      <x:c r="D2448" s="14" t="str">
        <x:v>Okul Günü</x:v>
      </x:c>
      <x:c r="E2448" s="14" t="str">
        <x:v>16:00 sonrası</x:v>
      </x:c>
      <x:c r="F2448" s="14" t="str">
        <x:v>F4 - 60 Gün / 60 Tam Deneme</x:v>
      </x:c>
      <x:c r="G2448" s="14" t="str">
        <x:v>20:00</x:v>
      </x:c>
      <x:c r="H2448" s="14" t="str">
        <x:v>20:45</x:v>
      </x:c>
      <x:c r="I2448" s="14" t="str">
        <x:v>Deneme</x:v>
      </x:c>
      <x:c r="J2448" s="14" t="str">
        <x:v>Deneme Analizi</x:v>
      </x:c>
      <x:c r="K2448" s="14" t="str">
        <x:v>Deneme 03</x:v>
      </x:c>
      <x:c r="L2448" s="14" t="str">
        <x:v>Tüm yanlış/boşları nedenleriyle analiz et; bilgi eksikliği, işlem, dikkat, yanlış okuma veya yorumlama olarak sınıflandır.</x:v>
      </x:c>
      <x:c r="M2448" s="14" t="str">
        <x:v>Deneme Takibi</x:v>
      </x:c>
      <x:c r="N2448" s="14" t="str"/>
      <x:c r="O2448" s="14" t="n">
        <x:v>0</x:v>
      </x:c>
      <x:c r="P2448" s="14" t="str">
        <x:v>Hayır</x:v>
      </x:c>
      <x:c r="Q2448" s="14" t="str">
        <x:v>Evet</x:v>
      </x:c>
      <x:c r="R2448" s="14" t="str">
        <x:v>Planlandı</x:v>
      </x:c>
      <x:c r="S2448" s="15" t="str"/>
      <x:c r="T2448" s="14" t="str">
        <x:v>Deneme çözülüp analiz edilmediyse gün tamamlanmış sayılmaz.</x:v>
      </x:c>
    </x:row>
    <x:row r="2449">
      <x:c r="A2449" s="14" t="n">
        <x:v>2448</x:v>
      </x:c>
      <x:c r="B2449" s="15" t="n">
        <x:v>46493</x:v>
      </x:c>
      <x:c r="C2449" s="14" t="str">
        <x:v>Cuma</x:v>
      </x:c>
      <x:c r="D2449" s="14" t="str">
        <x:v>Okul Günü</x:v>
      </x:c>
      <x:c r="E2449" s="14" t="str">
        <x:v>16:00 sonrası</x:v>
      </x:c>
      <x:c r="F2449" s="14" t="str">
        <x:v>F4 - 60 Gün / 60 Tam Deneme</x:v>
      </x:c>
      <x:c r="G2449" s="14" t="str">
        <x:v>20:50</x:v>
      </x:c>
      <x:c r="H2449" s="14" t="str">
        <x:v>21:25</x:v>
      </x:c>
      <x:c r="I2449" s="14" t="str">
        <x:v>Genel</x:v>
      </x:c>
      <x:c r="J2449" s="14" t="str">
        <x:v>Hedefli Eksik Giderme</x:v>
      </x:c>
      <x:c r="K2449" s="14" t="str">
        <x:v>Denemeden Gelen Eksikler</x:v>
      </x:c>
      <x:c r="L2449" s="14" t="str">
        <x:v>Denemenin gösterdiği en kritik 1-3 eksiği gider: gerekirse ilgili playlist videosuna kısa dönüş + hedefli soru çözümü.</x:v>
      </x:c>
      <x:c r="M2449" s="14" t="str">
        <x:v>Playlist + Soru Kitabı + MEB</x:v>
      </x:c>
      <x:c r="N2449" s="14" t="str"/>
      <x:c r="O2449" s="14" t="n">
        <x:v>0</x:v>
      </x:c>
      <x:c r="P2449" s="14" t="str">
        <x:v>Hayır</x:v>
      </x:c>
      <x:c r="Q2449" s="14" t="str">
        <x:v>Evet</x:v>
      </x:c>
      <x:c r="R2449" s="14" t="str">
        <x:v>Planlandı</x:v>
      </x:c>
      <x:c r="S2449" s="15" t="str"/>
      <x:c r="T2449" s="14" t="str">
        <x:v>Yeni konu açılmaz; yalnız denemenin kanıtladığı eksiğe müdahale edilir.</x:v>
      </x:c>
    </x:row>
    <x:row r="2450">
      <x:c r="A2450" s="14" t="n">
        <x:v>2449</x:v>
      </x:c>
      <x:c r="B2450" s="15" t="n">
        <x:v>46493</x:v>
      </x:c>
      <x:c r="C2450" s="14" t="str">
        <x:v>Cuma</x:v>
      </x:c>
      <x:c r="D2450" s="14" t="str">
        <x:v>Okul Günü</x:v>
      </x:c>
      <x:c r="E2450" s="14" t="str">
        <x:v>16:00 sonrası</x:v>
      </x:c>
      <x:c r="F2450" s="14" t="str">
        <x:v>F4 - 60 Gün / 60 Tam Deneme</x:v>
      </x:c>
      <x:c r="G2450" s="14" t="str">
        <x:v>21:25</x:v>
      </x:c>
      <x:c r="H2450" s="14" t="str">
        <x:v>21:40</x:v>
      </x:c>
      <x:c r="I2450" s="14" t="str">
        <x:v>Genel</x:v>
      </x:c>
      <x:c r="J2450" s="14" t="str">
        <x:v>Aralıklı Hata Tekrarı</x:v>
      </x:c>
      <x:c r="K2450" s="14" t="str">
        <x:v>+1 / +7 / +21</x:v>
      </x:c>
      <x:c r="L2450" s="14" t="str">
        <x:v>Bugün vadesi gelen eski yanlışları tekrar çöz ve bugünkü yanlışları Yanlış Defteri'ne ekle.</x:v>
      </x:c>
      <x:c r="M2450" s="14" t="str">
        <x:v>Yanlış Defteri</x:v>
      </x:c>
      <x:c r="N2450" s="14" t="str"/>
      <x:c r="O2450" s="14" t="n">
        <x:v>0</x:v>
      </x:c>
      <x:c r="P2450" s="14" t="str">
        <x:v>Hayır</x:v>
      </x:c>
      <x:c r="Q2450" s="14" t="str">
        <x:v>Evet</x:v>
      </x:c>
      <x:c r="R2450" s="14" t="str">
        <x:v>Planlandı</x:v>
      </x:c>
      <x:c r="S2450" s="15" t="str"/>
      <x:c r="T2450" s="14" t="str"/>
    </x:row>
    <x:row r="2451">
      <x:c r="A2451" s="14" t="n">
        <x:v>2450</x:v>
      </x:c>
      <x:c r="B2451" s="15" t="n">
        <x:v>46493</x:v>
      </x:c>
      <x:c r="C2451" s="14" t="str">
        <x:v>Cuma</x:v>
      </x:c>
      <x:c r="D2451" s="14" t="str">
        <x:v>Okul Günü</x:v>
      </x:c>
      <x:c r="E2451" s="14" t="str">
        <x:v>16:00 sonrası</x:v>
      </x:c>
      <x:c r="F2451" s="14" t="str">
        <x:v>F4 - 60 Gün / 60 Tam Deneme</x:v>
      </x:c>
      <x:c r="G2451" s="14" t="str">
        <x:v>21:40</x:v>
      </x:c>
      <x:c r="H2451" s="14" t="str">
        <x:v>21:50</x:v>
      </x:c>
      <x:c r="I2451" s="14" t="str">
        <x:v>Okuma</x:v>
      </x:c>
      <x:c r="J2451" s="14" t="str">
        <x:v>İsteğe Bağlı</x:v>
      </x:c>
      <x:c r="K2451" s="14" t="str">
        <x:v>Serbest Kitap</x:v>
      </x:c>
      <x:c r="L2451" s="14" t="str">
        <x:v>Enerji uygunsa kısa isteğe bağlı okuma.</x:v>
      </x:c>
      <x:c r="M2451" s="14" t="str">
        <x:v>Serbest Kitap</x:v>
      </x:c>
      <x:c r="N2451" s="14" t="str"/>
      <x:c r="O2451" s="14" t="n">
        <x:v>0</x:v>
      </x:c>
      <x:c r="P2451" s="14" t="str">
        <x:v>İsteğe Bağlı</x:v>
      </x:c>
      <x:c r="Q2451" s="14" t="str">
        <x:v>Hayır</x:v>
      </x:c>
      <x:c r="R2451" s="14" t="str">
        <x:v>Planlandı</x:v>
      </x:c>
      <x:c r="S2451" s="15" t="str"/>
      <x:c r="T2451" s="14" t="str"/>
    </x:row>
    <x:row r="2452">
      <x:c r="A2452" s="14" t="n">
        <x:v>2451</x:v>
      </x:c>
      <x:c r="B2452" s="15" t="n">
        <x:v>46493</x:v>
      </x:c>
      <x:c r="C2452" s="14" t="str">
        <x:v>Cuma</x:v>
      </x:c>
      <x:c r="D2452" s="14" t="str">
        <x:v>Okul Günü</x:v>
      </x:c>
      <x:c r="E2452" s="14" t="str">
        <x:v>16:00 sonrası</x:v>
      </x:c>
      <x:c r="F2452" s="14" t="str">
        <x:v>F4 - 60 Gün / 60 Tam Deneme</x:v>
      </x:c>
      <x:c r="G2452" s="14" t="str">
        <x:v>21:50</x:v>
      </x:c>
      <x:c r="H2452" s="14" t="str">
        <x:v>22:00</x:v>
      </x:c>
      <x:c r="I2452" s="14" t="str">
        <x:v>Genel</x:v>
      </x:c>
      <x:c r="J2452" s="14" t="str">
        <x:v>Uyku Hazırlığı</x:v>
      </x:c>
      <x:c r="K2452" s="14" t="str"/>
      <x:c r="L2452" s="14" t="str">
        <x:v>22:00'de yatakta ve uyku.</x:v>
      </x:c>
      <x:c r="M2452" s="14" t="str"/>
      <x:c r="N2452" s="14" t="str"/>
      <x:c r="O2452" s="14" t="n">
        <x:v>0</x:v>
      </x:c>
      <x:c r="P2452" s="14" t="str">
        <x:v>Hayır</x:v>
      </x:c>
      <x:c r="Q2452" s="14" t="str">
        <x:v>Hayır</x:v>
      </x:c>
      <x:c r="R2452" s="14" t="str">
        <x:v>Planlandı</x:v>
      </x:c>
      <x:c r="S2452" s="15" t="str"/>
      <x:c r="T2452" s="14" t="str"/>
    </x:row>
    <x:row r="2453">
      <x:c r="A2453" s="14" t="n">
        <x:v>2452</x:v>
      </x:c>
      <x:c r="B2453" s="15" t="n">
        <x:v>46494</x:v>
      </x:c>
      <x:c r="C2453" s="14" t="str">
        <x:v>Cumartesi</x:v>
      </x:c>
      <x:c r="D2453" s="14" t="str">
        <x:v>Hafta Sonu</x:v>
      </x:c>
      <x:c r="E2453" s="14" t="str">
        <x:v>Tam gün</x:v>
      </x:c>
      <x:c r="F2453" s="14" t="str">
        <x:v>F4 - 60 Gün / 60 Tam Deneme</x:v>
      </x:c>
      <x:c r="G2453" s="14" t="str">
        <x:v>09:30</x:v>
      </x:c>
      <x:c r="H2453" s="14" t="str">
        <x:v>10:45</x:v>
      </x:c>
      <x:c r="I2453" s="14" t="str">
        <x:v>Deneme</x:v>
      </x:c>
      <x:c r="J2453" s="14" t="str">
        <x:v>Tam LGS Denemesi - Sözel</x:v>
      </x:c>
      <x:c r="K2453" s="14" t="str">
        <x:v>Deneme 04</x:v>
      </x:c>
      <x:c r="L2453" s="14" t="str">
        <x:v>Deneme 4/60 — Sözel oturum: Türkçe 20 + İnkılap 10 + Din 10 + İngilizce 10. 75 dakika.</x:v>
      </x:c>
      <x:c r="M2453" s="14" t="str">
        <x:v>Tam LGS Denemesi</x:v>
      </x:c>
      <x:c r="N2453" s="14" t="str"/>
      <x:c r="O2453" s="14" t="n">
        <x:v>50</x:v>
      </x:c>
      <x:c r="P2453" s="14" t="str">
        <x:v>75 dk</x:v>
      </x:c>
      <x:c r="Q2453" s="14" t="str">
        <x:v>Evet</x:v>
      </x:c>
      <x:c r="R2453" s="14" t="str">
        <x:v>Planlandı</x:v>
      </x:c>
      <x:c r="S2453" s="15" t="str"/>
      <x:c r="T2453" s="14" t="str">
        <x:v>2026 LGS formatı çalışma referansıdır; 2027 kılavuzu yayımlanırsa güncellenir.</x:v>
      </x:c>
    </x:row>
    <x:row r="2454">
      <x:c r="A2454" s="14" t="n">
        <x:v>2453</x:v>
      </x:c>
      <x:c r="B2454" s="15" t="n">
        <x:v>46494</x:v>
      </x:c>
      <x:c r="C2454" s="14" t="str">
        <x:v>Cumartesi</x:v>
      </x:c>
      <x:c r="D2454" s="14" t="str">
        <x:v>Hafta Sonu</x:v>
      </x:c>
      <x:c r="E2454" s="14" t="str">
        <x:v>Tam gün</x:v>
      </x:c>
      <x:c r="F2454" s="14" t="str">
        <x:v>F4 - 60 Gün / 60 Tam Deneme</x:v>
      </x:c>
      <x:c r="G2454" s="14" t="str">
        <x:v>10:45</x:v>
      </x:c>
      <x:c r="H2454" s="14" t="str">
        <x:v>11:30</x:v>
      </x:c>
      <x:c r="I2454" s="14" t="str">
        <x:v>Genel</x:v>
      </x:c>
      <x:c r="J2454" s="14" t="str">
        <x:v>Deneme Arası</x:v>
      </x:c>
      <x:c r="K2454" s="14" t="str"/>
      <x:c r="L2454" s="14" t="str">
        <x:v>45 dakika gerçek sınav arası simülasyonu: yemek/su/tuvalet; soru analizi yapma.</x:v>
      </x:c>
      <x:c r="M2454" s="14" t="str"/>
      <x:c r="N2454" s="14" t="str"/>
      <x:c r="O2454" s="14" t="n">
        <x:v>0</x:v>
      </x:c>
      <x:c r="P2454" s="14" t="str">
        <x:v>Hayır</x:v>
      </x:c>
      <x:c r="Q2454" s="14" t="str">
        <x:v>Evet</x:v>
      </x:c>
      <x:c r="R2454" s="14" t="str">
        <x:v>Planlandı</x:v>
      </x:c>
      <x:c r="S2454" s="15" t="str"/>
      <x:c r="T2454" s="14" t="str"/>
    </x:row>
    <x:row r="2455">
      <x:c r="A2455" s="14" t="n">
        <x:v>2454</x:v>
      </x:c>
      <x:c r="B2455" s="15" t="n">
        <x:v>46494</x:v>
      </x:c>
      <x:c r="C2455" s="14" t="str">
        <x:v>Cumartesi</x:v>
      </x:c>
      <x:c r="D2455" s="14" t="str">
        <x:v>Hafta Sonu</x:v>
      </x:c>
      <x:c r="E2455" s="14" t="str">
        <x:v>Tam gün</x:v>
      </x:c>
      <x:c r="F2455" s="14" t="str">
        <x:v>F4 - 60 Gün / 60 Tam Deneme</x:v>
      </x:c>
      <x:c r="G2455" s="14" t="str">
        <x:v>11:30</x:v>
      </x:c>
      <x:c r="H2455" s="14" t="str">
        <x:v>12:50</x:v>
      </x:c>
      <x:c r="I2455" s="14" t="str">
        <x:v>Deneme</x:v>
      </x:c>
      <x:c r="J2455" s="14" t="str">
        <x:v>Tam LGS Denemesi - Sayısal</x:v>
      </x:c>
      <x:c r="K2455" s="14" t="str">
        <x:v>Deneme 04</x:v>
      </x:c>
      <x:c r="L2455" s="14" t="str">
        <x:v>Deneme 4/60 — Sayısal oturum: Matematik 20 + Fen 20. 80 dakika.</x:v>
      </x:c>
      <x:c r="M2455" s="14" t="str">
        <x:v>Tam LGS Denemesi</x:v>
      </x:c>
      <x:c r="N2455" s="14" t="str"/>
      <x:c r="O2455" s="14" t="n">
        <x:v>40</x:v>
      </x:c>
      <x:c r="P2455" s="14" t="str">
        <x:v>80 dk</x:v>
      </x:c>
      <x:c r="Q2455" s="14" t="str">
        <x:v>Evet</x:v>
      </x:c>
      <x:c r="R2455" s="14" t="str">
        <x:v>Planlandı</x:v>
      </x:c>
      <x:c r="S2455" s="15" t="str"/>
      <x:c r="T2455" s="14" t="str"/>
    </x:row>
    <x:row r="2456">
      <x:c r="A2456" s="14" t="n">
        <x:v>2455</x:v>
      </x:c>
      <x:c r="B2456" s="15" t="n">
        <x:v>46494</x:v>
      </x:c>
      <x:c r="C2456" s="14" t="str">
        <x:v>Cumartesi</x:v>
      </x:c>
      <x:c r="D2456" s="14" t="str">
        <x:v>Hafta Sonu</x:v>
      </x:c>
      <x:c r="E2456" s="14" t="str">
        <x:v>Tam gün</x:v>
      </x:c>
      <x:c r="F2456" s="14" t="str">
        <x:v>F4 - 60 Gün / 60 Tam Deneme</x:v>
      </x:c>
      <x:c r="G2456" s="14" t="str">
        <x:v>14:30</x:v>
      </x:c>
      <x:c r="H2456" s="14" t="str">
        <x:v>15:15</x:v>
      </x:c>
      <x:c r="I2456" s="14" t="str">
        <x:v>Deneme</x:v>
      </x:c>
      <x:c r="J2456" s="14" t="str">
        <x:v>Deneme Analizi</x:v>
      </x:c>
      <x:c r="K2456" s="14" t="str">
        <x:v>Deneme 04</x:v>
      </x:c>
      <x:c r="L2456" s="14" t="str">
        <x:v>Tüm yanlış/boşları nedenleriyle analiz et; bilgi eksikliği, işlem, dikkat, yanlış okuma veya yorumlama olarak sınıflandır.</x:v>
      </x:c>
      <x:c r="M2456" s="14" t="str">
        <x:v>Deneme Takibi</x:v>
      </x:c>
      <x:c r="N2456" s="14" t="str"/>
      <x:c r="O2456" s="14" t="n">
        <x:v>0</x:v>
      </x:c>
      <x:c r="P2456" s="14" t="str">
        <x:v>Hayır</x:v>
      </x:c>
      <x:c r="Q2456" s="14" t="str">
        <x:v>Evet</x:v>
      </x:c>
      <x:c r="R2456" s="14" t="str">
        <x:v>Planlandı</x:v>
      </x:c>
      <x:c r="S2456" s="15" t="str"/>
      <x:c r="T2456" s="14" t="str">
        <x:v>Deneme çözülüp analiz edilmediyse gün tamamlanmış sayılmaz.</x:v>
      </x:c>
    </x:row>
    <x:row r="2457">
      <x:c r="A2457" s="14" t="n">
        <x:v>2456</x:v>
      </x:c>
      <x:c r="B2457" s="15" t="n">
        <x:v>46494</x:v>
      </x:c>
      <x:c r="C2457" s="14" t="str">
        <x:v>Cumartesi</x:v>
      </x:c>
      <x:c r="D2457" s="14" t="str">
        <x:v>Hafta Sonu</x:v>
      </x:c>
      <x:c r="E2457" s="14" t="str">
        <x:v>Tam gün</x:v>
      </x:c>
      <x:c r="F2457" s="14" t="str">
        <x:v>F4 - 60 Gün / 60 Tam Deneme</x:v>
      </x:c>
      <x:c r="G2457" s="14" t="str">
        <x:v>15:25</x:v>
      </x:c>
      <x:c r="H2457" s="14" t="str">
        <x:v>16:10</x:v>
      </x:c>
      <x:c r="I2457" s="14" t="str">
        <x:v>Genel</x:v>
      </x:c>
      <x:c r="J2457" s="14" t="str">
        <x:v>Hedefli Eksik Giderme</x:v>
      </x:c>
      <x:c r="K2457" s="14" t="str">
        <x:v>Denemeden Gelen Eksikler</x:v>
      </x:c>
      <x:c r="L2457" s="14" t="str">
        <x:v>Denemenin gösterdiği en kritik 1-3 eksiği gider: gerekirse ilgili playlist videosuna kısa dönüş + hedefli soru çözümü.</x:v>
      </x:c>
      <x:c r="M2457" s="14" t="str">
        <x:v>Playlist + Soru Kitabı + MEB</x:v>
      </x:c>
      <x:c r="N2457" s="14" t="str"/>
      <x:c r="O2457" s="14" t="n">
        <x:v>0</x:v>
      </x:c>
      <x:c r="P2457" s="14" t="str">
        <x:v>Hayır</x:v>
      </x:c>
      <x:c r="Q2457" s="14" t="str">
        <x:v>Evet</x:v>
      </x:c>
      <x:c r="R2457" s="14" t="str">
        <x:v>Planlandı</x:v>
      </x:c>
      <x:c r="S2457" s="15" t="str"/>
      <x:c r="T2457" s="14" t="str">
        <x:v>Yeni konu açılmaz; yalnız denemenin kanıtladığı eksiğe müdahale edilir.</x:v>
      </x:c>
    </x:row>
    <x:row r="2458">
      <x:c r="A2458" s="14" t="n">
        <x:v>2457</x:v>
      </x:c>
      <x:c r="B2458" s="15" t="n">
        <x:v>46494</x:v>
      </x:c>
      <x:c r="C2458" s="14" t="str">
        <x:v>Cumartesi</x:v>
      </x:c>
      <x:c r="D2458" s="14" t="str">
        <x:v>Hafta Sonu</x:v>
      </x:c>
      <x:c r="E2458" s="14" t="str">
        <x:v>Tam gün</x:v>
      </x:c>
      <x:c r="F2458" s="14" t="str">
        <x:v>F4 - 60 Gün / 60 Tam Deneme</x:v>
      </x:c>
      <x:c r="G2458" s="14" t="str">
        <x:v>16:20</x:v>
      </x:c>
      <x:c r="H2458" s="14" t="str">
        <x:v>16:40</x:v>
      </x:c>
      <x:c r="I2458" s="14" t="str">
        <x:v>Genel</x:v>
      </x:c>
      <x:c r="J2458" s="14" t="str">
        <x:v>Aralıklı Hata Tekrarı</x:v>
      </x:c>
      <x:c r="K2458" s="14" t="str">
        <x:v>+1 / +7 / +21</x:v>
      </x:c>
      <x:c r="L2458" s="14" t="str">
        <x:v>Bugün vadesi gelen eski yanlışları tekrar çöz ve bugünkü yanlışları Yanlış Defteri'ne ekle.</x:v>
      </x:c>
      <x:c r="M2458" s="14" t="str">
        <x:v>Yanlış Defteri</x:v>
      </x:c>
      <x:c r="N2458" s="14" t="str"/>
      <x:c r="O2458" s="14" t="n">
        <x:v>0</x:v>
      </x:c>
      <x:c r="P2458" s="14" t="str">
        <x:v>Hayır</x:v>
      </x:c>
      <x:c r="Q2458" s="14" t="str">
        <x:v>Evet</x:v>
      </x:c>
      <x:c r="R2458" s="14" t="str">
        <x:v>Planlandı</x:v>
      </x:c>
      <x:c r="S2458" s="15" t="str"/>
      <x:c r="T2458" s="14" t="str"/>
    </x:row>
    <x:row r="2459">
      <x:c r="A2459" s="14" t="n">
        <x:v>2458</x:v>
      </x:c>
      <x:c r="B2459" s="15" t="n">
        <x:v>46494</x:v>
      </x:c>
      <x:c r="C2459" s="14" t="str">
        <x:v>Cumartesi</x:v>
      </x:c>
      <x:c r="D2459" s="14" t="str">
        <x:v>Hafta Sonu</x:v>
      </x:c>
      <x:c r="E2459" s="14" t="str">
        <x:v>Tam gün</x:v>
      </x:c>
      <x:c r="F2459" s="14" t="str">
        <x:v>F4 - 60 Gün / 60 Tam Deneme</x:v>
      </x:c>
      <x:c r="G2459" s="14" t="str">
        <x:v>20:00</x:v>
      </x:c>
      <x:c r="H2459" s="14" t="str">
        <x:v>20:30</x:v>
      </x:c>
      <x:c r="I2459" s="14" t="str">
        <x:v>Okuma</x:v>
      </x:c>
      <x:c r="J2459" s="14" t="str">
        <x:v>İsteğe Bağlı</x:v>
      </x:c>
      <x:c r="K2459" s="14" t="str">
        <x:v>Serbest Kitap</x:v>
      </x:c>
      <x:c r="L2459" s="14" t="str">
        <x:v>Enerji uygunsa kısa isteğe bağlı okuma.</x:v>
      </x:c>
      <x:c r="M2459" s="14" t="str">
        <x:v>Serbest Kitap</x:v>
      </x:c>
      <x:c r="N2459" s="14" t="str"/>
      <x:c r="O2459" s="14" t="n">
        <x:v>0</x:v>
      </x:c>
      <x:c r="P2459" s="14" t="str">
        <x:v>İsteğe Bağlı</x:v>
      </x:c>
      <x:c r="Q2459" s="14" t="str">
        <x:v>Hayır</x:v>
      </x:c>
      <x:c r="R2459" s="14" t="str">
        <x:v>Planlandı</x:v>
      </x:c>
      <x:c r="S2459" s="15" t="str"/>
      <x:c r="T2459" s="14" t="str"/>
    </x:row>
    <x:row r="2460">
      <x:c r="A2460" s="14" t="n">
        <x:v>2459</x:v>
      </x:c>
      <x:c r="B2460" s="15" t="n">
        <x:v>46494</x:v>
      </x:c>
      <x:c r="C2460" s="14" t="str">
        <x:v>Cumartesi</x:v>
      </x:c>
      <x:c r="D2460" s="14" t="str">
        <x:v>Hafta Sonu</x:v>
      </x:c>
      <x:c r="E2460" s="14" t="str">
        <x:v>Tam gün</x:v>
      </x:c>
      <x:c r="F2460" s="14" t="str">
        <x:v>F4 - 60 Gün / 60 Tam Deneme</x:v>
      </x:c>
      <x:c r="G2460" s="14" t="str">
        <x:v>21:50</x:v>
      </x:c>
      <x:c r="H2460" s="14" t="str">
        <x:v>22:00</x:v>
      </x:c>
      <x:c r="I2460" s="14" t="str">
        <x:v>Genel</x:v>
      </x:c>
      <x:c r="J2460" s="14" t="str">
        <x:v>Uyku Hazırlığı</x:v>
      </x:c>
      <x:c r="K2460" s="14" t="str"/>
      <x:c r="L2460" s="14" t="str">
        <x:v>22:00'de yatakta ve uyku.</x:v>
      </x:c>
      <x:c r="M2460" s="14" t="str"/>
      <x:c r="N2460" s="14" t="str"/>
      <x:c r="O2460" s="14" t="n">
        <x:v>0</x:v>
      </x:c>
      <x:c r="P2460" s="14" t="str">
        <x:v>Hayır</x:v>
      </x:c>
      <x:c r="Q2460" s="14" t="str">
        <x:v>Hayır</x:v>
      </x:c>
      <x:c r="R2460" s="14" t="str">
        <x:v>Planlandı</x:v>
      </x:c>
      <x:c r="S2460" s="15" t="str"/>
      <x:c r="T2460" s="14" t="str"/>
    </x:row>
    <x:row r="2461">
      <x:c r="A2461" s="14" t="n">
        <x:v>2460</x:v>
      </x:c>
      <x:c r="B2461" s="15" t="n">
        <x:v>46495</x:v>
      </x:c>
      <x:c r="C2461" s="14" t="str">
        <x:v>Pazar</x:v>
      </x:c>
      <x:c r="D2461" s="14" t="str">
        <x:v>Hafta Sonu</x:v>
      </x:c>
      <x:c r="E2461" s="14" t="str">
        <x:v>Tam gün</x:v>
      </x:c>
      <x:c r="F2461" s="14" t="str">
        <x:v>F4 - 60 Gün / 60 Tam Deneme</x:v>
      </x:c>
      <x:c r="G2461" s="14" t="str">
        <x:v>09:30</x:v>
      </x:c>
      <x:c r="H2461" s="14" t="str">
        <x:v>10:45</x:v>
      </x:c>
      <x:c r="I2461" s="14" t="str">
        <x:v>Deneme</x:v>
      </x:c>
      <x:c r="J2461" s="14" t="str">
        <x:v>Tam LGS Denemesi - Sözel</x:v>
      </x:c>
      <x:c r="K2461" s="14" t="str">
        <x:v>Deneme 05</x:v>
      </x:c>
      <x:c r="L2461" s="14" t="str">
        <x:v>Deneme 5/60 — Sözel oturum: Türkçe 20 + İnkılap 10 + Din 10 + İngilizce 10. 75 dakika.</x:v>
      </x:c>
      <x:c r="M2461" s="14" t="str">
        <x:v>Tam LGS Denemesi</x:v>
      </x:c>
      <x:c r="N2461" s="14" t="str"/>
      <x:c r="O2461" s="14" t="n">
        <x:v>50</x:v>
      </x:c>
      <x:c r="P2461" s="14" t="str">
        <x:v>75 dk</x:v>
      </x:c>
      <x:c r="Q2461" s="14" t="str">
        <x:v>Evet</x:v>
      </x:c>
      <x:c r="R2461" s="14" t="str">
        <x:v>Planlandı</x:v>
      </x:c>
      <x:c r="S2461" s="15" t="str"/>
      <x:c r="T2461" s="14" t="str">
        <x:v>2026 LGS formatı çalışma referansıdır; 2027 kılavuzu yayımlanırsa güncellenir.</x:v>
      </x:c>
    </x:row>
    <x:row r="2462">
      <x:c r="A2462" s="14" t="n">
        <x:v>2461</x:v>
      </x:c>
      <x:c r="B2462" s="15" t="n">
        <x:v>46495</x:v>
      </x:c>
      <x:c r="C2462" s="14" t="str">
        <x:v>Pazar</x:v>
      </x:c>
      <x:c r="D2462" s="14" t="str">
        <x:v>Hafta Sonu</x:v>
      </x:c>
      <x:c r="E2462" s="14" t="str">
        <x:v>Tam gün</x:v>
      </x:c>
      <x:c r="F2462" s="14" t="str">
        <x:v>F4 - 60 Gün / 60 Tam Deneme</x:v>
      </x:c>
      <x:c r="G2462" s="14" t="str">
        <x:v>10:45</x:v>
      </x:c>
      <x:c r="H2462" s="14" t="str">
        <x:v>11:30</x:v>
      </x:c>
      <x:c r="I2462" s="14" t="str">
        <x:v>Genel</x:v>
      </x:c>
      <x:c r="J2462" s="14" t="str">
        <x:v>Deneme Arası</x:v>
      </x:c>
      <x:c r="K2462" s="14" t="str"/>
      <x:c r="L2462" s="14" t="str">
        <x:v>45 dakika gerçek sınav arası simülasyonu: yemek/su/tuvalet; soru analizi yapma.</x:v>
      </x:c>
      <x:c r="M2462" s="14" t="str"/>
      <x:c r="N2462" s="14" t="str"/>
      <x:c r="O2462" s="14" t="n">
        <x:v>0</x:v>
      </x:c>
      <x:c r="P2462" s="14" t="str">
        <x:v>Hayır</x:v>
      </x:c>
      <x:c r="Q2462" s="14" t="str">
        <x:v>Evet</x:v>
      </x:c>
      <x:c r="R2462" s="14" t="str">
        <x:v>Planlandı</x:v>
      </x:c>
      <x:c r="S2462" s="15" t="str"/>
      <x:c r="T2462" s="14" t="str"/>
    </x:row>
    <x:row r="2463">
      <x:c r="A2463" s="14" t="n">
        <x:v>2462</x:v>
      </x:c>
      <x:c r="B2463" s="15" t="n">
        <x:v>46495</x:v>
      </x:c>
      <x:c r="C2463" s="14" t="str">
        <x:v>Pazar</x:v>
      </x:c>
      <x:c r="D2463" s="14" t="str">
        <x:v>Hafta Sonu</x:v>
      </x:c>
      <x:c r="E2463" s="14" t="str">
        <x:v>Tam gün</x:v>
      </x:c>
      <x:c r="F2463" s="14" t="str">
        <x:v>F4 - 60 Gün / 60 Tam Deneme</x:v>
      </x:c>
      <x:c r="G2463" s="14" t="str">
        <x:v>11:30</x:v>
      </x:c>
      <x:c r="H2463" s="14" t="str">
        <x:v>12:50</x:v>
      </x:c>
      <x:c r="I2463" s="14" t="str">
        <x:v>Deneme</x:v>
      </x:c>
      <x:c r="J2463" s="14" t="str">
        <x:v>Tam LGS Denemesi - Sayısal</x:v>
      </x:c>
      <x:c r="K2463" s="14" t="str">
        <x:v>Deneme 05</x:v>
      </x:c>
      <x:c r="L2463" s="14" t="str">
        <x:v>Deneme 5/60 — Sayısal oturum: Matematik 20 + Fen 20. 80 dakika.</x:v>
      </x:c>
      <x:c r="M2463" s="14" t="str">
        <x:v>Tam LGS Denemesi</x:v>
      </x:c>
      <x:c r="N2463" s="14" t="str"/>
      <x:c r="O2463" s="14" t="n">
        <x:v>40</x:v>
      </x:c>
      <x:c r="P2463" s="14" t="str">
        <x:v>80 dk</x:v>
      </x:c>
      <x:c r="Q2463" s="14" t="str">
        <x:v>Evet</x:v>
      </x:c>
      <x:c r="R2463" s="14" t="str">
        <x:v>Planlandı</x:v>
      </x:c>
      <x:c r="S2463" s="15" t="str"/>
      <x:c r="T2463" s="14" t="str"/>
    </x:row>
    <x:row r="2464">
      <x:c r="A2464" s="14" t="n">
        <x:v>2463</x:v>
      </x:c>
      <x:c r="B2464" s="15" t="n">
        <x:v>46495</x:v>
      </x:c>
      <x:c r="C2464" s="14" t="str">
        <x:v>Pazar</x:v>
      </x:c>
      <x:c r="D2464" s="14" t="str">
        <x:v>Hafta Sonu</x:v>
      </x:c>
      <x:c r="E2464" s="14" t="str">
        <x:v>Tam gün</x:v>
      </x:c>
      <x:c r="F2464" s="14" t="str">
        <x:v>F4 - 60 Gün / 60 Tam Deneme</x:v>
      </x:c>
      <x:c r="G2464" s="14" t="str">
        <x:v>14:30</x:v>
      </x:c>
      <x:c r="H2464" s="14" t="str">
        <x:v>15:15</x:v>
      </x:c>
      <x:c r="I2464" s="14" t="str">
        <x:v>Deneme</x:v>
      </x:c>
      <x:c r="J2464" s="14" t="str">
        <x:v>Deneme Analizi</x:v>
      </x:c>
      <x:c r="K2464" s="14" t="str">
        <x:v>Deneme 05</x:v>
      </x:c>
      <x:c r="L2464" s="14" t="str">
        <x:v>Tüm yanlış/boşları nedenleriyle analiz et; bilgi eksikliği, işlem, dikkat, yanlış okuma veya yorumlama olarak sınıflandır.</x:v>
      </x:c>
      <x:c r="M2464" s="14" t="str">
        <x:v>Deneme Takibi</x:v>
      </x:c>
      <x:c r="N2464" s="14" t="str"/>
      <x:c r="O2464" s="14" t="n">
        <x:v>0</x:v>
      </x:c>
      <x:c r="P2464" s="14" t="str">
        <x:v>Hayır</x:v>
      </x:c>
      <x:c r="Q2464" s="14" t="str">
        <x:v>Evet</x:v>
      </x:c>
      <x:c r="R2464" s="14" t="str">
        <x:v>Planlandı</x:v>
      </x:c>
      <x:c r="S2464" s="15" t="str"/>
      <x:c r="T2464" s="14" t="str">
        <x:v>Deneme çözülüp analiz edilmediyse gün tamamlanmış sayılmaz.</x:v>
      </x:c>
    </x:row>
    <x:row r="2465">
      <x:c r="A2465" s="14" t="n">
        <x:v>2464</x:v>
      </x:c>
      <x:c r="B2465" s="15" t="n">
        <x:v>46495</x:v>
      </x:c>
      <x:c r="C2465" s="14" t="str">
        <x:v>Pazar</x:v>
      </x:c>
      <x:c r="D2465" s="14" t="str">
        <x:v>Hafta Sonu</x:v>
      </x:c>
      <x:c r="E2465" s="14" t="str">
        <x:v>Tam gün</x:v>
      </x:c>
      <x:c r="F2465" s="14" t="str">
        <x:v>F4 - 60 Gün / 60 Tam Deneme</x:v>
      </x:c>
      <x:c r="G2465" s="14" t="str">
        <x:v>15:25</x:v>
      </x:c>
      <x:c r="H2465" s="14" t="str">
        <x:v>16:10</x:v>
      </x:c>
      <x:c r="I2465" s="14" t="str">
        <x:v>Genel</x:v>
      </x:c>
      <x:c r="J2465" s="14" t="str">
        <x:v>Hedefli Eksik Giderme</x:v>
      </x:c>
      <x:c r="K2465" s="14" t="str">
        <x:v>Denemeden Gelen Eksikler</x:v>
      </x:c>
      <x:c r="L2465" s="14" t="str">
        <x:v>Denemenin gösterdiği en kritik 1-3 eksiği gider: gerekirse ilgili playlist videosuna kısa dönüş + hedefli soru çözümü.</x:v>
      </x:c>
      <x:c r="M2465" s="14" t="str">
        <x:v>Playlist + Soru Kitabı + MEB</x:v>
      </x:c>
      <x:c r="N2465" s="14" t="str"/>
      <x:c r="O2465" s="14" t="n">
        <x:v>0</x:v>
      </x:c>
      <x:c r="P2465" s="14" t="str">
        <x:v>Hayır</x:v>
      </x:c>
      <x:c r="Q2465" s="14" t="str">
        <x:v>Evet</x:v>
      </x:c>
      <x:c r="R2465" s="14" t="str">
        <x:v>Planlandı</x:v>
      </x:c>
      <x:c r="S2465" s="15" t="str"/>
      <x:c r="T2465" s="14" t="str">
        <x:v>Yeni konu açılmaz; yalnız denemenin kanıtladığı eksiğe müdahale edilir.</x:v>
      </x:c>
    </x:row>
    <x:row r="2466">
      <x:c r="A2466" s="14" t="n">
        <x:v>2465</x:v>
      </x:c>
      <x:c r="B2466" s="15" t="n">
        <x:v>46495</x:v>
      </x:c>
      <x:c r="C2466" s="14" t="str">
        <x:v>Pazar</x:v>
      </x:c>
      <x:c r="D2466" s="14" t="str">
        <x:v>Hafta Sonu</x:v>
      </x:c>
      <x:c r="E2466" s="14" t="str">
        <x:v>Tam gün</x:v>
      </x:c>
      <x:c r="F2466" s="14" t="str">
        <x:v>F4 - 60 Gün / 60 Tam Deneme</x:v>
      </x:c>
      <x:c r="G2466" s="14" t="str">
        <x:v>16:20</x:v>
      </x:c>
      <x:c r="H2466" s="14" t="str">
        <x:v>16:40</x:v>
      </x:c>
      <x:c r="I2466" s="14" t="str">
        <x:v>Genel</x:v>
      </x:c>
      <x:c r="J2466" s="14" t="str">
        <x:v>Aralıklı Hata Tekrarı</x:v>
      </x:c>
      <x:c r="K2466" s="14" t="str">
        <x:v>+1 / +7 / +21</x:v>
      </x:c>
      <x:c r="L2466" s="14" t="str">
        <x:v>Bugün vadesi gelen eski yanlışları tekrar çöz ve bugünkü yanlışları Yanlış Defteri'ne ekle.</x:v>
      </x:c>
      <x:c r="M2466" s="14" t="str">
        <x:v>Yanlış Defteri</x:v>
      </x:c>
      <x:c r="N2466" s="14" t="str"/>
      <x:c r="O2466" s="14" t="n">
        <x:v>0</x:v>
      </x:c>
      <x:c r="P2466" s="14" t="str">
        <x:v>Hayır</x:v>
      </x:c>
      <x:c r="Q2466" s="14" t="str">
        <x:v>Evet</x:v>
      </x:c>
      <x:c r="R2466" s="14" t="str">
        <x:v>Planlandı</x:v>
      </x:c>
      <x:c r="S2466" s="15" t="str"/>
      <x:c r="T2466" s="14" t="str"/>
    </x:row>
    <x:row r="2467">
      <x:c r="A2467" s="14" t="n">
        <x:v>2466</x:v>
      </x:c>
      <x:c r="B2467" s="15" t="n">
        <x:v>46495</x:v>
      </x:c>
      <x:c r="C2467" s="14" t="str">
        <x:v>Pazar</x:v>
      </x:c>
      <x:c r="D2467" s="14" t="str">
        <x:v>Hafta Sonu</x:v>
      </x:c>
      <x:c r="E2467" s="14" t="str">
        <x:v>Tam gün</x:v>
      </x:c>
      <x:c r="F2467" s="14" t="str">
        <x:v>F4 - 60 Gün / 60 Tam Deneme</x:v>
      </x:c>
      <x:c r="G2467" s="14" t="str">
        <x:v>20:00</x:v>
      </x:c>
      <x:c r="H2467" s="14" t="str">
        <x:v>20:30</x:v>
      </x:c>
      <x:c r="I2467" s="14" t="str">
        <x:v>Okuma</x:v>
      </x:c>
      <x:c r="J2467" s="14" t="str">
        <x:v>İsteğe Bağlı</x:v>
      </x:c>
      <x:c r="K2467" s="14" t="str">
        <x:v>Serbest Kitap</x:v>
      </x:c>
      <x:c r="L2467" s="14" t="str">
        <x:v>Enerji uygunsa kısa isteğe bağlı okuma.</x:v>
      </x:c>
      <x:c r="M2467" s="14" t="str">
        <x:v>Serbest Kitap</x:v>
      </x:c>
      <x:c r="N2467" s="14" t="str"/>
      <x:c r="O2467" s="14" t="n">
        <x:v>0</x:v>
      </x:c>
      <x:c r="P2467" s="14" t="str">
        <x:v>İsteğe Bağlı</x:v>
      </x:c>
      <x:c r="Q2467" s="14" t="str">
        <x:v>Hayır</x:v>
      </x:c>
      <x:c r="R2467" s="14" t="str">
        <x:v>Planlandı</x:v>
      </x:c>
      <x:c r="S2467" s="15" t="str"/>
      <x:c r="T2467" s="14" t="str"/>
    </x:row>
    <x:row r="2468">
      <x:c r="A2468" s="14" t="n">
        <x:v>2467</x:v>
      </x:c>
      <x:c r="B2468" s="15" t="n">
        <x:v>46495</x:v>
      </x:c>
      <x:c r="C2468" s="14" t="str">
        <x:v>Pazar</x:v>
      </x:c>
      <x:c r="D2468" s="14" t="str">
        <x:v>Hafta Sonu</x:v>
      </x:c>
      <x:c r="E2468" s="14" t="str">
        <x:v>Tam gün</x:v>
      </x:c>
      <x:c r="F2468" s="14" t="str">
        <x:v>F4 - 60 Gün / 60 Tam Deneme</x:v>
      </x:c>
      <x:c r="G2468" s="14" t="str">
        <x:v>21:50</x:v>
      </x:c>
      <x:c r="H2468" s="14" t="str">
        <x:v>22:00</x:v>
      </x:c>
      <x:c r="I2468" s="14" t="str">
        <x:v>Genel</x:v>
      </x:c>
      <x:c r="J2468" s="14" t="str">
        <x:v>Uyku Hazırlığı</x:v>
      </x:c>
      <x:c r="K2468" s="14" t="str"/>
      <x:c r="L2468" s="14" t="str">
        <x:v>22:00'de yatakta ve uyku.</x:v>
      </x:c>
      <x:c r="M2468" s="14" t="str"/>
      <x:c r="N2468" s="14" t="str"/>
      <x:c r="O2468" s="14" t="n">
        <x:v>0</x:v>
      </x:c>
      <x:c r="P2468" s="14" t="str">
        <x:v>Hayır</x:v>
      </x:c>
      <x:c r="Q2468" s="14" t="str">
        <x:v>Hayır</x:v>
      </x:c>
      <x:c r="R2468" s="14" t="str">
        <x:v>Planlandı</x:v>
      </x:c>
      <x:c r="S2468" s="15" t="str"/>
      <x:c r="T2468" s="14" t="str"/>
    </x:row>
    <x:row r="2469">
      <x:c r="A2469" s="14" t="n">
        <x:v>2468</x:v>
      </x:c>
      <x:c r="B2469" s="15" t="n">
        <x:v>46496</x:v>
      </x:c>
      <x:c r="C2469" s="14" t="str">
        <x:v>Pazartesi</x:v>
      </x:c>
      <x:c r="D2469" s="14" t="str">
        <x:v>Okul Günü</x:v>
      </x:c>
      <x:c r="E2469" s="14" t="str">
        <x:v>16:00 sonrası</x:v>
      </x:c>
      <x:c r="F2469" s="14" t="str">
        <x:v>F4 - 60 Gün / 60 Tam Deneme</x:v>
      </x:c>
      <x:c r="G2469" s="14" t="str">
        <x:v>16:00</x:v>
      </x:c>
      <x:c r="H2469" s="14" t="str">
        <x:v>16:25</x:v>
      </x:c>
      <x:c r="I2469" s="14" t="str">
        <x:v>Genel</x:v>
      </x:c>
      <x:c r="J2469" s="14" t="str">
        <x:v>Dinlenme</x:v>
      </x:c>
      <x:c r="K2469" s="14" t="str"/>
      <x:c r="L2469" s="14" t="str">
        <x:v>Eve geliş + kısa dinlenme.</x:v>
      </x:c>
      <x:c r="M2469" s="14" t="str"/>
      <x:c r="N2469" s="14" t="str"/>
      <x:c r="O2469" s="14" t="n">
        <x:v>0</x:v>
      </x:c>
      <x:c r="P2469" s="14" t="str">
        <x:v>Hayır</x:v>
      </x:c>
      <x:c r="Q2469" s="14" t="str">
        <x:v>Hayır</x:v>
      </x:c>
      <x:c r="R2469" s="14" t="str">
        <x:v>Planlandı</x:v>
      </x:c>
      <x:c r="S2469" s="15" t="str"/>
      <x:c r="T2469" s="14" t="str"/>
    </x:row>
    <x:row r="2470">
      <x:c r="A2470" s="14" t="n">
        <x:v>2469</x:v>
      </x:c>
      <x:c r="B2470" s="15" t="n">
        <x:v>46496</x:v>
      </x:c>
      <x:c r="C2470" s="14" t="str">
        <x:v>Pazartesi</x:v>
      </x:c>
      <x:c r="D2470" s="14" t="str">
        <x:v>Okul Günü</x:v>
      </x:c>
      <x:c r="E2470" s="14" t="str">
        <x:v>16:00 sonrası</x:v>
      </x:c>
      <x:c r="F2470" s="14" t="str">
        <x:v>F4 - 60 Gün / 60 Tam Deneme</x:v>
      </x:c>
      <x:c r="G2470" s="14" t="str">
        <x:v>16:30</x:v>
      </x:c>
      <x:c r="H2470" s="14" t="str">
        <x:v>17:45</x:v>
      </x:c>
      <x:c r="I2470" s="14" t="str">
        <x:v>Deneme</x:v>
      </x:c>
      <x:c r="J2470" s="14" t="str">
        <x:v>Tam LGS Denemesi - Sözel</x:v>
      </x:c>
      <x:c r="K2470" s="14" t="str">
        <x:v>Deneme 06</x:v>
      </x:c>
      <x:c r="L2470" s="14" t="str">
        <x:v>Deneme 6/60 — Sözel oturum: Türkçe 20 + İnkılap 10 + Din 10 + İngilizce 10. 75 dakika.</x:v>
      </x:c>
      <x:c r="M2470" s="14" t="str">
        <x:v>Tam LGS Denemesi</x:v>
      </x:c>
      <x:c r="N2470" s="14" t="str"/>
      <x:c r="O2470" s="14" t="n">
        <x:v>50</x:v>
      </x:c>
      <x:c r="P2470" s="14" t="str">
        <x:v>75 dk</x:v>
      </x:c>
      <x:c r="Q2470" s="14" t="str">
        <x:v>Evet</x:v>
      </x:c>
      <x:c r="R2470" s="14" t="str">
        <x:v>Planlandı</x:v>
      </x:c>
      <x:c r="S2470" s="15" t="str"/>
      <x:c r="T2470" s="14" t="str">
        <x:v>2026 LGS formatı çalışma referansıdır; 2027 kılavuzu yayımlanırsa güncellenir.</x:v>
      </x:c>
    </x:row>
    <x:row r="2471">
      <x:c r="A2471" s="14" t="n">
        <x:v>2470</x:v>
      </x:c>
      <x:c r="B2471" s="15" t="n">
        <x:v>46496</x:v>
      </x:c>
      <x:c r="C2471" s="14" t="str">
        <x:v>Pazartesi</x:v>
      </x:c>
      <x:c r="D2471" s="14" t="str">
        <x:v>Okul Günü</x:v>
      </x:c>
      <x:c r="E2471" s="14" t="str">
        <x:v>16:00 sonrası</x:v>
      </x:c>
      <x:c r="F2471" s="14" t="str">
        <x:v>F4 - 60 Gün / 60 Tam Deneme</x:v>
      </x:c>
      <x:c r="G2471" s="14" t="str">
        <x:v>17:45</x:v>
      </x:c>
      <x:c r="H2471" s="14" t="str">
        <x:v>18:30</x:v>
      </x:c>
      <x:c r="I2471" s="14" t="str">
        <x:v>Genel</x:v>
      </x:c>
      <x:c r="J2471" s="14" t="str">
        <x:v>Deneme Arası</x:v>
      </x:c>
      <x:c r="K2471" s="14" t="str"/>
      <x:c r="L2471" s="14" t="str">
        <x:v>45 dakika gerçek sınav arası simülasyonu: yemek/su/tuvalet; soru analizi yapma.</x:v>
      </x:c>
      <x:c r="M2471" s="14" t="str"/>
      <x:c r="N2471" s="14" t="str"/>
      <x:c r="O2471" s="14" t="n">
        <x:v>0</x:v>
      </x:c>
      <x:c r="P2471" s="14" t="str">
        <x:v>Hayır</x:v>
      </x:c>
      <x:c r="Q2471" s="14" t="str">
        <x:v>Evet</x:v>
      </x:c>
      <x:c r="R2471" s="14" t="str">
        <x:v>Planlandı</x:v>
      </x:c>
      <x:c r="S2471" s="15" t="str"/>
      <x:c r="T2471" s="14" t="str"/>
    </x:row>
    <x:row r="2472">
      <x:c r="A2472" s="14" t="n">
        <x:v>2471</x:v>
      </x:c>
      <x:c r="B2472" s="15" t="n">
        <x:v>46496</x:v>
      </x:c>
      <x:c r="C2472" s="14" t="str">
        <x:v>Pazartesi</x:v>
      </x:c>
      <x:c r="D2472" s="14" t="str">
        <x:v>Okul Günü</x:v>
      </x:c>
      <x:c r="E2472" s="14" t="str">
        <x:v>16:00 sonrası</x:v>
      </x:c>
      <x:c r="F2472" s="14" t="str">
        <x:v>F4 - 60 Gün / 60 Tam Deneme</x:v>
      </x:c>
      <x:c r="G2472" s="14" t="str">
        <x:v>18:30</x:v>
      </x:c>
      <x:c r="H2472" s="14" t="str">
        <x:v>19:50</x:v>
      </x:c>
      <x:c r="I2472" s="14" t="str">
        <x:v>Deneme</x:v>
      </x:c>
      <x:c r="J2472" s="14" t="str">
        <x:v>Tam LGS Denemesi - Sayısal</x:v>
      </x:c>
      <x:c r="K2472" s="14" t="str">
        <x:v>Deneme 06</x:v>
      </x:c>
      <x:c r="L2472" s="14" t="str">
        <x:v>Deneme 6/60 — Sayısal oturum: Matematik 20 + Fen 20. 80 dakika.</x:v>
      </x:c>
      <x:c r="M2472" s="14" t="str">
        <x:v>Tam LGS Denemesi</x:v>
      </x:c>
      <x:c r="N2472" s="14" t="str"/>
      <x:c r="O2472" s="14" t="n">
        <x:v>40</x:v>
      </x:c>
      <x:c r="P2472" s="14" t="str">
        <x:v>80 dk</x:v>
      </x:c>
      <x:c r="Q2472" s="14" t="str">
        <x:v>Evet</x:v>
      </x:c>
      <x:c r="R2472" s="14" t="str">
        <x:v>Planlandı</x:v>
      </x:c>
      <x:c r="S2472" s="15" t="str"/>
      <x:c r="T2472" s="14" t="str"/>
    </x:row>
    <x:row r="2473">
      <x:c r="A2473" s="14" t="n">
        <x:v>2472</x:v>
      </x:c>
      <x:c r="B2473" s="15" t="n">
        <x:v>46496</x:v>
      </x:c>
      <x:c r="C2473" s="14" t="str">
        <x:v>Pazartesi</x:v>
      </x:c>
      <x:c r="D2473" s="14" t="str">
        <x:v>Okul Günü</x:v>
      </x:c>
      <x:c r="E2473" s="14" t="str">
        <x:v>16:00 sonrası</x:v>
      </x:c>
      <x:c r="F2473" s="14" t="str">
        <x:v>F4 - 60 Gün / 60 Tam Deneme</x:v>
      </x:c>
      <x:c r="G2473" s="14" t="str">
        <x:v>20:00</x:v>
      </x:c>
      <x:c r="H2473" s="14" t="str">
        <x:v>20:45</x:v>
      </x:c>
      <x:c r="I2473" s="14" t="str">
        <x:v>Deneme</x:v>
      </x:c>
      <x:c r="J2473" s="14" t="str">
        <x:v>Deneme Analizi</x:v>
      </x:c>
      <x:c r="K2473" s="14" t="str">
        <x:v>Deneme 06</x:v>
      </x:c>
      <x:c r="L2473" s="14" t="str">
        <x:v>Tüm yanlış/boşları nedenleriyle analiz et; bilgi eksikliği, işlem, dikkat, yanlış okuma veya yorumlama olarak sınıflandır.</x:v>
      </x:c>
      <x:c r="M2473" s="14" t="str">
        <x:v>Deneme Takibi</x:v>
      </x:c>
      <x:c r="N2473" s="14" t="str"/>
      <x:c r="O2473" s="14" t="n">
        <x:v>0</x:v>
      </x:c>
      <x:c r="P2473" s="14" t="str">
        <x:v>Hayır</x:v>
      </x:c>
      <x:c r="Q2473" s="14" t="str">
        <x:v>Evet</x:v>
      </x:c>
      <x:c r="R2473" s="14" t="str">
        <x:v>Planlandı</x:v>
      </x:c>
      <x:c r="S2473" s="15" t="str"/>
      <x:c r="T2473" s="14" t="str">
        <x:v>Deneme çözülüp analiz edilmediyse gün tamamlanmış sayılmaz.</x:v>
      </x:c>
    </x:row>
    <x:row r="2474">
      <x:c r="A2474" s="14" t="n">
        <x:v>2473</x:v>
      </x:c>
      <x:c r="B2474" s="15" t="n">
        <x:v>46496</x:v>
      </x:c>
      <x:c r="C2474" s="14" t="str">
        <x:v>Pazartesi</x:v>
      </x:c>
      <x:c r="D2474" s="14" t="str">
        <x:v>Okul Günü</x:v>
      </x:c>
      <x:c r="E2474" s="14" t="str">
        <x:v>16:00 sonrası</x:v>
      </x:c>
      <x:c r="F2474" s="14" t="str">
        <x:v>F4 - 60 Gün / 60 Tam Deneme</x:v>
      </x:c>
      <x:c r="G2474" s="14" t="str">
        <x:v>20:50</x:v>
      </x:c>
      <x:c r="H2474" s="14" t="str">
        <x:v>21:25</x:v>
      </x:c>
      <x:c r="I2474" s="14" t="str">
        <x:v>Genel</x:v>
      </x:c>
      <x:c r="J2474" s="14" t="str">
        <x:v>Hedefli Eksik Giderme</x:v>
      </x:c>
      <x:c r="K2474" s="14" t="str">
        <x:v>Denemeden Gelen Eksikler</x:v>
      </x:c>
      <x:c r="L2474" s="14" t="str">
        <x:v>Denemenin gösterdiği en kritik 1-3 eksiği gider: gerekirse ilgili playlist videosuna kısa dönüş + hedefli soru çözümü.</x:v>
      </x:c>
      <x:c r="M2474" s="14" t="str">
        <x:v>Playlist + Soru Kitabı + MEB</x:v>
      </x:c>
      <x:c r="N2474" s="14" t="str"/>
      <x:c r="O2474" s="14" t="n">
        <x:v>0</x:v>
      </x:c>
      <x:c r="P2474" s="14" t="str">
        <x:v>Hayır</x:v>
      </x:c>
      <x:c r="Q2474" s="14" t="str">
        <x:v>Evet</x:v>
      </x:c>
      <x:c r="R2474" s="14" t="str">
        <x:v>Planlandı</x:v>
      </x:c>
      <x:c r="S2474" s="15" t="str"/>
      <x:c r="T2474" s="14" t="str">
        <x:v>Yeni konu açılmaz; yalnız denemenin kanıtladığı eksiğe müdahale edilir.</x:v>
      </x:c>
    </x:row>
    <x:row r="2475">
      <x:c r="A2475" s="14" t="n">
        <x:v>2474</x:v>
      </x:c>
      <x:c r="B2475" s="15" t="n">
        <x:v>46496</x:v>
      </x:c>
      <x:c r="C2475" s="14" t="str">
        <x:v>Pazartesi</x:v>
      </x:c>
      <x:c r="D2475" s="14" t="str">
        <x:v>Okul Günü</x:v>
      </x:c>
      <x:c r="E2475" s="14" t="str">
        <x:v>16:00 sonrası</x:v>
      </x:c>
      <x:c r="F2475" s="14" t="str">
        <x:v>F4 - 60 Gün / 60 Tam Deneme</x:v>
      </x:c>
      <x:c r="G2475" s="14" t="str">
        <x:v>21:25</x:v>
      </x:c>
      <x:c r="H2475" s="14" t="str">
        <x:v>21:40</x:v>
      </x:c>
      <x:c r="I2475" s="14" t="str">
        <x:v>Genel</x:v>
      </x:c>
      <x:c r="J2475" s="14" t="str">
        <x:v>Aralıklı Hata Tekrarı</x:v>
      </x:c>
      <x:c r="K2475" s="14" t="str">
        <x:v>+1 / +7 / +21</x:v>
      </x:c>
      <x:c r="L2475" s="14" t="str">
        <x:v>Bugün vadesi gelen eski yanlışları tekrar çöz ve bugünkü yanlışları Yanlış Defteri'ne ekle.</x:v>
      </x:c>
      <x:c r="M2475" s="14" t="str">
        <x:v>Yanlış Defteri</x:v>
      </x:c>
      <x:c r="N2475" s="14" t="str"/>
      <x:c r="O2475" s="14" t="n">
        <x:v>0</x:v>
      </x:c>
      <x:c r="P2475" s="14" t="str">
        <x:v>Hayır</x:v>
      </x:c>
      <x:c r="Q2475" s="14" t="str">
        <x:v>Evet</x:v>
      </x:c>
      <x:c r="R2475" s="14" t="str">
        <x:v>Planlandı</x:v>
      </x:c>
      <x:c r="S2475" s="15" t="str"/>
      <x:c r="T2475" s="14" t="str"/>
    </x:row>
    <x:row r="2476">
      <x:c r="A2476" s="14" t="n">
        <x:v>2475</x:v>
      </x:c>
      <x:c r="B2476" s="15" t="n">
        <x:v>46496</x:v>
      </x:c>
      <x:c r="C2476" s="14" t="str">
        <x:v>Pazartesi</x:v>
      </x:c>
      <x:c r="D2476" s="14" t="str">
        <x:v>Okul Günü</x:v>
      </x:c>
      <x:c r="E2476" s="14" t="str">
        <x:v>16:00 sonrası</x:v>
      </x:c>
      <x:c r="F2476" s="14" t="str">
        <x:v>F4 - 60 Gün / 60 Tam Deneme</x:v>
      </x:c>
      <x:c r="G2476" s="14" t="str">
        <x:v>21:40</x:v>
      </x:c>
      <x:c r="H2476" s="14" t="str">
        <x:v>21:50</x:v>
      </x:c>
      <x:c r="I2476" s="14" t="str">
        <x:v>Okuma</x:v>
      </x:c>
      <x:c r="J2476" s="14" t="str">
        <x:v>İsteğe Bağlı</x:v>
      </x:c>
      <x:c r="K2476" s="14" t="str">
        <x:v>Serbest Kitap</x:v>
      </x:c>
      <x:c r="L2476" s="14" t="str">
        <x:v>Enerji uygunsa kısa isteğe bağlı okuma.</x:v>
      </x:c>
      <x:c r="M2476" s="14" t="str">
        <x:v>Serbest Kitap</x:v>
      </x:c>
      <x:c r="N2476" s="14" t="str"/>
      <x:c r="O2476" s="14" t="n">
        <x:v>0</x:v>
      </x:c>
      <x:c r="P2476" s="14" t="str">
        <x:v>İsteğe Bağlı</x:v>
      </x:c>
      <x:c r="Q2476" s="14" t="str">
        <x:v>Hayır</x:v>
      </x:c>
      <x:c r="R2476" s="14" t="str">
        <x:v>Planlandı</x:v>
      </x:c>
      <x:c r="S2476" s="15" t="str"/>
      <x:c r="T2476" s="14" t="str"/>
    </x:row>
    <x:row r="2477">
      <x:c r="A2477" s="14" t="n">
        <x:v>2476</x:v>
      </x:c>
      <x:c r="B2477" s="15" t="n">
        <x:v>46496</x:v>
      </x:c>
      <x:c r="C2477" s="14" t="str">
        <x:v>Pazartesi</x:v>
      </x:c>
      <x:c r="D2477" s="14" t="str">
        <x:v>Okul Günü</x:v>
      </x:c>
      <x:c r="E2477" s="14" t="str">
        <x:v>16:00 sonrası</x:v>
      </x:c>
      <x:c r="F2477" s="14" t="str">
        <x:v>F4 - 60 Gün / 60 Tam Deneme</x:v>
      </x:c>
      <x:c r="G2477" s="14" t="str">
        <x:v>21:50</x:v>
      </x:c>
      <x:c r="H2477" s="14" t="str">
        <x:v>22:00</x:v>
      </x:c>
      <x:c r="I2477" s="14" t="str">
        <x:v>Genel</x:v>
      </x:c>
      <x:c r="J2477" s="14" t="str">
        <x:v>Uyku Hazırlığı</x:v>
      </x:c>
      <x:c r="K2477" s="14" t="str"/>
      <x:c r="L2477" s="14" t="str">
        <x:v>22:00'de yatakta ve uyku.</x:v>
      </x:c>
      <x:c r="M2477" s="14" t="str"/>
      <x:c r="N2477" s="14" t="str"/>
      <x:c r="O2477" s="14" t="n">
        <x:v>0</x:v>
      </x:c>
      <x:c r="P2477" s="14" t="str">
        <x:v>Hayır</x:v>
      </x:c>
      <x:c r="Q2477" s="14" t="str">
        <x:v>Hayır</x:v>
      </x:c>
      <x:c r="R2477" s="14" t="str">
        <x:v>Planlandı</x:v>
      </x:c>
      <x:c r="S2477" s="15" t="str"/>
      <x:c r="T2477" s="14" t="str"/>
    </x:row>
    <x:row r="2478">
      <x:c r="A2478" s="14" t="n">
        <x:v>2477</x:v>
      </x:c>
      <x:c r="B2478" s="15" t="n">
        <x:v>46497</x:v>
      </x:c>
      <x:c r="C2478" s="14" t="str">
        <x:v>Salı</x:v>
      </x:c>
      <x:c r="D2478" s="14" t="str">
        <x:v>Okul Günü</x:v>
      </x:c>
      <x:c r="E2478" s="14" t="str">
        <x:v>16:00 sonrası</x:v>
      </x:c>
      <x:c r="F2478" s="14" t="str">
        <x:v>F4 - 60 Gün / 60 Tam Deneme</x:v>
      </x:c>
      <x:c r="G2478" s="14" t="str">
        <x:v>16:00</x:v>
      </x:c>
      <x:c r="H2478" s="14" t="str">
        <x:v>16:25</x:v>
      </x:c>
      <x:c r="I2478" s="14" t="str">
        <x:v>Genel</x:v>
      </x:c>
      <x:c r="J2478" s="14" t="str">
        <x:v>Dinlenme</x:v>
      </x:c>
      <x:c r="K2478" s="14" t="str"/>
      <x:c r="L2478" s="14" t="str">
        <x:v>Eve geliş + kısa dinlenme.</x:v>
      </x:c>
      <x:c r="M2478" s="14" t="str"/>
      <x:c r="N2478" s="14" t="str"/>
      <x:c r="O2478" s="14" t="n">
        <x:v>0</x:v>
      </x:c>
      <x:c r="P2478" s="14" t="str">
        <x:v>Hayır</x:v>
      </x:c>
      <x:c r="Q2478" s="14" t="str">
        <x:v>Hayır</x:v>
      </x:c>
      <x:c r="R2478" s="14" t="str">
        <x:v>Planlandı</x:v>
      </x:c>
      <x:c r="S2478" s="15" t="str"/>
      <x:c r="T2478" s="14" t="str"/>
    </x:row>
    <x:row r="2479">
      <x:c r="A2479" s="14" t="n">
        <x:v>2478</x:v>
      </x:c>
      <x:c r="B2479" s="15" t="n">
        <x:v>46497</x:v>
      </x:c>
      <x:c r="C2479" s="14" t="str">
        <x:v>Salı</x:v>
      </x:c>
      <x:c r="D2479" s="14" t="str">
        <x:v>Okul Günü</x:v>
      </x:c>
      <x:c r="E2479" s="14" t="str">
        <x:v>16:00 sonrası</x:v>
      </x:c>
      <x:c r="F2479" s="14" t="str">
        <x:v>F4 - 60 Gün / 60 Tam Deneme</x:v>
      </x:c>
      <x:c r="G2479" s="14" t="str">
        <x:v>16:30</x:v>
      </x:c>
      <x:c r="H2479" s="14" t="str">
        <x:v>17:45</x:v>
      </x:c>
      <x:c r="I2479" s="14" t="str">
        <x:v>Deneme</x:v>
      </x:c>
      <x:c r="J2479" s="14" t="str">
        <x:v>Tam LGS Denemesi - Sözel</x:v>
      </x:c>
      <x:c r="K2479" s="14" t="str">
        <x:v>Deneme 07</x:v>
      </x:c>
      <x:c r="L2479" s="14" t="str">
        <x:v>Deneme 7/60 — Sözel oturum: Türkçe 20 + İnkılap 10 + Din 10 + İngilizce 10. 75 dakika.</x:v>
      </x:c>
      <x:c r="M2479" s="14" t="str">
        <x:v>Tam LGS Denemesi</x:v>
      </x:c>
      <x:c r="N2479" s="14" t="str"/>
      <x:c r="O2479" s="14" t="n">
        <x:v>50</x:v>
      </x:c>
      <x:c r="P2479" s="14" t="str">
        <x:v>75 dk</x:v>
      </x:c>
      <x:c r="Q2479" s="14" t="str">
        <x:v>Evet</x:v>
      </x:c>
      <x:c r="R2479" s="14" t="str">
        <x:v>Planlandı</x:v>
      </x:c>
      <x:c r="S2479" s="15" t="str"/>
      <x:c r="T2479" s="14" t="str">
        <x:v>2026 LGS formatı çalışma referansıdır; 2027 kılavuzu yayımlanırsa güncellenir.</x:v>
      </x:c>
    </x:row>
    <x:row r="2480">
      <x:c r="A2480" s="14" t="n">
        <x:v>2479</x:v>
      </x:c>
      <x:c r="B2480" s="15" t="n">
        <x:v>46497</x:v>
      </x:c>
      <x:c r="C2480" s="14" t="str">
        <x:v>Salı</x:v>
      </x:c>
      <x:c r="D2480" s="14" t="str">
        <x:v>Okul Günü</x:v>
      </x:c>
      <x:c r="E2480" s="14" t="str">
        <x:v>16:00 sonrası</x:v>
      </x:c>
      <x:c r="F2480" s="14" t="str">
        <x:v>F4 - 60 Gün / 60 Tam Deneme</x:v>
      </x:c>
      <x:c r="G2480" s="14" t="str">
        <x:v>17:45</x:v>
      </x:c>
      <x:c r="H2480" s="14" t="str">
        <x:v>18:30</x:v>
      </x:c>
      <x:c r="I2480" s="14" t="str">
        <x:v>Genel</x:v>
      </x:c>
      <x:c r="J2480" s="14" t="str">
        <x:v>Deneme Arası</x:v>
      </x:c>
      <x:c r="K2480" s="14" t="str"/>
      <x:c r="L2480" s="14" t="str">
        <x:v>45 dakika gerçek sınav arası simülasyonu: yemek/su/tuvalet; soru analizi yapma.</x:v>
      </x:c>
      <x:c r="M2480" s="14" t="str"/>
      <x:c r="N2480" s="14" t="str"/>
      <x:c r="O2480" s="14" t="n">
        <x:v>0</x:v>
      </x:c>
      <x:c r="P2480" s="14" t="str">
        <x:v>Hayır</x:v>
      </x:c>
      <x:c r="Q2480" s="14" t="str">
        <x:v>Evet</x:v>
      </x:c>
      <x:c r="R2480" s="14" t="str">
        <x:v>Planlandı</x:v>
      </x:c>
      <x:c r="S2480" s="15" t="str"/>
      <x:c r="T2480" s="14" t="str"/>
    </x:row>
    <x:row r="2481">
      <x:c r="A2481" s="14" t="n">
        <x:v>2480</x:v>
      </x:c>
      <x:c r="B2481" s="15" t="n">
        <x:v>46497</x:v>
      </x:c>
      <x:c r="C2481" s="14" t="str">
        <x:v>Salı</x:v>
      </x:c>
      <x:c r="D2481" s="14" t="str">
        <x:v>Okul Günü</x:v>
      </x:c>
      <x:c r="E2481" s="14" t="str">
        <x:v>16:00 sonrası</x:v>
      </x:c>
      <x:c r="F2481" s="14" t="str">
        <x:v>F4 - 60 Gün / 60 Tam Deneme</x:v>
      </x:c>
      <x:c r="G2481" s="14" t="str">
        <x:v>18:30</x:v>
      </x:c>
      <x:c r="H2481" s="14" t="str">
        <x:v>19:50</x:v>
      </x:c>
      <x:c r="I2481" s="14" t="str">
        <x:v>Deneme</x:v>
      </x:c>
      <x:c r="J2481" s="14" t="str">
        <x:v>Tam LGS Denemesi - Sayısal</x:v>
      </x:c>
      <x:c r="K2481" s="14" t="str">
        <x:v>Deneme 07</x:v>
      </x:c>
      <x:c r="L2481" s="14" t="str">
        <x:v>Deneme 7/60 — Sayısal oturum: Matematik 20 + Fen 20. 80 dakika.</x:v>
      </x:c>
      <x:c r="M2481" s="14" t="str">
        <x:v>Tam LGS Denemesi</x:v>
      </x:c>
      <x:c r="N2481" s="14" t="str"/>
      <x:c r="O2481" s="14" t="n">
        <x:v>40</x:v>
      </x:c>
      <x:c r="P2481" s="14" t="str">
        <x:v>80 dk</x:v>
      </x:c>
      <x:c r="Q2481" s="14" t="str">
        <x:v>Evet</x:v>
      </x:c>
      <x:c r="R2481" s="14" t="str">
        <x:v>Planlandı</x:v>
      </x:c>
      <x:c r="S2481" s="15" t="str"/>
      <x:c r="T2481" s="14" t="str"/>
    </x:row>
    <x:row r="2482">
      <x:c r="A2482" s="14" t="n">
        <x:v>2481</x:v>
      </x:c>
      <x:c r="B2482" s="15" t="n">
        <x:v>46497</x:v>
      </x:c>
      <x:c r="C2482" s="14" t="str">
        <x:v>Salı</x:v>
      </x:c>
      <x:c r="D2482" s="14" t="str">
        <x:v>Okul Günü</x:v>
      </x:c>
      <x:c r="E2482" s="14" t="str">
        <x:v>16:00 sonrası</x:v>
      </x:c>
      <x:c r="F2482" s="14" t="str">
        <x:v>F4 - 60 Gün / 60 Tam Deneme</x:v>
      </x:c>
      <x:c r="G2482" s="14" t="str">
        <x:v>20:00</x:v>
      </x:c>
      <x:c r="H2482" s="14" t="str">
        <x:v>20:45</x:v>
      </x:c>
      <x:c r="I2482" s="14" t="str">
        <x:v>Deneme</x:v>
      </x:c>
      <x:c r="J2482" s="14" t="str">
        <x:v>Deneme Analizi</x:v>
      </x:c>
      <x:c r="K2482" s="14" t="str">
        <x:v>Deneme 07</x:v>
      </x:c>
      <x:c r="L2482" s="14" t="str">
        <x:v>Tüm yanlış/boşları nedenleriyle analiz et; bilgi eksikliği, işlem, dikkat, yanlış okuma veya yorumlama olarak sınıflandır.</x:v>
      </x:c>
      <x:c r="M2482" s="14" t="str">
        <x:v>Deneme Takibi</x:v>
      </x:c>
      <x:c r="N2482" s="14" t="str"/>
      <x:c r="O2482" s="14" t="n">
        <x:v>0</x:v>
      </x:c>
      <x:c r="P2482" s="14" t="str">
        <x:v>Hayır</x:v>
      </x:c>
      <x:c r="Q2482" s="14" t="str">
        <x:v>Evet</x:v>
      </x:c>
      <x:c r="R2482" s="14" t="str">
        <x:v>Planlandı</x:v>
      </x:c>
      <x:c r="S2482" s="15" t="str"/>
      <x:c r="T2482" s="14" t="str">
        <x:v>Deneme çözülüp analiz edilmediyse gün tamamlanmış sayılmaz.</x:v>
      </x:c>
    </x:row>
    <x:row r="2483">
      <x:c r="A2483" s="14" t="n">
        <x:v>2482</x:v>
      </x:c>
      <x:c r="B2483" s="15" t="n">
        <x:v>46497</x:v>
      </x:c>
      <x:c r="C2483" s="14" t="str">
        <x:v>Salı</x:v>
      </x:c>
      <x:c r="D2483" s="14" t="str">
        <x:v>Okul Günü</x:v>
      </x:c>
      <x:c r="E2483" s="14" t="str">
        <x:v>16:00 sonrası</x:v>
      </x:c>
      <x:c r="F2483" s="14" t="str">
        <x:v>F4 - 60 Gün / 60 Tam Deneme</x:v>
      </x:c>
      <x:c r="G2483" s="14" t="str">
        <x:v>20:50</x:v>
      </x:c>
      <x:c r="H2483" s="14" t="str">
        <x:v>21:25</x:v>
      </x:c>
      <x:c r="I2483" s="14" t="str">
        <x:v>Genel</x:v>
      </x:c>
      <x:c r="J2483" s="14" t="str">
        <x:v>Hedefli Eksik Giderme</x:v>
      </x:c>
      <x:c r="K2483" s="14" t="str">
        <x:v>Denemeden Gelen Eksikler</x:v>
      </x:c>
      <x:c r="L2483" s="14" t="str">
        <x:v>Denemenin gösterdiği en kritik 1-3 eksiği gider: gerekirse ilgili playlist videosuna kısa dönüş + hedefli soru çözümü.</x:v>
      </x:c>
      <x:c r="M2483" s="14" t="str">
        <x:v>Playlist + Soru Kitabı + MEB</x:v>
      </x:c>
      <x:c r="N2483" s="14" t="str"/>
      <x:c r="O2483" s="14" t="n">
        <x:v>0</x:v>
      </x:c>
      <x:c r="P2483" s="14" t="str">
        <x:v>Hayır</x:v>
      </x:c>
      <x:c r="Q2483" s="14" t="str">
        <x:v>Evet</x:v>
      </x:c>
      <x:c r="R2483" s="14" t="str">
        <x:v>Planlandı</x:v>
      </x:c>
      <x:c r="S2483" s="15" t="str"/>
      <x:c r="T2483" s="14" t="str">
        <x:v>Yeni konu açılmaz; yalnız denemenin kanıtladığı eksiğe müdahale edilir.</x:v>
      </x:c>
    </x:row>
    <x:row r="2484">
      <x:c r="A2484" s="14" t="n">
        <x:v>2483</x:v>
      </x:c>
      <x:c r="B2484" s="15" t="n">
        <x:v>46497</x:v>
      </x:c>
      <x:c r="C2484" s="14" t="str">
        <x:v>Salı</x:v>
      </x:c>
      <x:c r="D2484" s="14" t="str">
        <x:v>Okul Günü</x:v>
      </x:c>
      <x:c r="E2484" s="14" t="str">
        <x:v>16:00 sonrası</x:v>
      </x:c>
      <x:c r="F2484" s="14" t="str">
        <x:v>F4 - 60 Gün / 60 Tam Deneme</x:v>
      </x:c>
      <x:c r="G2484" s="14" t="str">
        <x:v>21:25</x:v>
      </x:c>
      <x:c r="H2484" s="14" t="str">
        <x:v>21:40</x:v>
      </x:c>
      <x:c r="I2484" s="14" t="str">
        <x:v>Genel</x:v>
      </x:c>
      <x:c r="J2484" s="14" t="str">
        <x:v>Aralıklı Hata Tekrarı</x:v>
      </x:c>
      <x:c r="K2484" s="14" t="str">
        <x:v>+1 / +7 / +21</x:v>
      </x:c>
      <x:c r="L2484" s="14" t="str">
        <x:v>Bugün vadesi gelen eski yanlışları tekrar çöz ve bugünkü yanlışları Yanlış Defteri'ne ekle.</x:v>
      </x:c>
      <x:c r="M2484" s="14" t="str">
        <x:v>Yanlış Defteri</x:v>
      </x:c>
      <x:c r="N2484" s="14" t="str"/>
      <x:c r="O2484" s="14" t="n">
        <x:v>0</x:v>
      </x:c>
      <x:c r="P2484" s="14" t="str">
        <x:v>Hayır</x:v>
      </x:c>
      <x:c r="Q2484" s="14" t="str">
        <x:v>Evet</x:v>
      </x:c>
      <x:c r="R2484" s="14" t="str">
        <x:v>Planlandı</x:v>
      </x:c>
      <x:c r="S2484" s="15" t="str"/>
      <x:c r="T2484" s="14" t="str"/>
    </x:row>
    <x:row r="2485">
      <x:c r="A2485" s="14" t="n">
        <x:v>2484</x:v>
      </x:c>
      <x:c r="B2485" s="15" t="n">
        <x:v>46497</x:v>
      </x:c>
      <x:c r="C2485" s="14" t="str">
        <x:v>Salı</x:v>
      </x:c>
      <x:c r="D2485" s="14" t="str">
        <x:v>Okul Günü</x:v>
      </x:c>
      <x:c r="E2485" s="14" t="str">
        <x:v>16:00 sonrası</x:v>
      </x:c>
      <x:c r="F2485" s="14" t="str">
        <x:v>F4 - 60 Gün / 60 Tam Deneme</x:v>
      </x:c>
      <x:c r="G2485" s="14" t="str">
        <x:v>21:40</x:v>
      </x:c>
      <x:c r="H2485" s="14" t="str">
        <x:v>21:50</x:v>
      </x:c>
      <x:c r="I2485" s="14" t="str">
        <x:v>Okuma</x:v>
      </x:c>
      <x:c r="J2485" s="14" t="str">
        <x:v>İsteğe Bağlı</x:v>
      </x:c>
      <x:c r="K2485" s="14" t="str">
        <x:v>Serbest Kitap</x:v>
      </x:c>
      <x:c r="L2485" s="14" t="str">
        <x:v>Enerji uygunsa kısa isteğe bağlı okuma.</x:v>
      </x:c>
      <x:c r="M2485" s="14" t="str">
        <x:v>Serbest Kitap</x:v>
      </x:c>
      <x:c r="N2485" s="14" t="str"/>
      <x:c r="O2485" s="14" t="n">
        <x:v>0</x:v>
      </x:c>
      <x:c r="P2485" s="14" t="str">
        <x:v>İsteğe Bağlı</x:v>
      </x:c>
      <x:c r="Q2485" s="14" t="str">
        <x:v>Hayır</x:v>
      </x:c>
      <x:c r="R2485" s="14" t="str">
        <x:v>Planlandı</x:v>
      </x:c>
      <x:c r="S2485" s="15" t="str"/>
      <x:c r="T2485" s="14" t="str"/>
    </x:row>
    <x:row r="2486">
      <x:c r="A2486" s="14" t="n">
        <x:v>2485</x:v>
      </x:c>
      <x:c r="B2486" s="15" t="n">
        <x:v>46497</x:v>
      </x:c>
      <x:c r="C2486" s="14" t="str">
        <x:v>Salı</x:v>
      </x:c>
      <x:c r="D2486" s="14" t="str">
        <x:v>Okul Günü</x:v>
      </x:c>
      <x:c r="E2486" s="14" t="str">
        <x:v>16:00 sonrası</x:v>
      </x:c>
      <x:c r="F2486" s="14" t="str">
        <x:v>F4 - 60 Gün / 60 Tam Deneme</x:v>
      </x:c>
      <x:c r="G2486" s="14" t="str">
        <x:v>21:50</x:v>
      </x:c>
      <x:c r="H2486" s="14" t="str">
        <x:v>22:00</x:v>
      </x:c>
      <x:c r="I2486" s="14" t="str">
        <x:v>Genel</x:v>
      </x:c>
      <x:c r="J2486" s="14" t="str">
        <x:v>Uyku Hazırlığı</x:v>
      </x:c>
      <x:c r="K2486" s="14" t="str"/>
      <x:c r="L2486" s="14" t="str">
        <x:v>22:00'de yatakta ve uyku.</x:v>
      </x:c>
      <x:c r="M2486" s="14" t="str"/>
      <x:c r="N2486" s="14" t="str"/>
      <x:c r="O2486" s="14" t="n">
        <x:v>0</x:v>
      </x:c>
      <x:c r="P2486" s="14" t="str">
        <x:v>Hayır</x:v>
      </x:c>
      <x:c r="Q2486" s="14" t="str">
        <x:v>Hayır</x:v>
      </x:c>
      <x:c r="R2486" s="14" t="str">
        <x:v>Planlandı</x:v>
      </x:c>
      <x:c r="S2486" s="15" t="str"/>
      <x:c r="T2486" s="14" t="str"/>
    </x:row>
    <x:row r="2487">
      <x:c r="A2487" s="14" t="n">
        <x:v>2486</x:v>
      </x:c>
      <x:c r="B2487" s="15" t="n">
        <x:v>46498</x:v>
      </x:c>
      <x:c r="C2487" s="14" t="str">
        <x:v>Çarşamba</x:v>
      </x:c>
      <x:c r="D2487" s="14" t="str">
        <x:v>Okul Günü</x:v>
      </x:c>
      <x:c r="E2487" s="14" t="str">
        <x:v>16:00 sonrası</x:v>
      </x:c>
      <x:c r="F2487" s="14" t="str">
        <x:v>F4 - 60 Gün / 60 Tam Deneme</x:v>
      </x:c>
      <x:c r="G2487" s="14" t="str">
        <x:v>16:00</x:v>
      </x:c>
      <x:c r="H2487" s="14" t="str">
        <x:v>16:25</x:v>
      </x:c>
      <x:c r="I2487" s="14" t="str">
        <x:v>Genel</x:v>
      </x:c>
      <x:c r="J2487" s="14" t="str">
        <x:v>Dinlenme</x:v>
      </x:c>
      <x:c r="K2487" s="14" t="str"/>
      <x:c r="L2487" s="14" t="str">
        <x:v>Eve geliş + kısa dinlenme.</x:v>
      </x:c>
      <x:c r="M2487" s="14" t="str"/>
      <x:c r="N2487" s="14" t="str"/>
      <x:c r="O2487" s="14" t="n">
        <x:v>0</x:v>
      </x:c>
      <x:c r="P2487" s="14" t="str">
        <x:v>Hayır</x:v>
      </x:c>
      <x:c r="Q2487" s="14" t="str">
        <x:v>Hayır</x:v>
      </x:c>
      <x:c r="R2487" s="14" t="str">
        <x:v>Planlandı</x:v>
      </x:c>
      <x:c r="S2487" s="15" t="str"/>
      <x:c r="T2487" s="14" t="str"/>
    </x:row>
    <x:row r="2488">
      <x:c r="A2488" s="14" t="n">
        <x:v>2487</x:v>
      </x:c>
      <x:c r="B2488" s="15" t="n">
        <x:v>46498</x:v>
      </x:c>
      <x:c r="C2488" s="14" t="str">
        <x:v>Çarşamba</x:v>
      </x:c>
      <x:c r="D2488" s="14" t="str">
        <x:v>Okul Günü</x:v>
      </x:c>
      <x:c r="E2488" s="14" t="str">
        <x:v>16:00 sonrası</x:v>
      </x:c>
      <x:c r="F2488" s="14" t="str">
        <x:v>F4 - 60 Gün / 60 Tam Deneme</x:v>
      </x:c>
      <x:c r="G2488" s="14" t="str">
        <x:v>16:30</x:v>
      </x:c>
      <x:c r="H2488" s="14" t="str">
        <x:v>17:45</x:v>
      </x:c>
      <x:c r="I2488" s="14" t="str">
        <x:v>Deneme</x:v>
      </x:c>
      <x:c r="J2488" s="14" t="str">
        <x:v>Tam LGS Denemesi - Sözel</x:v>
      </x:c>
      <x:c r="K2488" s="14" t="str">
        <x:v>Deneme 08</x:v>
      </x:c>
      <x:c r="L2488" s="14" t="str">
        <x:v>Deneme 8/60 — Sözel oturum: Türkçe 20 + İnkılap 10 + Din 10 + İngilizce 10. 75 dakika.</x:v>
      </x:c>
      <x:c r="M2488" s="14" t="str">
        <x:v>Tam LGS Denemesi</x:v>
      </x:c>
      <x:c r="N2488" s="14" t="str"/>
      <x:c r="O2488" s="14" t="n">
        <x:v>50</x:v>
      </x:c>
      <x:c r="P2488" s="14" t="str">
        <x:v>75 dk</x:v>
      </x:c>
      <x:c r="Q2488" s="14" t="str">
        <x:v>Evet</x:v>
      </x:c>
      <x:c r="R2488" s="14" t="str">
        <x:v>Planlandı</x:v>
      </x:c>
      <x:c r="S2488" s="15" t="str"/>
      <x:c r="T2488" s="14" t="str">
        <x:v>2026 LGS formatı çalışma referansıdır; 2027 kılavuzu yayımlanırsa güncellenir.</x:v>
      </x:c>
    </x:row>
    <x:row r="2489">
      <x:c r="A2489" s="14" t="n">
        <x:v>2488</x:v>
      </x:c>
      <x:c r="B2489" s="15" t="n">
        <x:v>46498</x:v>
      </x:c>
      <x:c r="C2489" s="14" t="str">
        <x:v>Çarşamba</x:v>
      </x:c>
      <x:c r="D2489" s="14" t="str">
        <x:v>Okul Günü</x:v>
      </x:c>
      <x:c r="E2489" s="14" t="str">
        <x:v>16:00 sonrası</x:v>
      </x:c>
      <x:c r="F2489" s="14" t="str">
        <x:v>F4 - 60 Gün / 60 Tam Deneme</x:v>
      </x:c>
      <x:c r="G2489" s="14" t="str">
        <x:v>17:45</x:v>
      </x:c>
      <x:c r="H2489" s="14" t="str">
        <x:v>18:30</x:v>
      </x:c>
      <x:c r="I2489" s="14" t="str">
        <x:v>Genel</x:v>
      </x:c>
      <x:c r="J2489" s="14" t="str">
        <x:v>Deneme Arası</x:v>
      </x:c>
      <x:c r="K2489" s="14" t="str"/>
      <x:c r="L2489" s="14" t="str">
        <x:v>45 dakika gerçek sınav arası simülasyonu: yemek/su/tuvalet; soru analizi yapma.</x:v>
      </x:c>
      <x:c r="M2489" s="14" t="str"/>
      <x:c r="N2489" s="14" t="str"/>
      <x:c r="O2489" s="14" t="n">
        <x:v>0</x:v>
      </x:c>
      <x:c r="P2489" s="14" t="str">
        <x:v>Hayır</x:v>
      </x:c>
      <x:c r="Q2489" s="14" t="str">
        <x:v>Evet</x:v>
      </x:c>
      <x:c r="R2489" s="14" t="str">
        <x:v>Planlandı</x:v>
      </x:c>
      <x:c r="S2489" s="15" t="str"/>
      <x:c r="T2489" s="14" t="str"/>
    </x:row>
    <x:row r="2490">
      <x:c r="A2490" s="14" t="n">
        <x:v>2489</x:v>
      </x:c>
      <x:c r="B2490" s="15" t="n">
        <x:v>46498</x:v>
      </x:c>
      <x:c r="C2490" s="14" t="str">
        <x:v>Çarşamba</x:v>
      </x:c>
      <x:c r="D2490" s="14" t="str">
        <x:v>Okul Günü</x:v>
      </x:c>
      <x:c r="E2490" s="14" t="str">
        <x:v>16:00 sonrası</x:v>
      </x:c>
      <x:c r="F2490" s="14" t="str">
        <x:v>F4 - 60 Gün / 60 Tam Deneme</x:v>
      </x:c>
      <x:c r="G2490" s="14" t="str">
        <x:v>18:30</x:v>
      </x:c>
      <x:c r="H2490" s="14" t="str">
        <x:v>19:50</x:v>
      </x:c>
      <x:c r="I2490" s="14" t="str">
        <x:v>Deneme</x:v>
      </x:c>
      <x:c r="J2490" s="14" t="str">
        <x:v>Tam LGS Denemesi - Sayısal</x:v>
      </x:c>
      <x:c r="K2490" s="14" t="str">
        <x:v>Deneme 08</x:v>
      </x:c>
      <x:c r="L2490" s="14" t="str">
        <x:v>Deneme 8/60 — Sayısal oturum: Matematik 20 + Fen 20. 80 dakika.</x:v>
      </x:c>
      <x:c r="M2490" s="14" t="str">
        <x:v>Tam LGS Denemesi</x:v>
      </x:c>
      <x:c r="N2490" s="14" t="str"/>
      <x:c r="O2490" s="14" t="n">
        <x:v>40</x:v>
      </x:c>
      <x:c r="P2490" s="14" t="str">
        <x:v>80 dk</x:v>
      </x:c>
      <x:c r="Q2490" s="14" t="str">
        <x:v>Evet</x:v>
      </x:c>
      <x:c r="R2490" s="14" t="str">
        <x:v>Planlandı</x:v>
      </x:c>
      <x:c r="S2490" s="15" t="str"/>
      <x:c r="T2490" s="14" t="str"/>
    </x:row>
    <x:row r="2491">
      <x:c r="A2491" s="14" t="n">
        <x:v>2490</x:v>
      </x:c>
      <x:c r="B2491" s="15" t="n">
        <x:v>46498</x:v>
      </x:c>
      <x:c r="C2491" s="14" t="str">
        <x:v>Çarşamba</x:v>
      </x:c>
      <x:c r="D2491" s="14" t="str">
        <x:v>Okul Günü</x:v>
      </x:c>
      <x:c r="E2491" s="14" t="str">
        <x:v>16:00 sonrası</x:v>
      </x:c>
      <x:c r="F2491" s="14" t="str">
        <x:v>F4 - 60 Gün / 60 Tam Deneme</x:v>
      </x:c>
      <x:c r="G2491" s="14" t="str">
        <x:v>20:00</x:v>
      </x:c>
      <x:c r="H2491" s="14" t="str">
        <x:v>20:45</x:v>
      </x:c>
      <x:c r="I2491" s="14" t="str">
        <x:v>Deneme</x:v>
      </x:c>
      <x:c r="J2491" s="14" t="str">
        <x:v>Deneme Analizi</x:v>
      </x:c>
      <x:c r="K2491" s="14" t="str">
        <x:v>Deneme 08</x:v>
      </x:c>
      <x:c r="L2491" s="14" t="str">
        <x:v>Tüm yanlış/boşları nedenleriyle analiz et; bilgi eksikliği, işlem, dikkat, yanlış okuma veya yorumlama olarak sınıflandır.</x:v>
      </x:c>
      <x:c r="M2491" s="14" t="str">
        <x:v>Deneme Takibi</x:v>
      </x:c>
      <x:c r="N2491" s="14" t="str"/>
      <x:c r="O2491" s="14" t="n">
        <x:v>0</x:v>
      </x:c>
      <x:c r="P2491" s="14" t="str">
        <x:v>Hayır</x:v>
      </x:c>
      <x:c r="Q2491" s="14" t="str">
        <x:v>Evet</x:v>
      </x:c>
      <x:c r="R2491" s="14" t="str">
        <x:v>Planlandı</x:v>
      </x:c>
      <x:c r="S2491" s="15" t="str"/>
      <x:c r="T2491" s="14" t="str">
        <x:v>Deneme çözülüp analiz edilmediyse gün tamamlanmış sayılmaz.</x:v>
      </x:c>
    </x:row>
    <x:row r="2492">
      <x:c r="A2492" s="14" t="n">
        <x:v>2491</x:v>
      </x:c>
      <x:c r="B2492" s="15" t="n">
        <x:v>46498</x:v>
      </x:c>
      <x:c r="C2492" s="14" t="str">
        <x:v>Çarşamba</x:v>
      </x:c>
      <x:c r="D2492" s="14" t="str">
        <x:v>Okul Günü</x:v>
      </x:c>
      <x:c r="E2492" s="14" t="str">
        <x:v>16:00 sonrası</x:v>
      </x:c>
      <x:c r="F2492" s="14" t="str">
        <x:v>F4 - 60 Gün / 60 Tam Deneme</x:v>
      </x:c>
      <x:c r="G2492" s="14" t="str">
        <x:v>20:50</x:v>
      </x:c>
      <x:c r="H2492" s="14" t="str">
        <x:v>21:25</x:v>
      </x:c>
      <x:c r="I2492" s="14" t="str">
        <x:v>Genel</x:v>
      </x:c>
      <x:c r="J2492" s="14" t="str">
        <x:v>Hedefli Eksik Giderme</x:v>
      </x:c>
      <x:c r="K2492" s="14" t="str">
        <x:v>Denemeden Gelen Eksikler</x:v>
      </x:c>
      <x:c r="L2492" s="14" t="str">
        <x:v>Denemenin gösterdiği en kritik 1-3 eksiği gider: gerekirse ilgili playlist videosuna kısa dönüş + hedefli soru çözümü.</x:v>
      </x:c>
      <x:c r="M2492" s="14" t="str">
        <x:v>Playlist + Soru Kitabı + MEB</x:v>
      </x:c>
      <x:c r="N2492" s="14" t="str"/>
      <x:c r="O2492" s="14" t="n">
        <x:v>0</x:v>
      </x:c>
      <x:c r="P2492" s="14" t="str">
        <x:v>Hayır</x:v>
      </x:c>
      <x:c r="Q2492" s="14" t="str">
        <x:v>Evet</x:v>
      </x:c>
      <x:c r="R2492" s="14" t="str">
        <x:v>Planlandı</x:v>
      </x:c>
      <x:c r="S2492" s="15" t="str"/>
      <x:c r="T2492" s="14" t="str">
        <x:v>Yeni konu açılmaz; yalnız denemenin kanıtladığı eksiğe müdahale edilir.</x:v>
      </x:c>
    </x:row>
    <x:row r="2493">
      <x:c r="A2493" s="14" t="n">
        <x:v>2492</x:v>
      </x:c>
      <x:c r="B2493" s="15" t="n">
        <x:v>46498</x:v>
      </x:c>
      <x:c r="C2493" s="14" t="str">
        <x:v>Çarşamba</x:v>
      </x:c>
      <x:c r="D2493" s="14" t="str">
        <x:v>Okul Günü</x:v>
      </x:c>
      <x:c r="E2493" s="14" t="str">
        <x:v>16:00 sonrası</x:v>
      </x:c>
      <x:c r="F2493" s="14" t="str">
        <x:v>F4 - 60 Gün / 60 Tam Deneme</x:v>
      </x:c>
      <x:c r="G2493" s="14" t="str">
        <x:v>21:25</x:v>
      </x:c>
      <x:c r="H2493" s="14" t="str">
        <x:v>21:40</x:v>
      </x:c>
      <x:c r="I2493" s="14" t="str">
        <x:v>Genel</x:v>
      </x:c>
      <x:c r="J2493" s="14" t="str">
        <x:v>Aralıklı Hata Tekrarı</x:v>
      </x:c>
      <x:c r="K2493" s="14" t="str">
        <x:v>+1 / +7 / +21</x:v>
      </x:c>
      <x:c r="L2493" s="14" t="str">
        <x:v>Bugün vadesi gelen eski yanlışları tekrar çöz ve bugünkü yanlışları Yanlış Defteri'ne ekle.</x:v>
      </x:c>
      <x:c r="M2493" s="14" t="str">
        <x:v>Yanlış Defteri</x:v>
      </x:c>
      <x:c r="N2493" s="14" t="str"/>
      <x:c r="O2493" s="14" t="n">
        <x:v>0</x:v>
      </x:c>
      <x:c r="P2493" s="14" t="str">
        <x:v>Hayır</x:v>
      </x:c>
      <x:c r="Q2493" s="14" t="str">
        <x:v>Evet</x:v>
      </x:c>
      <x:c r="R2493" s="14" t="str">
        <x:v>Planlandı</x:v>
      </x:c>
      <x:c r="S2493" s="15" t="str"/>
      <x:c r="T2493" s="14" t="str"/>
    </x:row>
    <x:row r="2494">
      <x:c r="A2494" s="14" t="n">
        <x:v>2493</x:v>
      </x:c>
      <x:c r="B2494" s="15" t="n">
        <x:v>46498</x:v>
      </x:c>
      <x:c r="C2494" s="14" t="str">
        <x:v>Çarşamba</x:v>
      </x:c>
      <x:c r="D2494" s="14" t="str">
        <x:v>Okul Günü</x:v>
      </x:c>
      <x:c r="E2494" s="14" t="str">
        <x:v>16:00 sonrası</x:v>
      </x:c>
      <x:c r="F2494" s="14" t="str">
        <x:v>F4 - 60 Gün / 60 Tam Deneme</x:v>
      </x:c>
      <x:c r="G2494" s="14" t="str">
        <x:v>21:40</x:v>
      </x:c>
      <x:c r="H2494" s="14" t="str">
        <x:v>21:50</x:v>
      </x:c>
      <x:c r="I2494" s="14" t="str">
        <x:v>Okuma</x:v>
      </x:c>
      <x:c r="J2494" s="14" t="str">
        <x:v>İsteğe Bağlı</x:v>
      </x:c>
      <x:c r="K2494" s="14" t="str">
        <x:v>Serbest Kitap</x:v>
      </x:c>
      <x:c r="L2494" s="14" t="str">
        <x:v>Enerji uygunsa kısa isteğe bağlı okuma.</x:v>
      </x:c>
      <x:c r="M2494" s="14" t="str">
        <x:v>Serbest Kitap</x:v>
      </x:c>
      <x:c r="N2494" s="14" t="str"/>
      <x:c r="O2494" s="14" t="n">
        <x:v>0</x:v>
      </x:c>
      <x:c r="P2494" s="14" t="str">
        <x:v>İsteğe Bağlı</x:v>
      </x:c>
      <x:c r="Q2494" s="14" t="str">
        <x:v>Hayır</x:v>
      </x:c>
      <x:c r="R2494" s="14" t="str">
        <x:v>Planlandı</x:v>
      </x:c>
      <x:c r="S2494" s="15" t="str"/>
      <x:c r="T2494" s="14" t="str"/>
    </x:row>
    <x:row r="2495">
      <x:c r="A2495" s="14" t="n">
        <x:v>2494</x:v>
      </x:c>
      <x:c r="B2495" s="15" t="n">
        <x:v>46498</x:v>
      </x:c>
      <x:c r="C2495" s="14" t="str">
        <x:v>Çarşamba</x:v>
      </x:c>
      <x:c r="D2495" s="14" t="str">
        <x:v>Okul Günü</x:v>
      </x:c>
      <x:c r="E2495" s="14" t="str">
        <x:v>16:00 sonrası</x:v>
      </x:c>
      <x:c r="F2495" s="14" t="str">
        <x:v>F4 - 60 Gün / 60 Tam Deneme</x:v>
      </x:c>
      <x:c r="G2495" s="14" t="str">
        <x:v>21:50</x:v>
      </x:c>
      <x:c r="H2495" s="14" t="str">
        <x:v>22:00</x:v>
      </x:c>
      <x:c r="I2495" s="14" t="str">
        <x:v>Genel</x:v>
      </x:c>
      <x:c r="J2495" s="14" t="str">
        <x:v>Uyku Hazırlığı</x:v>
      </x:c>
      <x:c r="K2495" s="14" t="str"/>
      <x:c r="L2495" s="14" t="str">
        <x:v>22:00'de yatakta ve uyku.</x:v>
      </x:c>
      <x:c r="M2495" s="14" t="str"/>
      <x:c r="N2495" s="14" t="str"/>
      <x:c r="O2495" s="14" t="n">
        <x:v>0</x:v>
      </x:c>
      <x:c r="P2495" s="14" t="str">
        <x:v>Hayır</x:v>
      </x:c>
      <x:c r="Q2495" s="14" t="str">
        <x:v>Hayır</x:v>
      </x:c>
      <x:c r="R2495" s="14" t="str">
        <x:v>Planlandı</x:v>
      </x:c>
      <x:c r="S2495" s="15" t="str"/>
      <x:c r="T2495" s="14" t="str"/>
    </x:row>
    <x:row r="2496">
      <x:c r="A2496" s="14" t="n">
        <x:v>2495</x:v>
      </x:c>
      <x:c r="B2496" s="15" t="n">
        <x:v>46499</x:v>
      </x:c>
      <x:c r="C2496" s="14" t="str">
        <x:v>Perşembe</x:v>
      </x:c>
      <x:c r="D2496" s="14" t="str">
        <x:v>Okul Günü</x:v>
      </x:c>
      <x:c r="E2496" s="14" t="str">
        <x:v>16:00 sonrası</x:v>
      </x:c>
      <x:c r="F2496" s="14" t="str">
        <x:v>F4 - 60 Gün / 60 Tam Deneme</x:v>
      </x:c>
      <x:c r="G2496" s="14" t="str">
        <x:v>16:00</x:v>
      </x:c>
      <x:c r="H2496" s="14" t="str">
        <x:v>16:25</x:v>
      </x:c>
      <x:c r="I2496" s="14" t="str">
        <x:v>Genel</x:v>
      </x:c>
      <x:c r="J2496" s="14" t="str">
        <x:v>Dinlenme</x:v>
      </x:c>
      <x:c r="K2496" s="14" t="str"/>
      <x:c r="L2496" s="14" t="str">
        <x:v>Eve geliş + kısa dinlenme.</x:v>
      </x:c>
      <x:c r="M2496" s="14" t="str"/>
      <x:c r="N2496" s="14" t="str"/>
      <x:c r="O2496" s="14" t="n">
        <x:v>0</x:v>
      </x:c>
      <x:c r="P2496" s="14" t="str">
        <x:v>Hayır</x:v>
      </x:c>
      <x:c r="Q2496" s="14" t="str">
        <x:v>Hayır</x:v>
      </x:c>
      <x:c r="R2496" s="14" t="str">
        <x:v>Planlandı</x:v>
      </x:c>
      <x:c r="S2496" s="15" t="str"/>
      <x:c r="T2496" s="14" t="str"/>
    </x:row>
    <x:row r="2497">
      <x:c r="A2497" s="14" t="n">
        <x:v>2496</x:v>
      </x:c>
      <x:c r="B2497" s="15" t="n">
        <x:v>46499</x:v>
      </x:c>
      <x:c r="C2497" s="14" t="str">
        <x:v>Perşembe</x:v>
      </x:c>
      <x:c r="D2497" s="14" t="str">
        <x:v>Okul Günü</x:v>
      </x:c>
      <x:c r="E2497" s="14" t="str">
        <x:v>16:00 sonrası</x:v>
      </x:c>
      <x:c r="F2497" s="14" t="str">
        <x:v>F4 - 60 Gün / 60 Tam Deneme</x:v>
      </x:c>
      <x:c r="G2497" s="14" t="str">
        <x:v>16:30</x:v>
      </x:c>
      <x:c r="H2497" s="14" t="str">
        <x:v>17:45</x:v>
      </x:c>
      <x:c r="I2497" s="14" t="str">
        <x:v>Deneme</x:v>
      </x:c>
      <x:c r="J2497" s="14" t="str">
        <x:v>Tam LGS Denemesi - Sözel</x:v>
      </x:c>
      <x:c r="K2497" s="14" t="str">
        <x:v>Deneme 09</x:v>
      </x:c>
      <x:c r="L2497" s="14" t="str">
        <x:v>Deneme 9/60 — Sözel oturum: Türkçe 20 + İnkılap 10 + Din 10 + İngilizce 10. 75 dakika.</x:v>
      </x:c>
      <x:c r="M2497" s="14" t="str">
        <x:v>Tam LGS Denemesi</x:v>
      </x:c>
      <x:c r="N2497" s="14" t="str"/>
      <x:c r="O2497" s="14" t="n">
        <x:v>50</x:v>
      </x:c>
      <x:c r="P2497" s="14" t="str">
        <x:v>75 dk</x:v>
      </x:c>
      <x:c r="Q2497" s="14" t="str">
        <x:v>Evet</x:v>
      </x:c>
      <x:c r="R2497" s="14" t="str">
        <x:v>Planlandı</x:v>
      </x:c>
      <x:c r="S2497" s="15" t="str"/>
      <x:c r="T2497" s="14" t="str">
        <x:v>2026 LGS formatı çalışma referansıdır; 2027 kılavuzu yayımlanırsa güncellenir.</x:v>
      </x:c>
    </x:row>
    <x:row r="2498">
      <x:c r="A2498" s="14" t="n">
        <x:v>2497</x:v>
      </x:c>
      <x:c r="B2498" s="15" t="n">
        <x:v>46499</x:v>
      </x:c>
      <x:c r="C2498" s="14" t="str">
        <x:v>Perşembe</x:v>
      </x:c>
      <x:c r="D2498" s="14" t="str">
        <x:v>Okul Günü</x:v>
      </x:c>
      <x:c r="E2498" s="14" t="str">
        <x:v>16:00 sonrası</x:v>
      </x:c>
      <x:c r="F2498" s="14" t="str">
        <x:v>F4 - 60 Gün / 60 Tam Deneme</x:v>
      </x:c>
      <x:c r="G2498" s="14" t="str">
        <x:v>17:45</x:v>
      </x:c>
      <x:c r="H2498" s="14" t="str">
        <x:v>18:30</x:v>
      </x:c>
      <x:c r="I2498" s="14" t="str">
        <x:v>Genel</x:v>
      </x:c>
      <x:c r="J2498" s="14" t="str">
        <x:v>Deneme Arası</x:v>
      </x:c>
      <x:c r="K2498" s="14" t="str"/>
      <x:c r="L2498" s="14" t="str">
        <x:v>45 dakika gerçek sınav arası simülasyonu: yemek/su/tuvalet; soru analizi yapma.</x:v>
      </x:c>
      <x:c r="M2498" s="14" t="str"/>
      <x:c r="N2498" s="14" t="str"/>
      <x:c r="O2498" s="14" t="n">
        <x:v>0</x:v>
      </x:c>
      <x:c r="P2498" s="14" t="str">
        <x:v>Hayır</x:v>
      </x:c>
      <x:c r="Q2498" s="14" t="str">
        <x:v>Evet</x:v>
      </x:c>
      <x:c r="R2498" s="14" t="str">
        <x:v>Planlandı</x:v>
      </x:c>
      <x:c r="S2498" s="15" t="str"/>
      <x:c r="T2498" s="14" t="str"/>
    </x:row>
    <x:row r="2499">
      <x:c r="A2499" s="14" t="n">
        <x:v>2498</x:v>
      </x:c>
      <x:c r="B2499" s="15" t="n">
        <x:v>46499</x:v>
      </x:c>
      <x:c r="C2499" s="14" t="str">
        <x:v>Perşembe</x:v>
      </x:c>
      <x:c r="D2499" s="14" t="str">
        <x:v>Okul Günü</x:v>
      </x:c>
      <x:c r="E2499" s="14" t="str">
        <x:v>16:00 sonrası</x:v>
      </x:c>
      <x:c r="F2499" s="14" t="str">
        <x:v>F4 - 60 Gün / 60 Tam Deneme</x:v>
      </x:c>
      <x:c r="G2499" s="14" t="str">
        <x:v>18:30</x:v>
      </x:c>
      <x:c r="H2499" s="14" t="str">
        <x:v>19:50</x:v>
      </x:c>
      <x:c r="I2499" s="14" t="str">
        <x:v>Deneme</x:v>
      </x:c>
      <x:c r="J2499" s="14" t="str">
        <x:v>Tam LGS Denemesi - Sayısal</x:v>
      </x:c>
      <x:c r="K2499" s="14" t="str">
        <x:v>Deneme 09</x:v>
      </x:c>
      <x:c r="L2499" s="14" t="str">
        <x:v>Deneme 9/60 — Sayısal oturum: Matematik 20 + Fen 20. 80 dakika.</x:v>
      </x:c>
      <x:c r="M2499" s="14" t="str">
        <x:v>Tam LGS Denemesi</x:v>
      </x:c>
      <x:c r="N2499" s="14" t="str"/>
      <x:c r="O2499" s="14" t="n">
        <x:v>40</x:v>
      </x:c>
      <x:c r="P2499" s="14" t="str">
        <x:v>80 dk</x:v>
      </x:c>
      <x:c r="Q2499" s="14" t="str">
        <x:v>Evet</x:v>
      </x:c>
      <x:c r="R2499" s="14" t="str">
        <x:v>Planlandı</x:v>
      </x:c>
      <x:c r="S2499" s="15" t="str"/>
      <x:c r="T2499" s="14" t="str"/>
    </x:row>
    <x:row r="2500">
      <x:c r="A2500" s="14" t="n">
        <x:v>2499</x:v>
      </x:c>
      <x:c r="B2500" s="15" t="n">
        <x:v>46499</x:v>
      </x:c>
      <x:c r="C2500" s="14" t="str">
        <x:v>Perşembe</x:v>
      </x:c>
      <x:c r="D2500" s="14" t="str">
        <x:v>Okul Günü</x:v>
      </x:c>
      <x:c r="E2500" s="14" t="str">
        <x:v>16:00 sonrası</x:v>
      </x:c>
      <x:c r="F2500" s="14" t="str">
        <x:v>F4 - 60 Gün / 60 Tam Deneme</x:v>
      </x:c>
      <x:c r="G2500" s="14" t="str">
        <x:v>20:00</x:v>
      </x:c>
      <x:c r="H2500" s="14" t="str">
        <x:v>20:45</x:v>
      </x:c>
      <x:c r="I2500" s="14" t="str">
        <x:v>Deneme</x:v>
      </x:c>
      <x:c r="J2500" s="14" t="str">
        <x:v>Deneme Analizi</x:v>
      </x:c>
      <x:c r="K2500" s="14" t="str">
        <x:v>Deneme 09</x:v>
      </x:c>
      <x:c r="L2500" s="14" t="str">
        <x:v>Tüm yanlış/boşları nedenleriyle analiz et; bilgi eksikliği, işlem, dikkat, yanlış okuma veya yorumlama olarak sınıflandır.</x:v>
      </x:c>
      <x:c r="M2500" s="14" t="str">
        <x:v>Deneme Takibi</x:v>
      </x:c>
      <x:c r="N2500" s="14" t="str"/>
      <x:c r="O2500" s="14" t="n">
        <x:v>0</x:v>
      </x:c>
      <x:c r="P2500" s="14" t="str">
        <x:v>Hayır</x:v>
      </x:c>
      <x:c r="Q2500" s="14" t="str">
        <x:v>Evet</x:v>
      </x:c>
      <x:c r="R2500" s="14" t="str">
        <x:v>Planlandı</x:v>
      </x:c>
      <x:c r="S2500" s="15" t="str"/>
      <x:c r="T2500" s="14" t="str">
        <x:v>Deneme çözülüp analiz edilmediyse gün tamamlanmış sayılmaz.</x:v>
      </x:c>
    </x:row>
    <x:row r="2501">
      <x:c r="A2501" s="14" t="n">
        <x:v>2500</x:v>
      </x:c>
      <x:c r="B2501" s="15" t="n">
        <x:v>46499</x:v>
      </x:c>
      <x:c r="C2501" s="14" t="str">
        <x:v>Perşembe</x:v>
      </x:c>
      <x:c r="D2501" s="14" t="str">
        <x:v>Okul Günü</x:v>
      </x:c>
      <x:c r="E2501" s="14" t="str">
        <x:v>16:00 sonrası</x:v>
      </x:c>
      <x:c r="F2501" s="14" t="str">
        <x:v>F4 - 60 Gün / 60 Tam Deneme</x:v>
      </x:c>
      <x:c r="G2501" s="14" t="str">
        <x:v>20:50</x:v>
      </x:c>
      <x:c r="H2501" s="14" t="str">
        <x:v>21:25</x:v>
      </x:c>
      <x:c r="I2501" s="14" t="str">
        <x:v>Genel</x:v>
      </x:c>
      <x:c r="J2501" s="14" t="str">
        <x:v>Hedefli Eksik Giderme</x:v>
      </x:c>
      <x:c r="K2501" s="14" t="str">
        <x:v>Denemeden Gelen Eksikler</x:v>
      </x:c>
      <x:c r="L2501" s="14" t="str">
        <x:v>Denemenin gösterdiği en kritik 1-3 eksiği gider: gerekirse ilgili playlist videosuna kısa dönüş + hedefli soru çözümü.</x:v>
      </x:c>
      <x:c r="M2501" s="14" t="str">
        <x:v>Playlist + Soru Kitabı + MEB</x:v>
      </x:c>
      <x:c r="N2501" s="14" t="str"/>
      <x:c r="O2501" s="14" t="n">
        <x:v>0</x:v>
      </x:c>
      <x:c r="P2501" s="14" t="str">
        <x:v>Hayır</x:v>
      </x:c>
      <x:c r="Q2501" s="14" t="str">
        <x:v>Evet</x:v>
      </x:c>
      <x:c r="R2501" s="14" t="str">
        <x:v>Planlandı</x:v>
      </x:c>
      <x:c r="S2501" s="15" t="str"/>
      <x:c r="T2501" s="14" t="str">
        <x:v>Yeni konu açılmaz; yalnız denemenin kanıtladığı eksiğe müdahale edilir.</x:v>
      </x:c>
    </x:row>
    <x:row r="2502">
      <x:c r="A2502" s="14" t="n">
        <x:v>2501</x:v>
      </x:c>
      <x:c r="B2502" s="15" t="n">
        <x:v>46499</x:v>
      </x:c>
      <x:c r="C2502" s="14" t="str">
        <x:v>Perşembe</x:v>
      </x:c>
      <x:c r="D2502" s="14" t="str">
        <x:v>Okul Günü</x:v>
      </x:c>
      <x:c r="E2502" s="14" t="str">
        <x:v>16:00 sonrası</x:v>
      </x:c>
      <x:c r="F2502" s="14" t="str">
        <x:v>F4 - 60 Gün / 60 Tam Deneme</x:v>
      </x:c>
      <x:c r="G2502" s="14" t="str">
        <x:v>21:25</x:v>
      </x:c>
      <x:c r="H2502" s="14" t="str">
        <x:v>21:40</x:v>
      </x:c>
      <x:c r="I2502" s="14" t="str">
        <x:v>Genel</x:v>
      </x:c>
      <x:c r="J2502" s="14" t="str">
        <x:v>Aralıklı Hata Tekrarı</x:v>
      </x:c>
      <x:c r="K2502" s="14" t="str">
        <x:v>+1 / +7 / +21</x:v>
      </x:c>
      <x:c r="L2502" s="14" t="str">
        <x:v>Bugün vadesi gelen eski yanlışları tekrar çöz ve bugünkü yanlışları Yanlış Defteri'ne ekle.</x:v>
      </x:c>
      <x:c r="M2502" s="14" t="str">
        <x:v>Yanlış Defteri</x:v>
      </x:c>
      <x:c r="N2502" s="14" t="str"/>
      <x:c r="O2502" s="14" t="n">
        <x:v>0</x:v>
      </x:c>
      <x:c r="P2502" s="14" t="str">
        <x:v>Hayır</x:v>
      </x:c>
      <x:c r="Q2502" s="14" t="str">
        <x:v>Evet</x:v>
      </x:c>
      <x:c r="R2502" s="14" t="str">
        <x:v>Planlandı</x:v>
      </x:c>
      <x:c r="S2502" s="15" t="str"/>
      <x:c r="T2502" s="14" t="str"/>
    </x:row>
    <x:row r="2503">
      <x:c r="A2503" s="14" t="n">
        <x:v>2502</x:v>
      </x:c>
      <x:c r="B2503" s="15" t="n">
        <x:v>46499</x:v>
      </x:c>
      <x:c r="C2503" s="14" t="str">
        <x:v>Perşembe</x:v>
      </x:c>
      <x:c r="D2503" s="14" t="str">
        <x:v>Okul Günü</x:v>
      </x:c>
      <x:c r="E2503" s="14" t="str">
        <x:v>16:00 sonrası</x:v>
      </x:c>
      <x:c r="F2503" s="14" t="str">
        <x:v>F4 - 60 Gün / 60 Tam Deneme</x:v>
      </x:c>
      <x:c r="G2503" s="14" t="str">
        <x:v>21:40</x:v>
      </x:c>
      <x:c r="H2503" s="14" t="str">
        <x:v>21:50</x:v>
      </x:c>
      <x:c r="I2503" s="14" t="str">
        <x:v>Okuma</x:v>
      </x:c>
      <x:c r="J2503" s="14" t="str">
        <x:v>İsteğe Bağlı</x:v>
      </x:c>
      <x:c r="K2503" s="14" t="str">
        <x:v>Serbest Kitap</x:v>
      </x:c>
      <x:c r="L2503" s="14" t="str">
        <x:v>Enerji uygunsa kısa isteğe bağlı okuma.</x:v>
      </x:c>
      <x:c r="M2503" s="14" t="str">
        <x:v>Serbest Kitap</x:v>
      </x:c>
      <x:c r="N2503" s="14" t="str"/>
      <x:c r="O2503" s="14" t="n">
        <x:v>0</x:v>
      </x:c>
      <x:c r="P2503" s="14" t="str">
        <x:v>İsteğe Bağlı</x:v>
      </x:c>
      <x:c r="Q2503" s="14" t="str">
        <x:v>Hayır</x:v>
      </x:c>
      <x:c r="R2503" s="14" t="str">
        <x:v>Planlandı</x:v>
      </x:c>
      <x:c r="S2503" s="15" t="str"/>
      <x:c r="T2503" s="14" t="str"/>
    </x:row>
    <x:row r="2504">
      <x:c r="A2504" s="14" t="n">
        <x:v>2503</x:v>
      </x:c>
      <x:c r="B2504" s="15" t="n">
        <x:v>46499</x:v>
      </x:c>
      <x:c r="C2504" s="14" t="str">
        <x:v>Perşembe</x:v>
      </x:c>
      <x:c r="D2504" s="14" t="str">
        <x:v>Okul Günü</x:v>
      </x:c>
      <x:c r="E2504" s="14" t="str">
        <x:v>16:00 sonrası</x:v>
      </x:c>
      <x:c r="F2504" s="14" t="str">
        <x:v>F4 - 60 Gün / 60 Tam Deneme</x:v>
      </x:c>
      <x:c r="G2504" s="14" t="str">
        <x:v>21:50</x:v>
      </x:c>
      <x:c r="H2504" s="14" t="str">
        <x:v>22:00</x:v>
      </x:c>
      <x:c r="I2504" s="14" t="str">
        <x:v>Genel</x:v>
      </x:c>
      <x:c r="J2504" s="14" t="str">
        <x:v>Uyku Hazırlığı</x:v>
      </x:c>
      <x:c r="K2504" s="14" t="str"/>
      <x:c r="L2504" s="14" t="str">
        <x:v>22:00'de yatakta ve uyku.</x:v>
      </x:c>
      <x:c r="M2504" s="14" t="str"/>
      <x:c r="N2504" s="14" t="str"/>
      <x:c r="O2504" s="14" t="n">
        <x:v>0</x:v>
      </x:c>
      <x:c r="P2504" s="14" t="str">
        <x:v>Hayır</x:v>
      </x:c>
      <x:c r="Q2504" s="14" t="str">
        <x:v>Hayır</x:v>
      </x:c>
      <x:c r="R2504" s="14" t="str">
        <x:v>Planlandı</x:v>
      </x:c>
      <x:c r="S2504" s="15" t="str"/>
      <x:c r="T2504" s="14" t="str"/>
    </x:row>
    <x:row r="2505">
      <x:c r="A2505" s="14" t="n">
        <x:v>2504</x:v>
      </x:c>
      <x:c r="B2505" s="15" t="n">
        <x:v>46500</x:v>
      </x:c>
      <x:c r="C2505" s="14" t="str">
        <x:v>Cuma</x:v>
      </x:c>
      <x:c r="D2505" s="14" t="str">
        <x:v>Resmî Tatil</x:v>
      </x:c>
      <x:c r="E2505" s="14" t="str">
        <x:v>23 Nisan</x:v>
      </x:c>
      <x:c r="F2505" s="14" t="str">
        <x:v>F4 - 60 Gün / 60 Tam Deneme</x:v>
      </x:c>
      <x:c r="G2505" s="14" t="str">
        <x:v>09:30</x:v>
      </x:c>
      <x:c r="H2505" s="14" t="str">
        <x:v>10:45</x:v>
      </x:c>
      <x:c r="I2505" s="14" t="str">
        <x:v>Deneme</x:v>
      </x:c>
      <x:c r="J2505" s="14" t="str">
        <x:v>Tam LGS Denemesi - Sözel</x:v>
      </x:c>
      <x:c r="K2505" s="14" t="str">
        <x:v>Deneme 10</x:v>
      </x:c>
      <x:c r="L2505" s="14" t="str">
        <x:v>Deneme 10/60 — Sözel oturum: Türkçe 20 + İnkılap 10 + Din 10 + İngilizce 10. 75 dakika.</x:v>
      </x:c>
      <x:c r="M2505" s="14" t="str">
        <x:v>Tam LGS Denemesi</x:v>
      </x:c>
      <x:c r="N2505" s="14" t="str"/>
      <x:c r="O2505" s="14" t="n">
        <x:v>50</x:v>
      </x:c>
      <x:c r="P2505" s="14" t="str">
        <x:v>75 dk</x:v>
      </x:c>
      <x:c r="Q2505" s="14" t="str">
        <x:v>Evet</x:v>
      </x:c>
      <x:c r="R2505" s="14" t="str">
        <x:v>Planlandı</x:v>
      </x:c>
      <x:c r="S2505" s="15" t="str"/>
      <x:c r="T2505" s="14" t="str">
        <x:v>2026 LGS formatı çalışma referansıdır; 2027 kılavuzu yayımlanırsa güncellenir.</x:v>
      </x:c>
    </x:row>
    <x:row r="2506">
      <x:c r="A2506" s="14" t="n">
        <x:v>2505</x:v>
      </x:c>
      <x:c r="B2506" s="15" t="n">
        <x:v>46500</x:v>
      </x:c>
      <x:c r="C2506" s="14" t="str">
        <x:v>Cuma</x:v>
      </x:c>
      <x:c r="D2506" s="14" t="str">
        <x:v>Resmî Tatil</x:v>
      </x:c>
      <x:c r="E2506" s="14" t="str">
        <x:v>23 Nisan</x:v>
      </x:c>
      <x:c r="F2506" s="14" t="str">
        <x:v>F4 - 60 Gün / 60 Tam Deneme</x:v>
      </x:c>
      <x:c r="G2506" s="14" t="str">
        <x:v>10:45</x:v>
      </x:c>
      <x:c r="H2506" s="14" t="str">
        <x:v>11:30</x:v>
      </x:c>
      <x:c r="I2506" s="14" t="str">
        <x:v>Genel</x:v>
      </x:c>
      <x:c r="J2506" s="14" t="str">
        <x:v>Deneme Arası</x:v>
      </x:c>
      <x:c r="K2506" s="14" t="str"/>
      <x:c r="L2506" s="14" t="str">
        <x:v>45 dakika gerçek sınav arası simülasyonu: yemek/su/tuvalet; soru analizi yapma.</x:v>
      </x:c>
      <x:c r="M2506" s="14" t="str"/>
      <x:c r="N2506" s="14" t="str"/>
      <x:c r="O2506" s="14" t="n">
        <x:v>0</x:v>
      </x:c>
      <x:c r="P2506" s="14" t="str">
        <x:v>Hayır</x:v>
      </x:c>
      <x:c r="Q2506" s="14" t="str">
        <x:v>Evet</x:v>
      </x:c>
      <x:c r="R2506" s="14" t="str">
        <x:v>Planlandı</x:v>
      </x:c>
      <x:c r="S2506" s="15" t="str"/>
      <x:c r="T2506" s="14" t="str"/>
    </x:row>
    <x:row r="2507">
      <x:c r="A2507" s="14" t="n">
        <x:v>2506</x:v>
      </x:c>
      <x:c r="B2507" s="15" t="n">
        <x:v>46500</x:v>
      </x:c>
      <x:c r="C2507" s="14" t="str">
        <x:v>Cuma</x:v>
      </x:c>
      <x:c r="D2507" s="14" t="str">
        <x:v>Resmî Tatil</x:v>
      </x:c>
      <x:c r="E2507" s="14" t="str">
        <x:v>23 Nisan</x:v>
      </x:c>
      <x:c r="F2507" s="14" t="str">
        <x:v>F4 - 60 Gün / 60 Tam Deneme</x:v>
      </x:c>
      <x:c r="G2507" s="14" t="str">
        <x:v>11:30</x:v>
      </x:c>
      <x:c r="H2507" s="14" t="str">
        <x:v>12:50</x:v>
      </x:c>
      <x:c r="I2507" s="14" t="str">
        <x:v>Deneme</x:v>
      </x:c>
      <x:c r="J2507" s="14" t="str">
        <x:v>Tam LGS Denemesi - Sayısal</x:v>
      </x:c>
      <x:c r="K2507" s="14" t="str">
        <x:v>Deneme 10</x:v>
      </x:c>
      <x:c r="L2507" s="14" t="str">
        <x:v>Deneme 10/60 — Sayısal oturum: Matematik 20 + Fen 20. 80 dakika.</x:v>
      </x:c>
      <x:c r="M2507" s="14" t="str">
        <x:v>Tam LGS Denemesi</x:v>
      </x:c>
      <x:c r="N2507" s="14" t="str"/>
      <x:c r="O2507" s="14" t="n">
        <x:v>40</x:v>
      </x:c>
      <x:c r="P2507" s="14" t="str">
        <x:v>80 dk</x:v>
      </x:c>
      <x:c r="Q2507" s="14" t="str">
        <x:v>Evet</x:v>
      </x:c>
      <x:c r="R2507" s="14" t="str">
        <x:v>Planlandı</x:v>
      </x:c>
      <x:c r="S2507" s="15" t="str"/>
      <x:c r="T2507" s="14" t="str"/>
    </x:row>
    <x:row r="2508">
      <x:c r="A2508" s="14" t="n">
        <x:v>2507</x:v>
      </x:c>
      <x:c r="B2508" s="15" t="n">
        <x:v>46500</x:v>
      </x:c>
      <x:c r="C2508" s="14" t="str">
        <x:v>Cuma</x:v>
      </x:c>
      <x:c r="D2508" s="14" t="str">
        <x:v>Resmî Tatil</x:v>
      </x:c>
      <x:c r="E2508" s="14" t="str">
        <x:v>23 Nisan</x:v>
      </x:c>
      <x:c r="F2508" s="14" t="str">
        <x:v>F4 - 60 Gün / 60 Tam Deneme</x:v>
      </x:c>
      <x:c r="G2508" s="14" t="str">
        <x:v>14:30</x:v>
      </x:c>
      <x:c r="H2508" s="14" t="str">
        <x:v>15:15</x:v>
      </x:c>
      <x:c r="I2508" s="14" t="str">
        <x:v>Deneme</x:v>
      </x:c>
      <x:c r="J2508" s="14" t="str">
        <x:v>Deneme Analizi</x:v>
      </x:c>
      <x:c r="K2508" s="14" t="str">
        <x:v>Deneme 10</x:v>
      </x:c>
      <x:c r="L2508" s="14" t="str">
        <x:v>Tüm yanlış/boşları nedenleriyle analiz et; bilgi eksikliği, işlem, dikkat, yanlış okuma veya yorumlama olarak sınıflandır.</x:v>
      </x:c>
      <x:c r="M2508" s="14" t="str">
        <x:v>Deneme Takibi</x:v>
      </x:c>
      <x:c r="N2508" s="14" t="str"/>
      <x:c r="O2508" s="14" t="n">
        <x:v>0</x:v>
      </x:c>
      <x:c r="P2508" s="14" t="str">
        <x:v>Hayır</x:v>
      </x:c>
      <x:c r="Q2508" s="14" t="str">
        <x:v>Evet</x:v>
      </x:c>
      <x:c r="R2508" s="14" t="str">
        <x:v>Planlandı</x:v>
      </x:c>
      <x:c r="S2508" s="15" t="str"/>
      <x:c r="T2508" s="14" t="str">
        <x:v>Deneme çözülüp analiz edilmediyse gün tamamlanmış sayılmaz.</x:v>
      </x:c>
    </x:row>
    <x:row r="2509">
      <x:c r="A2509" s="14" t="n">
        <x:v>2508</x:v>
      </x:c>
      <x:c r="B2509" s="15" t="n">
        <x:v>46500</x:v>
      </x:c>
      <x:c r="C2509" s="14" t="str">
        <x:v>Cuma</x:v>
      </x:c>
      <x:c r="D2509" s="14" t="str">
        <x:v>Resmî Tatil</x:v>
      </x:c>
      <x:c r="E2509" s="14" t="str">
        <x:v>23 Nisan</x:v>
      </x:c>
      <x:c r="F2509" s="14" t="str">
        <x:v>F4 - 60 Gün / 60 Tam Deneme</x:v>
      </x:c>
      <x:c r="G2509" s="14" t="str">
        <x:v>15:25</x:v>
      </x:c>
      <x:c r="H2509" s="14" t="str">
        <x:v>16:10</x:v>
      </x:c>
      <x:c r="I2509" s="14" t="str">
        <x:v>Genel</x:v>
      </x:c>
      <x:c r="J2509" s="14" t="str">
        <x:v>Hedefli Eksik Giderme</x:v>
      </x:c>
      <x:c r="K2509" s="14" t="str">
        <x:v>Denemeden Gelen Eksikler</x:v>
      </x:c>
      <x:c r="L2509" s="14" t="str">
        <x:v>Denemenin gösterdiği en kritik 1-3 eksiği gider: gerekirse ilgili playlist videosuna kısa dönüş + hedefli soru çözümü.</x:v>
      </x:c>
      <x:c r="M2509" s="14" t="str">
        <x:v>Playlist + Soru Kitabı + MEB</x:v>
      </x:c>
      <x:c r="N2509" s="14" t="str"/>
      <x:c r="O2509" s="14" t="n">
        <x:v>0</x:v>
      </x:c>
      <x:c r="P2509" s="14" t="str">
        <x:v>Hayır</x:v>
      </x:c>
      <x:c r="Q2509" s="14" t="str">
        <x:v>Evet</x:v>
      </x:c>
      <x:c r="R2509" s="14" t="str">
        <x:v>Planlandı</x:v>
      </x:c>
      <x:c r="S2509" s="15" t="str"/>
      <x:c r="T2509" s="14" t="str">
        <x:v>Yeni konu açılmaz; yalnız denemenin kanıtladığı eksiğe müdahale edilir.</x:v>
      </x:c>
    </x:row>
    <x:row r="2510">
      <x:c r="A2510" s="14" t="n">
        <x:v>2509</x:v>
      </x:c>
      <x:c r="B2510" s="15" t="n">
        <x:v>46500</x:v>
      </x:c>
      <x:c r="C2510" s="14" t="str">
        <x:v>Cuma</x:v>
      </x:c>
      <x:c r="D2510" s="14" t="str">
        <x:v>Resmî Tatil</x:v>
      </x:c>
      <x:c r="E2510" s="14" t="str">
        <x:v>23 Nisan</x:v>
      </x:c>
      <x:c r="F2510" s="14" t="str">
        <x:v>F4 - 60 Gün / 60 Tam Deneme</x:v>
      </x:c>
      <x:c r="G2510" s="14" t="str">
        <x:v>16:20</x:v>
      </x:c>
      <x:c r="H2510" s="14" t="str">
        <x:v>16:40</x:v>
      </x:c>
      <x:c r="I2510" s="14" t="str">
        <x:v>Genel</x:v>
      </x:c>
      <x:c r="J2510" s="14" t="str">
        <x:v>Aralıklı Hata Tekrarı</x:v>
      </x:c>
      <x:c r="K2510" s="14" t="str">
        <x:v>+1 / +7 / +21</x:v>
      </x:c>
      <x:c r="L2510" s="14" t="str">
        <x:v>Bugün vadesi gelen eski yanlışları tekrar çöz ve bugünkü yanlışları Yanlış Defteri'ne ekle.</x:v>
      </x:c>
      <x:c r="M2510" s="14" t="str">
        <x:v>Yanlış Defteri</x:v>
      </x:c>
      <x:c r="N2510" s="14" t="str"/>
      <x:c r="O2510" s="14" t="n">
        <x:v>0</x:v>
      </x:c>
      <x:c r="P2510" s="14" t="str">
        <x:v>Hayır</x:v>
      </x:c>
      <x:c r="Q2510" s="14" t="str">
        <x:v>Evet</x:v>
      </x:c>
      <x:c r="R2510" s="14" t="str">
        <x:v>Planlandı</x:v>
      </x:c>
      <x:c r="S2510" s="15" t="str"/>
      <x:c r="T2510" s="14" t="str"/>
    </x:row>
    <x:row r="2511">
      <x:c r="A2511" s="14" t="n">
        <x:v>2510</x:v>
      </x:c>
      <x:c r="B2511" s="15" t="n">
        <x:v>46500</x:v>
      </x:c>
      <x:c r="C2511" s="14" t="str">
        <x:v>Cuma</x:v>
      </x:c>
      <x:c r="D2511" s="14" t="str">
        <x:v>Resmî Tatil</x:v>
      </x:c>
      <x:c r="E2511" s="14" t="str">
        <x:v>23 Nisan</x:v>
      </x:c>
      <x:c r="F2511" s="14" t="str">
        <x:v>F4 - 60 Gün / 60 Tam Deneme</x:v>
      </x:c>
      <x:c r="G2511" s="14" t="str">
        <x:v>20:00</x:v>
      </x:c>
      <x:c r="H2511" s="14" t="str">
        <x:v>20:30</x:v>
      </x:c>
      <x:c r="I2511" s="14" t="str">
        <x:v>Okuma</x:v>
      </x:c>
      <x:c r="J2511" s="14" t="str">
        <x:v>İsteğe Bağlı</x:v>
      </x:c>
      <x:c r="K2511" s="14" t="str">
        <x:v>Serbest Kitap</x:v>
      </x:c>
      <x:c r="L2511" s="14" t="str">
        <x:v>Enerji uygunsa kısa isteğe bağlı okuma.</x:v>
      </x:c>
      <x:c r="M2511" s="14" t="str">
        <x:v>Serbest Kitap</x:v>
      </x:c>
      <x:c r="N2511" s="14" t="str"/>
      <x:c r="O2511" s="14" t="n">
        <x:v>0</x:v>
      </x:c>
      <x:c r="P2511" s="14" t="str">
        <x:v>İsteğe Bağlı</x:v>
      </x:c>
      <x:c r="Q2511" s="14" t="str">
        <x:v>Hayır</x:v>
      </x:c>
      <x:c r="R2511" s="14" t="str">
        <x:v>Planlandı</x:v>
      </x:c>
      <x:c r="S2511" s="15" t="str"/>
      <x:c r="T2511" s="14" t="str"/>
    </x:row>
    <x:row r="2512">
      <x:c r="A2512" s="14" t="n">
        <x:v>2511</x:v>
      </x:c>
      <x:c r="B2512" s="15" t="n">
        <x:v>46500</x:v>
      </x:c>
      <x:c r="C2512" s="14" t="str">
        <x:v>Cuma</x:v>
      </x:c>
      <x:c r="D2512" s="14" t="str">
        <x:v>Resmî Tatil</x:v>
      </x:c>
      <x:c r="E2512" s="14" t="str">
        <x:v>23 Nisan</x:v>
      </x:c>
      <x:c r="F2512" s="14" t="str">
        <x:v>F4 - 60 Gün / 60 Tam Deneme</x:v>
      </x:c>
      <x:c r="G2512" s="14" t="str">
        <x:v>21:50</x:v>
      </x:c>
      <x:c r="H2512" s="14" t="str">
        <x:v>22:00</x:v>
      </x:c>
      <x:c r="I2512" s="14" t="str">
        <x:v>Genel</x:v>
      </x:c>
      <x:c r="J2512" s="14" t="str">
        <x:v>Uyku Hazırlığı</x:v>
      </x:c>
      <x:c r="K2512" s="14" t="str"/>
      <x:c r="L2512" s="14" t="str">
        <x:v>22:00'de yatakta ve uyku.</x:v>
      </x:c>
      <x:c r="M2512" s="14" t="str"/>
      <x:c r="N2512" s="14" t="str"/>
      <x:c r="O2512" s="14" t="n">
        <x:v>0</x:v>
      </x:c>
      <x:c r="P2512" s="14" t="str">
        <x:v>Hayır</x:v>
      </x:c>
      <x:c r="Q2512" s="14" t="str">
        <x:v>Hayır</x:v>
      </x:c>
      <x:c r="R2512" s="14" t="str">
        <x:v>Planlandı</x:v>
      </x:c>
      <x:c r="S2512" s="15" t="str"/>
      <x:c r="T2512" s="14" t="str"/>
    </x:row>
    <x:row r="2513">
      <x:c r="A2513" s="14" t="n">
        <x:v>2512</x:v>
      </x:c>
      <x:c r="B2513" s="15" t="n">
        <x:v>46501</x:v>
      </x:c>
      <x:c r="C2513" s="14" t="str">
        <x:v>Cumartesi</x:v>
      </x:c>
      <x:c r="D2513" s="14" t="str">
        <x:v>Hafta Sonu</x:v>
      </x:c>
      <x:c r="E2513" s="14" t="str">
        <x:v>Tam gün</x:v>
      </x:c>
      <x:c r="F2513" s="14" t="str">
        <x:v>F4 - 60 Gün / 60 Tam Deneme</x:v>
      </x:c>
      <x:c r="G2513" s="14" t="str">
        <x:v>09:30</x:v>
      </x:c>
      <x:c r="H2513" s="14" t="str">
        <x:v>10:45</x:v>
      </x:c>
      <x:c r="I2513" s="14" t="str">
        <x:v>Deneme</x:v>
      </x:c>
      <x:c r="J2513" s="14" t="str">
        <x:v>Tam LGS Denemesi - Sözel</x:v>
      </x:c>
      <x:c r="K2513" s="14" t="str">
        <x:v>Deneme 11</x:v>
      </x:c>
      <x:c r="L2513" s="14" t="str">
        <x:v>Deneme 11/60 — Sözel oturum: Türkçe 20 + İnkılap 10 + Din 10 + İngilizce 10. 75 dakika.</x:v>
      </x:c>
      <x:c r="M2513" s="14" t="str">
        <x:v>Tam LGS Denemesi</x:v>
      </x:c>
      <x:c r="N2513" s="14" t="str"/>
      <x:c r="O2513" s="14" t="n">
        <x:v>50</x:v>
      </x:c>
      <x:c r="P2513" s="14" t="str">
        <x:v>75 dk</x:v>
      </x:c>
      <x:c r="Q2513" s="14" t="str">
        <x:v>Evet</x:v>
      </x:c>
      <x:c r="R2513" s="14" t="str">
        <x:v>Planlandı</x:v>
      </x:c>
      <x:c r="S2513" s="15" t="str"/>
      <x:c r="T2513" s="14" t="str">
        <x:v>2026 LGS formatı çalışma referansıdır; 2027 kılavuzu yayımlanırsa güncellenir.</x:v>
      </x:c>
    </x:row>
    <x:row r="2514">
      <x:c r="A2514" s="14" t="n">
        <x:v>2513</x:v>
      </x:c>
      <x:c r="B2514" s="15" t="n">
        <x:v>46501</x:v>
      </x:c>
      <x:c r="C2514" s="14" t="str">
        <x:v>Cumartesi</x:v>
      </x:c>
      <x:c r="D2514" s="14" t="str">
        <x:v>Hafta Sonu</x:v>
      </x:c>
      <x:c r="E2514" s="14" t="str">
        <x:v>Tam gün</x:v>
      </x:c>
      <x:c r="F2514" s="14" t="str">
        <x:v>F4 - 60 Gün / 60 Tam Deneme</x:v>
      </x:c>
      <x:c r="G2514" s="14" t="str">
        <x:v>10:45</x:v>
      </x:c>
      <x:c r="H2514" s="14" t="str">
        <x:v>11:30</x:v>
      </x:c>
      <x:c r="I2514" s="14" t="str">
        <x:v>Genel</x:v>
      </x:c>
      <x:c r="J2514" s="14" t="str">
        <x:v>Deneme Arası</x:v>
      </x:c>
      <x:c r="K2514" s="14" t="str"/>
      <x:c r="L2514" s="14" t="str">
        <x:v>45 dakika gerçek sınav arası simülasyonu: yemek/su/tuvalet; soru analizi yapma.</x:v>
      </x:c>
      <x:c r="M2514" s="14" t="str"/>
      <x:c r="N2514" s="14" t="str"/>
      <x:c r="O2514" s="14" t="n">
        <x:v>0</x:v>
      </x:c>
      <x:c r="P2514" s="14" t="str">
        <x:v>Hayır</x:v>
      </x:c>
      <x:c r="Q2514" s="14" t="str">
        <x:v>Evet</x:v>
      </x:c>
      <x:c r="R2514" s="14" t="str">
        <x:v>Planlandı</x:v>
      </x:c>
      <x:c r="S2514" s="15" t="str"/>
      <x:c r="T2514" s="14" t="str"/>
    </x:row>
    <x:row r="2515">
      <x:c r="A2515" s="14" t="n">
        <x:v>2514</x:v>
      </x:c>
      <x:c r="B2515" s="15" t="n">
        <x:v>46501</x:v>
      </x:c>
      <x:c r="C2515" s="14" t="str">
        <x:v>Cumartesi</x:v>
      </x:c>
      <x:c r="D2515" s="14" t="str">
        <x:v>Hafta Sonu</x:v>
      </x:c>
      <x:c r="E2515" s="14" t="str">
        <x:v>Tam gün</x:v>
      </x:c>
      <x:c r="F2515" s="14" t="str">
        <x:v>F4 - 60 Gün / 60 Tam Deneme</x:v>
      </x:c>
      <x:c r="G2515" s="14" t="str">
        <x:v>11:30</x:v>
      </x:c>
      <x:c r="H2515" s="14" t="str">
        <x:v>12:50</x:v>
      </x:c>
      <x:c r="I2515" s="14" t="str">
        <x:v>Deneme</x:v>
      </x:c>
      <x:c r="J2515" s="14" t="str">
        <x:v>Tam LGS Denemesi - Sayısal</x:v>
      </x:c>
      <x:c r="K2515" s="14" t="str">
        <x:v>Deneme 11</x:v>
      </x:c>
      <x:c r="L2515" s="14" t="str">
        <x:v>Deneme 11/60 — Sayısal oturum: Matematik 20 + Fen 20. 80 dakika.</x:v>
      </x:c>
      <x:c r="M2515" s="14" t="str">
        <x:v>Tam LGS Denemesi</x:v>
      </x:c>
      <x:c r="N2515" s="14" t="str"/>
      <x:c r="O2515" s="14" t="n">
        <x:v>40</x:v>
      </x:c>
      <x:c r="P2515" s="14" t="str">
        <x:v>80 dk</x:v>
      </x:c>
      <x:c r="Q2515" s="14" t="str">
        <x:v>Evet</x:v>
      </x:c>
      <x:c r="R2515" s="14" t="str">
        <x:v>Planlandı</x:v>
      </x:c>
      <x:c r="S2515" s="15" t="str"/>
      <x:c r="T2515" s="14" t="str"/>
    </x:row>
    <x:row r="2516">
      <x:c r="A2516" s="14" t="n">
        <x:v>2515</x:v>
      </x:c>
      <x:c r="B2516" s="15" t="n">
        <x:v>46501</x:v>
      </x:c>
      <x:c r="C2516" s="14" t="str">
        <x:v>Cumartesi</x:v>
      </x:c>
      <x:c r="D2516" s="14" t="str">
        <x:v>Hafta Sonu</x:v>
      </x:c>
      <x:c r="E2516" s="14" t="str">
        <x:v>Tam gün</x:v>
      </x:c>
      <x:c r="F2516" s="14" t="str">
        <x:v>F4 - 60 Gün / 60 Tam Deneme</x:v>
      </x:c>
      <x:c r="G2516" s="14" t="str">
        <x:v>14:30</x:v>
      </x:c>
      <x:c r="H2516" s="14" t="str">
        <x:v>15:15</x:v>
      </x:c>
      <x:c r="I2516" s="14" t="str">
        <x:v>Deneme</x:v>
      </x:c>
      <x:c r="J2516" s="14" t="str">
        <x:v>Deneme Analizi</x:v>
      </x:c>
      <x:c r="K2516" s="14" t="str">
        <x:v>Deneme 11</x:v>
      </x:c>
      <x:c r="L2516" s="14" t="str">
        <x:v>Tüm yanlış/boşları nedenleriyle analiz et; bilgi eksikliği, işlem, dikkat, yanlış okuma veya yorumlama olarak sınıflandır.</x:v>
      </x:c>
      <x:c r="M2516" s="14" t="str">
        <x:v>Deneme Takibi</x:v>
      </x:c>
      <x:c r="N2516" s="14" t="str"/>
      <x:c r="O2516" s="14" t="n">
        <x:v>0</x:v>
      </x:c>
      <x:c r="P2516" s="14" t="str">
        <x:v>Hayır</x:v>
      </x:c>
      <x:c r="Q2516" s="14" t="str">
        <x:v>Evet</x:v>
      </x:c>
      <x:c r="R2516" s="14" t="str">
        <x:v>Planlandı</x:v>
      </x:c>
      <x:c r="S2516" s="15" t="str"/>
      <x:c r="T2516" s="14" t="str">
        <x:v>Deneme çözülüp analiz edilmediyse gün tamamlanmış sayılmaz.</x:v>
      </x:c>
    </x:row>
    <x:row r="2517">
      <x:c r="A2517" s="14" t="n">
        <x:v>2516</x:v>
      </x:c>
      <x:c r="B2517" s="15" t="n">
        <x:v>46501</x:v>
      </x:c>
      <x:c r="C2517" s="14" t="str">
        <x:v>Cumartesi</x:v>
      </x:c>
      <x:c r="D2517" s="14" t="str">
        <x:v>Hafta Sonu</x:v>
      </x:c>
      <x:c r="E2517" s="14" t="str">
        <x:v>Tam gün</x:v>
      </x:c>
      <x:c r="F2517" s="14" t="str">
        <x:v>F4 - 60 Gün / 60 Tam Deneme</x:v>
      </x:c>
      <x:c r="G2517" s="14" t="str">
        <x:v>15:25</x:v>
      </x:c>
      <x:c r="H2517" s="14" t="str">
        <x:v>16:10</x:v>
      </x:c>
      <x:c r="I2517" s="14" t="str">
        <x:v>Genel</x:v>
      </x:c>
      <x:c r="J2517" s="14" t="str">
        <x:v>Hedefli Eksik Giderme</x:v>
      </x:c>
      <x:c r="K2517" s="14" t="str">
        <x:v>Denemeden Gelen Eksikler</x:v>
      </x:c>
      <x:c r="L2517" s="14" t="str">
        <x:v>Denemenin gösterdiği en kritik 1-3 eksiği gider: gerekirse ilgili playlist videosuna kısa dönüş + hedefli soru çözümü.</x:v>
      </x:c>
      <x:c r="M2517" s="14" t="str">
        <x:v>Playlist + Soru Kitabı + MEB</x:v>
      </x:c>
      <x:c r="N2517" s="14" t="str"/>
      <x:c r="O2517" s="14" t="n">
        <x:v>0</x:v>
      </x:c>
      <x:c r="P2517" s="14" t="str">
        <x:v>Hayır</x:v>
      </x:c>
      <x:c r="Q2517" s="14" t="str">
        <x:v>Evet</x:v>
      </x:c>
      <x:c r="R2517" s="14" t="str">
        <x:v>Planlandı</x:v>
      </x:c>
      <x:c r="S2517" s="15" t="str"/>
      <x:c r="T2517" s="14" t="str">
        <x:v>Yeni konu açılmaz; yalnız denemenin kanıtladığı eksiğe müdahale edilir.</x:v>
      </x:c>
    </x:row>
    <x:row r="2518">
      <x:c r="A2518" s="14" t="n">
        <x:v>2517</x:v>
      </x:c>
      <x:c r="B2518" s="15" t="n">
        <x:v>46501</x:v>
      </x:c>
      <x:c r="C2518" s="14" t="str">
        <x:v>Cumartesi</x:v>
      </x:c>
      <x:c r="D2518" s="14" t="str">
        <x:v>Hafta Sonu</x:v>
      </x:c>
      <x:c r="E2518" s="14" t="str">
        <x:v>Tam gün</x:v>
      </x:c>
      <x:c r="F2518" s="14" t="str">
        <x:v>F4 - 60 Gün / 60 Tam Deneme</x:v>
      </x:c>
      <x:c r="G2518" s="14" t="str">
        <x:v>16:20</x:v>
      </x:c>
      <x:c r="H2518" s="14" t="str">
        <x:v>16:40</x:v>
      </x:c>
      <x:c r="I2518" s="14" t="str">
        <x:v>Genel</x:v>
      </x:c>
      <x:c r="J2518" s="14" t="str">
        <x:v>Aralıklı Hata Tekrarı</x:v>
      </x:c>
      <x:c r="K2518" s="14" t="str">
        <x:v>+1 / +7 / +21</x:v>
      </x:c>
      <x:c r="L2518" s="14" t="str">
        <x:v>Bugün vadesi gelen eski yanlışları tekrar çöz ve bugünkü yanlışları Yanlış Defteri'ne ekle.</x:v>
      </x:c>
      <x:c r="M2518" s="14" t="str">
        <x:v>Yanlış Defteri</x:v>
      </x:c>
      <x:c r="N2518" s="14" t="str"/>
      <x:c r="O2518" s="14" t="n">
        <x:v>0</x:v>
      </x:c>
      <x:c r="P2518" s="14" t="str">
        <x:v>Hayır</x:v>
      </x:c>
      <x:c r="Q2518" s="14" t="str">
        <x:v>Evet</x:v>
      </x:c>
      <x:c r="R2518" s="14" t="str">
        <x:v>Planlandı</x:v>
      </x:c>
      <x:c r="S2518" s="15" t="str"/>
      <x:c r="T2518" s="14" t="str"/>
    </x:row>
    <x:row r="2519">
      <x:c r="A2519" s="14" t="n">
        <x:v>2518</x:v>
      </x:c>
      <x:c r="B2519" s="15" t="n">
        <x:v>46501</x:v>
      </x:c>
      <x:c r="C2519" s="14" t="str">
        <x:v>Cumartesi</x:v>
      </x:c>
      <x:c r="D2519" s="14" t="str">
        <x:v>Hafta Sonu</x:v>
      </x:c>
      <x:c r="E2519" s="14" t="str">
        <x:v>Tam gün</x:v>
      </x:c>
      <x:c r="F2519" s="14" t="str">
        <x:v>F4 - 60 Gün / 60 Tam Deneme</x:v>
      </x:c>
      <x:c r="G2519" s="14" t="str">
        <x:v>20:00</x:v>
      </x:c>
      <x:c r="H2519" s="14" t="str">
        <x:v>20:30</x:v>
      </x:c>
      <x:c r="I2519" s="14" t="str">
        <x:v>Okuma</x:v>
      </x:c>
      <x:c r="J2519" s="14" t="str">
        <x:v>İsteğe Bağlı</x:v>
      </x:c>
      <x:c r="K2519" s="14" t="str">
        <x:v>Serbest Kitap</x:v>
      </x:c>
      <x:c r="L2519" s="14" t="str">
        <x:v>Enerji uygunsa kısa isteğe bağlı okuma.</x:v>
      </x:c>
      <x:c r="M2519" s="14" t="str">
        <x:v>Serbest Kitap</x:v>
      </x:c>
      <x:c r="N2519" s="14" t="str"/>
      <x:c r="O2519" s="14" t="n">
        <x:v>0</x:v>
      </x:c>
      <x:c r="P2519" s="14" t="str">
        <x:v>İsteğe Bağlı</x:v>
      </x:c>
      <x:c r="Q2519" s="14" t="str">
        <x:v>Hayır</x:v>
      </x:c>
      <x:c r="R2519" s="14" t="str">
        <x:v>Planlandı</x:v>
      </x:c>
      <x:c r="S2519" s="15" t="str"/>
      <x:c r="T2519" s="14" t="str"/>
    </x:row>
    <x:row r="2520">
      <x:c r="A2520" s="14" t="n">
        <x:v>2519</x:v>
      </x:c>
      <x:c r="B2520" s="15" t="n">
        <x:v>46501</x:v>
      </x:c>
      <x:c r="C2520" s="14" t="str">
        <x:v>Cumartesi</x:v>
      </x:c>
      <x:c r="D2520" s="14" t="str">
        <x:v>Hafta Sonu</x:v>
      </x:c>
      <x:c r="E2520" s="14" t="str">
        <x:v>Tam gün</x:v>
      </x:c>
      <x:c r="F2520" s="14" t="str">
        <x:v>F4 - 60 Gün / 60 Tam Deneme</x:v>
      </x:c>
      <x:c r="G2520" s="14" t="str">
        <x:v>21:50</x:v>
      </x:c>
      <x:c r="H2520" s="14" t="str">
        <x:v>22:00</x:v>
      </x:c>
      <x:c r="I2520" s="14" t="str">
        <x:v>Genel</x:v>
      </x:c>
      <x:c r="J2520" s="14" t="str">
        <x:v>Uyku Hazırlığı</x:v>
      </x:c>
      <x:c r="K2520" s="14" t="str"/>
      <x:c r="L2520" s="14" t="str">
        <x:v>22:00'de yatakta ve uyku.</x:v>
      </x:c>
      <x:c r="M2520" s="14" t="str"/>
      <x:c r="N2520" s="14" t="str"/>
      <x:c r="O2520" s="14" t="n">
        <x:v>0</x:v>
      </x:c>
      <x:c r="P2520" s="14" t="str">
        <x:v>Hayır</x:v>
      </x:c>
      <x:c r="Q2520" s="14" t="str">
        <x:v>Hayır</x:v>
      </x:c>
      <x:c r="R2520" s="14" t="str">
        <x:v>Planlandı</x:v>
      </x:c>
      <x:c r="S2520" s="15" t="str"/>
      <x:c r="T2520" s="14" t="str"/>
    </x:row>
    <x:row r="2521">
      <x:c r="A2521" s="14" t="n">
        <x:v>2520</x:v>
      </x:c>
      <x:c r="B2521" s="15" t="n">
        <x:v>46502</x:v>
      </x:c>
      <x:c r="C2521" s="14" t="str">
        <x:v>Pazar</x:v>
      </x:c>
      <x:c r="D2521" s="14" t="str">
        <x:v>Hafta Sonu</x:v>
      </x:c>
      <x:c r="E2521" s="14" t="str">
        <x:v>Tam gün</x:v>
      </x:c>
      <x:c r="F2521" s="14" t="str">
        <x:v>F4 - 60 Gün / 60 Tam Deneme</x:v>
      </x:c>
      <x:c r="G2521" s="14" t="str">
        <x:v>09:30</x:v>
      </x:c>
      <x:c r="H2521" s="14" t="str">
        <x:v>10:45</x:v>
      </x:c>
      <x:c r="I2521" s="14" t="str">
        <x:v>Deneme</x:v>
      </x:c>
      <x:c r="J2521" s="14" t="str">
        <x:v>Tam LGS Denemesi - Sözel</x:v>
      </x:c>
      <x:c r="K2521" s="14" t="str">
        <x:v>Deneme 12</x:v>
      </x:c>
      <x:c r="L2521" s="14" t="str">
        <x:v>Deneme 12/60 — Sözel oturum: Türkçe 20 + İnkılap 10 + Din 10 + İngilizce 10. 75 dakika.</x:v>
      </x:c>
      <x:c r="M2521" s="14" t="str">
        <x:v>Tam LGS Denemesi</x:v>
      </x:c>
      <x:c r="N2521" s="14" t="str"/>
      <x:c r="O2521" s="14" t="n">
        <x:v>50</x:v>
      </x:c>
      <x:c r="P2521" s="14" t="str">
        <x:v>75 dk</x:v>
      </x:c>
      <x:c r="Q2521" s="14" t="str">
        <x:v>Evet</x:v>
      </x:c>
      <x:c r="R2521" s="14" t="str">
        <x:v>Planlandı</x:v>
      </x:c>
      <x:c r="S2521" s="15" t="str"/>
      <x:c r="T2521" s="14" t="str">
        <x:v>2026 LGS formatı çalışma referansıdır; 2027 kılavuzu yayımlanırsa güncellenir.</x:v>
      </x:c>
    </x:row>
    <x:row r="2522">
      <x:c r="A2522" s="14" t="n">
        <x:v>2521</x:v>
      </x:c>
      <x:c r="B2522" s="15" t="n">
        <x:v>46502</x:v>
      </x:c>
      <x:c r="C2522" s="14" t="str">
        <x:v>Pazar</x:v>
      </x:c>
      <x:c r="D2522" s="14" t="str">
        <x:v>Hafta Sonu</x:v>
      </x:c>
      <x:c r="E2522" s="14" t="str">
        <x:v>Tam gün</x:v>
      </x:c>
      <x:c r="F2522" s="14" t="str">
        <x:v>F4 - 60 Gün / 60 Tam Deneme</x:v>
      </x:c>
      <x:c r="G2522" s="14" t="str">
        <x:v>10:45</x:v>
      </x:c>
      <x:c r="H2522" s="14" t="str">
        <x:v>11:30</x:v>
      </x:c>
      <x:c r="I2522" s="14" t="str">
        <x:v>Genel</x:v>
      </x:c>
      <x:c r="J2522" s="14" t="str">
        <x:v>Deneme Arası</x:v>
      </x:c>
      <x:c r="K2522" s="14" t="str"/>
      <x:c r="L2522" s="14" t="str">
        <x:v>45 dakika gerçek sınav arası simülasyonu: yemek/su/tuvalet; soru analizi yapma.</x:v>
      </x:c>
      <x:c r="M2522" s="14" t="str"/>
      <x:c r="N2522" s="14" t="str"/>
      <x:c r="O2522" s="14" t="n">
        <x:v>0</x:v>
      </x:c>
      <x:c r="P2522" s="14" t="str">
        <x:v>Hayır</x:v>
      </x:c>
      <x:c r="Q2522" s="14" t="str">
        <x:v>Evet</x:v>
      </x:c>
      <x:c r="R2522" s="14" t="str">
        <x:v>Planlandı</x:v>
      </x:c>
      <x:c r="S2522" s="15" t="str"/>
      <x:c r="T2522" s="14" t="str"/>
    </x:row>
    <x:row r="2523">
      <x:c r="A2523" s="14" t="n">
        <x:v>2522</x:v>
      </x:c>
      <x:c r="B2523" s="15" t="n">
        <x:v>46502</x:v>
      </x:c>
      <x:c r="C2523" s="14" t="str">
        <x:v>Pazar</x:v>
      </x:c>
      <x:c r="D2523" s="14" t="str">
        <x:v>Hafta Sonu</x:v>
      </x:c>
      <x:c r="E2523" s="14" t="str">
        <x:v>Tam gün</x:v>
      </x:c>
      <x:c r="F2523" s="14" t="str">
        <x:v>F4 - 60 Gün / 60 Tam Deneme</x:v>
      </x:c>
      <x:c r="G2523" s="14" t="str">
        <x:v>11:30</x:v>
      </x:c>
      <x:c r="H2523" s="14" t="str">
        <x:v>12:50</x:v>
      </x:c>
      <x:c r="I2523" s="14" t="str">
        <x:v>Deneme</x:v>
      </x:c>
      <x:c r="J2523" s="14" t="str">
        <x:v>Tam LGS Denemesi - Sayısal</x:v>
      </x:c>
      <x:c r="K2523" s="14" t="str">
        <x:v>Deneme 12</x:v>
      </x:c>
      <x:c r="L2523" s="14" t="str">
        <x:v>Deneme 12/60 — Sayısal oturum: Matematik 20 + Fen 20. 80 dakika.</x:v>
      </x:c>
      <x:c r="M2523" s="14" t="str">
        <x:v>Tam LGS Denemesi</x:v>
      </x:c>
      <x:c r="N2523" s="14" t="str"/>
      <x:c r="O2523" s="14" t="n">
        <x:v>40</x:v>
      </x:c>
      <x:c r="P2523" s="14" t="str">
        <x:v>80 dk</x:v>
      </x:c>
      <x:c r="Q2523" s="14" t="str">
        <x:v>Evet</x:v>
      </x:c>
      <x:c r="R2523" s="14" t="str">
        <x:v>Planlandı</x:v>
      </x:c>
      <x:c r="S2523" s="15" t="str"/>
      <x:c r="T2523" s="14" t="str"/>
    </x:row>
    <x:row r="2524">
      <x:c r="A2524" s="14" t="n">
        <x:v>2523</x:v>
      </x:c>
      <x:c r="B2524" s="15" t="n">
        <x:v>46502</x:v>
      </x:c>
      <x:c r="C2524" s="14" t="str">
        <x:v>Pazar</x:v>
      </x:c>
      <x:c r="D2524" s="14" t="str">
        <x:v>Hafta Sonu</x:v>
      </x:c>
      <x:c r="E2524" s="14" t="str">
        <x:v>Tam gün</x:v>
      </x:c>
      <x:c r="F2524" s="14" t="str">
        <x:v>F4 - 60 Gün / 60 Tam Deneme</x:v>
      </x:c>
      <x:c r="G2524" s="14" t="str">
        <x:v>14:30</x:v>
      </x:c>
      <x:c r="H2524" s="14" t="str">
        <x:v>15:15</x:v>
      </x:c>
      <x:c r="I2524" s="14" t="str">
        <x:v>Deneme</x:v>
      </x:c>
      <x:c r="J2524" s="14" t="str">
        <x:v>Deneme Analizi</x:v>
      </x:c>
      <x:c r="K2524" s="14" t="str">
        <x:v>Deneme 12</x:v>
      </x:c>
      <x:c r="L2524" s="14" t="str">
        <x:v>Tüm yanlış/boşları nedenleriyle analiz et; bilgi eksikliği, işlem, dikkat, yanlış okuma veya yorumlama olarak sınıflandır.</x:v>
      </x:c>
      <x:c r="M2524" s="14" t="str">
        <x:v>Deneme Takibi</x:v>
      </x:c>
      <x:c r="N2524" s="14" t="str"/>
      <x:c r="O2524" s="14" t="n">
        <x:v>0</x:v>
      </x:c>
      <x:c r="P2524" s="14" t="str">
        <x:v>Hayır</x:v>
      </x:c>
      <x:c r="Q2524" s="14" t="str">
        <x:v>Evet</x:v>
      </x:c>
      <x:c r="R2524" s="14" t="str">
        <x:v>Planlandı</x:v>
      </x:c>
      <x:c r="S2524" s="15" t="str"/>
      <x:c r="T2524" s="14" t="str">
        <x:v>Deneme çözülüp analiz edilmediyse gün tamamlanmış sayılmaz.</x:v>
      </x:c>
    </x:row>
    <x:row r="2525">
      <x:c r="A2525" s="14" t="n">
        <x:v>2524</x:v>
      </x:c>
      <x:c r="B2525" s="15" t="n">
        <x:v>46502</x:v>
      </x:c>
      <x:c r="C2525" s="14" t="str">
        <x:v>Pazar</x:v>
      </x:c>
      <x:c r="D2525" s="14" t="str">
        <x:v>Hafta Sonu</x:v>
      </x:c>
      <x:c r="E2525" s="14" t="str">
        <x:v>Tam gün</x:v>
      </x:c>
      <x:c r="F2525" s="14" t="str">
        <x:v>F4 - 60 Gün / 60 Tam Deneme</x:v>
      </x:c>
      <x:c r="G2525" s="14" t="str">
        <x:v>15:25</x:v>
      </x:c>
      <x:c r="H2525" s="14" t="str">
        <x:v>16:10</x:v>
      </x:c>
      <x:c r="I2525" s="14" t="str">
        <x:v>Genel</x:v>
      </x:c>
      <x:c r="J2525" s="14" t="str">
        <x:v>Hedefli Eksik Giderme</x:v>
      </x:c>
      <x:c r="K2525" s="14" t="str">
        <x:v>Denemeden Gelen Eksikler</x:v>
      </x:c>
      <x:c r="L2525" s="14" t="str">
        <x:v>Denemenin gösterdiği en kritik 1-3 eksiği gider: gerekirse ilgili playlist videosuna kısa dönüş + hedefli soru çözümü.</x:v>
      </x:c>
      <x:c r="M2525" s="14" t="str">
        <x:v>Playlist + Soru Kitabı + MEB</x:v>
      </x:c>
      <x:c r="N2525" s="14" t="str"/>
      <x:c r="O2525" s="14" t="n">
        <x:v>0</x:v>
      </x:c>
      <x:c r="P2525" s="14" t="str">
        <x:v>Hayır</x:v>
      </x:c>
      <x:c r="Q2525" s="14" t="str">
        <x:v>Evet</x:v>
      </x:c>
      <x:c r="R2525" s="14" t="str">
        <x:v>Planlandı</x:v>
      </x:c>
      <x:c r="S2525" s="15" t="str"/>
      <x:c r="T2525" s="14" t="str">
        <x:v>Yeni konu açılmaz; yalnız denemenin kanıtladığı eksiğe müdahale edilir.</x:v>
      </x:c>
    </x:row>
    <x:row r="2526">
      <x:c r="A2526" s="14" t="n">
        <x:v>2525</x:v>
      </x:c>
      <x:c r="B2526" s="15" t="n">
        <x:v>46502</x:v>
      </x:c>
      <x:c r="C2526" s="14" t="str">
        <x:v>Pazar</x:v>
      </x:c>
      <x:c r="D2526" s="14" t="str">
        <x:v>Hafta Sonu</x:v>
      </x:c>
      <x:c r="E2526" s="14" t="str">
        <x:v>Tam gün</x:v>
      </x:c>
      <x:c r="F2526" s="14" t="str">
        <x:v>F4 - 60 Gün / 60 Tam Deneme</x:v>
      </x:c>
      <x:c r="G2526" s="14" t="str">
        <x:v>16:20</x:v>
      </x:c>
      <x:c r="H2526" s="14" t="str">
        <x:v>16:40</x:v>
      </x:c>
      <x:c r="I2526" s="14" t="str">
        <x:v>Genel</x:v>
      </x:c>
      <x:c r="J2526" s="14" t="str">
        <x:v>Aralıklı Hata Tekrarı</x:v>
      </x:c>
      <x:c r="K2526" s="14" t="str">
        <x:v>+1 / +7 / +21</x:v>
      </x:c>
      <x:c r="L2526" s="14" t="str">
        <x:v>Bugün vadesi gelen eski yanlışları tekrar çöz ve bugünkü yanlışları Yanlış Defteri'ne ekle.</x:v>
      </x:c>
      <x:c r="M2526" s="14" t="str">
        <x:v>Yanlış Defteri</x:v>
      </x:c>
      <x:c r="N2526" s="14" t="str"/>
      <x:c r="O2526" s="14" t="n">
        <x:v>0</x:v>
      </x:c>
      <x:c r="P2526" s="14" t="str">
        <x:v>Hayır</x:v>
      </x:c>
      <x:c r="Q2526" s="14" t="str">
        <x:v>Evet</x:v>
      </x:c>
      <x:c r="R2526" s="14" t="str">
        <x:v>Planlandı</x:v>
      </x:c>
      <x:c r="S2526" s="15" t="str"/>
      <x:c r="T2526" s="14" t="str"/>
    </x:row>
    <x:row r="2527">
      <x:c r="A2527" s="14" t="n">
        <x:v>2526</x:v>
      </x:c>
      <x:c r="B2527" s="15" t="n">
        <x:v>46502</x:v>
      </x:c>
      <x:c r="C2527" s="14" t="str">
        <x:v>Pazar</x:v>
      </x:c>
      <x:c r="D2527" s="14" t="str">
        <x:v>Hafta Sonu</x:v>
      </x:c>
      <x:c r="E2527" s="14" t="str">
        <x:v>Tam gün</x:v>
      </x:c>
      <x:c r="F2527" s="14" t="str">
        <x:v>F4 - 60 Gün / 60 Tam Deneme</x:v>
      </x:c>
      <x:c r="G2527" s="14" t="str">
        <x:v>20:00</x:v>
      </x:c>
      <x:c r="H2527" s="14" t="str">
        <x:v>20:30</x:v>
      </x:c>
      <x:c r="I2527" s="14" t="str">
        <x:v>Okuma</x:v>
      </x:c>
      <x:c r="J2527" s="14" t="str">
        <x:v>İsteğe Bağlı</x:v>
      </x:c>
      <x:c r="K2527" s="14" t="str">
        <x:v>Serbest Kitap</x:v>
      </x:c>
      <x:c r="L2527" s="14" t="str">
        <x:v>Enerji uygunsa kısa isteğe bağlı okuma.</x:v>
      </x:c>
      <x:c r="M2527" s="14" t="str">
        <x:v>Serbest Kitap</x:v>
      </x:c>
      <x:c r="N2527" s="14" t="str"/>
      <x:c r="O2527" s="14" t="n">
        <x:v>0</x:v>
      </x:c>
      <x:c r="P2527" s="14" t="str">
        <x:v>İsteğe Bağlı</x:v>
      </x:c>
      <x:c r="Q2527" s="14" t="str">
        <x:v>Hayır</x:v>
      </x:c>
      <x:c r="R2527" s="14" t="str">
        <x:v>Planlandı</x:v>
      </x:c>
      <x:c r="S2527" s="15" t="str"/>
      <x:c r="T2527" s="14" t="str"/>
    </x:row>
    <x:row r="2528">
      <x:c r="A2528" s="14" t="n">
        <x:v>2527</x:v>
      </x:c>
      <x:c r="B2528" s="15" t="n">
        <x:v>46502</x:v>
      </x:c>
      <x:c r="C2528" s="14" t="str">
        <x:v>Pazar</x:v>
      </x:c>
      <x:c r="D2528" s="14" t="str">
        <x:v>Hafta Sonu</x:v>
      </x:c>
      <x:c r="E2528" s="14" t="str">
        <x:v>Tam gün</x:v>
      </x:c>
      <x:c r="F2528" s="14" t="str">
        <x:v>F4 - 60 Gün / 60 Tam Deneme</x:v>
      </x:c>
      <x:c r="G2528" s="14" t="str">
        <x:v>21:50</x:v>
      </x:c>
      <x:c r="H2528" s="14" t="str">
        <x:v>22:00</x:v>
      </x:c>
      <x:c r="I2528" s="14" t="str">
        <x:v>Genel</x:v>
      </x:c>
      <x:c r="J2528" s="14" t="str">
        <x:v>Uyku Hazırlığı</x:v>
      </x:c>
      <x:c r="K2528" s="14" t="str"/>
      <x:c r="L2528" s="14" t="str">
        <x:v>22:00'de yatakta ve uyku.</x:v>
      </x:c>
      <x:c r="M2528" s="14" t="str"/>
      <x:c r="N2528" s="14" t="str"/>
      <x:c r="O2528" s="14" t="n">
        <x:v>0</x:v>
      </x:c>
      <x:c r="P2528" s="14" t="str">
        <x:v>Hayır</x:v>
      </x:c>
      <x:c r="Q2528" s="14" t="str">
        <x:v>Hayır</x:v>
      </x:c>
      <x:c r="R2528" s="14" t="str">
        <x:v>Planlandı</x:v>
      </x:c>
      <x:c r="S2528" s="15" t="str"/>
      <x:c r="T2528" s="14" t="str"/>
    </x:row>
    <x:row r="2529">
      <x:c r="A2529" s="14" t="n">
        <x:v>2528</x:v>
      </x:c>
      <x:c r="B2529" s="15" t="n">
        <x:v>46503</x:v>
      </x:c>
      <x:c r="C2529" s="14" t="str">
        <x:v>Pazartesi</x:v>
      </x:c>
      <x:c r="D2529" s="14" t="str">
        <x:v>Okul Günü</x:v>
      </x:c>
      <x:c r="E2529" s="14" t="str">
        <x:v>16:00 sonrası</x:v>
      </x:c>
      <x:c r="F2529" s="14" t="str">
        <x:v>F4 - 60 Gün / 60 Tam Deneme</x:v>
      </x:c>
      <x:c r="G2529" s="14" t="str">
        <x:v>16:00</x:v>
      </x:c>
      <x:c r="H2529" s="14" t="str">
        <x:v>16:25</x:v>
      </x:c>
      <x:c r="I2529" s="14" t="str">
        <x:v>Genel</x:v>
      </x:c>
      <x:c r="J2529" s="14" t="str">
        <x:v>Dinlenme</x:v>
      </x:c>
      <x:c r="K2529" s="14" t="str"/>
      <x:c r="L2529" s="14" t="str">
        <x:v>Eve geliş + kısa dinlenme.</x:v>
      </x:c>
      <x:c r="M2529" s="14" t="str"/>
      <x:c r="N2529" s="14" t="str"/>
      <x:c r="O2529" s="14" t="n">
        <x:v>0</x:v>
      </x:c>
      <x:c r="P2529" s="14" t="str">
        <x:v>Hayır</x:v>
      </x:c>
      <x:c r="Q2529" s="14" t="str">
        <x:v>Hayır</x:v>
      </x:c>
      <x:c r="R2529" s="14" t="str">
        <x:v>Planlandı</x:v>
      </x:c>
      <x:c r="S2529" s="15" t="str"/>
      <x:c r="T2529" s="14" t="str"/>
    </x:row>
    <x:row r="2530">
      <x:c r="A2530" s="14" t="n">
        <x:v>2529</x:v>
      </x:c>
      <x:c r="B2530" s="15" t="n">
        <x:v>46503</x:v>
      </x:c>
      <x:c r="C2530" s="14" t="str">
        <x:v>Pazartesi</x:v>
      </x:c>
      <x:c r="D2530" s="14" t="str">
        <x:v>Okul Günü</x:v>
      </x:c>
      <x:c r="E2530" s="14" t="str">
        <x:v>16:00 sonrası</x:v>
      </x:c>
      <x:c r="F2530" s="14" t="str">
        <x:v>F4 - 60 Gün / 60 Tam Deneme</x:v>
      </x:c>
      <x:c r="G2530" s="14" t="str">
        <x:v>16:30</x:v>
      </x:c>
      <x:c r="H2530" s="14" t="str">
        <x:v>17:45</x:v>
      </x:c>
      <x:c r="I2530" s="14" t="str">
        <x:v>Deneme</x:v>
      </x:c>
      <x:c r="J2530" s="14" t="str">
        <x:v>Tam LGS Denemesi - Sözel</x:v>
      </x:c>
      <x:c r="K2530" s="14" t="str">
        <x:v>Deneme 13</x:v>
      </x:c>
      <x:c r="L2530" s="14" t="str">
        <x:v>Deneme 13/60 — Sözel oturum: Türkçe 20 + İnkılap 10 + Din 10 + İngilizce 10. 75 dakika.</x:v>
      </x:c>
      <x:c r="M2530" s="14" t="str">
        <x:v>Tam LGS Denemesi</x:v>
      </x:c>
      <x:c r="N2530" s="14" t="str"/>
      <x:c r="O2530" s="14" t="n">
        <x:v>50</x:v>
      </x:c>
      <x:c r="P2530" s="14" t="str">
        <x:v>75 dk</x:v>
      </x:c>
      <x:c r="Q2530" s="14" t="str">
        <x:v>Evet</x:v>
      </x:c>
      <x:c r="R2530" s="14" t="str">
        <x:v>Planlandı</x:v>
      </x:c>
      <x:c r="S2530" s="15" t="str"/>
      <x:c r="T2530" s="14" t="str">
        <x:v>2026 LGS formatı çalışma referansıdır; 2027 kılavuzu yayımlanırsa güncellenir.</x:v>
      </x:c>
    </x:row>
    <x:row r="2531">
      <x:c r="A2531" s="14" t="n">
        <x:v>2530</x:v>
      </x:c>
      <x:c r="B2531" s="15" t="n">
        <x:v>46503</x:v>
      </x:c>
      <x:c r="C2531" s="14" t="str">
        <x:v>Pazartesi</x:v>
      </x:c>
      <x:c r="D2531" s="14" t="str">
        <x:v>Okul Günü</x:v>
      </x:c>
      <x:c r="E2531" s="14" t="str">
        <x:v>16:00 sonrası</x:v>
      </x:c>
      <x:c r="F2531" s="14" t="str">
        <x:v>F4 - 60 Gün / 60 Tam Deneme</x:v>
      </x:c>
      <x:c r="G2531" s="14" t="str">
        <x:v>17:45</x:v>
      </x:c>
      <x:c r="H2531" s="14" t="str">
        <x:v>18:30</x:v>
      </x:c>
      <x:c r="I2531" s="14" t="str">
        <x:v>Genel</x:v>
      </x:c>
      <x:c r="J2531" s="14" t="str">
        <x:v>Deneme Arası</x:v>
      </x:c>
      <x:c r="K2531" s="14" t="str"/>
      <x:c r="L2531" s="14" t="str">
        <x:v>45 dakika gerçek sınav arası simülasyonu: yemek/su/tuvalet; soru analizi yapma.</x:v>
      </x:c>
      <x:c r="M2531" s="14" t="str"/>
      <x:c r="N2531" s="14" t="str"/>
      <x:c r="O2531" s="14" t="n">
        <x:v>0</x:v>
      </x:c>
      <x:c r="P2531" s="14" t="str">
        <x:v>Hayır</x:v>
      </x:c>
      <x:c r="Q2531" s="14" t="str">
        <x:v>Evet</x:v>
      </x:c>
      <x:c r="R2531" s="14" t="str">
        <x:v>Planlandı</x:v>
      </x:c>
      <x:c r="S2531" s="15" t="str"/>
      <x:c r="T2531" s="14" t="str"/>
    </x:row>
    <x:row r="2532">
      <x:c r="A2532" s="14" t="n">
        <x:v>2531</x:v>
      </x:c>
      <x:c r="B2532" s="15" t="n">
        <x:v>46503</x:v>
      </x:c>
      <x:c r="C2532" s="14" t="str">
        <x:v>Pazartesi</x:v>
      </x:c>
      <x:c r="D2532" s="14" t="str">
        <x:v>Okul Günü</x:v>
      </x:c>
      <x:c r="E2532" s="14" t="str">
        <x:v>16:00 sonrası</x:v>
      </x:c>
      <x:c r="F2532" s="14" t="str">
        <x:v>F4 - 60 Gün / 60 Tam Deneme</x:v>
      </x:c>
      <x:c r="G2532" s="14" t="str">
        <x:v>18:30</x:v>
      </x:c>
      <x:c r="H2532" s="14" t="str">
        <x:v>19:50</x:v>
      </x:c>
      <x:c r="I2532" s="14" t="str">
        <x:v>Deneme</x:v>
      </x:c>
      <x:c r="J2532" s="14" t="str">
        <x:v>Tam LGS Denemesi - Sayısal</x:v>
      </x:c>
      <x:c r="K2532" s="14" t="str">
        <x:v>Deneme 13</x:v>
      </x:c>
      <x:c r="L2532" s="14" t="str">
        <x:v>Deneme 13/60 — Sayısal oturum: Matematik 20 + Fen 20. 80 dakika.</x:v>
      </x:c>
      <x:c r="M2532" s="14" t="str">
        <x:v>Tam LGS Denemesi</x:v>
      </x:c>
      <x:c r="N2532" s="14" t="str"/>
      <x:c r="O2532" s="14" t="n">
        <x:v>40</x:v>
      </x:c>
      <x:c r="P2532" s="14" t="str">
        <x:v>80 dk</x:v>
      </x:c>
      <x:c r="Q2532" s="14" t="str">
        <x:v>Evet</x:v>
      </x:c>
      <x:c r="R2532" s="14" t="str">
        <x:v>Planlandı</x:v>
      </x:c>
      <x:c r="S2532" s="15" t="str"/>
      <x:c r="T2532" s="14" t="str"/>
    </x:row>
    <x:row r="2533">
      <x:c r="A2533" s="14" t="n">
        <x:v>2532</x:v>
      </x:c>
      <x:c r="B2533" s="15" t="n">
        <x:v>46503</x:v>
      </x:c>
      <x:c r="C2533" s="14" t="str">
        <x:v>Pazartesi</x:v>
      </x:c>
      <x:c r="D2533" s="14" t="str">
        <x:v>Okul Günü</x:v>
      </x:c>
      <x:c r="E2533" s="14" t="str">
        <x:v>16:00 sonrası</x:v>
      </x:c>
      <x:c r="F2533" s="14" t="str">
        <x:v>F4 - 60 Gün / 60 Tam Deneme</x:v>
      </x:c>
      <x:c r="G2533" s="14" t="str">
        <x:v>20:00</x:v>
      </x:c>
      <x:c r="H2533" s="14" t="str">
        <x:v>20:45</x:v>
      </x:c>
      <x:c r="I2533" s="14" t="str">
        <x:v>Deneme</x:v>
      </x:c>
      <x:c r="J2533" s="14" t="str">
        <x:v>Deneme Analizi</x:v>
      </x:c>
      <x:c r="K2533" s="14" t="str">
        <x:v>Deneme 13</x:v>
      </x:c>
      <x:c r="L2533" s="14" t="str">
        <x:v>Tüm yanlış/boşları nedenleriyle analiz et; bilgi eksikliği, işlem, dikkat, yanlış okuma veya yorumlama olarak sınıflandır.</x:v>
      </x:c>
      <x:c r="M2533" s="14" t="str">
        <x:v>Deneme Takibi</x:v>
      </x:c>
      <x:c r="N2533" s="14" t="str"/>
      <x:c r="O2533" s="14" t="n">
        <x:v>0</x:v>
      </x:c>
      <x:c r="P2533" s="14" t="str">
        <x:v>Hayır</x:v>
      </x:c>
      <x:c r="Q2533" s="14" t="str">
        <x:v>Evet</x:v>
      </x:c>
      <x:c r="R2533" s="14" t="str">
        <x:v>Planlandı</x:v>
      </x:c>
      <x:c r="S2533" s="15" t="str"/>
      <x:c r="T2533" s="14" t="str">
        <x:v>Deneme çözülüp analiz edilmediyse gün tamamlanmış sayılmaz.</x:v>
      </x:c>
    </x:row>
    <x:row r="2534">
      <x:c r="A2534" s="14" t="n">
        <x:v>2533</x:v>
      </x:c>
      <x:c r="B2534" s="15" t="n">
        <x:v>46503</x:v>
      </x:c>
      <x:c r="C2534" s="14" t="str">
        <x:v>Pazartesi</x:v>
      </x:c>
      <x:c r="D2534" s="14" t="str">
        <x:v>Okul Günü</x:v>
      </x:c>
      <x:c r="E2534" s="14" t="str">
        <x:v>16:00 sonrası</x:v>
      </x:c>
      <x:c r="F2534" s="14" t="str">
        <x:v>F4 - 60 Gün / 60 Tam Deneme</x:v>
      </x:c>
      <x:c r="G2534" s="14" t="str">
        <x:v>20:50</x:v>
      </x:c>
      <x:c r="H2534" s="14" t="str">
        <x:v>21:25</x:v>
      </x:c>
      <x:c r="I2534" s="14" t="str">
        <x:v>Genel</x:v>
      </x:c>
      <x:c r="J2534" s="14" t="str">
        <x:v>Hedefli Eksik Giderme</x:v>
      </x:c>
      <x:c r="K2534" s="14" t="str">
        <x:v>Denemeden Gelen Eksikler</x:v>
      </x:c>
      <x:c r="L2534" s="14" t="str">
        <x:v>Denemenin gösterdiği en kritik 1-3 eksiği gider: gerekirse ilgili playlist videosuna kısa dönüş + hedefli soru çözümü.</x:v>
      </x:c>
      <x:c r="M2534" s="14" t="str">
        <x:v>Playlist + Soru Kitabı + MEB</x:v>
      </x:c>
      <x:c r="N2534" s="14" t="str"/>
      <x:c r="O2534" s="14" t="n">
        <x:v>0</x:v>
      </x:c>
      <x:c r="P2534" s="14" t="str">
        <x:v>Hayır</x:v>
      </x:c>
      <x:c r="Q2534" s="14" t="str">
        <x:v>Evet</x:v>
      </x:c>
      <x:c r="R2534" s="14" t="str">
        <x:v>Planlandı</x:v>
      </x:c>
      <x:c r="S2534" s="15" t="str"/>
      <x:c r="T2534" s="14" t="str">
        <x:v>Yeni konu açılmaz; yalnız denemenin kanıtladığı eksiğe müdahale edilir.</x:v>
      </x:c>
    </x:row>
    <x:row r="2535">
      <x:c r="A2535" s="14" t="n">
        <x:v>2534</x:v>
      </x:c>
      <x:c r="B2535" s="15" t="n">
        <x:v>46503</x:v>
      </x:c>
      <x:c r="C2535" s="14" t="str">
        <x:v>Pazartesi</x:v>
      </x:c>
      <x:c r="D2535" s="14" t="str">
        <x:v>Okul Günü</x:v>
      </x:c>
      <x:c r="E2535" s="14" t="str">
        <x:v>16:00 sonrası</x:v>
      </x:c>
      <x:c r="F2535" s="14" t="str">
        <x:v>F4 - 60 Gün / 60 Tam Deneme</x:v>
      </x:c>
      <x:c r="G2535" s="14" t="str">
        <x:v>21:25</x:v>
      </x:c>
      <x:c r="H2535" s="14" t="str">
        <x:v>21:40</x:v>
      </x:c>
      <x:c r="I2535" s="14" t="str">
        <x:v>Genel</x:v>
      </x:c>
      <x:c r="J2535" s="14" t="str">
        <x:v>Aralıklı Hata Tekrarı</x:v>
      </x:c>
      <x:c r="K2535" s="14" t="str">
        <x:v>+1 / +7 / +21</x:v>
      </x:c>
      <x:c r="L2535" s="14" t="str">
        <x:v>Bugün vadesi gelen eski yanlışları tekrar çöz ve bugünkü yanlışları Yanlış Defteri'ne ekle.</x:v>
      </x:c>
      <x:c r="M2535" s="14" t="str">
        <x:v>Yanlış Defteri</x:v>
      </x:c>
      <x:c r="N2535" s="14" t="str"/>
      <x:c r="O2535" s="14" t="n">
        <x:v>0</x:v>
      </x:c>
      <x:c r="P2535" s="14" t="str">
        <x:v>Hayır</x:v>
      </x:c>
      <x:c r="Q2535" s="14" t="str">
        <x:v>Evet</x:v>
      </x:c>
      <x:c r="R2535" s="14" t="str">
        <x:v>Planlandı</x:v>
      </x:c>
      <x:c r="S2535" s="15" t="str"/>
      <x:c r="T2535" s="14" t="str"/>
    </x:row>
    <x:row r="2536">
      <x:c r="A2536" s="14" t="n">
        <x:v>2535</x:v>
      </x:c>
      <x:c r="B2536" s="15" t="n">
        <x:v>46503</x:v>
      </x:c>
      <x:c r="C2536" s="14" t="str">
        <x:v>Pazartesi</x:v>
      </x:c>
      <x:c r="D2536" s="14" t="str">
        <x:v>Okul Günü</x:v>
      </x:c>
      <x:c r="E2536" s="14" t="str">
        <x:v>16:00 sonrası</x:v>
      </x:c>
      <x:c r="F2536" s="14" t="str">
        <x:v>F4 - 60 Gün / 60 Tam Deneme</x:v>
      </x:c>
      <x:c r="G2536" s="14" t="str">
        <x:v>21:40</x:v>
      </x:c>
      <x:c r="H2536" s="14" t="str">
        <x:v>21:50</x:v>
      </x:c>
      <x:c r="I2536" s="14" t="str">
        <x:v>Okuma</x:v>
      </x:c>
      <x:c r="J2536" s="14" t="str">
        <x:v>İsteğe Bağlı</x:v>
      </x:c>
      <x:c r="K2536" s="14" t="str">
        <x:v>Serbest Kitap</x:v>
      </x:c>
      <x:c r="L2536" s="14" t="str">
        <x:v>Enerji uygunsa kısa isteğe bağlı okuma.</x:v>
      </x:c>
      <x:c r="M2536" s="14" t="str">
        <x:v>Serbest Kitap</x:v>
      </x:c>
      <x:c r="N2536" s="14" t="str"/>
      <x:c r="O2536" s="14" t="n">
        <x:v>0</x:v>
      </x:c>
      <x:c r="P2536" s="14" t="str">
        <x:v>İsteğe Bağlı</x:v>
      </x:c>
      <x:c r="Q2536" s="14" t="str">
        <x:v>Hayır</x:v>
      </x:c>
      <x:c r="R2536" s="14" t="str">
        <x:v>Planlandı</x:v>
      </x:c>
      <x:c r="S2536" s="15" t="str"/>
      <x:c r="T2536" s="14" t="str"/>
    </x:row>
    <x:row r="2537">
      <x:c r="A2537" s="14" t="n">
        <x:v>2536</x:v>
      </x:c>
      <x:c r="B2537" s="15" t="n">
        <x:v>46503</x:v>
      </x:c>
      <x:c r="C2537" s="14" t="str">
        <x:v>Pazartesi</x:v>
      </x:c>
      <x:c r="D2537" s="14" t="str">
        <x:v>Okul Günü</x:v>
      </x:c>
      <x:c r="E2537" s="14" t="str">
        <x:v>16:00 sonrası</x:v>
      </x:c>
      <x:c r="F2537" s="14" t="str">
        <x:v>F4 - 60 Gün / 60 Tam Deneme</x:v>
      </x:c>
      <x:c r="G2537" s="14" t="str">
        <x:v>21:50</x:v>
      </x:c>
      <x:c r="H2537" s="14" t="str">
        <x:v>22:00</x:v>
      </x:c>
      <x:c r="I2537" s="14" t="str">
        <x:v>Genel</x:v>
      </x:c>
      <x:c r="J2537" s="14" t="str">
        <x:v>Uyku Hazırlığı</x:v>
      </x:c>
      <x:c r="K2537" s="14" t="str"/>
      <x:c r="L2537" s="14" t="str">
        <x:v>22:00'de yatakta ve uyku.</x:v>
      </x:c>
      <x:c r="M2537" s="14" t="str"/>
      <x:c r="N2537" s="14" t="str"/>
      <x:c r="O2537" s="14" t="n">
        <x:v>0</x:v>
      </x:c>
      <x:c r="P2537" s="14" t="str">
        <x:v>Hayır</x:v>
      </x:c>
      <x:c r="Q2537" s="14" t="str">
        <x:v>Hayır</x:v>
      </x:c>
      <x:c r="R2537" s="14" t="str">
        <x:v>Planlandı</x:v>
      </x:c>
      <x:c r="S2537" s="15" t="str"/>
      <x:c r="T2537" s="14" t="str"/>
    </x:row>
    <x:row r="2538">
      <x:c r="A2538" s="14" t="n">
        <x:v>2537</x:v>
      </x:c>
      <x:c r="B2538" s="15" t="n">
        <x:v>46504</x:v>
      </x:c>
      <x:c r="C2538" s="14" t="str">
        <x:v>Salı</x:v>
      </x:c>
      <x:c r="D2538" s="14" t="str">
        <x:v>Okul Günü</x:v>
      </x:c>
      <x:c r="E2538" s="14" t="str">
        <x:v>16:00 sonrası</x:v>
      </x:c>
      <x:c r="F2538" s="14" t="str">
        <x:v>F4 - 60 Gün / 60 Tam Deneme</x:v>
      </x:c>
      <x:c r="G2538" s="14" t="str">
        <x:v>16:00</x:v>
      </x:c>
      <x:c r="H2538" s="14" t="str">
        <x:v>16:25</x:v>
      </x:c>
      <x:c r="I2538" s="14" t="str">
        <x:v>Genel</x:v>
      </x:c>
      <x:c r="J2538" s="14" t="str">
        <x:v>Dinlenme</x:v>
      </x:c>
      <x:c r="K2538" s="14" t="str"/>
      <x:c r="L2538" s="14" t="str">
        <x:v>Eve geliş + kısa dinlenme.</x:v>
      </x:c>
      <x:c r="M2538" s="14" t="str"/>
      <x:c r="N2538" s="14" t="str"/>
      <x:c r="O2538" s="14" t="n">
        <x:v>0</x:v>
      </x:c>
      <x:c r="P2538" s="14" t="str">
        <x:v>Hayır</x:v>
      </x:c>
      <x:c r="Q2538" s="14" t="str">
        <x:v>Hayır</x:v>
      </x:c>
      <x:c r="R2538" s="14" t="str">
        <x:v>Planlandı</x:v>
      </x:c>
      <x:c r="S2538" s="15" t="str"/>
      <x:c r="T2538" s="14" t="str"/>
    </x:row>
    <x:row r="2539">
      <x:c r="A2539" s="14" t="n">
        <x:v>2538</x:v>
      </x:c>
      <x:c r="B2539" s="15" t="n">
        <x:v>46504</x:v>
      </x:c>
      <x:c r="C2539" s="14" t="str">
        <x:v>Salı</x:v>
      </x:c>
      <x:c r="D2539" s="14" t="str">
        <x:v>Okul Günü</x:v>
      </x:c>
      <x:c r="E2539" s="14" t="str">
        <x:v>16:00 sonrası</x:v>
      </x:c>
      <x:c r="F2539" s="14" t="str">
        <x:v>F4 - 60 Gün / 60 Tam Deneme</x:v>
      </x:c>
      <x:c r="G2539" s="14" t="str">
        <x:v>16:30</x:v>
      </x:c>
      <x:c r="H2539" s="14" t="str">
        <x:v>17:45</x:v>
      </x:c>
      <x:c r="I2539" s="14" t="str">
        <x:v>Deneme</x:v>
      </x:c>
      <x:c r="J2539" s="14" t="str">
        <x:v>Tam LGS Denemesi - Sözel</x:v>
      </x:c>
      <x:c r="K2539" s="14" t="str">
        <x:v>Deneme 14</x:v>
      </x:c>
      <x:c r="L2539" s="14" t="str">
        <x:v>Deneme 14/60 — Sözel oturum: Türkçe 20 + İnkılap 10 + Din 10 + İngilizce 10. 75 dakika.</x:v>
      </x:c>
      <x:c r="M2539" s="14" t="str">
        <x:v>Tam LGS Denemesi</x:v>
      </x:c>
      <x:c r="N2539" s="14" t="str"/>
      <x:c r="O2539" s="14" t="n">
        <x:v>50</x:v>
      </x:c>
      <x:c r="P2539" s="14" t="str">
        <x:v>75 dk</x:v>
      </x:c>
      <x:c r="Q2539" s="14" t="str">
        <x:v>Evet</x:v>
      </x:c>
      <x:c r="R2539" s="14" t="str">
        <x:v>Planlandı</x:v>
      </x:c>
      <x:c r="S2539" s="15" t="str"/>
      <x:c r="T2539" s="14" t="str">
        <x:v>2026 LGS formatı çalışma referansıdır; 2027 kılavuzu yayımlanırsa güncellenir.</x:v>
      </x:c>
    </x:row>
    <x:row r="2540">
      <x:c r="A2540" s="14" t="n">
        <x:v>2539</x:v>
      </x:c>
      <x:c r="B2540" s="15" t="n">
        <x:v>46504</x:v>
      </x:c>
      <x:c r="C2540" s="14" t="str">
        <x:v>Salı</x:v>
      </x:c>
      <x:c r="D2540" s="14" t="str">
        <x:v>Okul Günü</x:v>
      </x:c>
      <x:c r="E2540" s="14" t="str">
        <x:v>16:00 sonrası</x:v>
      </x:c>
      <x:c r="F2540" s="14" t="str">
        <x:v>F4 - 60 Gün / 60 Tam Deneme</x:v>
      </x:c>
      <x:c r="G2540" s="14" t="str">
        <x:v>17:45</x:v>
      </x:c>
      <x:c r="H2540" s="14" t="str">
        <x:v>18:30</x:v>
      </x:c>
      <x:c r="I2540" s="14" t="str">
        <x:v>Genel</x:v>
      </x:c>
      <x:c r="J2540" s="14" t="str">
        <x:v>Deneme Arası</x:v>
      </x:c>
      <x:c r="K2540" s="14" t="str"/>
      <x:c r="L2540" s="14" t="str">
        <x:v>45 dakika gerçek sınav arası simülasyonu: yemek/su/tuvalet; soru analizi yapma.</x:v>
      </x:c>
      <x:c r="M2540" s="14" t="str"/>
      <x:c r="N2540" s="14" t="str"/>
      <x:c r="O2540" s="14" t="n">
        <x:v>0</x:v>
      </x:c>
      <x:c r="P2540" s="14" t="str">
        <x:v>Hayır</x:v>
      </x:c>
      <x:c r="Q2540" s="14" t="str">
        <x:v>Evet</x:v>
      </x:c>
      <x:c r="R2540" s="14" t="str">
        <x:v>Planlandı</x:v>
      </x:c>
      <x:c r="S2540" s="15" t="str"/>
      <x:c r="T2540" s="14" t="str"/>
    </x:row>
    <x:row r="2541">
      <x:c r="A2541" s="14" t="n">
        <x:v>2540</x:v>
      </x:c>
      <x:c r="B2541" s="15" t="n">
        <x:v>46504</x:v>
      </x:c>
      <x:c r="C2541" s="14" t="str">
        <x:v>Salı</x:v>
      </x:c>
      <x:c r="D2541" s="14" t="str">
        <x:v>Okul Günü</x:v>
      </x:c>
      <x:c r="E2541" s="14" t="str">
        <x:v>16:00 sonrası</x:v>
      </x:c>
      <x:c r="F2541" s="14" t="str">
        <x:v>F4 - 60 Gün / 60 Tam Deneme</x:v>
      </x:c>
      <x:c r="G2541" s="14" t="str">
        <x:v>18:30</x:v>
      </x:c>
      <x:c r="H2541" s="14" t="str">
        <x:v>19:50</x:v>
      </x:c>
      <x:c r="I2541" s="14" t="str">
        <x:v>Deneme</x:v>
      </x:c>
      <x:c r="J2541" s="14" t="str">
        <x:v>Tam LGS Denemesi - Sayısal</x:v>
      </x:c>
      <x:c r="K2541" s="14" t="str">
        <x:v>Deneme 14</x:v>
      </x:c>
      <x:c r="L2541" s="14" t="str">
        <x:v>Deneme 14/60 — Sayısal oturum: Matematik 20 + Fen 20. 80 dakika.</x:v>
      </x:c>
      <x:c r="M2541" s="14" t="str">
        <x:v>Tam LGS Denemesi</x:v>
      </x:c>
      <x:c r="N2541" s="14" t="str"/>
      <x:c r="O2541" s="14" t="n">
        <x:v>40</x:v>
      </x:c>
      <x:c r="P2541" s="14" t="str">
        <x:v>80 dk</x:v>
      </x:c>
      <x:c r="Q2541" s="14" t="str">
        <x:v>Evet</x:v>
      </x:c>
      <x:c r="R2541" s="14" t="str">
        <x:v>Planlandı</x:v>
      </x:c>
      <x:c r="S2541" s="15" t="str"/>
      <x:c r="T2541" s="14" t="str"/>
    </x:row>
    <x:row r="2542">
      <x:c r="A2542" s="14" t="n">
        <x:v>2541</x:v>
      </x:c>
      <x:c r="B2542" s="15" t="n">
        <x:v>46504</x:v>
      </x:c>
      <x:c r="C2542" s="14" t="str">
        <x:v>Salı</x:v>
      </x:c>
      <x:c r="D2542" s="14" t="str">
        <x:v>Okul Günü</x:v>
      </x:c>
      <x:c r="E2542" s="14" t="str">
        <x:v>16:00 sonrası</x:v>
      </x:c>
      <x:c r="F2542" s="14" t="str">
        <x:v>F4 - 60 Gün / 60 Tam Deneme</x:v>
      </x:c>
      <x:c r="G2542" s="14" t="str">
        <x:v>20:00</x:v>
      </x:c>
      <x:c r="H2542" s="14" t="str">
        <x:v>20:45</x:v>
      </x:c>
      <x:c r="I2542" s="14" t="str">
        <x:v>Deneme</x:v>
      </x:c>
      <x:c r="J2542" s="14" t="str">
        <x:v>Deneme Analizi</x:v>
      </x:c>
      <x:c r="K2542" s="14" t="str">
        <x:v>Deneme 14</x:v>
      </x:c>
      <x:c r="L2542" s="14" t="str">
        <x:v>Tüm yanlış/boşları nedenleriyle analiz et; bilgi eksikliği, işlem, dikkat, yanlış okuma veya yorumlama olarak sınıflandır.</x:v>
      </x:c>
      <x:c r="M2542" s="14" t="str">
        <x:v>Deneme Takibi</x:v>
      </x:c>
      <x:c r="N2542" s="14" t="str"/>
      <x:c r="O2542" s="14" t="n">
        <x:v>0</x:v>
      </x:c>
      <x:c r="P2542" s="14" t="str">
        <x:v>Hayır</x:v>
      </x:c>
      <x:c r="Q2542" s="14" t="str">
        <x:v>Evet</x:v>
      </x:c>
      <x:c r="R2542" s="14" t="str">
        <x:v>Planlandı</x:v>
      </x:c>
      <x:c r="S2542" s="15" t="str"/>
      <x:c r="T2542" s="14" t="str">
        <x:v>Deneme çözülüp analiz edilmediyse gün tamamlanmış sayılmaz.</x:v>
      </x:c>
    </x:row>
    <x:row r="2543">
      <x:c r="A2543" s="14" t="n">
        <x:v>2542</x:v>
      </x:c>
      <x:c r="B2543" s="15" t="n">
        <x:v>46504</x:v>
      </x:c>
      <x:c r="C2543" s="14" t="str">
        <x:v>Salı</x:v>
      </x:c>
      <x:c r="D2543" s="14" t="str">
        <x:v>Okul Günü</x:v>
      </x:c>
      <x:c r="E2543" s="14" t="str">
        <x:v>16:00 sonrası</x:v>
      </x:c>
      <x:c r="F2543" s="14" t="str">
        <x:v>F4 - 60 Gün / 60 Tam Deneme</x:v>
      </x:c>
      <x:c r="G2543" s="14" t="str">
        <x:v>20:50</x:v>
      </x:c>
      <x:c r="H2543" s="14" t="str">
        <x:v>21:25</x:v>
      </x:c>
      <x:c r="I2543" s="14" t="str">
        <x:v>Genel</x:v>
      </x:c>
      <x:c r="J2543" s="14" t="str">
        <x:v>Hedefli Eksik Giderme</x:v>
      </x:c>
      <x:c r="K2543" s="14" t="str">
        <x:v>Denemeden Gelen Eksikler</x:v>
      </x:c>
      <x:c r="L2543" s="14" t="str">
        <x:v>Denemenin gösterdiği en kritik 1-3 eksiği gider: gerekirse ilgili playlist videosuna kısa dönüş + hedefli soru çözümü.</x:v>
      </x:c>
      <x:c r="M2543" s="14" t="str">
        <x:v>Playlist + Soru Kitabı + MEB</x:v>
      </x:c>
      <x:c r="N2543" s="14" t="str"/>
      <x:c r="O2543" s="14" t="n">
        <x:v>0</x:v>
      </x:c>
      <x:c r="P2543" s="14" t="str">
        <x:v>Hayır</x:v>
      </x:c>
      <x:c r="Q2543" s="14" t="str">
        <x:v>Evet</x:v>
      </x:c>
      <x:c r="R2543" s="14" t="str">
        <x:v>Planlandı</x:v>
      </x:c>
      <x:c r="S2543" s="15" t="str"/>
      <x:c r="T2543" s="14" t="str">
        <x:v>Yeni konu açılmaz; yalnız denemenin kanıtladığı eksiğe müdahale edilir.</x:v>
      </x:c>
    </x:row>
    <x:row r="2544">
      <x:c r="A2544" s="14" t="n">
        <x:v>2543</x:v>
      </x:c>
      <x:c r="B2544" s="15" t="n">
        <x:v>46504</x:v>
      </x:c>
      <x:c r="C2544" s="14" t="str">
        <x:v>Salı</x:v>
      </x:c>
      <x:c r="D2544" s="14" t="str">
        <x:v>Okul Günü</x:v>
      </x:c>
      <x:c r="E2544" s="14" t="str">
        <x:v>16:00 sonrası</x:v>
      </x:c>
      <x:c r="F2544" s="14" t="str">
        <x:v>F4 - 60 Gün / 60 Tam Deneme</x:v>
      </x:c>
      <x:c r="G2544" s="14" t="str">
        <x:v>21:25</x:v>
      </x:c>
      <x:c r="H2544" s="14" t="str">
        <x:v>21:40</x:v>
      </x:c>
      <x:c r="I2544" s="14" t="str">
        <x:v>Genel</x:v>
      </x:c>
      <x:c r="J2544" s="14" t="str">
        <x:v>Aralıklı Hata Tekrarı</x:v>
      </x:c>
      <x:c r="K2544" s="14" t="str">
        <x:v>+1 / +7 / +21</x:v>
      </x:c>
      <x:c r="L2544" s="14" t="str">
        <x:v>Bugün vadesi gelen eski yanlışları tekrar çöz ve bugünkü yanlışları Yanlış Defteri'ne ekle.</x:v>
      </x:c>
      <x:c r="M2544" s="14" t="str">
        <x:v>Yanlış Defteri</x:v>
      </x:c>
      <x:c r="N2544" s="14" t="str"/>
      <x:c r="O2544" s="14" t="n">
        <x:v>0</x:v>
      </x:c>
      <x:c r="P2544" s="14" t="str">
        <x:v>Hayır</x:v>
      </x:c>
      <x:c r="Q2544" s="14" t="str">
        <x:v>Evet</x:v>
      </x:c>
      <x:c r="R2544" s="14" t="str">
        <x:v>Planlandı</x:v>
      </x:c>
      <x:c r="S2544" s="15" t="str"/>
      <x:c r="T2544" s="14" t="str"/>
    </x:row>
    <x:row r="2545">
      <x:c r="A2545" s="14" t="n">
        <x:v>2544</x:v>
      </x:c>
      <x:c r="B2545" s="15" t="n">
        <x:v>46504</x:v>
      </x:c>
      <x:c r="C2545" s="14" t="str">
        <x:v>Salı</x:v>
      </x:c>
      <x:c r="D2545" s="14" t="str">
        <x:v>Okul Günü</x:v>
      </x:c>
      <x:c r="E2545" s="14" t="str">
        <x:v>16:00 sonrası</x:v>
      </x:c>
      <x:c r="F2545" s="14" t="str">
        <x:v>F4 - 60 Gün / 60 Tam Deneme</x:v>
      </x:c>
      <x:c r="G2545" s="14" t="str">
        <x:v>21:40</x:v>
      </x:c>
      <x:c r="H2545" s="14" t="str">
        <x:v>21:50</x:v>
      </x:c>
      <x:c r="I2545" s="14" t="str">
        <x:v>Okuma</x:v>
      </x:c>
      <x:c r="J2545" s="14" t="str">
        <x:v>İsteğe Bağlı</x:v>
      </x:c>
      <x:c r="K2545" s="14" t="str">
        <x:v>Serbest Kitap</x:v>
      </x:c>
      <x:c r="L2545" s="14" t="str">
        <x:v>Enerji uygunsa kısa isteğe bağlı okuma.</x:v>
      </x:c>
      <x:c r="M2545" s="14" t="str">
        <x:v>Serbest Kitap</x:v>
      </x:c>
      <x:c r="N2545" s="14" t="str"/>
      <x:c r="O2545" s="14" t="n">
        <x:v>0</x:v>
      </x:c>
      <x:c r="P2545" s="14" t="str">
        <x:v>İsteğe Bağlı</x:v>
      </x:c>
      <x:c r="Q2545" s="14" t="str">
        <x:v>Hayır</x:v>
      </x:c>
      <x:c r="R2545" s="14" t="str">
        <x:v>Planlandı</x:v>
      </x:c>
      <x:c r="S2545" s="15" t="str"/>
      <x:c r="T2545" s="14" t="str"/>
    </x:row>
    <x:row r="2546">
      <x:c r="A2546" s="14" t="n">
        <x:v>2545</x:v>
      </x:c>
      <x:c r="B2546" s="15" t="n">
        <x:v>46504</x:v>
      </x:c>
      <x:c r="C2546" s="14" t="str">
        <x:v>Salı</x:v>
      </x:c>
      <x:c r="D2546" s="14" t="str">
        <x:v>Okul Günü</x:v>
      </x:c>
      <x:c r="E2546" s="14" t="str">
        <x:v>16:00 sonrası</x:v>
      </x:c>
      <x:c r="F2546" s="14" t="str">
        <x:v>F4 - 60 Gün / 60 Tam Deneme</x:v>
      </x:c>
      <x:c r="G2546" s="14" t="str">
        <x:v>21:50</x:v>
      </x:c>
      <x:c r="H2546" s="14" t="str">
        <x:v>22:00</x:v>
      </x:c>
      <x:c r="I2546" s="14" t="str">
        <x:v>Genel</x:v>
      </x:c>
      <x:c r="J2546" s="14" t="str">
        <x:v>Uyku Hazırlığı</x:v>
      </x:c>
      <x:c r="K2546" s="14" t="str"/>
      <x:c r="L2546" s="14" t="str">
        <x:v>22:00'de yatakta ve uyku.</x:v>
      </x:c>
      <x:c r="M2546" s="14" t="str"/>
      <x:c r="N2546" s="14" t="str"/>
      <x:c r="O2546" s="14" t="n">
        <x:v>0</x:v>
      </x:c>
      <x:c r="P2546" s="14" t="str">
        <x:v>Hayır</x:v>
      </x:c>
      <x:c r="Q2546" s="14" t="str">
        <x:v>Hayır</x:v>
      </x:c>
      <x:c r="R2546" s="14" t="str">
        <x:v>Planlandı</x:v>
      </x:c>
      <x:c r="S2546" s="15" t="str"/>
      <x:c r="T2546" s="14" t="str"/>
    </x:row>
    <x:row r="2547">
      <x:c r="A2547" s="14" t="n">
        <x:v>2546</x:v>
      </x:c>
      <x:c r="B2547" s="15" t="n">
        <x:v>46505</x:v>
      </x:c>
      <x:c r="C2547" s="14" t="str">
        <x:v>Çarşamba</x:v>
      </x:c>
      <x:c r="D2547" s="14" t="str">
        <x:v>Okul Günü</x:v>
      </x:c>
      <x:c r="E2547" s="14" t="str">
        <x:v>16:00 sonrası</x:v>
      </x:c>
      <x:c r="F2547" s="14" t="str">
        <x:v>F4 - 60 Gün / 60 Tam Deneme</x:v>
      </x:c>
      <x:c r="G2547" s="14" t="str">
        <x:v>16:00</x:v>
      </x:c>
      <x:c r="H2547" s="14" t="str">
        <x:v>16:25</x:v>
      </x:c>
      <x:c r="I2547" s="14" t="str">
        <x:v>Genel</x:v>
      </x:c>
      <x:c r="J2547" s="14" t="str">
        <x:v>Dinlenme</x:v>
      </x:c>
      <x:c r="K2547" s="14" t="str"/>
      <x:c r="L2547" s="14" t="str">
        <x:v>Eve geliş + kısa dinlenme.</x:v>
      </x:c>
      <x:c r="M2547" s="14" t="str"/>
      <x:c r="N2547" s="14" t="str"/>
      <x:c r="O2547" s="14" t="n">
        <x:v>0</x:v>
      </x:c>
      <x:c r="P2547" s="14" t="str">
        <x:v>Hayır</x:v>
      </x:c>
      <x:c r="Q2547" s="14" t="str">
        <x:v>Hayır</x:v>
      </x:c>
      <x:c r="R2547" s="14" t="str">
        <x:v>Planlandı</x:v>
      </x:c>
      <x:c r="S2547" s="15" t="str"/>
      <x:c r="T2547" s="14" t="str"/>
    </x:row>
    <x:row r="2548">
      <x:c r="A2548" s="14" t="n">
        <x:v>2547</x:v>
      </x:c>
      <x:c r="B2548" s="15" t="n">
        <x:v>46505</x:v>
      </x:c>
      <x:c r="C2548" s="14" t="str">
        <x:v>Çarşamba</x:v>
      </x:c>
      <x:c r="D2548" s="14" t="str">
        <x:v>Okul Günü</x:v>
      </x:c>
      <x:c r="E2548" s="14" t="str">
        <x:v>16:00 sonrası</x:v>
      </x:c>
      <x:c r="F2548" s="14" t="str">
        <x:v>F4 - 60 Gün / 60 Tam Deneme</x:v>
      </x:c>
      <x:c r="G2548" s="14" t="str">
        <x:v>16:30</x:v>
      </x:c>
      <x:c r="H2548" s="14" t="str">
        <x:v>17:45</x:v>
      </x:c>
      <x:c r="I2548" s="14" t="str">
        <x:v>Deneme</x:v>
      </x:c>
      <x:c r="J2548" s="14" t="str">
        <x:v>Tam LGS Denemesi - Sözel</x:v>
      </x:c>
      <x:c r="K2548" s="14" t="str">
        <x:v>Deneme 15</x:v>
      </x:c>
      <x:c r="L2548" s="14" t="str">
        <x:v>Deneme 15/60 — Sözel oturum: Türkçe 20 + İnkılap 10 + Din 10 + İngilizce 10. 75 dakika.</x:v>
      </x:c>
      <x:c r="M2548" s="14" t="str">
        <x:v>Tam LGS Denemesi</x:v>
      </x:c>
      <x:c r="N2548" s="14" t="str"/>
      <x:c r="O2548" s="14" t="n">
        <x:v>50</x:v>
      </x:c>
      <x:c r="P2548" s="14" t="str">
        <x:v>75 dk</x:v>
      </x:c>
      <x:c r="Q2548" s="14" t="str">
        <x:v>Evet</x:v>
      </x:c>
      <x:c r="R2548" s="14" t="str">
        <x:v>Planlandı</x:v>
      </x:c>
      <x:c r="S2548" s="15" t="str"/>
      <x:c r="T2548" s="14" t="str">
        <x:v>2026 LGS formatı çalışma referansıdır; 2027 kılavuzu yayımlanırsa güncellenir.</x:v>
      </x:c>
    </x:row>
    <x:row r="2549">
      <x:c r="A2549" s="14" t="n">
        <x:v>2548</x:v>
      </x:c>
      <x:c r="B2549" s="15" t="n">
        <x:v>46505</x:v>
      </x:c>
      <x:c r="C2549" s="14" t="str">
        <x:v>Çarşamba</x:v>
      </x:c>
      <x:c r="D2549" s="14" t="str">
        <x:v>Okul Günü</x:v>
      </x:c>
      <x:c r="E2549" s="14" t="str">
        <x:v>16:00 sonrası</x:v>
      </x:c>
      <x:c r="F2549" s="14" t="str">
        <x:v>F4 - 60 Gün / 60 Tam Deneme</x:v>
      </x:c>
      <x:c r="G2549" s="14" t="str">
        <x:v>17:45</x:v>
      </x:c>
      <x:c r="H2549" s="14" t="str">
        <x:v>18:30</x:v>
      </x:c>
      <x:c r="I2549" s="14" t="str">
        <x:v>Genel</x:v>
      </x:c>
      <x:c r="J2549" s="14" t="str">
        <x:v>Deneme Arası</x:v>
      </x:c>
      <x:c r="K2549" s="14" t="str"/>
      <x:c r="L2549" s="14" t="str">
        <x:v>45 dakika gerçek sınav arası simülasyonu: yemek/su/tuvalet; soru analizi yapma.</x:v>
      </x:c>
      <x:c r="M2549" s="14" t="str"/>
      <x:c r="N2549" s="14" t="str"/>
      <x:c r="O2549" s="14" t="n">
        <x:v>0</x:v>
      </x:c>
      <x:c r="P2549" s="14" t="str">
        <x:v>Hayır</x:v>
      </x:c>
      <x:c r="Q2549" s="14" t="str">
        <x:v>Evet</x:v>
      </x:c>
      <x:c r="R2549" s="14" t="str">
        <x:v>Planlandı</x:v>
      </x:c>
      <x:c r="S2549" s="15" t="str"/>
      <x:c r="T2549" s="14" t="str"/>
    </x:row>
    <x:row r="2550">
      <x:c r="A2550" s="14" t="n">
        <x:v>2549</x:v>
      </x:c>
      <x:c r="B2550" s="15" t="n">
        <x:v>46505</x:v>
      </x:c>
      <x:c r="C2550" s="14" t="str">
        <x:v>Çarşamba</x:v>
      </x:c>
      <x:c r="D2550" s="14" t="str">
        <x:v>Okul Günü</x:v>
      </x:c>
      <x:c r="E2550" s="14" t="str">
        <x:v>16:00 sonrası</x:v>
      </x:c>
      <x:c r="F2550" s="14" t="str">
        <x:v>F4 - 60 Gün / 60 Tam Deneme</x:v>
      </x:c>
      <x:c r="G2550" s="14" t="str">
        <x:v>18:30</x:v>
      </x:c>
      <x:c r="H2550" s="14" t="str">
        <x:v>19:50</x:v>
      </x:c>
      <x:c r="I2550" s="14" t="str">
        <x:v>Deneme</x:v>
      </x:c>
      <x:c r="J2550" s="14" t="str">
        <x:v>Tam LGS Denemesi - Sayısal</x:v>
      </x:c>
      <x:c r="K2550" s="14" t="str">
        <x:v>Deneme 15</x:v>
      </x:c>
      <x:c r="L2550" s="14" t="str">
        <x:v>Deneme 15/60 — Sayısal oturum: Matematik 20 + Fen 20. 80 dakika.</x:v>
      </x:c>
      <x:c r="M2550" s="14" t="str">
        <x:v>Tam LGS Denemesi</x:v>
      </x:c>
      <x:c r="N2550" s="14" t="str"/>
      <x:c r="O2550" s="14" t="n">
        <x:v>40</x:v>
      </x:c>
      <x:c r="P2550" s="14" t="str">
        <x:v>80 dk</x:v>
      </x:c>
      <x:c r="Q2550" s="14" t="str">
        <x:v>Evet</x:v>
      </x:c>
      <x:c r="R2550" s="14" t="str">
        <x:v>Planlandı</x:v>
      </x:c>
      <x:c r="S2550" s="15" t="str"/>
      <x:c r="T2550" s="14" t="str"/>
    </x:row>
    <x:row r="2551">
      <x:c r="A2551" s="14" t="n">
        <x:v>2550</x:v>
      </x:c>
      <x:c r="B2551" s="15" t="n">
        <x:v>46505</x:v>
      </x:c>
      <x:c r="C2551" s="14" t="str">
        <x:v>Çarşamba</x:v>
      </x:c>
      <x:c r="D2551" s="14" t="str">
        <x:v>Okul Günü</x:v>
      </x:c>
      <x:c r="E2551" s="14" t="str">
        <x:v>16:00 sonrası</x:v>
      </x:c>
      <x:c r="F2551" s="14" t="str">
        <x:v>F4 - 60 Gün / 60 Tam Deneme</x:v>
      </x:c>
      <x:c r="G2551" s="14" t="str">
        <x:v>20:00</x:v>
      </x:c>
      <x:c r="H2551" s="14" t="str">
        <x:v>20:45</x:v>
      </x:c>
      <x:c r="I2551" s="14" t="str">
        <x:v>Deneme</x:v>
      </x:c>
      <x:c r="J2551" s="14" t="str">
        <x:v>Deneme Analizi</x:v>
      </x:c>
      <x:c r="K2551" s="14" t="str">
        <x:v>Deneme 15</x:v>
      </x:c>
      <x:c r="L2551" s="14" t="str">
        <x:v>Tüm yanlış/boşları nedenleriyle analiz et; bilgi eksikliği, işlem, dikkat, yanlış okuma veya yorumlama olarak sınıflandır.</x:v>
      </x:c>
      <x:c r="M2551" s="14" t="str">
        <x:v>Deneme Takibi</x:v>
      </x:c>
      <x:c r="N2551" s="14" t="str"/>
      <x:c r="O2551" s="14" t="n">
        <x:v>0</x:v>
      </x:c>
      <x:c r="P2551" s="14" t="str">
        <x:v>Hayır</x:v>
      </x:c>
      <x:c r="Q2551" s="14" t="str">
        <x:v>Evet</x:v>
      </x:c>
      <x:c r="R2551" s="14" t="str">
        <x:v>Planlandı</x:v>
      </x:c>
      <x:c r="S2551" s="15" t="str"/>
      <x:c r="T2551" s="14" t="str">
        <x:v>Deneme çözülüp analiz edilmediyse gün tamamlanmış sayılmaz.</x:v>
      </x:c>
    </x:row>
    <x:row r="2552">
      <x:c r="A2552" s="14" t="n">
        <x:v>2551</x:v>
      </x:c>
      <x:c r="B2552" s="15" t="n">
        <x:v>46505</x:v>
      </x:c>
      <x:c r="C2552" s="14" t="str">
        <x:v>Çarşamba</x:v>
      </x:c>
      <x:c r="D2552" s="14" t="str">
        <x:v>Okul Günü</x:v>
      </x:c>
      <x:c r="E2552" s="14" t="str">
        <x:v>16:00 sonrası</x:v>
      </x:c>
      <x:c r="F2552" s="14" t="str">
        <x:v>F4 - 60 Gün / 60 Tam Deneme</x:v>
      </x:c>
      <x:c r="G2552" s="14" t="str">
        <x:v>20:50</x:v>
      </x:c>
      <x:c r="H2552" s="14" t="str">
        <x:v>21:25</x:v>
      </x:c>
      <x:c r="I2552" s="14" t="str">
        <x:v>Genel</x:v>
      </x:c>
      <x:c r="J2552" s="14" t="str">
        <x:v>Hedefli Eksik Giderme</x:v>
      </x:c>
      <x:c r="K2552" s="14" t="str">
        <x:v>Denemeden Gelen Eksikler</x:v>
      </x:c>
      <x:c r="L2552" s="14" t="str">
        <x:v>Denemenin gösterdiği en kritik 1-3 eksiği gider: gerekirse ilgili playlist videosuna kısa dönüş + hedefli soru çözümü.</x:v>
      </x:c>
      <x:c r="M2552" s="14" t="str">
        <x:v>Playlist + Soru Kitabı + MEB</x:v>
      </x:c>
      <x:c r="N2552" s="14" t="str"/>
      <x:c r="O2552" s="14" t="n">
        <x:v>0</x:v>
      </x:c>
      <x:c r="P2552" s="14" t="str">
        <x:v>Hayır</x:v>
      </x:c>
      <x:c r="Q2552" s="14" t="str">
        <x:v>Evet</x:v>
      </x:c>
      <x:c r="R2552" s="14" t="str">
        <x:v>Planlandı</x:v>
      </x:c>
      <x:c r="S2552" s="15" t="str"/>
      <x:c r="T2552" s="14" t="str">
        <x:v>Yeni konu açılmaz; yalnız denemenin kanıtladığı eksiğe müdahale edilir.</x:v>
      </x:c>
    </x:row>
    <x:row r="2553">
      <x:c r="A2553" s="14" t="n">
        <x:v>2552</x:v>
      </x:c>
      <x:c r="B2553" s="15" t="n">
        <x:v>46505</x:v>
      </x:c>
      <x:c r="C2553" s="14" t="str">
        <x:v>Çarşamba</x:v>
      </x:c>
      <x:c r="D2553" s="14" t="str">
        <x:v>Okul Günü</x:v>
      </x:c>
      <x:c r="E2553" s="14" t="str">
        <x:v>16:00 sonrası</x:v>
      </x:c>
      <x:c r="F2553" s="14" t="str">
        <x:v>F4 - 60 Gün / 60 Tam Deneme</x:v>
      </x:c>
      <x:c r="G2553" s="14" t="str">
        <x:v>21:25</x:v>
      </x:c>
      <x:c r="H2553" s="14" t="str">
        <x:v>21:40</x:v>
      </x:c>
      <x:c r="I2553" s="14" t="str">
        <x:v>Genel</x:v>
      </x:c>
      <x:c r="J2553" s="14" t="str">
        <x:v>Aralıklı Hata Tekrarı</x:v>
      </x:c>
      <x:c r="K2553" s="14" t="str">
        <x:v>+1 / +7 / +21</x:v>
      </x:c>
      <x:c r="L2553" s="14" t="str">
        <x:v>Bugün vadesi gelen eski yanlışları tekrar çöz ve bugünkü yanlışları Yanlış Defteri'ne ekle.</x:v>
      </x:c>
      <x:c r="M2553" s="14" t="str">
        <x:v>Yanlış Defteri</x:v>
      </x:c>
      <x:c r="N2553" s="14" t="str"/>
      <x:c r="O2553" s="14" t="n">
        <x:v>0</x:v>
      </x:c>
      <x:c r="P2553" s="14" t="str">
        <x:v>Hayır</x:v>
      </x:c>
      <x:c r="Q2553" s="14" t="str">
        <x:v>Evet</x:v>
      </x:c>
      <x:c r="R2553" s="14" t="str">
        <x:v>Planlandı</x:v>
      </x:c>
      <x:c r="S2553" s="15" t="str"/>
      <x:c r="T2553" s="14" t="str"/>
    </x:row>
    <x:row r="2554">
      <x:c r="A2554" s="14" t="n">
        <x:v>2553</x:v>
      </x:c>
      <x:c r="B2554" s="15" t="n">
        <x:v>46505</x:v>
      </x:c>
      <x:c r="C2554" s="14" t="str">
        <x:v>Çarşamba</x:v>
      </x:c>
      <x:c r="D2554" s="14" t="str">
        <x:v>Okul Günü</x:v>
      </x:c>
      <x:c r="E2554" s="14" t="str">
        <x:v>16:00 sonrası</x:v>
      </x:c>
      <x:c r="F2554" s="14" t="str">
        <x:v>F4 - 60 Gün / 60 Tam Deneme</x:v>
      </x:c>
      <x:c r="G2554" s="14" t="str">
        <x:v>21:40</x:v>
      </x:c>
      <x:c r="H2554" s="14" t="str">
        <x:v>21:50</x:v>
      </x:c>
      <x:c r="I2554" s="14" t="str">
        <x:v>Okuma</x:v>
      </x:c>
      <x:c r="J2554" s="14" t="str">
        <x:v>İsteğe Bağlı</x:v>
      </x:c>
      <x:c r="K2554" s="14" t="str">
        <x:v>Serbest Kitap</x:v>
      </x:c>
      <x:c r="L2554" s="14" t="str">
        <x:v>Enerji uygunsa kısa isteğe bağlı okuma.</x:v>
      </x:c>
      <x:c r="M2554" s="14" t="str">
        <x:v>Serbest Kitap</x:v>
      </x:c>
      <x:c r="N2554" s="14" t="str"/>
      <x:c r="O2554" s="14" t="n">
        <x:v>0</x:v>
      </x:c>
      <x:c r="P2554" s="14" t="str">
        <x:v>İsteğe Bağlı</x:v>
      </x:c>
      <x:c r="Q2554" s="14" t="str">
        <x:v>Hayır</x:v>
      </x:c>
      <x:c r="R2554" s="14" t="str">
        <x:v>Planlandı</x:v>
      </x:c>
      <x:c r="S2554" s="15" t="str"/>
      <x:c r="T2554" s="14" t="str"/>
    </x:row>
    <x:row r="2555">
      <x:c r="A2555" s="14" t="n">
        <x:v>2554</x:v>
      </x:c>
      <x:c r="B2555" s="15" t="n">
        <x:v>46505</x:v>
      </x:c>
      <x:c r="C2555" s="14" t="str">
        <x:v>Çarşamba</x:v>
      </x:c>
      <x:c r="D2555" s="14" t="str">
        <x:v>Okul Günü</x:v>
      </x:c>
      <x:c r="E2555" s="14" t="str">
        <x:v>16:00 sonrası</x:v>
      </x:c>
      <x:c r="F2555" s="14" t="str">
        <x:v>F4 - 60 Gün / 60 Tam Deneme</x:v>
      </x:c>
      <x:c r="G2555" s="14" t="str">
        <x:v>21:50</x:v>
      </x:c>
      <x:c r="H2555" s="14" t="str">
        <x:v>22:00</x:v>
      </x:c>
      <x:c r="I2555" s="14" t="str">
        <x:v>Genel</x:v>
      </x:c>
      <x:c r="J2555" s="14" t="str">
        <x:v>Uyku Hazırlığı</x:v>
      </x:c>
      <x:c r="K2555" s="14" t="str"/>
      <x:c r="L2555" s="14" t="str">
        <x:v>22:00'de yatakta ve uyku.</x:v>
      </x:c>
      <x:c r="M2555" s="14" t="str"/>
      <x:c r="N2555" s="14" t="str"/>
      <x:c r="O2555" s="14" t="n">
        <x:v>0</x:v>
      </x:c>
      <x:c r="P2555" s="14" t="str">
        <x:v>Hayır</x:v>
      </x:c>
      <x:c r="Q2555" s="14" t="str">
        <x:v>Hayır</x:v>
      </x:c>
      <x:c r="R2555" s="14" t="str">
        <x:v>Planlandı</x:v>
      </x:c>
      <x:c r="S2555" s="15" t="str"/>
      <x:c r="T2555" s="14" t="str"/>
    </x:row>
    <x:row r="2556">
      <x:c r="A2556" s="14" t="n">
        <x:v>2555</x:v>
      </x:c>
      <x:c r="B2556" s="15" t="n">
        <x:v>46506</x:v>
      </x:c>
      <x:c r="C2556" s="14" t="str">
        <x:v>Perşembe</x:v>
      </x:c>
      <x:c r="D2556" s="14" t="str">
        <x:v>Okul Günü</x:v>
      </x:c>
      <x:c r="E2556" s="14" t="str">
        <x:v>16:00 sonrası</x:v>
      </x:c>
      <x:c r="F2556" s="14" t="str">
        <x:v>F4 - 60 Gün / 60 Tam Deneme</x:v>
      </x:c>
      <x:c r="G2556" s="14" t="str">
        <x:v>16:00</x:v>
      </x:c>
      <x:c r="H2556" s="14" t="str">
        <x:v>16:25</x:v>
      </x:c>
      <x:c r="I2556" s="14" t="str">
        <x:v>Genel</x:v>
      </x:c>
      <x:c r="J2556" s="14" t="str">
        <x:v>Dinlenme</x:v>
      </x:c>
      <x:c r="K2556" s="14" t="str"/>
      <x:c r="L2556" s="14" t="str">
        <x:v>Eve geliş + kısa dinlenme.</x:v>
      </x:c>
      <x:c r="M2556" s="14" t="str"/>
      <x:c r="N2556" s="14" t="str"/>
      <x:c r="O2556" s="14" t="n">
        <x:v>0</x:v>
      </x:c>
      <x:c r="P2556" s="14" t="str">
        <x:v>Hayır</x:v>
      </x:c>
      <x:c r="Q2556" s="14" t="str">
        <x:v>Hayır</x:v>
      </x:c>
      <x:c r="R2556" s="14" t="str">
        <x:v>Planlandı</x:v>
      </x:c>
      <x:c r="S2556" s="15" t="str"/>
      <x:c r="T2556" s="14" t="str"/>
    </x:row>
    <x:row r="2557">
      <x:c r="A2557" s="14" t="n">
        <x:v>2556</x:v>
      </x:c>
      <x:c r="B2557" s="15" t="n">
        <x:v>46506</x:v>
      </x:c>
      <x:c r="C2557" s="14" t="str">
        <x:v>Perşembe</x:v>
      </x:c>
      <x:c r="D2557" s="14" t="str">
        <x:v>Okul Günü</x:v>
      </x:c>
      <x:c r="E2557" s="14" t="str">
        <x:v>16:00 sonrası</x:v>
      </x:c>
      <x:c r="F2557" s="14" t="str">
        <x:v>F4 - 60 Gün / 60 Tam Deneme</x:v>
      </x:c>
      <x:c r="G2557" s="14" t="str">
        <x:v>16:30</x:v>
      </x:c>
      <x:c r="H2557" s="14" t="str">
        <x:v>17:45</x:v>
      </x:c>
      <x:c r="I2557" s="14" t="str">
        <x:v>Deneme</x:v>
      </x:c>
      <x:c r="J2557" s="14" t="str">
        <x:v>Tam LGS Denemesi - Sözel</x:v>
      </x:c>
      <x:c r="K2557" s="14" t="str">
        <x:v>Deneme 16</x:v>
      </x:c>
      <x:c r="L2557" s="14" t="str">
        <x:v>Deneme 16/60 — Sözel oturum: Türkçe 20 + İnkılap 10 + Din 10 + İngilizce 10. 75 dakika.</x:v>
      </x:c>
      <x:c r="M2557" s="14" t="str">
        <x:v>Tam LGS Denemesi</x:v>
      </x:c>
      <x:c r="N2557" s="14" t="str"/>
      <x:c r="O2557" s="14" t="n">
        <x:v>50</x:v>
      </x:c>
      <x:c r="P2557" s="14" t="str">
        <x:v>75 dk</x:v>
      </x:c>
      <x:c r="Q2557" s="14" t="str">
        <x:v>Evet</x:v>
      </x:c>
      <x:c r="R2557" s="14" t="str">
        <x:v>Planlandı</x:v>
      </x:c>
      <x:c r="S2557" s="15" t="str"/>
      <x:c r="T2557" s="14" t="str">
        <x:v>2026 LGS formatı çalışma referansıdır; 2027 kılavuzu yayımlanırsa güncellenir.</x:v>
      </x:c>
    </x:row>
    <x:row r="2558">
      <x:c r="A2558" s="14" t="n">
        <x:v>2557</x:v>
      </x:c>
      <x:c r="B2558" s="15" t="n">
        <x:v>46506</x:v>
      </x:c>
      <x:c r="C2558" s="14" t="str">
        <x:v>Perşembe</x:v>
      </x:c>
      <x:c r="D2558" s="14" t="str">
        <x:v>Okul Günü</x:v>
      </x:c>
      <x:c r="E2558" s="14" t="str">
        <x:v>16:00 sonrası</x:v>
      </x:c>
      <x:c r="F2558" s="14" t="str">
        <x:v>F4 - 60 Gün / 60 Tam Deneme</x:v>
      </x:c>
      <x:c r="G2558" s="14" t="str">
        <x:v>17:45</x:v>
      </x:c>
      <x:c r="H2558" s="14" t="str">
        <x:v>18:30</x:v>
      </x:c>
      <x:c r="I2558" s="14" t="str">
        <x:v>Genel</x:v>
      </x:c>
      <x:c r="J2558" s="14" t="str">
        <x:v>Deneme Arası</x:v>
      </x:c>
      <x:c r="K2558" s="14" t="str"/>
      <x:c r="L2558" s="14" t="str">
        <x:v>45 dakika gerçek sınav arası simülasyonu: yemek/su/tuvalet; soru analizi yapma.</x:v>
      </x:c>
      <x:c r="M2558" s="14" t="str"/>
      <x:c r="N2558" s="14" t="str"/>
      <x:c r="O2558" s="14" t="n">
        <x:v>0</x:v>
      </x:c>
      <x:c r="P2558" s="14" t="str">
        <x:v>Hayır</x:v>
      </x:c>
      <x:c r="Q2558" s="14" t="str">
        <x:v>Evet</x:v>
      </x:c>
      <x:c r="R2558" s="14" t="str">
        <x:v>Planlandı</x:v>
      </x:c>
      <x:c r="S2558" s="15" t="str"/>
      <x:c r="T2558" s="14" t="str"/>
    </x:row>
    <x:row r="2559">
      <x:c r="A2559" s="14" t="n">
        <x:v>2558</x:v>
      </x:c>
      <x:c r="B2559" s="15" t="n">
        <x:v>46506</x:v>
      </x:c>
      <x:c r="C2559" s="14" t="str">
        <x:v>Perşembe</x:v>
      </x:c>
      <x:c r="D2559" s="14" t="str">
        <x:v>Okul Günü</x:v>
      </x:c>
      <x:c r="E2559" s="14" t="str">
        <x:v>16:00 sonrası</x:v>
      </x:c>
      <x:c r="F2559" s="14" t="str">
        <x:v>F4 - 60 Gün / 60 Tam Deneme</x:v>
      </x:c>
      <x:c r="G2559" s="14" t="str">
        <x:v>18:30</x:v>
      </x:c>
      <x:c r="H2559" s="14" t="str">
        <x:v>19:50</x:v>
      </x:c>
      <x:c r="I2559" s="14" t="str">
        <x:v>Deneme</x:v>
      </x:c>
      <x:c r="J2559" s="14" t="str">
        <x:v>Tam LGS Denemesi - Sayısal</x:v>
      </x:c>
      <x:c r="K2559" s="14" t="str">
        <x:v>Deneme 16</x:v>
      </x:c>
      <x:c r="L2559" s="14" t="str">
        <x:v>Deneme 16/60 — Sayısal oturum: Matematik 20 + Fen 20. 80 dakika.</x:v>
      </x:c>
      <x:c r="M2559" s="14" t="str">
        <x:v>Tam LGS Denemesi</x:v>
      </x:c>
      <x:c r="N2559" s="14" t="str"/>
      <x:c r="O2559" s="14" t="n">
        <x:v>40</x:v>
      </x:c>
      <x:c r="P2559" s="14" t="str">
        <x:v>80 dk</x:v>
      </x:c>
      <x:c r="Q2559" s="14" t="str">
        <x:v>Evet</x:v>
      </x:c>
      <x:c r="R2559" s="14" t="str">
        <x:v>Planlandı</x:v>
      </x:c>
      <x:c r="S2559" s="15" t="str"/>
      <x:c r="T2559" s="14" t="str"/>
    </x:row>
    <x:row r="2560">
      <x:c r="A2560" s="14" t="n">
        <x:v>2559</x:v>
      </x:c>
      <x:c r="B2560" s="15" t="n">
        <x:v>46506</x:v>
      </x:c>
      <x:c r="C2560" s="14" t="str">
        <x:v>Perşembe</x:v>
      </x:c>
      <x:c r="D2560" s="14" t="str">
        <x:v>Okul Günü</x:v>
      </x:c>
      <x:c r="E2560" s="14" t="str">
        <x:v>16:00 sonrası</x:v>
      </x:c>
      <x:c r="F2560" s="14" t="str">
        <x:v>F4 - 60 Gün / 60 Tam Deneme</x:v>
      </x:c>
      <x:c r="G2560" s="14" t="str">
        <x:v>20:00</x:v>
      </x:c>
      <x:c r="H2560" s="14" t="str">
        <x:v>20:45</x:v>
      </x:c>
      <x:c r="I2560" s="14" t="str">
        <x:v>Deneme</x:v>
      </x:c>
      <x:c r="J2560" s="14" t="str">
        <x:v>Deneme Analizi</x:v>
      </x:c>
      <x:c r="K2560" s="14" t="str">
        <x:v>Deneme 16</x:v>
      </x:c>
      <x:c r="L2560" s="14" t="str">
        <x:v>Tüm yanlış/boşları nedenleriyle analiz et; bilgi eksikliği, işlem, dikkat, yanlış okuma veya yorumlama olarak sınıflandır.</x:v>
      </x:c>
      <x:c r="M2560" s="14" t="str">
        <x:v>Deneme Takibi</x:v>
      </x:c>
      <x:c r="N2560" s="14" t="str"/>
      <x:c r="O2560" s="14" t="n">
        <x:v>0</x:v>
      </x:c>
      <x:c r="P2560" s="14" t="str">
        <x:v>Hayır</x:v>
      </x:c>
      <x:c r="Q2560" s="14" t="str">
        <x:v>Evet</x:v>
      </x:c>
      <x:c r="R2560" s="14" t="str">
        <x:v>Planlandı</x:v>
      </x:c>
      <x:c r="S2560" s="15" t="str"/>
      <x:c r="T2560" s="14" t="str">
        <x:v>Deneme çözülüp analiz edilmediyse gün tamamlanmış sayılmaz.</x:v>
      </x:c>
    </x:row>
    <x:row r="2561">
      <x:c r="A2561" s="14" t="n">
        <x:v>2560</x:v>
      </x:c>
      <x:c r="B2561" s="15" t="n">
        <x:v>46506</x:v>
      </x:c>
      <x:c r="C2561" s="14" t="str">
        <x:v>Perşembe</x:v>
      </x:c>
      <x:c r="D2561" s="14" t="str">
        <x:v>Okul Günü</x:v>
      </x:c>
      <x:c r="E2561" s="14" t="str">
        <x:v>16:00 sonrası</x:v>
      </x:c>
      <x:c r="F2561" s="14" t="str">
        <x:v>F4 - 60 Gün / 60 Tam Deneme</x:v>
      </x:c>
      <x:c r="G2561" s="14" t="str">
        <x:v>20:50</x:v>
      </x:c>
      <x:c r="H2561" s="14" t="str">
        <x:v>21:25</x:v>
      </x:c>
      <x:c r="I2561" s="14" t="str">
        <x:v>Genel</x:v>
      </x:c>
      <x:c r="J2561" s="14" t="str">
        <x:v>Hedefli Eksik Giderme</x:v>
      </x:c>
      <x:c r="K2561" s="14" t="str">
        <x:v>Denemeden Gelen Eksikler</x:v>
      </x:c>
      <x:c r="L2561" s="14" t="str">
        <x:v>Denemenin gösterdiği en kritik 1-3 eksiği gider: gerekirse ilgili playlist videosuna kısa dönüş + hedefli soru çözümü.</x:v>
      </x:c>
      <x:c r="M2561" s="14" t="str">
        <x:v>Playlist + Soru Kitabı + MEB</x:v>
      </x:c>
      <x:c r="N2561" s="14" t="str"/>
      <x:c r="O2561" s="14" t="n">
        <x:v>0</x:v>
      </x:c>
      <x:c r="P2561" s="14" t="str">
        <x:v>Hayır</x:v>
      </x:c>
      <x:c r="Q2561" s="14" t="str">
        <x:v>Evet</x:v>
      </x:c>
      <x:c r="R2561" s="14" t="str">
        <x:v>Planlandı</x:v>
      </x:c>
      <x:c r="S2561" s="15" t="str"/>
      <x:c r="T2561" s="14" t="str">
        <x:v>Yeni konu açılmaz; yalnız denemenin kanıtladığı eksiğe müdahale edilir.</x:v>
      </x:c>
    </x:row>
    <x:row r="2562">
      <x:c r="A2562" s="14" t="n">
        <x:v>2561</x:v>
      </x:c>
      <x:c r="B2562" s="15" t="n">
        <x:v>46506</x:v>
      </x:c>
      <x:c r="C2562" s="14" t="str">
        <x:v>Perşembe</x:v>
      </x:c>
      <x:c r="D2562" s="14" t="str">
        <x:v>Okul Günü</x:v>
      </x:c>
      <x:c r="E2562" s="14" t="str">
        <x:v>16:00 sonrası</x:v>
      </x:c>
      <x:c r="F2562" s="14" t="str">
        <x:v>F4 - 60 Gün / 60 Tam Deneme</x:v>
      </x:c>
      <x:c r="G2562" s="14" t="str">
        <x:v>21:25</x:v>
      </x:c>
      <x:c r="H2562" s="14" t="str">
        <x:v>21:40</x:v>
      </x:c>
      <x:c r="I2562" s="14" t="str">
        <x:v>Genel</x:v>
      </x:c>
      <x:c r="J2562" s="14" t="str">
        <x:v>Aralıklı Hata Tekrarı</x:v>
      </x:c>
      <x:c r="K2562" s="14" t="str">
        <x:v>+1 / +7 / +21</x:v>
      </x:c>
      <x:c r="L2562" s="14" t="str">
        <x:v>Bugün vadesi gelen eski yanlışları tekrar çöz ve bugünkü yanlışları Yanlış Defteri'ne ekle.</x:v>
      </x:c>
      <x:c r="M2562" s="14" t="str">
        <x:v>Yanlış Defteri</x:v>
      </x:c>
      <x:c r="N2562" s="14" t="str"/>
      <x:c r="O2562" s="14" t="n">
        <x:v>0</x:v>
      </x:c>
      <x:c r="P2562" s="14" t="str">
        <x:v>Hayır</x:v>
      </x:c>
      <x:c r="Q2562" s="14" t="str">
        <x:v>Evet</x:v>
      </x:c>
      <x:c r="R2562" s="14" t="str">
        <x:v>Planlandı</x:v>
      </x:c>
      <x:c r="S2562" s="15" t="str"/>
      <x:c r="T2562" s="14" t="str"/>
    </x:row>
    <x:row r="2563">
      <x:c r="A2563" s="14" t="n">
        <x:v>2562</x:v>
      </x:c>
      <x:c r="B2563" s="15" t="n">
        <x:v>46506</x:v>
      </x:c>
      <x:c r="C2563" s="14" t="str">
        <x:v>Perşembe</x:v>
      </x:c>
      <x:c r="D2563" s="14" t="str">
        <x:v>Okul Günü</x:v>
      </x:c>
      <x:c r="E2563" s="14" t="str">
        <x:v>16:00 sonrası</x:v>
      </x:c>
      <x:c r="F2563" s="14" t="str">
        <x:v>F4 - 60 Gün / 60 Tam Deneme</x:v>
      </x:c>
      <x:c r="G2563" s="14" t="str">
        <x:v>21:40</x:v>
      </x:c>
      <x:c r="H2563" s="14" t="str">
        <x:v>21:50</x:v>
      </x:c>
      <x:c r="I2563" s="14" t="str">
        <x:v>Okuma</x:v>
      </x:c>
      <x:c r="J2563" s="14" t="str">
        <x:v>İsteğe Bağlı</x:v>
      </x:c>
      <x:c r="K2563" s="14" t="str">
        <x:v>Serbest Kitap</x:v>
      </x:c>
      <x:c r="L2563" s="14" t="str">
        <x:v>Enerji uygunsa kısa isteğe bağlı okuma.</x:v>
      </x:c>
      <x:c r="M2563" s="14" t="str">
        <x:v>Serbest Kitap</x:v>
      </x:c>
      <x:c r="N2563" s="14" t="str"/>
      <x:c r="O2563" s="14" t="n">
        <x:v>0</x:v>
      </x:c>
      <x:c r="P2563" s="14" t="str">
        <x:v>İsteğe Bağlı</x:v>
      </x:c>
      <x:c r="Q2563" s="14" t="str">
        <x:v>Hayır</x:v>
      </x:c>
      <x:c r="R2563" s="14" t="str">
        <x:v>Planlandı</x:v>
      </x:c>
      <x:c r="S2563" s="15" t="str"/>
      <x:c r="T2563" s="14" t="str"/>
    </x:row>
    <x:row r="2564">
      <x:c r="A2564" s="14" t="n">
        <x:v>2563</x:v>
      </x:c>
      <x:c r="B2564" s="15" t="n">
        <x:v>46506</x:v>
      </x:c>
      <x:c r="C2564" s="14" t="str">
        <x:v>Perşembe</x:v>
      </x:c>
      <x:c r="D2564" s="14" t="str">
        <x:v>Okul Günü</x:v>
      </x:c>
      <x:c r="E2564" s="14" t="str">
        <x:v>16:00 sonrası</x:v>
      </x:c>
      <x:c r="F2564" s="14" t="str">
        <x:v>F4 - 60 Gün / 60 Tam Deneme</x:v>
      </x:c>
      <x:c r="G2564" s="14" t="str">
        <x:v>21:50</x:v>
      </x:c>
      <x:c r="H2564" s="14" t="str">
        <x:v>22:00</x:v>
      </x:c>
      <x:c r="I2564" s="14" t="str">
        <x:v>Genel</x:v>
      </x:c>
      <x:c r="J2564" s="14" t="str">
        <x:v>Uyku Hazırlığı</x:v>
      </x:c>
      <x:c r="K2564" s="14" t="str"/>
      <x:c r="L2564" s="14" t="str">
        <x:v>22:00'de yatakta ve uyku.</x:v>
      </x:c>
      <x:c r="M2564" s="14" t="str"/>
      <x:c r="N2564" s="14" t="str"/>
      <x:c r="O2564" s="14" t="n">
        <x:v>0</x:v>
      </x:c>
      <x:c r="P2564" s="14" t="str">
        <x:v>Hayır</x:v>
      </x:c>
      <x:c r="Q2564" s="14" t="str">
        <x:v>Hayır</x:v>
      </x:c>
      <x:c r="R2564" s="14" t="str">
        <x:v>Planlandı</x:v>
      </x:c>
      <x:c r="S2564" s="15" t="str"/>
      <x:c r="T2564" s="14" t="str"/>
    </x:row>
    <x:row r="2565">
      <x:c r="A2565" s="14" t="n">
        <x:v>2564</x:v>
      </x:c>
      <x:c r="B2565" s="15" t="n">
        <x:v>46507</x:v>
      </x:c>
      <x:c r="C2565" s="14" t="str">
        <x:v>Cuma</x:v>
      </x:c>
      <x:c r="D2565" s="14" t="str">
        <x:v>Okul Günü</x:v>
      </x:c>
      <x:c r="E2565" s="14" t="str">
        <x:v>16:00 sonrası</x:v>
      </x:c>
      <x:c r="F2565" s="14" t="str">
        <x:v>F4 - 60 Gün / 60 Tam Deneme</x:v>
      </x:c>
      <x:c r="G2565" s="14" t="str">
        <x:v>16:00</x:v>
      </x:c>
      <x:c r="H2565" s="14" t="str">
        <x:v>16:25</x:v>
      </x:c>
      <x:c r="I2565" s="14" t="str">
        <x:v>Genel</x:v>
      </x:c>
      <x:c r="J2565" s="14" t="str">
        <x:v>Dinlenme</x:v>
      </x:c>
      <x:c r="K2565" s="14" t="str"/>
      <x:c r="L2565" s="14" t="str">
        <x:v>Eve geliş + kısa dinlenme.</x:v>
      </x:c>
      <x:c r="M2565" s="14" t="str"/>
      <x:c r="N2565" s="14" t="str"/>
      <x:c r="O2565" s="14" t="n">
        <x:v>0</x:v>
      </x:c>
      <x:c r="P2565" s="14" t="str">
        <x:v>Hayır</x:v>
      </x:c>
      <x:c r="Q2565" s="14" t="str">
        <x:v>Hayır</x:v>
      </x:c>
      <x:c r="R2565" s="14" t="str">
        <x:v>Planlandı</x:v>
      </x:c>
      <x:c r="S2565" s="15" t="str"/>
      <x:c r="T2565" s="14" t="str"/>
    </x:row>
    <x:row r="2566">
      <x:c r="A2566" s="14" t="n">
        <x:v>2565</x:v>
      </x:c>
      <x:c r="B2566" s="15" t="n">
        <x:v>46507</x:v>
      </x:c>
      <x:c r="C2566" s="14" t="str">
        <x:v>Cuma</x:v>
      </x:c>
      <x:c r="D2566" s="14" t="str">
        <x:v>Okul Günü</x:v>
      </x:c>
      <x:c r="E2566" s="14" t="str">
        <x:v>16:00 sonrası</x:v>
      </x:c>
      <x:c r="F2566" s="14" t="str">
        <x:v>F4 - 60 Gün / 60 Tam Deneme</x:v>
      </x:c>
      <x:c r="G2566" s="14" t="str">
        <x:v>16:30</x:v>
      </x:c>
      <x:c r="H2566" s="14" t="str">
        <x:v>17:45</x:v>
      </x:c>
      <x:c r="I2566" s="14" t="str">
        <x:v>Deneme</x:v>
      </x:c>
      <x:c r="J2566" s="14" t="str">
        <x:v>Tam LGS Denemesi - Sözel</x:v>
      </x:c>
      <x:c r="K2566" s="14" t="str">
        <x:v>Deneme 17</x:v>
      </x:c>
      <x:c r="L2566" s="14" t="str">
        <x:v>Deneme 17/60 — Sözel oturum: Türkçe 20 + İnkılap 10 + Din 10 + İngilizce 10. 75 dakika.</x:v>
      </x:c>
      <x:c r="M2566" s="14" t="str">
        <x:v>Tam LGS Denemesi</x:v>
      </x:c>
      <x:c r="N2566" s="14" t="str"/>
      <x:c r="O2566" s="14" t="n">
        <x:v>50</x:v>
      </x:c>
      <x:c r="P2566" s="14" t="str">
        <x:v>75 dk</x:v>
      </x:c>
      <x:c r="Q2566" s="14" t="str">
        <x:v>Evet</x:v>
      </x:c>
      <x:c r="R2566" s="14" t="str">
        <x:v>Planlandı</x:v>
      </x:c>
      <x:c r="S2566" s="15" t="str"/>
      <x:c r="T2566" s="14" t="str">
        <x:v>2026 LGS formatı çalışma referansıdır; 2027 kılavuzu yayımlanırsa güncellenir.</x:v>
      </x:c>
    </x:row>
    <x:row r="2567">
      <x:c r="A2567" s="14" t="n">
        <x:v>2566</x:v>
      </x:c>
      <x:c r="B2567" s="15" t="n">
        <x:v>46507</x:v>
      </x:c>
      <x:c r="C2567" s="14" t="str">
        <x:v>Cuma</x:v>
      </x:c>
      <x:c r="D2567" s="14" t="str">
        <x:v>Okul Günü</x:v>
      </x:c>
      <x:c r="E2567" s="14" t="str">
        <x:v>16:00 sonrası</x:v>
      </x:c>
      <x:c r="F2567" s="14" t="str">
        <x:v>F4 - 60 Gün / 60 Tam Deneme</x:v>
      </x:c>
      <x:c r="G2567" s="14" t="str">
        <x:v>17:45</x:v>
      </x:c>
      <x:c r="H2567" s="14" t="str">
        <x:v>18:30</x:v>
      </x:c>
      <x:c r="I2567" s="14" t="str">
        <x:v>Genel</x:v>
      </x:c>
      <x:c r="J2567" s="14" t="str">
        <x:v>Deneme Arası</x:v>
      </x:c>
      <x:c r="K2567" s="14" t="str"/>
      <x:c r="L2567" s="14" t="str">
        <x:v>45 dakika gerçek sınav arası simülasyonu: yemek/su/tuvalet; soru analizi yapma.</x:v>
      </x:c>
      <x:c r="M2567" s="14" t="str"/>
      <x:c r="N2567" s="14" t="str"/>
      <x:c r="O2567" s="14" t="n">
        <x:v>0</x:v>
      </x:c>
      <x:c r="P2567" s="14" t="str">
        <x:v>Hayır</x:v>
      </x:c>
      <x:c r="Q2567" s="14" t="str">
        <x:v>Evet</x:v>
      </x:c>
      <x:c r="R2567" s="14" t="str">
        <x:v>Planlandı</x:v>
      </x:c>
      <x:c r="S2567" s="15" t="str"/>
      <x:c r="T2567" s="14" t="str"/>
    </x:row>
    <x:row r="2568">
      <x:c r="A2568" s="14" t="n">
        <x:v>2567</x:v>
      </x:c>
      <x:c r="B2568" s="15" t="n">
        <x:v>46507</x:v>
      </x:c>
      <x:c r="C2568" s="14" t="str">
        <x:v>Cuma</x:v>
      </x:c>
      <x:c r="D2568" s="14" t="str">
        <x:v>Okul Günü</x:v>
      </x:c>
      <x:c r="E2568" s="14" t="str">
        <x:v>16:00 sonrası</x:v>
      </x:c>
      <x:c r="F2568" s="14" t="str">
        <x:v>F4 - 60 Gün / 60 Tam Deneme</x:v>
      </x:c>
      <x:c r="G2568" s="14" t="str">
        <x:v>18:30</x:v>
      </x:c>
      <x:c r="H2568" s="14" t="str">
        <x:v>19:50</x:v>
      </x:c>
      <x:c r="I2568" s="14" t="str">
        <x:v>Deneme</x:v>
      </x:c>
      <x:c r="J2568" s="14" t="str">
        <x:v>Tam LGS Denemesi - Sayısal</x:v>
      </x:c>
      <x:c r="K2568" s="14" t="str">
        <x:v>Deneme 17</x:v>
      </x:c>
      <x:c r="L2568" s="14" t="str">
        <x:v>Deneme 17/60 — Sayısal oturum: Matematik 20 + Fen 20. 80 dakika.</x:v>
      </x:c>
      <x:c r="M2568" s="14" t="str">
        <x:v>Tam LGS Denemesi</x:v>
      </x:c>
      <x:c r="N2568" s="14" t="str"/>
      <x:c r="O2568" s="14" t="n">
        <x:v>40</x:v>
      </x:c>
      <x:c r="P2568" s="14" t="str">
        <x:v>80 dk</x:v>
      </x:c>
      <x:c r="Q2568" s="14" t="str">
        <x:v>Evet</x:v>
      </x:c>
      <x:c r="R2568" s="14" t="str">
        <x:v>Planlandı</x:v>
      </x:c>
      <x:c r="S2568" s="15" t="str"/>
      <x:c r="T2568" s="14" t="str"/>
    </x:row>
    <x:row r="2569">
      <x:c r="A2569" s="14" t="n">
        <x:v>2568</x:v>
      </x:c>
      <x:c r="B2569" s="15" t="n">
        <x:v>46507</x:v>
      </x:c>
      <x:c r="C2569" s="14" t="str">
        <x:v>Cuma</x:v>
      </x:c>
      <x:c r="D2569" s="14" t="str">
        <x:v>Okul Günü</x:v>
      </x:c>
      <x:c r="E2569" s="14" t="str">
        <x:v>16:00 sonrası</x:v>
      </x:c>
      <x:c r="F2569" s="14" t="str">
        <x:v>F4 - 60 Gün / 60 Tam Deneme</x:v>
      </x:c>
      <x:c r="G2569" s="14" t="str">
        <x:v>20:00</x:v>
      </x:c>
      <x:c r="H2569" s="14" t="str">
        <x:v>20:45</x:v>
      </x:c>
      <x:c r="I2569" s="14" t="str">
        <x:v>Deneme</x:v>
      </x:c>
      <x:c r="J2569" s="14" t="str">
        <x:v>Deneme Analizi</x:v>
      </x:c>
      <x:c r="K2569" s="14" t="str">
        <x:v>Deneme 17</x:v>
      </x:c>
      <x:c r="L2569" s="14" t="str">
        <x:v>Tüm yanlış/boşları nedenleriyle analiz et; bilgi eksikliği, işlem, dikkat, yanlış okuma veya yorumlama olarak sınıflandır.</x:v>
      </x:c>
      <x:c r="M2569" s="14" t="str">
        <x:v>Deneme Takibi</x:v>
      </x:c>
      <x:c r="N2569" s="14" t="str"/>
      <x:c r="O2569" s="14" t="n">
        <x:v>0</x:v>
      </x:c>
      <x:c r="P2569" s="14" t="str">
        <x:v>Hayır</x:v>
      </x:c>
      <x:c r="Q2569" s="14" t="str">
        <x:v>Evet</x:v>
      </x:c>
      <x:c r="R2569" s="14" t="str">
        <x:v>Planlandı</x:v>
      </x:c>
      <x:c r="S2569" s="15" t="str"/>
      <x:c r="T2569" s="14" t="str">
        <x:v>Deneme çözülüp analiz edilmediyse gün tamamlanmış sayılmaz.</x:v>
      </x:c>
    </x:row>
    <x:row r="2570">
      <x:c r="A2570" s="14" t="n">
        <x:v>2569</x:v>
      </x:c>
      <x:c r="B2570" s="15" t="n">
        <x:v>46507</x:v>
      </x:c>
      <x:c r="C2570" s="14" t="str">
        <x:v>Cuma</x:v>
      </x:c>
      <x:c r="D2570" s="14" t="str">
        <x:v>Okul Günü</x:v>
      </x:c>
      <x:c r="E2570" s="14" t="str">
        <x:v>16:00 sonrası</x:v>
      </x:c>
      <x:c r="F2570" s="14" t="str">
        <x:v>F4 - 60 Gün / 60 Tam Deneme</x:v>
      </x:c>
      <x:c r="G2570" s="14" t="str">
        <x:v>20:50</x:v>
      </x:c>
      <x:c r="H2570" s="14" t="str">
        <x:v>21:25</x:v>
      </x:c>
      <x:c r="I2570" s="14" t="str">
        <x:v>Genel</x:v>
      </x:c>
      <x:c r="J2570" s="14" t="str">
        <x:v>Hedefli Eksik Giderme</x:v>
      </x:c>
      <x:c r="K2570" s="14" t="str">
        <x:v>Denemeden Gelen Eksikler</x:v>
      </x:c>
      <x:c r="L2570" s="14" t="str">
        <x:v>Denemenin gösterdiği en kritik 1-3 eksiği gider: gerekirse ilgili playlist videosuna kısa dönüş + hedefli soru çözümü.</x:v>
      </x:c>
      <x:c r="M2570" s="14" t="str">
        <x:v>Playlist + Soru Kitabı + MEB</x:v>
      </x:c>
      <x:c r="N2570" s="14" t="str"/>
      <x:c r="O2570" s="14" t="n">
        <x:v>0</x:v>
      </x:c>
      <x:c r="P2570" s="14" t="str">
        <x:v>Hayır</x:v>
      </x:c>
      <x:c r="Q2570" s="14" t="str">
        <x:v>Evet</x:v>
      </x:c>
      <x:c r="R2570" s="14" t="str">
        <x:v>Planlandı</x:v>
      </x:c>
      <x:c r="S2570" s="15" t="str"/>
      <x:c r="T2570" s="14" t="str">
        <x:v>Yeni konu açılmaz; yalnız denemenin kanıtladığı eksiğe müdahale edilir.</x:v>
      </x:c>
    </x:row>
    <x:row r="2571">
      <x:c r="A2571" s="14" t="n">
        <x:v>2570</x:v>
      </x:c>
      <x:c r="B2571" s="15" t="n">
        <x:v>46507</x:v>
      </x:c>
      <x:c r="C2571" s="14" t="str">
        <x:v>Cuma</x:v>
      </x:c>
      <x:c r="D2571" s="14" t="str">
        <x:v>Okul Günü</x:v>
      </x:c>
      <x:c r="E2571" s="14" t="str">
        <x:v>16:00 sonrası</x:v>
      </x:c>
      <x:c r="F2571" s="14" t="str">
        <x:v>F4 - 60 Gün / 60 Tam Deneme</x:v>
      </x:c>
      <x:c r="G2571" s="14" t="str">
        <x:v>21:25</x:v>
      </x:c>
      <x:c r="H2571" s="14" t="str">
        <x:v>21:40</x:v>
      </x:c>
      <x:c r="I2571" s="14" t="str">
        <x:v>Genel</x:v>
      </x:c>
      <x:c r="J2571" s="14" t="str">
        <x:v>Aralıklı Hata Tekrarı</x:v>
      </x:c>
      <x:c r="K2571" s="14" t="str">
        <x:v>+1 / +7 / +21</x:v>
      </x:c>
      <x:c r="L2571" s="14" t="str">
        <x:v>Bugün vadesi gelen eski yanlışları tekrar çöz ve bugünkü yanlışları Yanlış Defteri'ne ekle.</x:v>
      </x:c>
      <x:c r="M2571" s="14" t="str">
        <x:v>Yanlış Defteri</x:v>
      </x:c>
      <x:c r="N2571" s="14" t="str"/>
      <x:c r="O2571" s="14" t="n">
        <x:v>0</x:v>
      </x:c>
      <x:c r="P2571" s="14" t="str">
        <x:v>Hayır</x:v>
      </x:c>
      <x:c r="Q2571" s="14" t="str">
        <x:v>Evet</x:v>
      </x:c>
      <x:c r="R2571" s="14" t="str">
        <x:v>Planlandı</x:v>
      </x:c>
      <x:c r="S2571" s="15" t="str"/>
      <x:c r="T2571" s="14" t="str"/>
    </x:row>
    <x:row r="2572">
      <x:c r="A2572" s="14" t="n">
        <x:v>2571</x:v>
      </x:c>
      <x:c r="B2572" s="15" t="n">
        <x:v>46507</x:v>
      </x:c>
      <x:c r="C2572" s="14" t="str">
        <x:v>Cuma</x:v>
      </x:c>
      <x:c r="D2572" s="14" t="str">
        <x:v>Okul Günü</x:v>
      </x:c>
      <x:c r="E2572" s="14" t="str">
        <x:v>16:00 sonrası</x:v>
      </x:c>
      <x:c r="F2572" s="14" t="str">
        <x:v>F4 - 60 Gün / 60 Tam Deneme</x:v>
      </x:c>
      <x:c r="G2572" s="14" t="str">
        <x:v>21:40</x:v>
      </x:c>
      <x:c r="H2572" s="14" t="str">
        <x:v>21:50</x:v>
      </x:c>
      <x:c r="I2572" s="14" t="str">
        <x:v>Okuma</x:v>
      </x:c>
      <x:c r="J2572" s="14" t="str">
        <x:v>İsteğe Bağlı</x:v>
      </x:c>
      <x:c r="K2572" s="14" t="str">
        <x:v>Serbest Kitap</x:v>
      </x:c>
      <x:c r="L2572" s="14" t="str">
        <x:v>Enerji uygunsa kısa isteğe bağlı okuma.</x:v>
      </x:c>
      <x:c r="M2572" s="14" t="str">
        <x:v>Serbest Kitap</x:v>
      </x:c>
      <x:c r="N2572" s="14" t="str"/>
      <x:c r="O2572" s="14" t="n">
        <x:v>0</x:v>
      </x:c>
      <x:c r="P2572" s="14" t="str">
        <x:v>İsteğe Bağlı</x:v>
      </x:c>
      <x:c r="Q2572" s="14" t="str">
        <x:v>Hayır</x:v>
      </x:c>
      <x:c r="R2572" s="14" t="str">
        <x:v>Planlandı</x:v>
      </x:c>
      <x:c r="S2572" s="15" t="str"/>
      <x:c r="T2572" s="14" t="str"/>
    </x:row>
    <x:row r="2573">
      <x:c r="A2573" s="14" t="n">
        <x:v>2572</x:v>
      </x:c>
      <x:c r="B2573" s="15" t="n">
        <x:v>46507</x:v>
      </x:c>
      <x:c r="C2573" s="14" t="str">
        <x:v>Cuma</x:v>
      </x:c>
      <x:c r="D2573" s="14" t="str">
        <x:v>Okul Günü</x:v>
      </x:c>
      <x:c r="E2573" s="14" t="str">
        <x:v>16:00 sonrası</x:v>
      </x:c>
      <x:c r="F2573" s="14" t="str">
        <x:v>F4 - 60 Gün / 60 Tam Deneme</x:v>
      </x:c>
      <x:c r="G2573" s="14" t="str">
        <x:v>21:50</x:v>
      </x:c>
      <x:c r="H2573" s="14" t="str">
        <x:v>22:00</x:v>
      </x:c>
      <x:c r="I2573" s="14" t="str">
        <x:v>Genel</x:v>
      </x:c>
      <x:c r="J2573" s="14" t="str">
        <x:v>Uyku Hazırlığı</x:v>
      </x:c>
      <x:c r="K2573" s="14" t="str"/>
      <x:c r="L2573" s="14" t="str">
        <x:v>22:00'de yatakta ve uyku.</x:v>
      </x:c>
      <x:c r="M2573" s="14" t="str"/>
      <x:c r="N2573" s="14" t="str"/>
      <x:c r="O2573" s="14" t="n">
        <x:v>0</x:v>
      </x:c>
      <x:c r="P2573" s="14" t="str">
        <x:v>Hayır</x:v>
      </x:c>
      <x:c r="Q2573" s="14" t="str">
        <x:v>Hayır</x:v>
      </x:c>
      <x:c r="R2573" s="14" t="str">
        <x:v>Planlandı</x:v>
      </x:c>
      <x:c r="S2573" s="15" t="str"/>
      <x:c r="T2573" s="14" t="str"/>
    </x:row>
    <x:row r="2574">
      <x:c r="A2574" s="14" t="n">
        <x:v>2573</x:v>
      </x:c>
      <x:c r="B2574" s="15" t="n">
        <x:v>46508</x:v>
      </x:c>
      <x:c r="C2574" s="14" t="str">
        <x:v>Cumartesi</x:v>
      </x:c>
      <x:c r="D2574" s="14" t="str">
        <x:v>Hafta Sonu</x:v>
      </x:c>
      <x:c r="E2574" s="14" t="str">
        <x:v>Tam gün</x:v>
      </x:c>
      <x:c r="F2574" s="14" t="str">
        <x:v>F4 - 60 Gün / 60 Tam Deneme</x:v>
      </x:c>
      <x:c r="G2574" s="14" t="str">
        <x:v>09:30</x:v>
      </x:c>
      <x:c r="H2574" s="14" t="str">
        <x:v>10:45</x:v>
      </x:c>
      <x:c r="I2574" s="14" t="str">
        <x:v>Deneme</x:v>
      </x:c>
      <x:c r="J2574" s="14" t="str">
        <x:v>Tam LGS Denemesi - Sözel</x:v>
      </x:c>
      <x:c r="K2574" s="14" t="str">
        <x:v>Deneme 18</x:v>
      </x:c>
      <x:c r="L2574" s="14" t="str">
        <x:v>Deneme 18/60 — Sözel oturum: Türkçe 20 + İnkılap 10 + Din 10 + İngilizce 10. 75 dakika.</x:v>
      </x:c>
      <x:c r="M2574" s="14" t="str">
        <x:v>Tam LGS Denemesi</x:v>
      </x:c>
      <x:c r="N2574" s="14" t="str"/>
      <x:c r="O2574" s="14" t="n">
        <x:v>50</x:v>
      </x:c>
      <x:c r="P2574" s="14" t="str">
        <x:v>75 dk</x:v>
      </x:c>
      <x:c r="Q2574" s="14" t="str">
        <x:v>Evet</x:v>
      </x:c>
      <x:c r="R2574" s="14" t="str">
        <x:v>Planlandı</x:v>
      </x:c>
      <x:c r="S2574" s="15" t="str"/>
      <x:c r="T2574" s="14" t="str">
        <x:v>2026 LGS formatı çalışma referansıdır; 2027 kılavuzu yayımlanırsa güncellenir.</x:v>
      </x:c>
    </x:row>
    <x:row r="2575">
      <x:c r="A2575" s="14" t="n">
        <x:v>2574</x:v>
      </x:c>
      <x:c r="B2575" s="15" t="n">
        <x:v>46508</x:v>
      </x:c>
      <x:c r="C2575" s="14" t="str">
        <x:v>Cumartesi</x:v>
      </x:c>
      <x:c r="D2575" s="14" t="str">
        <x:v>Hafta Sonu</x:v>
      </x:c>
      <x:c r="E2575" s="14" t="str">
        <x:v>Tam gün</x:v>
      </x:c>
      <x:c r="F2575" s="14" t="str">
        <x:v>F4 - 60 Gün / 60 Tam Deneme</x:v>
      </x:c>
      <x:c r="G2575" s="14" t="str">
        <x:v>10:45</x:v>
      </x:c>
      <x:c r="H2575" s="14" t="str">
        <x:v>11:30</x:v>
      </x:c>
      <x:c r="I2575" s="14" t="str">
        <x:v>Genel</x:v>
      </x:c>
      <x:c r="J2575" s="14" t="str">
        <x:v>Deneme Arası</x:v>
      </x:c>
      <x:c r="K2575" s="14" t="str"/>
      <x:c r="L2575" s="14" t="str">
        <x:v>45 dakika gerçek sınav arası simülasyonu: yemek/su/tuvalet; soru analizi yapma.</x:v>
      </x:c>
      <x:c r="M2575" s="14" t="str"/>
      <x:c r="N2575" s="14" t="str"/>
      <x:c r="O2575" s="14" t="n">
        <x:v>0</x:v>
      </x:c>
      <x:c r="P2575" s="14" t="str">
        <x:v>Hayır</x:v>
      </x:c>
      <x:c r="Q2575" s="14" t="str">
        <x:v>Evet</x:v>
      </x:c>
      <x:c r="R2575" s="14" t="str">
        <x:v>Planlandı</x:v>
      </x:c>
      <x:c r="S2575" s="15" t="str"/>
      <x:c r="T2575" s="14" t="str"/>
    </x:row>
    <x:row r="2576">
      <x:c r="A2576" s="14" t="n">
        <x:v>2575</x:v>
      </x:c>
      <x:c r="B2576" s="15" t="n">
        <x:v>46508</x:v>
      </x:c>
      <x:c r="C2576" s="14" t="str">
        <x:v>Cumartesi</x:v>
      </x:c>
      <x:c r="D2576" s="14" t="str">
        <x:v>Hafta Sonu</x:v>
      </x:c>
      <x:c r="E2576" s="14" t="str">
        <x:v>Tam gün</x:v>
      </x:c>
      <x:c r="F2576" s="14" t="str">
        <x:v>F4 - 60 Gün / 60 Tam Deneme</x:v>
      </x:c>
      <x:c r="G2576" s="14" t="str">
        <x:v>11:30</x:v>
      </x:c>
      <x:c r="H2576" s="14" t="str">
        <x:v>12:50</x:v>
      </x:c>
      <x:c r="I2576" s="14" t="str">
        <x:v>Deneme</x:v>
      </x:c>
      <x:c r="J2576" s="14" t="str">
        <x:v>Tam LGS Denemesi - Sayısal</x:v>
      </x:c>
      <x:c r="K2576" s="14" t="str">
        <x:v>Deneme 18</x:v>
      </x:c>
      <x:c r="L2576" s="14" t="str">
        <x:v>Deneme 18/60 — Sayısal oturum: Matematik 20 + Fen 20. 80 dakika.</x:v>
      </x:c>
      <x:c r="M2576" s="14" t="str">
        <x:v>Tam LGS Denemesi</x:v>
      </x:c>
      <x:c r="N2576" s="14" t="str"/>
      <x:c r="O2576" s="14" t="n">
        <x:v>40</x:v>
      </x:c>
      <x:c r="P2576" s="14" t="str">
        <x:v>80 dk</x:v>
      </x:c>
      <x:c r="Q2576" s="14" t="str">
        <x:v>Evet</x:v>
      </x:c>
      <x:c r="R2576" s="14" t="str">
        <x:v>Planlandı</x:v>
      </x:c>
      <x:c r="S2576" s="15" t="str"/>
      <x:c r="T2576" s="14" t="str"/>
    </x:row>
    <x:row r="2577">
      <x:c r="A2577" s="14" t="n">
        <x:v>2576</x:v>
      </x:c>
      <x:c r="B2577" s="15" t="n">
        <x:v>46508</x:v>
      </x:c>
      <x:c r="C2577" s="14" t="str">
        <x:v>Cumartesi</x:v>
      </x:c>
      <x:c r="D2577" s="14" t="str">
        <x:v>Hafta Sonu</x:v>
      </x:c>
      <x:c r="E2577" s="14" t="str">
        <x:v>Tam gün</x:v>
      </x:c>
      <x:c r="F2577" s="14" t="str">
        <x:v>F4 - 60 Gün / 60 Tam Deneme</x:v>
      </x:c>
      <x:c r="G2577" s="14" t="str">
        <x:v>14:30</x:v>
      </x:c>
      <x:c r="H2577" s="14" t="str">
        <x:v>15:15</x:v>
      </x:c>
      <x:c r="I2577" s="14" t="str">
        <x:v>Deneme</x:v>
      </x:c>
      <x:c r="J2577" s="14" t="str">
        <x:v>Deneme Analizi</x:v>
      </x:c>
      <x:c r="K2577" s="14" t="str">
        <x:v>Deneme 18</x:v>
      </x:c>
      <x:c r="L2577" s="14" t="str">
        <x:v>Tüm yanlış/boşları nedenleriyle analiz et; bilgi eksikliği, işlem, dikkat, yanlış okuma veya yorumlama olarak sınıflandır.</x:v>
      </x:c>
      <x:c r="M2577" s="14" t="str">
        <x:v>Deneme Takibi</x:v>
      </x:c>
      <x:c r="N2577" s="14" t="str"/>
      <x:c r="O2577" s="14" t="n">
        <x:v>0</x:v>
      </x:c>
      <x:c r="P2577" s="14" t="str">
        <x:v>Hayır</x:v>
      </x:c>
      <x:c r="Q2577" s="14" t="str">
        <x:v>Evet</x:v>
      </x:c>
      <x:c r="R2577" s="14" t="str">
        <x:v>Planlandı</x:v>
      </x:c>
      <x:c r="S2577" s="15" t="str"/>
      <x:c r="T2577" s="14" t="str">
        <x:v>Deneme çözülüp analiz edilmediyse gün tamamlanmış sayılmaz.</x:v>
      </x:c>
    </x:row>
    <x:row r="2578">
      <x:c r="A2578" s="14" t="n">
        <x:v>2577</x:v>
      </x:c>
      <x:c r="B2578" s="15" t="n">
        <x:v>46508</x:v>
      </x:c>
      <x:c r="C2578" s="14" t="str">
        <x:v>Cumartesi</x:v>
      </x:c>
      <x:c r="D2578" s="14" t="str">
        <x:v>Hafta Sonu</x:v>
      </x:c>
      <x:c r="E2578" s="14" t="str">
        <x:v>Tam gün</x:v>
      </x:c>
      <x:c r="F2578" s="14" t="str">
        <x:v>F4 - 60 Gün / 60 Tam Deneme</x:v>
      </x:c>
      <x:c r="G2578" s="14" t="str">
        <x:v>15:25</x:v>
      </x:c>
      <x:c r="H2578" s="14" t="str">
        <x:v>16:10</x:v>
      </x:c>
      <x:c r="I2578" s="14" t="str">
        <x:v>Genel</x:v>
      </x:c>
      <x:c r="J2578" s="14" t="str">
        <x:v>Hedefli Eksik Giderme</x:v>
      </x:c>
      <x:c r="K2578" s="14" t="str">
        <x:v>Denemeden Gelen Eksikler</x:v>
      </x:c>
      <x:c r="L2578" s="14" t="str">
        <x:v>Denemenin gösterdiği en kritik 1-3 eksiği gider: gerekirse ilgili playlist videosuna kısa dönüş + hedefli soru çözümü.</x:v>
      </x:c>
      <x:c r="M2578" s="14" t="str">
        <x:v>Playlist + Soru Kitabı + MEB</x:v>
      </x:c>
      <x:c r="N2578" s="14" t="str"/>
      <x:c r="O2578" s="14" t="n">
        <x:v>0</x:v>
      </x:c>
      <x:c r="P2578" s="14" t="str">
        <x:v>Hayır</x:v>
      </x:c>
      <x:c r="Q2578" s="14" t="str">
        <x:v>Evet</x:v>
      </x:c>
      <x:c r="R2578" s="14" t="str">
        <x:v>Planlandı</x:v>
      </x:c>
      <x:c r="S2578" s="15" t="str"/>
      <x:c r="T2578" s="14" t="str">
        <x:v>Yeni konu açılmaz; yalnız denemenin kanıtladığı eksiğe müdahale edilir.</x:v>
      </x:c>
    </x:row>
    <x:row r="2579">
      <x:c r="A2579" s="14" t="n">
        <x:v>2578</x:v>
      </x:c>
      <x:c r="B2579" s="15" t="n">
        <x:v>46508</x:v>
      </x:c>
      <x:c r="C2579" s="14" t="str">
        <x:v>Cumartesi</x:v>
      </x:c>
      <x:c r="D2579" s="14" t="str">
        <x:v>Hafta Sonu</x:v>
      </x:c>
      <x:c r="E2579" s="14" t="str">
        <x:v>Tam gün</x:v>
      </x:c>
      <x:c r="F2579" s="14" t="str">
        <x:v>F4 - 60 Gün / 60 Tam Deneme</x:v>
      </x:c>
      <x:c r="G2579" s="14" t="str">
        <x:v>16:20</x:v>
      </x:c>
      <x:c r="H2579" s="14" t="str">
        <x:v>16:40</x:v>
      </x:c>
      <x:c r="I2579" s="14" t="str">
        <x:v>Genel</x:v>
      </x:c>
      <x:c r="J2579" s="14" t="str">
        <x:v>Aralıklı Hata Tekrarı</x:v>
      </x:c>
      <x:c r="K2579" s="14" t="str">
        <x:v>+1 / +7 / +21</x:v>
      </x:c>
      <x:c r="L2579" s="14" t="str">
        <x:v>Bugün vadesi gelen eski yanlışları tekrar çöz ve bugünkü yanlışları Yanlış Defteri'ne ekle.</x:v>
      </x:c>
      <x:c r="M2579" s="14" t="str">
        <x:v>Yanlış Defteri</x:v>
      </x:c>
      <x:c r="N2579" s="14" t="str"/>
      <x:c r="O2579" s="14" t="n">
        <x:v>0</x:v>
      </x:c>
      <x:c r="P2579" s="14" t="str">
        <x:v>Hayır</x:v>
      </x:c>
      <x:c r="Q2579" s="14" t="str">
        <x:v>Evet</x:v>
      </x:c>
      <x:c r="R2579" s="14" t="str">
        <x:v>Planlandı</x:v>
      </x:c>
      <x:c r="S2579" s="15" t="str"/>
      <x:c r="T2579" s="14" t="str"/>
    </x:row>
    <x:row r="2580">
      <x:c r="A2580" s="14" t="n">
        <x:v>2579</x:v>
      </x:c>
      <x:c r="B2580" s="15" t="n">
        <x:v>46508</x:v>
      </x:c>
      <x:c r="C2580" s="14" t="str">
        <x:v>Cumartesi</x:v>
      </x:c>
      <x:c r="D2580" s="14" t="str">
        <x:v>Hafta Sonu</x:v>
      </x:c>
      <x:c r="E2580" s="14" t="str">
        <x:v>Tam gün</x:v>
      </x:c>
      <x:c r="F2580" s="14" t="str">
        <x:v>F4 - 60 Gün / 60 Tam Deneme</x:v>
      </x:c>
      <x:c r="G2580" s="14" t="str">
        <x:v>20:00</x:v>
      </x:c>
      <x:c r="H2580" s="14" t="str">
        <x:v>20:30</x:v>
      </x:c>
      <x:c r="I2580" s="14" t="str">
        <x:v>Okuma</x:v>
      </x:c>
      <x:c r="J2580" s="14" t="str">
        <x:v>İsteğe Bağlı</x:v>
      </x:c>
      <x:c r="K2580" s="14" t="str">
        <x:v>Serbest Kitap</x:v>
      </x:c>
      <x:c r="L2580" s="14" t="str">
        <x:v>Enerji uygunsa kısa isteğe bağlı okuma.</x:v>
      </x:c>
      <x:c r="M2580" s="14" t="str">
        <x:v>Serbest Kitap</x:v>
      </x:c>
      <x:c r="N2580" s="14" t="str"/>
      <x:c r="O2580" s="14" t="n">
        <x:v>0</x:v>
      </x:c>
      <x:c r="P2580" s="14" t="str">
        <x:v>İsteğe Bağlı</x:v>
      </x:c>
      <x:c r="Q2580" s="14" t="str">
        <x:v>Hayır</x:v>
      </x:c>
      <x:c r="R2580" s="14" t="str">
        <x:v>Planlandı</x:v>
      </x:c>
      <x:c r="S2580" s="15" t="str"/>
      <x:c r="T2580" s="14" t="str"/>
    </x:row>
    <x:row r="2581">
      <x:c r="A2581" s="14" t="n">
        <x:v>2580</x:v>
      </x:c>
      <x:c r="B2581" s="15" t="n">
        <x:v>46508</x:v>
      </x:c>
      <x:c r="C2581" s="14" t="str">
        <x:v>Cumartesi</x:v>
      </x:c>
      <x:c r="D2581" s="14" t="str">
        <x:v>Hafta Sonu</x:v>
      </x:c>
      <x:c r="E2581" s="14" t="str">
        <x:v>Tam gün</x:v>
      </x:c>
      <x:c r="F2581" s="14" t="str">
        <x:v>F4 - 60 Gün / 60 Tam Deneme</x:v>
      </x:c>
      <x:c r="G2581" s="14" t="str">
        <x:v>21:50</x:v>
      </x:c>
      <x:c r="H2581" s="14" t="str">
        <x:v>22:00</x:v>
      </x:c>
      <x:c r="I2581" s="14" t="str">
        <x:v>Genel</x:v>
      </x:c>
      <x:c r="J2581" s="14" t="str">
        <x:v>Uyku Hazırlığı</x:v>
      </x:c>
      <x:c r="K2581" s="14" t="str"/>
      <x:c r="L2581" s="14" t="str">
        <x:v>22:00'de yatakta ve uyku.</x:v>
      </x:c>
      <x:c r="M2581" s="14" t="str"/>
      <x:c r="N2581" s="14" t="str"/>
      <x:c r="O2581" s="14" t="n">
        <x:v>0</x:v>
      </x:c>
      <x:c r="P2581" s="14" t="str">
        <x:v>Hayır</x:v>
      </x:c>
      <x:c r="Q2581" s="14" t="str">
        <x:v>Hayır</x:v>
      </x:c>
      <x:c r="R2581" s="14" t="str">
        <x:v>Planlandı</x:v>
      </x:c>
      <x:c r="S2581" s="15" t="str"/>
      <x:c r="T2581" s="14" t="str"/>
    </x:row>
    <x:row r="2582">
      <x:c r="A2582" s="14" t="n">
        <x:v>2581</x:v>
      </x:c>
      <x:c r="B2582" s="15" t="n">
        <x:v>46509</x:v>
      </x:c>
      <x:c r="C2582" s="14" t="str">
        <x:v>Pazar</x:v>
      </x:c>
      <x:c r="D2582" s="14" t="str">
        <x:v>Hafta Sonu</x:v>
      </x:c>
      <x:c r="E2582" s="14" t="str">
        <x:v>Tam gün</x:v>
      </x:c>
      <x:c r="F2582" s="14" t="str">
        <x:v>F4 - 60 Gün / 60 Tam Deneme</x:v>
      </x:c>
      <x:c r="G2582" s="14" t="str">
        <x:v>09:30</x:v>
      </x:c>
      <x:c r="H2582" s="14" t="str">
        <x:v>10:45</x:v>
      </x:c>
      <x:c r="I2582" s="14" t="str">
        <x:v>Deneme</x:v>
      </x:c>
      <x:c r="J2582" s="14" t="str">
        <x:v>Tam LGS Denemesi - Sözel</x:v>
      </x:c>
      <x:c r="K2582" s="14" t="str">
        <x:v>Deneme 19</x:v>
      </x:c>
      <x:c r="L2582" s="14" t="str">
        <x:v>Deneme 19/60 — Sözel oturum: Türkçe 20 + İnkılap 10 + Din 10 + İngilizce 10. 75 dakika.</x:v>
      </x:c>
      <x:c r="M2582" s="14" t="str">
        <x:v>Tam LGS Denemesi</x:v>
      </x:c>
      <x:c r="N2582" s="14" t="str"/>
      <x:c r="O2582" s="14" t="n">
        <x:v>50</x:v>
      </x:c>
      <x:c r="P2582" s="14" t="str">
        <x:v>75 dk</x:v>
      </x:c>
      <x:c r="Q2582" s="14" t="str">
        <x:v>Evet</x:v>
      </x:c>
      <x:c r="R2582" s="14" t="str">
        <x:v>Planlandı</x:v>
      </x:c>
      <x:c r="S2582" s="15" t="str"/>
      <x:c r="T2582" s="14" t="str">
        <x:v>2026 LGS formatı çalışma referansıdır; 2027 kılavuzu yayımlanırsa güncellenir.</x:v>
      </x:c>
    </x:row>
    <x:row r="2583">
      <x:c r="A2583" s="14" t="n">
        <x:v>2582</x:v>
      </x:c>
      <x:c r="B2583" s="15" t="n">
        <x:v>46509</x:v>
      </x:c>
      <x:c r="C2583" s="14" t="str">
        <x:v>Pazar</x:v>
      </x:c>
      <x:c r="D2583" s="14" t="str">
        <x:v>Hafta Sonu</x:v>
      </x:c>
      <x:c r="E2583" s="14" t="str">
        <x:v>Tam gün</x:v>
      </x:c>
      <x:c r="F2583" s="14" t="str">
        <x:v>F4 - 60 Gün / 60 Tam Deneme</x:v>
      </x:c>
      <x:c r="G2583" s="14" t="str">
        <x:v>10:45</x:v>
      </x:c>
      <x:c r="H2583" s="14" t="str">
        <x:v>11:30</x:v>
      </x:c>
      <x:c r="I2583" s="14" t="str">
        <x:v>Genel</x:v>
      </x:c>
      <x:c r="J2583" s="14" t="str">
        <x:v>Deneme Arası</x:v>
      </x:c>
      <x:c r="K2583" s="14" t="str"/>
      <x:c r="L2583" s="14" t="str">
        <x:v>45 dakika gerçek sınav arası simülasyonu: yemek/su/tuvalet; soru analizi yapma.</x:v>
      </x:c>
      <x:c r="M2583" s="14" t="str"/>
      <x:c r="N2583" s="14" t="str"/>
      <x:c r="O2583" s="14" t="n">
        <x:v>0</x:v>
      </x:c>
      <x:c r="P2583" s="14" t="str">
        <x:v>Hayır</x:v>
      </x:c>
      <x:c r="Q2583" s="14" t="str">
        <x:v>Evet</x:v>
      </x:c>
      <x:c r="R2583" s="14" t="str">
        <x:v>Planlandı</x:v>
      </x:c>
      <x:c r="S2583" s="15" t="str"/>
      <x:c r="T2583" s="14" t="str"/>
    </x:row>
    <x:row r="2584">
      <x:c r="A2584" s="14" t="n">
        <x:v>2583</x:v>
      </x:c>
      <x:c r="B2584" s="15" t="n">
        <x:v>46509</x:v>
      </x:c>
      <x:c r="C2584" s="14" t="str">
        <x:v>Pazar</x:v>
      </x:c>
      <x:c r="D2584" s="14" t="str">
        <x:v>Hafta Sonu</x:v>
      </x:c>
      <x:c r="E2584" s="14" t="str">
        <x:v>Tam gün</x:v>
      </x:c>
      <x:c r="F2584" s="14" t="str">
        <x:v>F4 - 60 Gün / 60 Tam Deneme</x:v>
      </x:c>
      <x:c r="G2584" s="14" t="str">
        <x:v>11:30</x:v>
      </x:c>
      <x:c r="H2584" s="14" t="str">
        <x:v>12:50</x:v>
      </x:c>
      <x:c r="I2584" s="14" t="str">
        <x:v>Deneme</x:v>
      </x:c>
      <x:c r="J2584" s="14" t="str">
        <x:v>Tam LGS Denemesi - Sayısal</x:v>
      </x:c>
      <x:c r="K2584" s="14" t="str">
        <x:v>Deneme 19</x:v>
      </x:c>
      <x:c r="L2584" s="14" t="str">
        <x:v>Deneme 19/60 — Sayısal oturum: Matematik 20 + Fen 20. 80 dakika.</x:v>
      </x:c>
      <x:c r="M2584" s="14" t="str">
        <x:v>Tam LGS Denemesi</x:v>
      </x:c>
      <x:c r="N2584" s="14" t="str"/>
      <x:c r="O2584" s="14" t="n">
        <x:v>40</x:v>
      </x:c>
      <x:c r="P2584" s="14" t="str">
        <x:v>80 dk</x:v>
      </x:c>
      <x:c r="Q2584" s="14" t="str">
        <x:v>Evet</x:v>
      </x:c>
      <x:c r="R2584" s="14" t="str">
        <x:v>Planlandı</x:v>
      </x:c>
      <x:c r="S2584" s="15" t="str"/>
      <x:c r="T2584" s="14" t="str"/>
    </x:row>
    <x:row r="2585">
      <x:c r="A2585" s="14" t="n">
        <x:v>2584</x:v>
      </x:c>
      <x:c r="B2585" s="15" t="n">
        <x:v>46509</x:v>
      </x:c>
      <x:c r="C2585" s="14" t="str">
        <x:v>Pazar</x:v>
      </x:c>
      <x:c r="D2585" s="14" t="str">
        <x:v>Hafta Sonu</x:v>
      </x:c>
      <x:c r="E2585" s="14" t="str">
        <x:v>Tam gün</x:v>
      </x:c>
      <x:c r="F2585" s="14" t="str">
        <x:v>F4 - 60 Gün / 60 Tam Deneme</x:v>
      </x:c>
      <x:c r="G2585" s="14" t="str">
        <x:v>14:30</x:v>
      </x:c>
      <x:c r="H2585" s="14" t="str">
        <x:v>15:15</x:v>
      </x:c>
      <x:c r="I2585" s="14" t="str">
        <x:v>Deneme</x:v>
      </x:c>
      <x:c r="J2585" s="14" t="str">
        <x:v>Deneme Analizi</x:v>
      </x:c>
      <x:c r="K2585" s="14" t="str">
        <x:v>Deneme 19</x:v>
      </x:c>
      <x:c r="L2585" s="14" t="str">
        <x:v>Tüm yanlış/boşları nedenleriyle analiz et; bilgi eksikliği, işlem, dikkat, yanlış okuma veya yorumlama olarak sınıflandır.</x:v>
      </x:c>
      <x:c r="M2585" s="14" t="str">
        <x:v>Deneme Takibi</x:v>
      </x:c>
      <x:c r="N2585" s="14" t="str"/>
      <x:c r="O2585" s="14" t="n">
        <x:v>0</x:v>
      </x:c>
      <x:c r="P2585" s="14" t="str">
        <x:v>Hayır</x:v>
      </x:c>
      <x:c r="Q2585" s="14" t="str">
        <x:v>Evet</x:v>
      </x:c>
      <x:c r="R2585" s="14" t="str">
        <x:v>Planlandı</x:v>
      </x:c>
      <x:c r="S2585" s="15" t="str"/>
      <x:c r="T2585" s="14" t="str">
        <x:v>Deneme çözülüp analiz edilmediyse gün tamamlanmış sayılmaz.</x:v>
      </x:c>
    </x:row>
    <x:row r="2586">
      <x:c r="A2586" s="14" t="n">
        <x:v>2585</x:v>
      </x:c>
      <x:c r="B2586" s="15" t="n">
        <x:v>46509</x:v>
      </x:c>
      <x:c r="C2586" s="14" t="str">
        <x:v>Pazar</x:v>
      </x:c>
      <x:c r="D2586" s="14" t="str">
        <x:v>Hafta Sonu</x:v>
      </x:c>
      <x:c r="E2586" s="14" t="str">
        <x:v>Tam gün</x:v>
      </x:c>
      <x:c r="F2586" s="14" t="str">
        <x:v>F4 - 60 Gün / 60 Tam Deneme</x:v>
      </x:c>
      <x:c r="G2586" s="14" t="str">
        <x:v>15:25</x:v>
      </x:c>
      <x:c r="H2586" s="14" t="str">
        <x:v>16:10</x:v>
      </x:c>
      <x:c r="I2586" s="14" t="str">
        <x:v>Genel</x:v>
      </x:c>
      <x:c r="J2586" s="14" t="str">
        <x:v>Hedefli Eksik Giderme</x:v>
      </x:c>
      <x:c r="K2586" s="14" t="str">
        <x:v>Denemeden Gelen Eksikler</x:v>
      </x:c>
      <x:c r="L2586" s="14" t="str">
        <x:v>Denemenin gösterdiği en kritik 1-3 eksiği gider: gerekirse ilgili playlist videosuna kısa dönüş + hedefli soru çözümü.</x:v>
      </x:c>
      <x:c r="M2586" s="14" t="str">
        <x:v>Playlist + Soru Kitabı + MEB</x:v>
      </x:c>
      <x:c r="N2586" s="14" t="str"/>
      <x:c r="O2586" s="14" t="n">
        <x:v>0</x:v>
      </x:c>
      <x:c r="P2586" s="14" t="str">
        <x:v>Hayır</x:v>
      </x:c>
      <x:c r="Q2586" s="14" t="str">
        <x:v>Evet</x:v>
      </x:c>
      <x:c r="R2586" s="14" t="str">
        <x:v>Planlandı</x:v>
      </x:c>
      <x:c r="S2586" s="15" t="str"/>
      <x:c r="T2586" s="14" t="str">
        <x:v>Yeni konu açılmaz; yalnız denemenin kanıtladığı eksiğe müdahale edilir.</x:v>
      </x:c>
    </x:row>
    <x:row r="2587">
      <x:c r="A2587" s="14" t="n">
        <x:v>2586</x:v>
      </x:c>
      <x:c r="B2587" s="15" t="n">
        <x:v>46509</x:v>
      </x:c>
      <x:c r="C2587" s="14" t="str">
        <x:v>Pazar</x:v>
      </x:c>
      <x:c r="D2587" s="14" t="str">
        <x:v>Hafta Sonu</x:v>
      </x:c>
      <x:c r="E2587" s="14" t="str">
        <x:v>Tam gün</x:v>
      </x:c>
      <x:c r="F2587" s="14" t="str">
        <x:v>F4 - 60 Gün / 60 Tam Deneme</x:v>
      </x:c>
      <x:c r="G2587" s="14" t="str">
        <x:v>16:20</x:v>
      </x:c>
      <x:c r="H2587" s="14" t="str">
        <x:v>16:40</x:v>
      </x:c>
      <x:c r="I2587" s="14" t="str">
        <x:v>Genel</x:v>
      </x:c>
      <x:c r="J2587" s="14" t="str">
        <x:v>Aralıklı Hata Tekrarı</x:v>
      </x:c>
      <x:c r="K2587" s="14" t="str">
        <x:v>+1 / +7 / +21</x:v>
      </x:c>
      <x:c r="L2587" s="14" t="str">
        <x:v>Bugün vadesi gelen eski yanlışları tekrar çöz ve bugünkü yanlışları Yanlış Defteri'ne ekle.</x:v>
      </x:c>
      <x:c r="M2587" s="14" t="str">
        <x:v>Yanlış Defteri</x:v>
      </x:c>
      <x:c r="N2587" s="14" t="str"/>
      <x:c r="O2587" s="14" t="n">
        <x:v>0</x:v>
      </x:c>
      <x:c r="P2587" s="14" t="str">
        <x:v>Hayır</x:v>
      </x:c>
      <x:c r="Q2587" s="14" t="str">
        <x:v>Evet</x:v>
      </x:c>
      <x:c r="R2587" s="14" t="str">
        <x:v>Planlandı</x:v>
      </x:c>
      <x:c r="S2587" s="15" t="str"/>
      <x:c r="T2587" s="14" t="str"/>
    </x:row>
    <x:row r="2588">
      <x:c r="A2588" s="14" t="n">
        <x:v>2587</x:v>
      </x:c>
      <x:c r="B2588" s="15" t="n">
        <x:v>46509</x:v>
      </x:c>
      <x:c r="C2588" s="14" t="str">
        <x:v>Pazar</x:v>
      </x:c>
      <x:c r="D2588" s="14" t="str">
        <x:v>Hafta Sonu</x:v>
      </x:c>
      <x:c r="E2588" s="14" t="str">
        <x:v>Tam gün</x:v>
      </x:c>
      <x:c r="F2588" s="14" t="str">
        <x:v>F4 - 60 Gün / 60 Tam Deneme</x:v>
      </x:c>
      <x:c r="G2588" s="14" t="str">
        <x:v>20:00</x:v>
      </x:c>
      <x:c r="H2588" s="14" t="str">
        <x:v>20:30</x:v>
      </x:c>
      <x:c r="I2588" s="14" t="str">
        <x:v>Okuma</x:v>
      </x:c>
      <x:c r="J2588" s="14" t="str">
        <x:v>İsteğe Bağlı</x:v>
      </x:c>
      <x:c r="K2588" s="14" t="str">
        <x:v>Serbest Kitap</x:v>
      </x:c>
      <x:c r="L2588" s="14" t="str">
        <x:v>Enerji uygunsa kısa isteğe bağlı okuma.</x:v>
      </x:c>
      <x:c r="M2588" s="14" t="str">
        <x:v>Serbest Kitap</x:v>
      </x:c>
      <x:c r="N2588" s="14" t="str"/>
      <x:c r="O2588" s="14" t="n">
        <x:v>0</x:v>
      </x:c>
      <x:c r="P2588" s="14" t="str">
        <x:v>İsteğe Bağlı</x:v>
      </x:c>
      <x:c r="Q2588" s="14" t="str">
        <x:v>Hayır</x:v>
      </x:c>
      <x:c r="R2588" s="14" t="str">
        <x:v>Planlandı</x:v>
      </x:c>
      <x:c r="S2588" s="15" t="str"/>
      <x:c r="T2588" s="14" t="str"/>
    </x:row>
    <x:row r="2589">
      <x:c r="A2589" s="14" t="n">
        <x:v>2588</x:v>
      </x:c>
      <x:c r="B2589" s="15" t="n">
        <x:v>46509</x:v>
      </x:c>
      <x:c r="C2589" s="14" t="str">
        <x:v>Pazar</x:v>
      </x:c>
      <x:c r="D2589" s="14" t="str">
        <x:v>Hafta Sonu</x:v>
      </x:c>
      <x:c r="E2589" s="14" t="str">
        <x:v>Tam gün</x:v>
      </x:c>
      <x:c r="F2589" s="14" t="str">
        <x:v>F4 - 60 Gün / 60 Tam Deneme</x:v>
      </x:c>
      <x:c r="G2589" s="14" t="str">
        <x:v>21:50</x:v>
      </x:c>
      <x:c r="H2589" s="14" t="str">
        <x:v>22:00</x:v>
      </x:c>
      <x:c r="I2589" s="14" t="str">
        <x:v>Genel</x:v>
      </x:c>
      <x:c r="J2589" s="14" t="str">
        <x:v>Uyku Hazırlığı</x:v>
      </x:c>
      <x:c r="K2589" s="14" t="str"/>
      <x:c r="L2589" s="14" t="str">
        <x:v>22:00'de yatakta ve uyku.</x:v>
      </x:c>
      <x:c r="M2589" s="14" t="str"/>
      <x:c r="N2589" s="14" t="str"/>
      <x:c r="O2589" s="14" t="n">
        <x:v>0</x:v>
      </x:c>
      <x:c r="P2589" s="14" t="str">
        <x:v>Hayır</x:v>
      </x:c>
      <x:c r="Q2589" s="14" t="str">
        <x:v>Hayır</x:v>
      </x:c>
      <x:c r="R2589" s="14" t="str">
        <x:v>Planlandı</x:v>
      </x:c>
      <x:c r="S2589" s="15" t="str"/>
      <x:c r="T2589" s="14" t="str"/>
    </x:row>
    <x:row r="2590">
      <x:c r="A2590" s="14" t="n">
        <x:v>2589</x:v>
      </x:c>
      <x:c r="B2590" s="15" t="n">
        <x:v>46510</x:v>
      </x:c>
      <x:c r="C2590" s="14" t="str">
        <x:v>Pazartesi</x:v>
      </x:c>
      <x:c r="D2590" s="14" t="str">
        <x:v>Okul Günü</x:v>
      </x:c>
      <x:c r="E2590" s="14" t="str">
        <x:v>16:00 sonrası</x:v>
      </x:c>
      <x:c r="F2590" s="14" t="str">
        <x:v>F4 - 60 Gün / 60 Tam Deneme</x:v>
      </x:c>
      <x:c r="G2590" s="14" t="str">
        <x:v>16:00</x:v>
      </x:c>
      <x:c r="H2590" s="14" t="str">
        <x:v>16:25</x:v>
      </x:c>
      <x:c r="I2590" s="14" t="str">
        <x:v>Genel</x:v>
      </x:c>
      <x:c r="J2590" s="14" t="str">
        <x:v>Dinlenme</x:v>
      </x:c>
      <x:c r="K2590" s="14" t="str"/>
      <x:c r="L2590" s="14" t="str">
        <x:v>Eve geliş + kısa dinlenme.</x:v>
      </x:c>
      <x:c r="M2590" s="14" t="str"/>
      <x:c r="N2590" s="14" t="str"/>
      <x:c r="O2590" s="14" t="n">
        <x:v>0</x:v>
      </x:c>
      <x:c r="P2590" s="14" t="str">
        <x:v>Hayır</x:v>
      </x:c>
      <x:c r="Q2590" s="14" t="str">
        <x:v>Hayır</x:v>
      </x:c>
      <x:c r="R2590" s="14" t="str">
        <x:v>Planlandı</x:v>
      </x:c>
      <x:c r="S2590" s="15" t="str"/>
      <x:c r="T2590" s="14" t="str"/>
    </x:row>
    <x:row r="2591">
      <x:c r="A2591" s="14" t="n">
        <x:v>2590</x:v>
      </x:c>
      <x:c r="B2591" s="15" t="n">
        <x:v>46510</x:v>
      </x:c>
      <x:c r="C2591" s="14" t="str">
        <x:v>Pazartesi</x:v>
      </x:c>
      <x:c r="D2591" s="14" t="str">
        <x:v>Okul Günü</x:v>
      </x:c>
      <x:c r="E2591" s="14" t="str">
        <x:v>16:00 sonrası</x:v>
      </x:c>
      <x:c r="F2591" s="14" t="str">
        <x:v>F4 - 60 Gün / 60 Tam Deneme</x:v>
      </x:c>
      <x:c r="G2591" s="14" t="str">
        <x:v>16:30</x:v>
      </x:c>
      <x:c r="H2591" s="14" t="str">
        <x:v>17:45</x:v>
      </x:c>
      <x:c r="I2591" s="14" t="str">
        <x:v>Deneme</x:v>
      </x:c>
      <x:c r="J2591" s="14" t="str">
        <x:v>Tam LGS Denemesi - Sözel</x:v>
      </x:c>
      <x:c r="K2591" s="14" t="str">
        <x:v>Deneme 20</x:v>
      </x:c>
      <x:c r="L2591" s="14" t="str">
        <x:v>Deneme 20/60 — Sözel oturum: Türkçe 20 + İnkılap 10 + Din 10 + İngilizce 10. 75 dakika.</x:v>
      </x:c>
      <x:c r="M2591" s="14" t="str">
        <x:v>Tam LGS Denemesi</x:v>
      </x:c>
      <x:c r="N2591" s="14" t="str"/>
      <x:c r="O2591" s="14" t="n">
        <x:v>50</x:v>
      </x:c>
      <x:c r="P2591" s="14" t="str">
        <x:v>75 dk</x:v>
      </x:c>
      <x:c r="Q2591" s="14" t="str">
        <x:v>Evet</x:v>
      </x:c>
      <x:c r="R2591" s="14" t="str">
        <x:v>Planlandı</x:v>
      </x:c>
      <x:c r="S2591" s="15" t="str"/>
      <x:c r="T2591" s="14" t="str">
        <x:v>2026 LGS formatı çalışma referansıdır; 2027 kılavuzu yayımlanırsa güncellenir.</x:v>
      </x:c>
    </x:row>
    <x:row r="2592">
      <x:c r="A2592" s="14" t="n">
        <x:v>2591</x:v>
      </x:c>
      <x:c r="B2592" s="15" t="n">
        <x:v>46510</x:v>
      </x:c>
      <x:c r="C2592" s="14" t="str">
        <x:v>Pazartesi</x:v>
      </x:c>
      <x:c r="D2592" s="14" t="str">
        <x:v>Okul Günü</x:v>
      </x:c>
      <x:c r="E2592" s="14" t="str">
        <x:v>16:00 sonrası</x:v>
      </x:c>
      <x:c r="F2592" s="14" t="str">
        <x:v>F4 - 60 Gün / 60 Tam Deneme</x:v>
      </x:c>
      <x:c r="G2592" s="14" t="str">
        <x:v>17:45</x:v>
      </x:c>
      <x:c r="H2592" s="14" t="str">
        <x:v>18:30</x:v>
      </x:c>
      <x:c r="I2592" s="14" t="str">
        <x:v>Genel</x:v>
      </x:c>
      <x:c r="J2592" s="14" t="str">
        <x:v>Deneme Arası</x:v>
      </x:c>
      <x:c r="K2592" s="14" t="str"/>
      <x:c r="L2592" s="14" t="str">
        <x:v>45 dakika gerçek sınav arası simülasyonu: yemek/su/tuvalet; soru analizi yapma.</x:v>
      </x:c>
      <x:c r="M2592" s="14" t="str"/>
      <x:c r="N2592" s="14" t="str"/>
      <x:c r="O2592" s="14" t="n">
        <x:v>0</x:v>
      </x:c>
      <x:c r="P2592" s="14" t="str">
        <x:v>Hayır</x:v>
      </x:c>
      <x:c r="Q2592" s="14" t="str">
        <x:v>Evet</x:v>
      </x:c>
      <x:c r="R2592" s="14" t="str">
        <x:v>Planlandı</x:v>
      </x:c>
      <x:c r="S2592" s="15" t="str"/>
      <x:c r="T2592" s="14" t="str"/>
    </x:row>
    <x:row r="2593">
      <x:c r="A2593" s="14" t="n">
        <x:v>2592</x:v>
      </x:c>
      <x:c r="B2593" s="15" t="n">
        <x:v>46510</x:v>
      </x:c>
      <x:c r="C2593" s="14" t="str">
        <x:v>Pazartesi</x:v>
      </x:c>
      <x:c r="D2593" s="14" t="str">
        <x:v>Okul Günü</x:v>
      </x:c>
      <x:c r="E2593" s="14" t="str">
        <x:v>16:00 sonrası</x:v>
      </x:c>
      <x:c r="F2593" s="14" t="str">
        <x:v>F4 - 60 Gün / 60 Tam Deneme</x:v>
      </x:c>
      <x:c r="G2593" s="14" t="str">
        <x:v>18:30</x:v>
      </x:c>
      <x:c r="H2593" s="14" t="str">
        <x:v>19:50</x:v>
      </x:c>
      <x:c r="I2593" s="14" t="str">
        <x:v>Deneme</x:v>
      </x:c>
      <x:c r="J2593" s="14" t="str">
        <x:v>Tam LGS Denemesi - Sayısal</x:v>
      </x:c>
      <x:c r="K2593" s="14" t="str">
        <x:v>Deneme 20</x:v>
      </x:c>
      <x:c r="L2593" s="14" t="str">
        <x:v>Deneme 20/60 — Sayısal oturum: Matematik 20 + Fen 20. 80 dakika.</x:v>
      </x:c>
      <x:c r="M2593" s="14" t="str">
        <x:v>Tam LGS Denemesi</x:v>
      </x:c>
      <x:c r="N2593" s="14" t="str"/>
      <x:c r="O2593" s="14" t="n">
        <x:v>40</x:v>
      </x:c>
      <x:c r="P2593" s="14" t="str">
        <x:v>80 dk</x:v>
      </x:c>
      <x:c r="Q2593" s="14" t="str">
        <x:v>Evet</x:v>
      </x:c>
      <x:c r="R2593" s="14" t="str">
        <x:v>Planlandı</x:v>
      </x:c>
      <x:c r="S2593" s="15" t="str"/>
      <x:c r="T2593" s="14" t="str"/>
    </x:row>
    <x:row r="2594">
      <x:c r="A2594" s="14" t="n">
        <x:v>2593</x:v>
      </x:c>
      <x:c r="B2594" s="15" t="n">
        <x:v>46510</x:v>
      </x:c>
      <x:c r="C2594" s="14" t="str">
        <x:v>Pazartesi</x:v>
      </x:c>
      <x:c r="D2594" s="14" t="str">
        <x:v>Okul Günü</x:v>
      </x:c>
      <x:c r="E2594" s="14" t="str">
        <x:v>16:00 sonrası</x:v>
      </x:c>
      <x:c r="F2594" s="14" t="str">
        <x:v>F4 - 60 Gün / 60 Tam Deneme</x:v>
      </x:c>
      <x:c r="G2594" s="14" t="str">
        <x:v>20:00</x:v>
      </x:c>
      <x:c r="H2594" s="14" t="str">
        <x:v>20:45</x:v>
      </x:c>
      <x:c r="I2594" s="14" t="str">
        <x:v>Deneme</x:v>
      </x:c>
      <x:c r="J2594" s="14" t="str">
        <x:v>Deneme Analizi</x:v>
      </x:c>
      <x:c r="K2594" s="14" t="str">
        <x:v>Deneme 20</x:v>
      </x:c>
      <x:c r="L2594" s="14" t="str">
        <x:v>Tüm yanlış/boşları nedenleriyle analiz et; bilgi eksikliği, işlem, dikkat, yanlış okuma veya yorumlama olarak sınıflandır.</x:v>
      </x:c>
      <x:c r="M2594" s="14" t="str">
        <x:v>Deneme Takibi</x:v>
      </x:c>
      <x:c r="N2594" s="14" t="str"/>
      <x:c r="O2594" s="14" t="n">
        <x:v>0</x:v>
      </x:c>
      <x:c r="P2594" s="14" t="str">
        <x:v>Hayır</x:v>
      </x:c>
      <x:c r="Q2594" s="14" t="str">
        <x:v>Evet</x:v>
      </x:c>
      <x:c r="R2594" s="14" t="str">
        <x:v>Planlandı</x:v>
      </x:c>
      <x:c r="S2594" s="15" t="str"/>
      <x:c r="T2594" s="14" t="str">
        <x:v>Deneme çözülüp analiz edilmediyse gün tamamlanmış sayılmaz.</x:v>
      </x:c>
    </x:row>
    <x:row r="2595">
      <x:c r="A2595" s="14" t="n">
        <x:v>2594</x:v>
      </x:c>
      <x:c r="B2595" s="15" t="n">
        <x:v>46510</x:v>
      </x:c>
      <x:c r="C2595" s="14" t="str">
        <x:v>Pazartesi</x:v>
      </x:c>
      <x:c r="D2595" s="14" t="str">
        <x:v>Okul Günü</x:v>
      </x:c>
      <x:c r="E2595" s="14" t="str">
        <x:v>16:00 sonrası</x:v>
      </x:c>
      <x:c r="F2595" s="14" t="str">
        <x:v>F4 - 60 Gün / 60 Tam Deneme</x:v>
      </x:c>
      <x:c r="G2595" s="14" t="str">
        <x:v>20:50</x:v>
      </x:c>
      <x:c r="H2595" s="14" t="str">
        <x:v>21:25</x:v>
      </x:c>
      <x:c r="I2595" s="14" t="str">
        <x:v>Genel</x:v>
      </x:c>
      <x:c r="J2595" s="14" t="str">
        <x:v>Hedefli Eksik Giderme</x:v>
      </x:c>
      <x:c r="K2595" s="14" t="str">
        <x:v>Denemeden Gelen Eksikler</x:v>
      </x:c>
      <x:c r="L2595" s="14" t="str">
        <x:v>Denemenin gösterdiği en kritik 1-3 eksiği gider: gerekirse ilgili playlist videosuna kısa dönüş + hedefli soru çözümü.</x:v>
      </x:c>
      <x:c r="M2595" s="14" t="str">
        <x:v>Playlist + Soru Kitabı + MEB</x:v>
      </x:c>
      <x:c r="N2595" s="14" t="str"/>
      <x:c r="O2595" s="14" t="n">
        <x:v>0</x:v>
      </x:c>
      <x:c r="P2595" s="14" t="str">
        <x:v>Hayır</x:v>
      </x:c>
      <x:c r="Q2595" s="14" t="str">
        <x:v>Evet</x:v>
      </x:c>
      <x:c r="R2595" s="14" t="str">
        <x:v>Planlandı</x:v>
      </x:c>
      <x:c r="S2595" s="15" t="str"/>
      <x:c r="T2595" s="14" t="str">
        <x:v>Yeni konu açılmaz; yalnız denemenin kanıtladığı eksiğe müdahale edilir.</x:v>
      </x:c>
    </x:row>
    <x:row r="2596">
      <x:c r="A2596" s="14" t="n">
        <x:v>2595</x:v>
      </x:c>
      <x:c r="B2596" s="15" t="n">
        <x:v>46510</x:v>
      </x:c>
      <x:c r="C2596" s="14" t="str">
        <x:v>Pazartesi</x:v>
      </x:c>
      <x:c r="D2596" s="14" t="str">
        <x:v>Okul Günü</x:v>
      </x:c>
      <x:c r="E2596" s="14" t="str">
        <x:v>16:00 sonrası</x:v>
      </x:c>
      <x:c r="F2596" s="14" t="str">
        <x:v>F4 - 60 Gün / 60 Tam Deneme</x:v>
      </x:c>
      <x:c r="G2596" s="14" t="str">
        <x:v>21:25</x:v>
      </x:c>
      <x:c r="H2596" s="14" t="str">
        <x:v>21:40</x:v>
      </x:c>
      <x:c r="I2596" s="14" t="str">
        <x:v>Genel</x:v>
      </x:c>
      <x:c r="J2596" s="14" t="str">
        <x:v>Aralıklı Hata Tekrarı</x:v>
      </x:c>
      <x:c r="K2596" s="14" t="str">
        <x:v>+1 / +7 / +21</x:v>
      </x:c>
      <x:c r="L2596" s="14" t="str">
        <x:v>Bugün vadesi gelen eski yanlışları tekrar çöz ve bugünkü yanlışları Yanlış Defteri'ne ekle.</x:v>
      </x:c>
      <x:c r="M2596" s="14" t="str">
        <x:v>Yanlış Defteri</x:v>
      </x:c>
      <x:c r="N2596" s="14" t="str"/>
      <x:c r="O2596" s="14" t="n">
        <x:v>0</x:v>
      </x:c>
      <x:c r="P2596" s="14" t="str">
        <x:v>Hayır</x:v>
      </x:c>
      <x:c r="Q2596" s="14" t="str">
        <x:v>Evet</x:v>
      </x:c>
      <x:c r="R2596" s="14" t="str">
        <x:v>Planlandı</x:v>
      </x:c>
      <x:c r="S2596" s="15" t="str"/>
      <x:c r="T2596" s="14" t="str"/>
    </x:row>
    <x:row r="2597">
      <x:c r="A2597" s="14" t="n">
        <x:v>2596</x:v>
      </x:c>
      <x:c r="B2597" s="15" t="n">
        <x:v>46510</x:v>
      </x:c>
      <x:c r="C2597" s="14" t="str">
        <x:v>Pazartesi</x:v>
      </x:c>
      <x:c r="D2597" s="14" t="str">
        <x:v>Okul Günü</x:v>
      </x:c>
      <x:c r="E2597" s="14" t="str">
        <x:v>16:00 sonrası</x:v>
      </x:c>
      <x:c r="F2597" s="14" t="str">
        <x:v>F4 - 60 Gün / 60 Tam Deneme</x:v>
      </x:c>
      <x:c r="G2597" s="14" t="str">
        <x:v>21:40</x:v>
      </x:c>
      <x:c r="H2597" s="14" t="str">
        <x:v>21:50</x:v>
      </x:c>
      <x:c r="I2597" s="14" t="str">
        <x:v>Okuma</x:v>
      </x:c>
      <x:c r="J2597" s="14" t="str">
        <x:v>İsteğe Bağlı</x:v>
      </x:c>
      <x:c r="K2597" s="14" t="str">
        <x:v>Serbest Kitap</x:v>
      </x:c>
      <x:c r="L2597" s="14" t="str">
        <x:v>Enerji uygunsa kısa isteğe bağlı okuma.</x:v>
      </x:c>
      <x:c r="M2597" s="14" t="str">
        <x:v>Serbest Kitap</x:v>
      </x:c>
      <x:c r="N2597" s="14" t="str"/>
      <x:c r="O2597" s="14" t="n">
        <x:v>0</x:v>
      </x:c>
      <x:c r="P2597" s="14" t="str">
        <x:v>İsteğe Bağlı</x:v>
      </x:c>
      <x:c r="Q2597" s="14" t="str">
        <x:v>Hayır</x:v>
      </x:c>
      <x:c r="R2597" s="14" t="str">
        <x:v>Planlandı</x:v>
      </x:c>
      <x:c r="S2597" s="15" t="str"/>
      <x:c r="T2597" s="14" t="str"/>
    </x:row>
    <x:row r="2598">
      <x:c r="A2598" s="14" t="n">
        <x:v>2597</x:v>
      </x:c>
      <x:c r="B2598" s="15" t="n">
        <x:v>46510</x:v>
      </x:c>
      <x:c r="C2598" s="14" t="str">
        <x:v>Pazartesi</x:v>
      </x:c>
      <x:c r="D2598" s="14" t="str">
        <x:v>Okul Günü</x:v>
      </x:c>
      <x:c r="E2598" s="14" t="str">
        <x:v>16:00 sonrası</x:v>
      </x:c>
      <x:c r="F2598" s="14" t="str">
        <x:v>F4 - 60 Gün / 60 Tam Deneme</x:v>
      </x:c>
      <x:c r="G2598" s="14" t="str">
        <x:v>21:50</x:v>
      </x:c>
      <x:c r="H2598" s="14" t="str">
        <x:v>22:00</x:v>
      </x:c>
      <x:c r="I2598" s="14" t="str">
        <x:v>Genel</x:v>
      </x:c>
      <x:c r="J2598" s="14" t="str">
        <x:v>Uyku Hazırlığı</x:v>
      </x:c>
      <x:c r="K2598" s="14" t="str"/>
      <x:c r="L2598" s="14" t="str">
        <x:v>22:00'de yatakta ve uyku.</x:v>
      </x:c>
      <x:c r="M2598" s="14" t="str"/>
      <x:c r="N2598" s="14" t="str"/>
      <x:c r="O2598" s="14" t="n">
        <x:v>0</x:v>
      </x:c>
      <x:c r="P2598" s="14" t="str">
        <x:v>Hayır</x:v>
      </x:c>
      <x:c r="Q2598" s="14" t="str">
        <x:v>Hayır</x:v>
      </x:c>
      <x:c r="R2598" s="14" t="str">
        <x:v>Planlandı</x:v>
      </x:c>
      <x:c r="S2598" s="15" t="str"/>
      <x:c r="T2598" s="14" t="str"/>
    </x:row>
    <x:row r="2599">
      <x:c r="A2599" s="14" t="n">
        <x:v>2598</x:v>
      </x:c>
      <x:c r="B2599" s="15" t="n">
        <x:v>46511</x:v>
      </x:c>
      <x:c r="C2599" s="14" t="str">
        <x:v>Salı</x:v>
      </x:c>
      <x:c r="D2599" s="14" t="str">
        <x:v>Okul Günü</x:v>
      </x:c>
      <x:c r="E2599" s="14" t="str">
        <x:v>16:00 sonrası</x:v>
      </x:c>
      <x:c r="F2599" s="14" t="str">
        <x:v>F4 - 60 Gün / 60 Tam Deneme</x:v>
      </x:c>
      <x:c r="G2599" s="14" t="str">
        <x:v>16:00</x:v>
      </x:c>
      <x:c r="H2599" s="14" t="str">
        <x:v>16:25</x:v>
      </x:c>
      <x:c r="I2599" s="14" t="str">
        <x:v>Genel</x:v>
      </x:c>
      <x:c r="J2599" s="14" t="str">
        <x:v>Dinlenme</x:v>
      </x:c>
      <x:c r="K2599" s="14" t="str"/>
      <x:c r="L2599" s="14" t="str">
        <x:v>Eve geliş + kısa dinlenme.</x:v>
      </x:c>
      <x:c r="M2599" s="14" t="str"/>
      <x:c r="N2599" s="14" t="str"/>
      <x:c r="O2599" s="14" t="n">
        <x:v>0</x:v>
      </x:c>
      <x:c r="P2599" s="14" t="str">
        <x:v>Hayır</x:v>
      </x:c>
      <x:c r="Q2599" s="14" t="str">
        <x:v>Hayır</x:v>
      </x:c>
      <x:c r="R2599" s="14" t="str">
        <x:v>Planlandı</x:v>
      </x:c>
      <x:c r="S2599" s="15" t="str"/>
      <x:c r="T2599" s="14" t="str"/>
    </x:row>
    <x:row r="2600">
      <x:c r="A2600" s="14" t="n">
        <x:v>2599</x:v>
      </x:c>
      <x:c r="B2600" s="15" t="n">
        <x:v>46511</x:v>
      </x:c>
      <x:c r="C2600" s="14" t="str">
        <x:v>Salı</x:v>
      </x:c>
      <x:c r="D2600" s="14" t="str">
        <x:v>Okul Günü</x:v>
      </x:c>
      <x:c r="E2600" s="14" t="str">
        <x:v>16:00 sonrası</x:v>
      </x:c>
      <x:c r="F2600" s="14" t="str">
        <x:v>F4 - 60 Gün / 60 Tam Deneme</x:v>
      </x:c>
      <x:c r="G2600" s="14" t="str">
        <x:v>16:30</x:v>
      </x:c>
      <x:c r="H2600" s="14" t="str">
        <x:v>17:45</x:v>
      </x:c>
      <x:c r="I2600" s="14" t="str">
        <x:v>Deneme</x:v>
      </x:c>
      <x:c r="J2600" s="14" t="str">
        <x:v>Tam LGS Denemesi - Sözel</x:v>
      </x:c>
      <x:c r="K2600" s="14" t="str">
        <x:v>Deneme 21</x:v>
      </x:c>
      <x:c r="L2600" s="14" t="str">
        <x:v>Deneme 21/60 — Sözel oturum: Türkçe 20 + İnkılap 10 + Din 10 + İngilizce 10. 75 dakika.</x:v>
      </x:c>
      <x:c r="M2600" s="14" t="str">
        <x:v>Tam LGS Denemesi</x:v>
      </x:c>
      <x:c r="N2600" s="14" t="str"/>
      <x:c r="O2600" s="14" t="n">
        <x:v>50</x:v>
      </x:c>
      <x:c r="P2600" s="14" t="str">
        <x:v>75 dk</x:v>
      </x:c>
      <x:c r="Q2600" s="14" t="str">
        <x:v>Evet</x:v>
      </x:c>
      <x:c r="R2600" s="14" t="str">
        <x:v>Planlandı</x:v>
      </x:c>
      <x:c r="S2600" s="15" t="str"/>
      <x:c r="T2600" s="14" t="str">
        <x:v>2026 LGS formatı çalışma referansıdır; 2027 kılavuzu yayımlanırsa güncellenir.</x:v>
      </x:c>
    </x:row>
    <x:row r="2601">
      <x:c r="A2601" s="14" t="n">
        <x:v>2600</x:v>
      </x:c>
      <x:c r="B2601" s="15" t="n">
        <x:v>46511</x:v>
      </x:c>
      <x:c r="C2601" s="14" t="str">
        <x:v>Salı</x:v>
      </x:c>
      <x:c r="D2601" s="14" t="str">
        <x:v>Okul Günü</x:v>
      </x:c>
      <x:c r="E2601" s="14" t="str">
        <x:v>16:00 sonrası</x:v>
      </x:c>
      <x:c r="F2601" s="14" t="str">
        <x:v>F4 - 60 Gün / 60 Tam Deneme</x:v>
      </x:c>
      <x:c r="G2601" s="14" t="str">
        <x:v>17:45</x:v>
      </x:c>
      <x:c r="H2601" s="14" t="str">
        <x:v>18:30</x:v>
      </x:c>
      <x:c r="I2601" s="14" t="str">
        <x:v>Genel</x:v>
      </x:c>
      <x:c r="J2601" s="14" t="str">
        <x:v>Deneme Arası</x:v>
      </x:c>
      <x:c r="K2601" s="14" t="str"/>
      <x:c r="L2601" s="14" t="str">
        <x:v>45 dakika gerçek sınav arası simülasyonu: yemek/su/tuvalet; soru analizi yapma.</x:v>
      </x:c>
      <x:c r="M2601" s="14" t="str"/>
      <x:c r="N2601" s="14" t="str"/>
      <x:c r="O2601" s="14" t="n">
        <x:v>0</x:v>
      </x:c>
      <x:c r="P2601" s="14" t="str">
        <x:v>Hayır</x:v>
      </x:c>
      <x:c r="Q2601" s="14" t="str">
        <x:v>Evet</x:v>
      </x:c>
      <x:c r="R2601" s="14" t="str">
        <x:v>Planlandı</x:v>
      </x:c>
      <x:c r="S2601" s="15" t="str"/>
      <x:c r="T2601" s="14" t="str"/>
    </x:row>
    <x:row r="2602">
      <x:c r="A2602" s="14" t="n">
        <x:v>2601</x:v>
      </x:c>
      <x:c r="B2602" s="15" t="n">
        <x:v>46511</x:v>
      </x:c>
      <x:c r="C2602" s="14" t="str">
        <x:v>Salı</x:v>
      </x:c>
      <x:c r="D2602" s="14" t="str">
        <x:v>Okul Günü</x:v>
      </x:c>
      <x:c r="E2602" s="14" t="str">
        <x:v>16:00 sonrası</x:v>
      </x:c>
      <x:c r="F2602" s="14" t="str">
        <x:v>F4 - 60 Gün / 60 Tam Deneme</x:v>
      </x:c>
      <x:c r="G2602" s="14" t="str">
        <x:v>18:30</x:v>
      </x:c>
      <x:c r="H2602" s="14" t="str">
        <x:v>19:50</x:v>
      </x:c>
      <x:c r="I2602" s="14" t="str">
        <x:v>Deneme</x:v>
      </x:c>
      <x:c r="J2602" s="14" t="str">
        <x:v>Tam LGS Denemesi - Sayısal</x:v>
      </x:c>
      <x:c r="K2602" s="14" t="str">
        <x:v>Deneme 21</x:v>
      </x:c>
      <x:c r="L2602" s="14" t="str">
        <x:v>Deneme 21/60 — Sayısal oturum: Matematik 20 + Fen 20. 80 dakika.</x:v>
      </x:c>
      <x:c r="M2602" s="14" t="str">
        <x:v>Tam LGS Denemesi</x:v>
      </x:c>
      <x:c r="N2602" s="14" t="str"/>
      <x:c r="O2602" s="14" t="n">
        <x:v>40</x:v>
      </x:c>
      <x:c r="P2602" s="14" t="str">
        <x:v>80 dk</x:v>
      </x:c>
      <x:c r="Q2602" s="14" t="str">
        <x:v>Evet</x:v>
      </x:c>
      <x:c r="R2602" s="14" t="str">
        <x:v>Planlandı</x:v>
      </x:c>
      <x:c r="S2602" s="15" t="str"/>
      <x:c r="T2602" s="14" t="str"/>
    </x:row>
    <x:row r="2603">
      <x:c r="A2603" s="14" t="n">
        <x:v>2602</x:v>
      </x:c>
      <x:c r="B2603" s="15" t="n">
        <x:v>46511</x:v>
      </x:c>
      <x:c r="C2603" s="14" t="str">
        <x:v>Salı</x:v>
      </x:c>
      <x:c r="D2603" s="14" t="str">
        <x:v>Okul Günü</x:v>
      </x:c>
      <x:c r="E2603" s="14" t="str">
        <x:v>16:00 sonrası</x:v>
      </x:c>
      <x:c r="F2603" s="14" t="str">
        <x:v>F4 - 60 Gün / 60 Tam Deneme</x:v>
      </x:c>
      <x:c r="G2603" s="14" t="str">
        <x:v>20:00</x:v>
      </x:c>
      <x:c r="H2603" s="14" t="str">
        <x:v>20:45</x:v>
      </x:c>
      <x:c r="I2603" s="14" t="str">
        <x:v>Deneme</x:v>
      </x:c>
      <x:c r="J2603" s="14" t="str">
        <x:v>Deneme Analizi</x:v>
      </x:c>
      <x:c r="K2603" s="14" t="str">
        <x:v>Deneme 21</x:v>
      </x:c>
      <x:c r="L2603" s="14" t="str">
        <x:v>Tüm yanlış/boşları nedenleriyle analiz et; bilgi eksikliği, işlem, dikkat, yanlış okuma veya yorumlama olarak sınıflandır.</x:v>
      </x:c>
      <x:c r="M2603" s="14" t="str">
        <x:v>Deneme Takibi</x:v>
      </x:c>
      <x:c r="N2603" s="14" t="str"/>
      <x:c r="O2603" s="14" t="n">
        <x:v>0</x:v>
      </x:c>
      <x:c r="P2603" s="14" t="str">
        <x:v>Hayır</x:v>
      </x:c>
      <x:c r="Q2603" s="14" t="str">
        <x:v>Evet</x:v>
      </x:c>
      <x:c r="R2603" s="14" t="str">
        <x:v>Planlandı</x:v>
      </x:c>
      <x:c r="S2603" s="15" t="str"/>
      <x:c r="T2603" s="14" t="str">
        <x:v>Deneme çözülüp analiz edilmediyse gün tamamlanmış sayılmaz.</x:v>
      </x:c>
    </x:row>
    <x:row r="2604">
      <x:c r="A2604" s="14" t="n">
        <x:v>2603</x:v>
      </x:c>
      <x:c r="B2604" s="15" t="n">
        <x:v>46511</x:v>
      </x:c>
      <x:c r="C2604" s="14" t="str">
        <x:v>Salı</x:v>
      </x:c>
      <x:c r="D2604" s="14" t="str">
        <x:v>Okul Günü</x:v>
      </x:c>
      <x:c r="E2604" s="14" t="str">
        <x:v>16:00 sonrası</x:v>
      </x:c>
      <x:c r="F2604" s="14" t="str">
        <x:v>F4 - 60 Gün / 60 Tam Deneme</x:v>
      </x:c>
      <x:c r="G2604" s="14" t="str">
        <x:v>20:50</x:v>
      </x:c>
      <x:c r="H2604" s="14" t="str">
        <x:v>21:25</x:v>
      </x:c>
      <x:c r="I2604" s="14" t="str">
        <x:v>Genel</x:v>
      </x:c>
      <x:c r="J2604" s="14" t="str">
        <x:v>Hedefli Eksik Giderme</x:v>
      </x:c>
      <x:c r="K2604" s="14" t="str">
        <x:v>Denemeden Gelen Eksikler</x:v>
      </x:c>
      <x:c r="L2604" s="14" t="str">
        <x:v>Denemenin gösterdiği en kritik 1-3 eksiği gider: gerekirse ilgili playlist videosuna kısa dönüş + hedefli soru çözümü.</x:v>
      </x:c>
      <x:c r="M2604" s="14" t="str">
        <x:v>Playlist + Soru Kitabı + MEB</x:v>
      </x:c>
      <x:c r="N2604" s="14" t="str"/>
      <x:c r="O2604" s="14" t="n">
        <x:v>0</x:v>
      </x:c>
      <x:c r="P2604" s="14" t="str">
        <x:v>Hayır</x:v>
      </x:c>
      <x:c r="Q2604" s="14" t="str">
        <x:v>Evet</x:v>
      </x:c>
      <x:c r="R2604" s="14" t="str">
        <x:v>Planlandı</x:v>
      </x:c>
      <x:c r="S2604" s="15" t="str"/>
      <x:c r="T2604" s="14" t="str">
        <x:v>Yeni konu açılmaz; yalnız denemenin kanıtladığı eksiğe müdahale edilir.</x:v>
      </x:c>
    </x:row>
    <x:row r="2605">
      <x:c r="A2605" s="14" t="n">
        <x:v>2604</x:v>
      </x:c>
      <x:c r="B2605" s="15" t="n">
        <x:v>46511</x:v>
      </x:c>
      <x:c r="C2605" s="14" t="str">
        <x:v>Salı</x:v>
      </x:c>
      <x:c r="D2605" s="14" t="str">
        <x:v>Okul Günü</x:v>
      </x:c>
      <x:c r="E2605" s="14" t="str">
        <x:v>16:00 sonrası</x:v>
      </x:c>
      <x:c r="F2605" s="14" t="str">
        <x:v>F4 - 60 Gün / 60 Tam Deneme</x:v>
      </x:c>
      <x:c r="G2605" s="14" t="str">
        <x:v>21:25</x:v>
      </x:c>
      <x:c r="H2605" s="14" t="str">
        <x:v>21:40</x:v>
      </x:c>
      <x:c r="I2605" s="14" t="str">
        <x:v>Genel</x:v>
      </x:c>
      <x:c r="J2605" s="14" t="str">
        <x:v>Aralıklı Hata Tekrarı</x:v>
      </x:c>
      <x:c r="K2605" s="14" t="str">
        <x:v>+1 / +7 / +21</x:v>
      </x:c>
      <x:c r="L2605" s="14" t="str">
        <x:v>Bugün vadesi gelen eski yanlışları tekrar çöz ve bugünkü yanlışları Yanlış Defteri'ne ekle.</x:v>
      </x:c>
      <x:c r="M2605" s="14" t="str">
        <x:v>Yanlış Defteri</x:v>
      </x:c>
      <x:c r="N2605" s="14" t="str"/>
      <x:c r="O2605" s="14" t="n">
        <x:v>0</x:v>
      </x:c>
      <x:c r="P2605" s="14" t="str">
        <x:v>Hayır</x:v>
      </x:c>
      <x:c r="Q2605" s="14" t="str">
        <x:v>Evet</x:v>
      </x:c>
      <x:c r="R2605" s="14" t="str">
        <x:v>Planlandı</x:v>
      </x:c>
      <x:c r="S2605" s="15" t="str"/>
      <x:c r="T2605" s="14" t="str"/>
    </x:row>
    <x:row r="2606">
      <x:c r="A2606" s="14" t="n">
        <x:v>2605</x:v>
      </x:c>
      <x:c r="B2606" s="15" t="n">
        <x:v>46511</x:v>
      </x:c>
      <x:c r="C2606" s="14" t="str">
        <x:v>Salı</x:v>
      </x:c>
      <x:c r="D2606" s="14" t="str">
        <x:v>Okul Günü</x:v>
      </x:c>
      <x:c r="E2606" s="14" t="str">
        <x:v>16:00 sonrası</x:v>
      </x:c>
      <x:c r="F2606" s="14" t="str">
        <x:v>F4 - 60 Gün / 60 Tam Deneme</x:v>
      </x:c>
      <x:c r="G2606" s="14" t="str">
        <x:v>21:40</x:v>
      </x:c>
      <x:c r="H2606" s="14" t="str">
        <x:v>21:50</x:v>
      </x:c>
      <x:c r="I2606" s="14" t="str">
        <x:v>Okuma</x:v>
      </x:c>
      <x:c r="J2606" s="14" t="str">
        <x:v>İsteğe Bağlı</x:v>
      </x:c>
      <x:c r="K2606" s="14" t="str">
        <x:v>Serbest Kitap</x:v>
      </x:c>
      <x:c r="L2606" s="14" t="str">
        <x:v>Enerji uygunsa kısa isteğe bağlı okuma.</x:v>
      </x:c>
      <x:c r="M2606" s="14" t="str">
        <x:v>Serbest Kitap</x:v>
      </x:c>
      <x:c r="N2606" s="14" t="str"/>
      <x:c r="O2606" s="14" t="n">
        <x:v>0</x:v>
      </x:c>
      <x:c r="P2606" s="14" t="str">
        <x:v>İsteğe Bağlı</x:v>
      </x:c>
      <x:c r="Q2606" s="14" t="str">
        <x:v>Hayır</x:v>
      </x:c>
      <x:c r="R2606" s="14" t="str">
        <x:v>Planlandı</x:v>
      </x:c>
      <x:c r="S2606" s="15" t="str"/>
      <x:c r="T2606" s="14" t="str"/>
    </x:row>
    <x:row r="2607">
      <x:c r="A2607" s="14" t="n">
        <x:v>2606</x:v>
      </x:c>
      <x:c r="B2607" s="15" t="n">
        <x:v>46511</x:v>
      </x:c>
      <x:c r="C2607" s="14" t="str">
        <x:v>Salı</x:v>
      </x:c>
      <x:c r="D2607" s="14" t="str">
        <x:v>Okul Günü</x:v>
      </x:c>
      <x:c r="E2607" s="14" t="str">
        <x:v>16:00 sonrası</x:v>
      </x:c>
      <x:c r="F2607" s="14" t="str">
        <x:v>F4 - 60 Gün / 60 Tam Deneme</x:v>
      </x:c>
      <x:c r="G2607" s="14" t="str">
        <x:v>21:50</x:v>
      </x:c>
      <x:c r="H2607" s="14" t="str">
        <x:v>22:00</x:v>
      </x:c>
      <x:c r="I2607" s="14" t="str">
        <x:v>Genel</x:v>
      </x:c>
      <x:c r="J2607" s="14" t="str">
        <x:v>Uyku Hazırlığı</x:v>
      </x:c>
      <x:c r="K2607" s="14" t="str"/>
      <x:c r="L2607" s="14" t="str">
        <x:v>22:00'de yatakta ve uyku.</x:v>
      </x:c>
      <x:c r="M2607" s="14" t="str"/>
      <x:c r="N2607" s="14" t="str"/>
      <x:c r="O2607" s="14" t="n">
        <x:v>0</x:v>
      </x:c>
      <x:c r="P2607" s="14" t="str">
        <x:v>Hayır</x:v>
      </x:c>
      <x:c r="Q2607" s="14" t="str">
        <x:v>Hayır</x:v>
      </x:c>
      <x:c r="R2607" s="14" t="str">
        <x:v>Planlandı</x:v>
      </x:c>
      <x:c r="S2607" s="15" t="str"/>
      <x:c r="T2607" s="14" t="str"/>
    </x:row>
    <x:row r="2608">
      <x:c r="A2608" s="14" t="n">
        <x:v>2607</x:v>
      </x:c>
      <x:c r="B2608" s="15" t="n">
        <x:v>46512</x:v>
      </x:c>
      <x:c r="C2608" s="14" t="str">
        <x:v>Çarşamba</x:v>
      </x:c>
      <x:c r="D2608" s="14" t="str">
        <x:v>Okul Günü</x:v>
      </x:c>
      <x:c r="E2608" s="14" t="str">
        <x:v>16:00 sonrası</x:v>
      </x:c>
      <x:c r="F2608" s="14" t="str">
        <x:v>F4 - 60 Gün / 60 Tam Deneme</x:v>
      </x:c>
      <x:c r="G2608" s="14" t="str">
        <x:v>16:00</x:v>
      </x:c>
      <x:c r="H2608" s="14" t="str">
        <x:v>16:25</x:v>
      </x:c>
      <x:c r="I2608" s="14" t="str">
        <x:v>Genel</x:v>
      </x:c>
      <x:c r="J2608" s="14" t="str">
        <x:v>Dinlenme</x:v>
      </x:c>
      <x:c r="K2608" s="14" t="str"/>
      <x:c r="L2608" s="14" t="str">
        <x:v>Eve geliş + kısa dinlenme.</x:v>
      </x:c>
      <x:c r="M2608" s="14" t="str"/>
      <x:c r="N2608" s="14" t="str"/>
      <x:c r="O2608" s="14" t="n">
        <x:v>0</x:v>
      </x:c>
      <x:c r="P2608" s="14" t="str">
        <x:v>Hayır</x:v>
      </x:c>
      <x:c r="Q2608" s="14" t="str">
        <x:v>Hayır</x:v>
      </x:c>
      <x:c r="R2608" s="14" t="str">
        <x:v>Planlandı</x:v>
      </x:c>
      <x:c r="S2608" s="15" t="str"/>
      <x:c r="T2608" s="14" t="str"/>
    </x:row>
    <x:row r="2609">
      <x:c r="A2609" s="14" t="n">
        <x:v>2608</x:v>
      </x:c>
      <x:c r="B2609" s="15" t="n">
        <x:v>46512</x:v>
      </x:c>
      <x:c r="C2609" s="14" t="str">
        <x:v>Çarşamba</x:v>
      </x:c>
      <x:c r="D2609" s="14" t="str">
        <x:v>Okul Günü</x:v>
      </x:c>
      <x:c r="E2609" s="14" t="str">
        <x:v>16:00 sonrası</x:v>
      </x:c>
      <x:c r="F2609" s="14" t="str">
        <x:v>F4 - 60 Gün / 60 Tam Deneme</x:v>
      </x:c>
      <x:c r="G2609" s="14" t="str">
        <x:v>16:30</x:v>
      </x:c>
      <x:c r="H2609" s="14" t="str">
        <x:v>17:45</x:v>
      </x:c>
      <x:c r="I2609" s="14" t="str">
        <x:v>Deneme</x:v>
      </x:c>
      <x:c r="J2609" s="14" t="str">
        <x:v>Tam LGS Denemesi - Sözel</x:v>
      </x:c>
      <x:c r="K2609" s="14" t="str">
        <x:v>Deneme 22</x:v>
      </x:c>
      <x:c r="L2609" s="14" t="str">
        <x:v>Deneme 22/60 — Sözel oturum: Türkçe 20 + İnkılap 10 + Din 10 + İngilizce 10. 75 dakika.</x:v>
      </x:c>
      <x:c r="M2609" s="14" t="str">
        <x:v>Tam LGS Denemesi</x:v>
      </x:c>
      <x:c r="N2609" s="14" t="str"/>
      <x:c r="O2609" s="14" t="n">
        <x:v>50</x:v>
      </x:c>
      <x:c r="P2609" s="14" t="str">
        <x:v>75 dk</x:v>
      </x:c>
      <x:c r="Q2609" s="14" t="str">
        <x:v>Evet</x:v>
      </x:c>
      <x:c r="R2609" s="14" t="str">
        <x:v>Planlandı</x:v>
      </x:c>
      <x:c r="S2609" s="15" t="str"/>
      <x:c r="T2609" s="14" t="str">
        <x:v>2026 LGS formatı çalışma referansıdır; 2027 kılavuzu yayımlanırsa güncellenir.</x:v>
      </x:c>
    </x:row>
    <x:row r="2610">
      <x:c r="A2610" s="14" t="n">
        <x:v>2609</x:v>
      </x:c>
      <x:c r="B2610" s="15" t="n">
        <x:v>46512</x:v>
      </x:c>
      <x:c r="C2610" s="14" t="str">
        <x:v>Çarşamba</x:v>
      </x:c>
      <x:c r="D2610" s="14" t="str">
        <x:v>Okul Günü</x:v>
      </x:c>
      <x:c r="E2610" s="14" t="str">
        <x:v>16:00 sonrası</x:v>
      </x:c>
      <x:c r="F2610" s="14" t="str">
        <x:v>F4 - 60 Gün / 60 Tam Deneme</x:v>
      </x:c>
      <x:c r="G2610" s="14" t="str">
        <x:v>17:45</x:v>
      </x:c>
      <x:c r="H2610" s="14" t="str">
        <x:v>18:30</x:v>
      </x:c>
      <x:c r="I2610" s="14" t="str">
        <x:v>Genel</x:v>
      </x:c>
      <x:c r="J2610" s="14" t="str">
        <x:v>Deneme Arası</x:v>
      </x:c>
      <x:c r="K2610" s="14" t="str"/>
      <x:c r="L2610" s="14" t="str">
        <x:v>45 dakika gerçek sınav arası simülasyonu: yemek/su/tuvalet; soru analizi yapma.</x:v>
      </x:c>
      <x:c r="M2610" s="14" t="str"/>
      <x:c r="N2610" s="14" t="str"/>
      <x:c r="O2610" s="14" t="n">
        <x:v>0</x:v>
      </x:c>
      <x:c r="P2610" s="14" t="str">
        <x:v>Hayır</x:v>
      </x:c>
      <x:c r="Q2610" s="14" t="str">
        <x:v>Evet</x:v>
      </x:c>
      <x:c r="R2610" s="14" t="str">
        <x:v>Planlandı</x:v>
      </x:c>
      <x:c r="S2610" s="15" t="str"/>
      <x:c r="T2610" s="14" t="str"/>
    </x:row>
    <x:row r="2611">
      <x:c r="A2611" s="14" t="n">
        <x:v>2610</x:v>
      </x:c>
      <x:c r="B2611" s="15" t="n">
        <x:v>46512</x:v>
      </x:c>
      <x:c r="C2611" s="14" t="str">
        <x:v>Çarşamba</x:v>
      </x:c>
      <x:c r="D2611" s="14" t="str">
        <x:v>Okul Günü</x:v>
      </x:c>
      <x:c r="E2611" s="14" t="str">
        <x:v>16:00 sonrası</x:v>
      </x:c>
      <x:c r="F2611" s="14" t="str">
        <x:v>F4 - 60 Gün / 60 Tam Deneme</x:v>
      </x:c>
      <x:c r="G2611" s="14" t="str">
        <x:v>18:30</x:v>
      </x:c>
      <x:c r="H2611" s="14" t="str">
        <x:v>19:50</x:v>
      </x:c>
      <x:c r="I2611" s="14" t="str">
        <x:v>Deneme</x:v>
      </x:c>
      <x:c r="J2611" s="14" t="str">
        <x:v>Tam LGS Denemesi - Sayısal</x:v>
      </x:c>
      <x:c r="K2611" s="14" t="str">
        <x:v>Deneme 22</x:v>
      </x:c>
      <x:c r="L2611" s="14" t="str">
        <x:v>Deneme 22/60 — Sayısal oturum: Matematik 20 + Fen 20. 80 dakika.</x:v>
      </x:c>
      <x:c r="M2611" s="14" t="str">
        <x:v>Tam LGS Denemesi</x:v>
      </x:c>
      <x:c r="N2611" s="14" t="str"/>
      <x:c r="O2611" s="14" t="n">
        <x:v>40</x:v>
      </x:c>
      <x:c r="P2611" s="14" t="str">
        <x:v>80 dk</x:v>
      </x:c>
      <x:c r="Q2611" s="14" t="str">
        <x:v>Evet</x:v>
      </x:c>
      <x:c r="R2611" s="14" t="str">
        <x:v>Planlandı</x:v>
      </x:c>
      <x:c r="S2611" s="15" t="str"/>
      <x:c r="T2611" s="14" t="str"/>
    </x:row>
    <x:row r="2612">
      <x:c r="A2612" s="14" t="n">
        <x:v>2611</x:v>
      </x:c>
      <x:c r="B2612" s="15" t="n">
        <x:v>46512</x:v>
      </x:c>
      <x:c r="C2612" s="14" t="str">
        <x:v>Çarşamba</x:v>
      </x:c>
      <x:c r="D2612" s="14" t="str">
        <x:v>Okul Günü</x:v>
      </x:c>
      <x:c r="E2612" s="14" t="str">
        <x:v>16:00 sonrası</x:v>
      </x:c>
      <x:c r="F2612" s="14" t="str">
        <x:v>F4 - 60 Gün / 60 Tam Deneme</x:v>
      </x:c>
      <x:c r="G2612" s="14" t="str">
        <x:v>20:00</x:v>
      </x:c>
      <x:c r="H2612" s="14" t="str">
        <x:v>20:45</x:v>
      </x:c>
      <x:c r="I2612" s="14" t="str">
        <x:v>Deneme</x:v>
      </x:c>
      <x:c r="J2612" s="14" t="str">
        <x:v>Deneme Analizi</x:v>
      </x:c>
      <x:c r="K2612" s="14" t="str">
        <x:v>Deneme 22</x:v>
      </x:c>
      <x:c r="L2612" s="14" t="str">
        <x:v>Tüm yanlış/boşları nedenleriyle analiz et; bilgi eksikliği, işlem, dikkat, yanlış okuma veya yorumlama olarak sınıflandır.</x:v>
      </x:c>
      <x:c r="M2612" s="14" t="str">
        <x:v>Deneme Takibi</x:v>
      </x:c>
      <x:c r="N2612" s="14" t="str"/>
      <x:c r="O2612" s="14" t="n">
        <x:v>0</x:v>
      </x:c>
      <x:c r="P2612" s="14" t="str">
        <x:v>Hayır</x:v>
      </x:c>
      <x:c r="Q2612" s="14" t="str">
        <x:v>Evet</x:v>
      </x:c>
      <x:c r="R2612" s="14" t="str">
        <x:v>Planlandı</x:v>
      </x:c>
      <x:c r="S2612" s="15" t="str"/>
      <x:c r="T2612" s="14" t="str">
        <x:v>Deneme çözülüp analiz edilmediyse gün tamamlanmış sayılmaz.</x:v>
      </x:c>
    </x:row>
    <x:row r="2613">
      <x:c r="A2613" s="14" t="n">
        <x:v>2612</x:v>
      </x:c>
      <x:c r="B2613" s="15" t="n">
        <x:v>46512</x:v>
      </x:c>
      <x:c r="C2613" s="14" t="str">
        <x:v>Çarşamba</x:v>
      </x:c>
      <x:c r="D2613" s="14" t="str">
        <x:v>Okul Günü</x:v>
      </x:c>
      <x:c r="E2613" s="14" t="str">
        <x:v>16:00 sonrası</x:v>
      </x:c>
      <x:c r="F2613" s="14" t="str">
        <x:v>F4 - 60 Gün / 60 Tam Deneme</x:v>
      </x:c>
      <x:c r="G2613" s="14" t="str">
        <x:v>20:50</x:v>
      </x:c>
      <x:c r="H2613" s="14" t="str">
        <x:v>21:25</x:v>
      </x:c>
      <x:c r="I2613" s="14" t="str">
        <x:v>Genel</x:v>
      </x:c>
      <x:c r="J2613" s="14" t="str">
        <x:v>Hedefli Eksik Giderme</x:v>
      </x:c>
      <x:c r="K2613" s="14" t="str">
        <x:v>Denemeden Gelen Eksikler</x:v>
      </x:c>
      <x:c r="L2613" s="14" t="str">
        <x:v>Denemenin gösterdiği en kritik 1-3 eksiği gider: gerekirse ilgili playlist videosuna kısa dönüş + hedefli soru çözümü.</x:v>
      </x:c>
      <x:c r="M2613" s="14" t="str">
        <x:v>Playlist + Soru Kitabı + MEB</x:v>
      </x:c>
      <x:c r="N2613" s="14" t="str"/>
      <x:c r="O2613" s="14" t="n">
        <x:v>0</x:v>
      </x:c>
      <x:c r="P2613" s="14" t="str">
        <x:v>Hayır</x:v>
      </x:c>
      <x:c r="Q2613" s="14" t="str">
        <x:v>Evet</x:v>
      </x:c>
      <x:c r="R2613" s="14" t="str">
        <x:v>Planlandı</x:v>
      </x:c>
      <x:c r="S2613" s="15" t="str"/>
      <x:c r="T2613" s="14" t="str">
        <x:v>Yeni konu açılmaz; yalnız denemenin kanıtladığı eksiğe müdahale edilir.</x:v>
      </x:c>
    </x:row>
    <x:row r="2614">
      <x:c r="A2614" s="14" t="n">
        <x:v>2613</x:v>
      </x:c>
      <x:c r="B2614" s="15" t="n">
        <x:v>46512</x:v>
      </x:c>
      <x:c r="C2614" s="14" t="str">
        <x:v>Çarşamba</x:v>
      </x:c>
      <x:c r="D2614" s="14" t="str">
        <x:v>Okul Günü</x:v>
      </x:c>
      <x:c r="E2614" s="14" t="str">
        <x:v>16:00 sonrası</x:v>
      </x:c>
      <x:c r="F2614" s="14" t="str">
        <x:v>F4 - 60 Gün / 60 Tam Deneme</x:v>
      </x:c>
      <x:c r="G2614" s="14" t="str">
        <x:v>21:25</x:v>
      </x:c>
      <x:c r="H2614" s="14" t="str">
        <x:v>21:40</x:v>
      </x:c>
      <x:c r="I2614" s="14" t="str">
        <x:v>Genel</x:v>
      </x:c>
      <x:c r="J2614" s="14" t="str">
        <x:v>Aralıklı Hata Tekrarı</x:v>
      </x:c>
      <x:c r="K2614" s="14" t="str">
        <x:v>+1 / +7 / +21</x:v>
      </x:c>
      <x:c r="L2614" s="14" t="str">
        <x:v>Bugün vadesi gelen eski yanlışları tekrar çöz ve bugünkü yanlışları Yanlış Defteri'ne ekle.</x:v>
      </x:c>
      <x:c r="M2614" s="14" t="str">
        <x:v>Yanlış Defteri</x:v>
      </x:c>
      <x:c r="N2614" s="14" t="str"/>
      <x:c r="O2614" s="14" t="n">
        <x:v>0</x:v>
      </x:c>
      <x:c r="P2614" s="14" t="str">
        <x:v>Hayır</x:v>
      </x:c>
      <x:c r="Q2614" s="14" t="str">
        <x:v>Evet</x:v>
      </x:c>
      <x:c r="R2614" s="14" t="str">
        <x:v>Planlandı</x:v>
      </x:c>
      <x:c r="S2614" s="15" t="str"/>
      <x:c r="T2614" s="14" t="str"/>
    </x:row>
    <x:row r="2615">
      <x:c r="A2615" s="14" t="n">
        <x:v>2614</x:v>
      </x:c>
      <x:c r="B2615" s="15" t="n">
        <x:v>46512</x:v>
      </x:c>
      <x:c r="C2615" s="14" t="str">
        <x:v>Çarşamba</x:v>
      </x:c>
      <x:c r="D2615" s="14" t="str">
        <x:v>Okul Günü</x:v>
      </x:c>
      <x:c r="E2615" s="14" t="str">
        <x:v>16:00 sonrası</x:v>
      </x:c>
      <x:c r="F2615" s="14" t="str">
        <x:v>F4 - 60 Gün / 60 Tam Deneme</x:v>
      </x:c>
      <x:c r="G2615" s="14" t="str">
        <x:v>21:40</x:v>
      </x:c>
      <x:c r="H2615" s="14" t="str">
        <x:v>21:50</x:v>
      </x:c>
      <x:c r="I2615" s="14" t="str">
        <x:v>Okuma</x:v>
      </x:c>
      <x:c r="J2615" s="14" t="str">
        <x:v>İsteğe Bağlı</x:v>
      </x:c>
      <x:c r="K2615" s="14" t="str">
        <x:v>Serbest Kitap</x:v>
      </x:c>
      <x:c r="L2615" s="14" t="str">
        <x:v>Enerji uygunsa kısa isteğe bağlı okuma.</x:v>
      </x:c>
      <x:c r="M2615" s="14" t="str">
        <x:v>Serbest Kitap</x:v>
      </x:c>
      <x:c r="N2615" s="14" t="str"/>
      <x:c r="O2615" s="14" t="n">
        <x:v>0</x:v>
      </x:c>
      <x:c r="P2615" s="14" t="str">
        <x:v>İsteğe Bağlı</x:v>
      </x:c>
      <x:c r="Q2615" s="14" t="str">
        <x:v>Hayır</x:v>
      </x:c>
      <x:c r="R2615" s="14" t="str">
        <x:v>Planlandı</x:v>
      </x:c>
      <x:c r="S2615" s="15" t="str"/>
      <x:c r="T2615" s="14" t="str"/>
    </x:row>
    <x:row r="2616">
      <x:c r="A2616" s="14" t="n">
        <x:v>2615</x:v>
      </x:c>
      <x:c r="B2616" s="15" t="n">
        <x:v>46512</x:v>
      </x:c>
      <x:c r="C2616" s="14" t="str">
        <x:v>Çarşamba</x:v>
      </x:c>
      <x:c r="D2616" s="14" t="str">
        <x:v>Okul Günü</x:v>
      </x:c>
      <x:c r="E2616" s="14" t="str">
        <x:v>16:00 sonrası</x:v>
      </x:c>
      <x:c r="F2616" s="14" t="str">
        <x:v>F4 - 60 Gün / 60 Tam Deneme</x:v>
      </x:c>
      <x:c r="G2616" s="14" t="str">
        <x:v>21:50</x:v>
      </x:c>
      <x:c r="H2616" s="14" t="str">
        <x:v>22:00</x:v>
      </x:c>
      <x:c r="I2616" s="14" t="str">
        <x:v>Genel</x:v>
      </x:c>
      <x:c r="J2616" s="14" t="str">
        <x:v>Uyku Hazırlığı</x:v>
      </x:c>
      <x:c r="K2616" s="14" t="str"/>
      <x:c r="L2616" s="14" t="str">
        <x:v>22:00'de yatakta ve uyku.</x:v>
      </x:c>
      <x:c r="M2616" s="14" t="str"/>
      <x:c r="N2616" s="14" t="str"/>
      <x:c r="O2616" s="14" t="n">
        <x:v>0</x:v>
      </x:c>
      <x:c r="P2616" s="14" t="str">
        <x:v>Hayır</x:v>
      </x:c>
      <x:c r="Q2616" s="14" t="str">
        <x:v>Hayır</x:v>
      </x:c>
      <x:c r="R2616" s="14" t="str">
        <x:v>Planlandı</x:v>
      </x:c>
      <x:c r="S2616" s="15" t="str"/>
      <x:c r="T2616" s="14" t="str"/>
    </x:row>
    <x:row r="2617">
      <x:c r="A2617" s="14" t="n">
        <x:v>2616</x:v>
      </x:c>
      <x:c r="B2617" s="15" t="n">
        <x:v>46513</x:v>
      </x:c>
      <x:c r="C2617" s="14" t="str">
        <x:v>Perşembe</x:v>
      </x:c>
      <x:c r="D2617" s="14" t="str">
        <x:v>Okul Günü</x:v>
      </x:c>
      <x:c r="E2617" s="14" t="str">
        <x:v>16:00 sonrası</x:v>
      </x:c>
      <x:c r="F2617" s="14" t="str">
        <x:v>F4 - 60 Gün / 60 Tam Deneme</x:v>
      </x:c>
      <x:c r="G2617" s="14" t="str">
        <x:v>16:00</x:v>
      </x:c>
      <x:c r="H2617" s="14" t="str">
        <x:v>16:25</x:v>
      </x:c>
      <x:c r="I2617" s="14" t="str">
        <x:v>Genel</x:v>
      </x:c>
      <x:c r="J2617" s="14" t="str">
        <x:v>Dinlenme</x:v>
      </x:c>
      <x:c r="K2617" s="14" t="str"/>
      <x:c r="L2617" s="14" t="str">
        <x:v>Eve geliş + kısa dinlenme.</x:v>
      </x:c>
      <x:c r="M2617" s="14" t="str"/>
      <x:c r="N2617" s="14" t="str"/>
      <x:c r="O2617" s="14" t="n">
        <x:v>0</x:v>
      </x:c>
      <x:c r="P2617" s="14" t="str">
        <x:v>Hayır</x:v>
      </x:c>
      <x:c r="Q2617" s="14" t="str">
        <x:v>Hayır</x:v>
      </x:c>
      <x:c r="R2617" s="14" t="str">
        <x:v>Planlandı</x:v>
      </x:c>
      <x:c r="S2617" s="15" t="str"/>
      <x:c r="T2617" s="14" t="str"/>
    </x:row>
    <x:row r="2618">
      <x:c r="A2618" s="14" t="n">
        <x:v>2617</x:v>
      </x:c>
      <x:c r="B2618" s="15" t="n">
        <x:v>46513</x:v>
      </x:c>
      <x:c r="C2618" s="14" t="str">
        <x:v>Perşembe</x:v>
      </x:c>
      <x:c r="D2618" s="14" t="str">
        <x:v>Okul Günü</x:v>
      </x:c>
      <x:c r="E2618" s="14" t="str">
        <x:v>16:00 sonrası</x:v>
      </x:c>
      <x:c r="F2618" s="14" t="str">
        <x:v>F4 - 60 Gün / 60 Tam Deneme</x:v>
      </x:c>
      <x:c r="G2618" s="14" t="str">
        <x:v>16:30</x:v>
      </x:c>
      <x:c r="H2618" s="14" t="str">
        <x:v>17:45</x:v>
      </x:c>
      <x:c r="I2618" s="14" t="str">
        <x:v>Deneme</x:v>
      </x:c>
      <x:c r="J2618" s="14" t="str">
        <x:v>Tam LGS Denemesi - Sözel</x:v>
      </x:c>
      <x:c r="K2618" s="14" t="str">
        <x:v>Deneme 23</x:v>
      </x:c>
      <x:c r="L2618" s="14" t="str">
        <x:v>Deneme 23/60 — Sözel oturum: Türkçe 20 + İnkılap 10 + Din 10 + İngilizce 10. 75 dakika.</x:v>
      </x:c>
      <x:c r="M2618" s="14" t="str">
        <x:v>Tam LGS Denemesi</x:v>
      </x:c>
      <x:c r="N2618" s="14" t="str"/>
      <x:c r="O2618" s="14" t="n">
        <x:v>50</x:v>
      </x:c>
      <x:c r="P2618" s="14" t="str">
        <x:v>75 dk</x:v>
      </x:c>
      <x:c r="Q2618" s="14" t="str">
        <x:v>Evet</x:v>
      </x:c>
      <x:c r="R2618" s="14" t="str">
        <x:v>Planlandı</x:v>
      </x:c>
      <x:c r="S2618" s="15" t="str"/>
      <x:c r="T2618" s="14" t="str">
        <x:v>2026 LGS formatı çalışma referansıdır; 2027 kılavuzu yayımlanırsa güncellenir.</x:v>
      </x:c>
    </x:row>
    <x:row r="2619">
      <x:c r="A2619" s="14" t="n">
        <x:v>2618</x:v>
      </x:c>
      <x:c r="B2619" s="15" t="n">
        <x:v>46513</x:v>
      </x:c>
      <x:c r="C2619" s="14" t="str">
        <x:v>Perşembe</x:v>
      </x:c>
      <x:c r="D2619" s="14" t="str">
        <x:v>Okul Günü</x:v>
      </x:c>
      <x:c r="E2619" s="14" t="str">
        <x:v>16:00 sonrası</x:v>
      </x:c>
      <x:c r="F2619" s="14" t="str">
        <x:v>F4 - 60 Gün / 60 Tam Deneme</x:v>
      </x:c>
      <x:c r="G2619" s="14" t="str">
        <x:v>17:45</x:v>
      </x:c>
      <x:c r="H2619" s="14" t="str">
        <x:v>18:30</x:v>
      </x:c>
      <x:c r="I2619" s="14" t="str">
        <x:v>Genel</x:v>
      </x:c>
      <x:c r="J2619" s="14" t="str">
        <x:v>Deneme Arası</x:v>
      </x:c>
      <x:c r="K2619" s="14" t="str"/>
      <x:c r="L2619" s="14" t="str">
        <x:v>45 dakika gerçek sınav arası simülasyonu: yemek/su/tuvalet; soru analizi yapma.</x:v>
      </x:c>
      <x:c r="M2619" s="14" t="str"/>
      <x:c r="N2619" s="14" t="str"/>
      <x:c r="O2619" s="14" t="n">
        <x:v>0</x:v>
      </x:c>
      <x:c r="P2619" s="14" t="str">
        <x:v>Hayır</x:v>
      </x:c>
      <x:c r="Q2619" s="14" t="str">
        <x:v>Evet</x:v>
      </x:c>
      <x:c r="R2619" s="14" t="str">
        <x:v>Planlandı</x:v>
      </x:c>
      <x:c r="S2619" s="15" t="str"/>
      <x:c r="T2619" s="14" t="str"/>
    </x:row>
    <x:row r="2620">
      <x:c r="A2620" s="14" t="n">
        <x:v>2619</x:v>
      </x:c>
      <x:c r="B2620" s="15" t="n">
        <x:v>46513</x:v>
      </x:c>
      <x:c r="C2620" s="14" t="str">
        <x:v>Perşembe</x:v>
      </x:c>
      <x:c r="D2620" s="14" t="str">
        <x:v>Okul Günü</x:v>
      </x:c>
      <x:c r="E2620" s="14" t="str">
        <x:v>16:00 sonrası</x:v>
      </x:c>
      <x:c r="F2620" s="14" t="str">
        <x:v>F4 - 60 Gün / 60 Tam Deneme</x:v>
      </x:c>
      <x:c r="G2620" s="14" t="str">
        <x:v>18:30</x:v>
      </x:c>
      <x:c r="H2620" s="14" t="str">
        <x:v>19:50</x:v>
      </x:c>
      <x:c r="I2620" s="14" t="str">
        <x:v>Deneme</x:v>
      </x:c>
      <x:c r="J2620" s="14" t="str">
        <x:v>Tam LGS Denemesi - Sayısal</x:v>
      </x:c>
      <x:c r="K2620" s="14" t="str">
        <x:v>Deneme 23</x:v>
      </x:c>
      <x:c r="L2620" s="14" t="str">
        <x:v>Deneme 23/60 — Sayısal oturum: Matematik 20 + Fen 20. 80 dakika.</x:v>
      </x:c>
      <x:c r="M2620" s="14" t="str">
        <x:v>Tam LGS Denemesi</x:v>
      </x:c>
      <x:c r="N2620" s="14" t="str"/>
      <x:c r="O2620" s="14" t="n">
        <x:v>40</x:v>
      </x:c>
      <x:c r="P2620" s="14" t="str">
        <x:v>80 dk</x:v>
      </x:c>
      <x:c r="Q2620" s="14" t="str">
        <x:v>Evet</x:v>
      </x:c>
      <x:c r="R2620" s="14" t="str">
        <x:v>Planlandı</x:v>
      </x:c>
      <x:c r="S2620" s="15" t="str"/>
      <x:c r="T2620" s="14" t="str"/>
    </x:row>
    <x:row r="2621">
      <x:c r="A2621" s="14" t="n">
        <x:v>2620</x:v>
      </x:c>
      <x:c r="B2621" s="15" t="n">
        <x:v>46513</x:v>
      </x:c>
      <x:c r="C2621" s="14" t="str">
        <x:v>Perşembe</x:v>
      </x:c>
      <x:c r="D2621" s="14" t="str">
        <x:v>Okul Günü</x:v>
      </x:c>
      <x:c r="E2621" s="14" t="str">
        <x:v>16:00 sonrası</x:v>
      </x:c>
      <x:c r="F2621" s="14" t="str">
        <x:v>F4 - 60 Gün / 60 Tam Deneme</x:v>
      </x:c>
      <x:c r="G2621" s="14" t="str">
        <x:v>20:00</x:v>
      </x:c>
      <x:c r="H2621" s="14" t="str">
        <x:v>20:45</x:v>
      </x:c>
      <x:c r="I2621" s="14" t="str">
        <x:v>Deneme</x:v>
      </x:c>
      <x:c r="J2621" s="14" t="str">
        <x:v>Deneme Analizi</x:v>
      </x:c>
      <x:c r="K2621" s="14" t="str">
        <x:v>Deneme 23</x:v>
      </x:c>
      <x:c r="L2621" s="14" t="str">
        <x:v>Tüm yanlış/boşları nedenleriyle analiz et; bilgi eksikliği, işlem, dikkat, yanlış okuma veya yorumlama olarak sınıflandır.</x:v>
      </x:c>
      <x:c r="M2621" s="14" t="str">
        <x:v>Deneme Takibi</x:v>
      </x:c>
      <x:c r="N2621" s="14" t="str"/>
      <x:c r="O2621" s="14" t="n">
        <x:v>0</x:v>
      </x:c>
      <x:c r="P2621" s="14" t="str">
        <x:v>Hayır</x:v>
      </x:c>
      <x:c r="Q2621" s="14" t="str">
        <x:v>Evet</x:v>
      </x:c>
      <x:c r="R2621" s="14" t="str">
        <x:v>Planlandı</x:v>
      </x:c>
      <x:c r="S2621" s="15" t="str"/>
      <x:c r="T2621" s="14" t="str">
        <x:v>Deneme çözülüp analiz edilmediyse gün tamamlanmış sayılmaz.</x:v>
      </x:c>
    </x:row>
    <x:row r="2622">
      <x:c r="A2622" s="14" t="n">
        <x:v>2621</x:v>
      </x:c>
      <x:c r="B2622" s="15" t="n">
        <x:v>46513</x:v>
      </x:c>
      <x:c r="C2622" s="14" t="str">
        <x:v>Perşembe</x:v>
      </x:c>
      <x:c r="D2622" s="14" t="str">
        <x:v>Okul Günü</x:v>
      </x:c>
      <x:c r="E2622" s="14" t="str">
        <x:v>16:00 sonrası</x:v>
      </x:c>
      <x:c r="F2622" s="14" t="str">
        <x:v>F4 - 60 Gün / 60 Tam Deneme</x:v>
      </x:c>
      <x:c r="G2622" s="14" t="str">
        <x:v>20:50</x:v>
      </x:c>
      <x:c r="H2622" s="14" t="str">
        <x:v>21:25</x:v>
      </x:c>
      <x:c r="I2622" s="14" t="str">
        <x:v>Genel</x:v>
      </x:c>
      <x:c r="J2622" s="14" t="str">
        <x:v>Hedefli Eksik Giderme</x:v>
      </x:c>
      <x:c r="K2622" s="14" t="str">
        <x:v>Denemeden Gelen Eksikler</x:v>
      </x:c>
      <x:c r="L2622" s="14" t="str">
        <x:v>Denemenin gösterdiği en kritik 1-3 eksiği gider: gerekirse ilgili playlist videosuna kısa dönüş + hedefli soru çözümü.</x:v>
      </x:c>
      <x:c r="M2622" s="14" t="str">
        <x:v>Playlist + Soru Kitabı + MEB</x:v>
      </x:c>
      <x:c r="N2622" s="14" t="str"/>
      <x:c r="O2622" s="14" t="n">
        <x:v>0</x:v>
      </x:c>
      <x:c r="P2622" s="14" t="str">
        <x:v>Hayır</x:v>
      </x:c>
      <x:c r="Q2622" s="14" t="str">
        <x:v>Evet</x:v>
      </x:c>
      <x:c r="R2622" s="14" t="str">
        <x:v>Planlandı</x:v>
      </x:c>
      <x:c r="S2622" s="15" t="str"/>
      <x:c r="T2622" s="14" t="str">
        <x:v>Yeni konu açılmaz; yalnız denemenin kanıtladığı eksiğe müdahale edilir.</x:v>
      </x:c>
    </x:row>
    <x:row r="2623">
      <x:c r="A2623" s="14" t="n">
        <x:v>2622</x:v>
      </x:c>
      <x:c r="B2623" s="15" t="n">
        <x:v>46513</x:v>
      </x:c>
      <x:c r="C2623" s="14" t="str">
        <x:v>Perşembe</x:v>
      </x:c>
      <x:c r="D2623" s="14" t="str">
        <x:v>Okul Günü</x:v>
      </x:c>
      <x:c r="E2623" s="14" t="str">
        <x:v>16:00 sonrası</x:v>
      </x:c>
      <x:c r="F2623" s="14" t="str">
        <x:v>F4 - 60 Gün / 60 Tam Deneme</x:v>
      </x:c>
      <x:c r="G2623" s="14" t="str">
        <x:v>21:25</x:v>
      </x:c>
      <x:c r="H2623" s="14" t="str">
        <x:v>21:40</x:v>
      </x:c>
      <x:c r="I2623" s="14" t="str">
        <x:v>Genel</x:v>
      </x:c>
      <x:c r="J2623" s="14" t="str">
        <x:v>Aralıklı Hata Tekrarı</x:v>
      </x:c>
      <x:c r="K2623" s="14" t="str">
        <x:v>+1 / +7 / +21</x:v>
      </x:c>
      <x:c r="L2623" s="14" t="str">
        <x:v>Bugün vadesi gelen eski yanlışları tekrar çöz ve bugünkü yanlışları Yanlış Defteri'ne ekle.</x:v>
      </x:c>
      <x:c r="M2623" s="14" t="str">
        <x:v>Yanlış Defteri</x:v>
      </x:c>
      <x:c r="N2623" s="14" t="str"/>
      <x:c r="O2623" s="14" t="n">
        <x:v>0</x:v>
      </x:c>
      <x:c r="P2623" s="14" t="str">
        <x:v>Hayır</x:v>
      </x:c>
      <x:c r="Q2623" s="14" t="str">
        <x:v>Evet</x:v>
      </x:c>
      <x:c r="R2623" s="14" t="str">
        <x:v>Planlandı</x:v>
      </x:c>
      <x:c r="S2623" s="15" t="str"/>
      <x:c r="T2623" s="14" t="str"/>
    </x:row>
    <x:row r="2624">
      <x:c r="A2624" s="14" t="n">
        <x:v>2623</x:v>
      </x:c>
      <x:c r="B2624" s="15" t="n">
        <x:v>46513</x:v>
      </x:c>
      <x:c r="C2624" s="14" t="str">
        <x:v>Perşembe</x:v>
      </x:c>
      <x:c r="D2624" s="14" t="str">
        <x:v>Okul Günü</x:v>
      </x:c>
      <x:c r="E2624" s="14" t="str">
        <x:v>16:00 sonrası</x:v>
      </x:c>
      <x:c r="F2624" s="14" t="str">
        <x:v>F4 - 60 Gün / 60 Tam Deneme</x:v>
      </x:c>
      <x:c r="G2624" s="14" t="str">
        <x:v>21:40</x:v>
      </x:c>
      <x:c r="H2624" s="14" t="str">
        <x:v>21:50</x:v>
      </x:c>
      <x:c r="I2624" s="14" t="str">
        <x:v>Okuma</x:v>
      </x:c>
      <x:c r="J2624" s="14" t="str">
        <x:v>İsteğe Bağlı</x:v>
      </x:c>
      <x:c r="K2624" s="14" t="str">
        <x:v>Serbest Kitap</x:v>
      </x:c>
      <x:c r="L2624" s="14" t="str">
        <x:v>Enerji uygunsa kısa isteğe bağlı okuma.</x:v>
      </x:c>
      <x:c r="M2624" s="14" t="str">
        <x:v>Serbest Kitap</x:v>
      </x:c>
      <x:c r="N2624" s="14" t="str"/>
      <x:c r="O2624" s="14" t="n">
        <x:v>0</x:v>
      </x:c>
      <x:c r="P2624" s="14" t="str">
        <x:v>İsteğe Bağlı</x:v>
      </x:c>
      <x:c r="Q2624" s="14" t="str">
        <x:v>Hayır</x:v>
      </x:c>
      <x:c r="R2624" s="14" t="str">
        <x:v>Planlandı</x:v>
      </x:c>
      <x:c r="S2624" s="15" t="str"/>
      <x:c r="T2624" s="14" t="str"/>
    </x:row>
    <x:row r="2625">
      <x:c r="A2625" s="14" t="n">
        <x:v>2624</x:v>
      </x:c>
      <x:c r="B2625" s="15" t="n">
        <x:v>46513</x:v>
      </x:c>
      <x:c r="C2625" s="14" t="str">
        <x:v>Perşembe</x:v>
      </x:c>
      <x:c r="D2625" s="14" t="str">
        <x:v>Okul Günü</x:v>
      </x:c>
      <x:c r="E2625" s="14" t="str">
        <x:v>16:00 sonrası</x:v>
      </x:c>
      <x:c r="F2625" s="14" t="str">
        <x:v>F4 - 60 Gün / 60 Tam Deneme</x:v>
      </x:c>
      <x:c r="G2625" s="14" t="str">
        <x:v>21:50</x:v>
      </x:c>
      <x:c r="H2625" s="14" t="str">
        <x:v>22:00</x:v>
      </x:c>
      <x:c r="I2625" s="14" t="str">
        <x:v>Genel</x:v>
      </x:c>
      <x:c r="J2625" s="14" t="str">
        <x:v>Uyku Hazırlığı</x:v>
      </x:c>
      <x:c r="K2625" s="14" t="str"/>
      <x:c r="L2625" s="14" t="str">
        <x:v>22:00'de yatakta ve uyku.</x:v>
      </x:c>
      <x:c r="M2625" s="14" t="str"/>
      <x:c r="N2625" s="14" t="str"/>
      <x:c r="O2625" s="14" t="n">
        <x:v>0</x:v>
      </x:c>
      <x:c r="P2625" s="14" t="str">
        <x:v>Hayır</x:v>
      </x:c>
      <x:c r="Q2625" s="14" t="str">
        <x:v>Hayır</x:v>
      </x:c>
      <x:c r="R2625" s="14" t="str">
        <x:v>Planlandı</x:v>
      </x:c>
      <x:c r="S2625" s="15" t="str"/>
      <x:c r="T2625" s="14" t="str"/>
    </x:row>
    <x:row r="2626">
      <x:c r="A2626" s="14" t="n">
        <x:v>2625</x:v>
      </x:c>
      <x:c r="B2626" s="15" t="n">
        <x:v>46514</x:v>
      </x:c>
      <x:c r="C2626" s="14" t="str">
        <x:v>Cuma</x:v>
      </x:c>
      <x:c r="D2626" s="14" t="str">
        <x:v>Okul Günü</x:v>
      </x:c>
      <x:c r="E2626" s="14" t="str">
        <x:v>16:00 sonrası</x:v>
      </x:c>
      <x:c r="F2626" s="14" t="str">
        <x:v>F4 - 60 Gün / 60 Tam Deneme</x:v>
      </x:c>
      <x:c r="G2626" s="14" t="str">
        <x:v>16:00</x:v>
      </x:c>
      <x:c r="H2626" s="14" t="str">
        <x:v>16:25</x:v>
      </x:c>
      <x:c r="I2626" s="14" t="str">
        <x:v>Genel</x:v>
      </x:c>
      <x:c r="J2626" s="14" t="str">
        <x:v>Dinlenme</x:v>
      </x:c>
      <x:c r="K2626" s="14" t="str"/>
      <x:c r="L2626" s="14" t="str">
        <x:v>Eve geliş + kısa dinlenme.</x:v>
      </x:c>
      <x:c r="M2626" s="14" t="str"/>
      <x:c r="N2626" s="14" t="str"/>
      <x:c r="O2626" s="14" t="n">
        <x:v>0</x:v>
      </x:c>
      <x:c r="P2626" s="14" t="str">
        <x:v>Hayır</x:v>
      </x:c>
      <x:c r="Q2626" s="14" t="str">
        <x:v>Hayır</x:v>
      </x:c>
      <x:c r="R2626" s="14" t="str">
        <x:v>Planlandı</x:v>
      </x:c>
      <x:c r="S2626" s="15" t="str"/>
      <x:c r="T2626" s="14" t="str"/>
    </x:row>
    <x:row r="2627">
      <x:c r="A2627" s="14" t="n">
        <x:v>2626</x:v>
      </x:c>
      <x:c r="B2627" s="15" t="n">
        <x:v>46514</x:v>
      </x:c>
      <x:c r="C2627" s="14" t="str">
        <x:v>Cuma</x:v>
      </x:c>
      <x:c r="D2627" s="14" t="str">
        <x:v>Okul Günü</x:v>
      </x:c>
      <x:c r="E2627" s="14" t="str">
        <x:v>16:00 sonrası</x:v>
      </x:c>
      <x:c r="F2627" s="14" t="str">
        <x:v>F4 - 60 Gün / 60 Tam Deneme</x:v>
      </x:c>
      <x:c r="G2627" s="14" t="str">
        <x:v>16:30</x:v>
      </x:c>
      <x:c r="H2627" s="14" t="str">
        <x:v>17:45</x:v>
      </x:c>
      <x:c r="I2627" s="14" t="str">
        <x:v>Deneme</x:v>
      </x:c>
      <x:c r="J2627" s="14" t="str">
        <x:v>Tam LGS Denemesi - Sözel</x:v>
      </x:c>
      <x:c r="K2627" s="14" t="str">
        <x:v>Deneme 24</x:v>
      </x:c>
      <x:c r="L2627" s="14" t="str">
        <x:v>Deneme 24/60 — Sözel oturum: Türkçe 20 + İnkılap 10 + Din 10 + İngilizce 10. 75 dakika.</x:v>
      </x:c>
      <x:c r="M2627" s="14" t="str">
        <x:v>Tam LGS Denemesi</x:v>
      </x:c>
      <x:c r="N2627" s="14" t="str"/>
      <x:c r="O2627" s="14" t="n">
        <x:v>50</x:v>
      </x:c>
      <x:c r="P2627" s="14" t="str">
        <x:v>75 dk</x:v>
      </x:c>
      <x:c r="Q2627" s="14" t="str">
        <x:v>Evet</x:v>
      </x:c>
      <x:c r="R2627" s="14" t="str">
        <x:v>Planlandı</x:v>
      </x:c>
      <x:c r="S2627" s="15" t="str"/>
      <x:c r="T2627" s="14" t="str">
        <x:v>2026 LGS formatı çalışma referansıdır; 2027 kılavuzu yayımlanırsa güncellenir.</x:v>
      </x:c>
    </x:row>
    <x:row r="2628">
      <x:c r="A2628" s="14" t="n">
        <x:v>2627</x:v>
      </x:c>
      <x:c r="B2628" s="15" t="n">
        <x:v>46514</x:v>
      </x:c>
      <x:c r="C2628" s="14" t="str">
        <x:v>Cuma</x:v>
      </x:c>
      <x:c r="D2628" s="14" t="str">
        <x:v>Okul Günü</x:v>
      </x:c>
      <x:c r="E2628" s="14" t="str">
        <x:v>16:00 sonrası</x:v>
      </x:c>
      <x:c r="F2628" s="14" t="str">
        <x:v>F4 - 60 Gün / 60 Tam Deneme</x:v>
      </x:c>
      <x:c r="G2628" s="14" t="str">
        <x:v>17:45</x:v>
      </x:c>
      <x:c r="H2628" s="14" t="str">
        <x:v>18:30</x:v>
      </x:c>
      <x:c r="I2628" s="14" t="str">
        <x:v>Genel</x:v>
      </x:c>
      <x:c r="J2628" s="14" t="str">
        <x:v>Deneme Arası</x:v>
      </x:c>
      <x:c r="K2628" s="14" t="str"/>
      <x:c r="L2628" s="14" t="str">
        <x:v>45 dakika gerçek sınav arası simülasyonu: yemek/su/tuvalet; soru analizi yapma.</x:v>
      </x:c>
      <x:c r="M2628" s="14" t="str"/>
      <x:c r="N2628" s="14" t="str"/>
      <x:c r="O2628" s="14" t="n">
        <x:v>0</x:v>
      </x:c>
      <x:c r="P2628" s="14" t="str">
        <x:v>Hayır</x:v>
      </x:c>
      <x:c r="Q2628" s="14" t="str">
        <x:v>Evet</x:v>
      </x:c>
      <x:c r="R2628" s="14" t="str">
        <x:v>Planlandı</x:v>
      </x:c>
      <x:c r="S2628" s="15" t="str"/>
      <x:c r="T2628" s="14" t="str"/>
    </x:row>
    <x:row r="2629">
      <x:c r="A2629" s="14" t="n">
        <x:v>2628</x:v>
      </x:c>
      <x:c r="B2629" s="15" t="n">
        <x:v>46514</x:v>
      </x:c>
      <x:c r="C2629" s="14" t="str">
        <x:v>Cuma</x:v>
      </x:c>
      <x:c r="D2629" s="14" t="str">
        <x:v>Okul Günü</x:v>
      </x:c>
      <x:c r="E2629" s="14" t="str">
        <x:v>16:00 sonrası</x:v>
      </x:c>
      <x:c r="F2629" s="14" t="str">
        <x:v>F4 - 60 Gün / 60 Tam Deneme</x:v>
      </x:c>
      <x:c r="G2629" s="14" t="str">
        <x:v>18:30</x:v>
      </x:c>
      <x:c r="H2629" s="14" t="str">
        <x:v>19:50</x:v>
      </x:c>
      <x:c r="I2629" s="14" t="str">
        <x:v>Deneme</x:v>
      </x:c>
      <x:c r="J2629" s="14" t="str">
        <x:v>Tam LGS Denemesi - Sayısal</x:v>
      </x:c>
      <x:c r="K2629" s="14" t="str">
        <x:v>Deneme 24</x:v>
      </x:c>
      <x:c r="L2629" s="14" t="str">
        <x:v>Deneme 24/60 — Sayısal oturum: Matematik 20 + Fen 20. 80 dakika.</x:v>
      </x:c>
      <x:c r="M2629" s="14" t="str">
        <x:v>Tam LGS Denemesi</x:v>
      </x:c>
      <x:c r="N2629" s="14" t="str"/>
      <x:c r="O2629" s="14" t="n">
        <x:v>40</x:v>
      </x:c>
      <x:c r="P2629" s="14" t="str">
        <x:v>80 dk</x:v>
      </x:c>
      <x:c r="Q2629" s="14" t="str">
        <x:v>Evet</x:v>
      </x:c>
      <x:c r="R2629" s="14" t="str">
        <x:v>Planlandı</x:v>
      </x:c>
      <x:c r="S2629" s="15" t="str"/>
      <x:c r="T2629" s="14" t="str"/>
    </x:row>
    <x:row r="2630">
      <x:c r="A2630" s="14" t="n">
        <x:v>2629</x:v>
      </x:c>
      <x:c r="B2630" s="15" t="n">
        <x:v>46514</x:v>
      </x:c>
      <x:c r="C2630" s="14" t="str">
        <x:v>Cuma</x:v>
      </x:c>
      <x:c r="D2630" s="14" t="str">
        <x:v>Okul Günü</x:v>
      </x:c>
      <x:c r="E2630" s="14" t="str">
        <x:v>16:00 sonrası</x:v>
      </x:c>
      <x:c r="F2630" s="14" t="str">
        <x:v>F4 - 60 Gün / 60 Tam Deneme</x:v>
      </x:c>
      <x:c r="G2630" s="14" t="str">
        <x:v>20:00</x:v>
      </x:c>
      <x:c r="H2630" s="14" t="str">
        <x:v>20:45</x:v>
      </x:c>
      <x:c r="I2630" s="14" t="str">
        <x:v>Deneme</x:v>
      </x:c>
      <x:c r="J2630" s="14" t="str">
        <x:v>Deneme Analizi</x:v>
      </x:c>
      <x:c r="K2630" s="14" t="str">
        <x:v>Deneme 24</x:v>
      </x:c>
      <x:c r="L2630" s="14" t="str">
        <x:v>Tüm yanlış/boşları nedenleriyle analiz et; bilgi eksikliği, işlem, dikkat, yanlış okuma veya yorumlama olarak sınıflandır.</x:v>
      </x:c>
      <x:c r="M2630" s="14" t="str">
        <x:v>Deneme Takibi</x:v>
      </x:c>
      <x:c r="N2630" s="14" t="str"/>
      <x:c r="O2630" s="14" t="n">
        <x:v>0</x:v>
      </x:c>
      <x:c r="P2630" s="14" t="str">
        <x:v>Hayır</x:v>
      </x:c>
      <x:c r="Q2630" s="14" t="str">
        <x:v>Evet</x:v>
      </x:c>
      <x:c r="R2630" s="14" t="str">
        <x:v>Planlandı</x:v>
      </x:c>
      <x:c r="S2630" s="15" t="str"/>
      <x:c r="T2630" s="14" t="str">
        <x:v>Deneme çözülüp analiz edilmediyse gün tamamlanmış sayılmaz.</x:v>
      </x:c>
    </x:row>
    <x:row r="2631">
      <x:c r="A2631" s="14" t="n">
        <x:v>2630</x:v>
      </x:c>
      <x:c r="B2631" s="15" t="n">
        <x:v>46514</x:v>
      </x:c>
      <x:c r="C2631" s="14" t="str">
        <x:v>Cuma</x:v>
      </x:c>
      <x:c r="D2631" s="14" t="str">
        <x:v>Okul Günü</x:v>
      </x:c>
      <x:c r="E2631" s="14" t="str">
        <x:v>16:00 sonrası</x:v>
      </x:c>
      <x:c r="F2631" s="14" t="str">
        <x:v>F4 - 60 Gün / 60 Tam Deneme</x:v>
      </x:c>
      <x:c r="G2631" s="14" t="str">
        <x:v>20:50</x:v>
      </x:c>
      <x:c r="H2631" s="14" t="str">
        <x:v>21:25</x:v>
      </x:c>
      <x:c r="I2631" s="14" t="str">
        <x:v>Genel</x:v>
      </x:c>
      <x:c r="J2631" s="14" t="str">
        <x:v>Hedefli Eksik Giderme</x:v>
      </x:c>
      <x:c r="K2631" s="14" t="str">
        <x:v>Denemeden Gelen Eksikler</x:v>
      </x:c>
      <x:c r="L2631" s="14" t="str">
        <x:v>Denemenin gösterdiği en kritik 1-3 eksiği gider: gerekirse ilgili playlist videosuna kısa dönüş + hedefli soru çözümü.</x:v>
      </x:c>
      <x:c r="M2631" s="14" t="str">
        <x:v>Playlist + Soru Kitabı + MEB</x:v>
      </x:c>
      <x:c r="N2631" s="14" t="str"/>
      <x:c r="O2631" s="14" t="n">
        <x:v>0</x:v>
      </x:c>
      <x:c r="P2631" s="14" t="str">
        <x:v>Hayır</x:v>
      </x:c>
      <x:c r="Q2631" s="14" t="str">
        <x:v>Evet</x:v>
      </x:c>
      <x:c r="R2631" s="14" t="str">
        <x:v>Planlandı</x:v>
      </x:c>
      <x:c r="S2631" s="15" t="str"/>
      <x:c r="T2631" s="14" t="str">
        <x:v>Yeni konu açılmaz; yalnız denemenin kanıtladığı eksiğe müdahale edilir.</x:v>
      </x:c>
    </x:row>
    <x:row r="2632">
      <x:c r="A2632" s="14" t="n">
        <x:v>2631</x:v>
      </x:c>
      <x:c r="B2632" s="15" t="n">
        <x:v>46514</x:v>
      </x:c>
      <x:c r="C2632" s="14" t="str">
        <x:v>Cuma</x:v>
      </x:c>
      <x:c r="D2632" s="14" t="str">
        <x:v>Okul Günü</x:v>
      </x:c>
      <x:c r="E2632" s="14" t="str">
        <x:v>16:00 sonrası</x:v>
      </x:c>
      <x:c r="F2632" s="14" t="str">
        <x:v>F4 - 60 Gün / 60 Tam Deneme</x:v>
      </x:c>
      <x:c r="G2632" s="14" t="str">
        <x:v>21:25</x:v>
      </x:c>
      <x:c r="H2632" s="14" t="str">
        <x:v>21:40</x:v>
      </x:c>
      <x:c r="I2632" s="14" t="str">
        <x:v>Genel</x:v>
      </x:c>
      <x:c r="J2632" s="14" t="str">
        <x:v>Aralıklı Hata Tekrarı</x:v>
      </x:c>
      <x:c r="K2632" s="14" t="str">
        <x:v>+1 / +7 / +21</x:v>
      </x:c>
      <x:c r="L2632" s="14" t="str">
        <x:v>Bugün vadesi gelen eski yanlışları tekrar çöz ve bugünkü yanlışları Yanlış Defteri'ne ekle.</x:v>
      </x:c>
      <x:c r="M2632" s="14" t="str">
        <x:v>Yanlış Defteri</x:v>
      </x:c>
      <x:c r="N2632" s="14" t="str"/>
      <x:c r="O2632" s="14" t="n">
        <x:v>0</x:v>
      </x:c>
      <x:c r="P2632" s="14" t="str">
        <x:v>Hayır</x:v>
      </x:c>
      <x:c r="Q2632" s="14" t="str">
        <x:v>Evet</x:v>
      </x:c>
      <x:c r="R2632" s="14" t="str">
        <x:v>Planlandı</x:v>
      </x:c>
      <x:c r="S2632" s="15" t="str"/>
      <x:c r="T2632" s="14" t="str"/>
    </x:row>
    <x:row r="2633">
      <x:c r="A2633" s="14" t="n">
        <x:v>2632</x:v>
      </x:c>
      <x:c r="B2633" s="15" t="n">
        <x:v>46514</x:v>
      </x:c>
      <x:c r="C2633" s="14" t="str">
        <x:v>Cuma</x:v>
      </x:c>
      <x:c r="D2633" s="14" t="str">
        <x:v>Okul Günü</x:v>
      </x:c>
      <x:c r="E2633" s="14" t="str">
        <x:v>16:00 sonrası</x:v>
      </x:c>
      <x:c r="F2633" s="14" t="str">
        <x:v>F4 - 60 Gün / 60 Tam Deneme</x:v>
      </x:c>
      <x:c r="G2633" s="14" t="str">
        <x:v>21:40</x:v>
      </x:c>
      <x:c r="H2633" s="14" t="str">
        <x:v>21:50</x:v>
      </x:c>
      <x:c r="I2633" s="14" t="str">
        <x:v>Okuma</x:v>
      </x:c>
      <x:c r="J2633" s="14" t="str">
        <x:v>İsteğe Bağlı</x:v>
      </x:c>
      <x:c r="K2633" s="14" t="str">
        <x:v>Serbest Kitap</x:v>
      </x:c>
      <x:c r="L2633" s="14" t="str">
        <x:v>Enerji uygunsa kısa isteğe bağlı okuma.</x:v>
      </x:c>
      <x:c r="M2633" s="14" t="str">
        <x:v>Serbest Kitap</x:v>
      </x:c>
      <x:c r="N2633" s="14" t="str"/>
      <x:c r="O2633" s="14" t="n">
        <x:v>0</x:v>
      </x:c>
      <x:c r="P2633" s="14" t="str">
        <x:v>İsteğe Bağlı</x:v>
      </x:c>
      <x:c r="Q2633" s="14" t="str">
        <x:v>Hayır</x:v>
      </x:c>
      <x:c r="R2633" s="14" t="str">
        <x:v>Planlandı</x:v>
      </x:c>
      <x:c r="S2633" s="15" t="str"/>
      <x:c r="T2633" s="14" t="str"/>
    </x:row>
    <x:row r="2634">
      <x:c r="A2634" s="14" t="n">
        <x:v>2633</x:v>
      </x:c>
      <x:c r="B2634" s="15" t="n">
        <x:v>46514</x:v>
      </x:c>
      <x:c r="C2634" s="14" t="str">
        <x:v>Cuma</x:v>
      </x:c>
      <x:c r="D2634" s="14" t="str">
        <x:v>Okul Günü</x:v>
      </x:c>
      <x:c r="E2634" s="14" t="str">
        <x:v>16:00 sonrası</x:v>
      </x:c>
      <x:c r="F2634" s="14" t="str">
        <x:v>F4 - 60 Gün / 60 Tam Deneme</x:v>
      </x:c>
      <x:c r="G2634" s="14" t="str">
        <x:v>21:50</x:v>
      </x:c>
      <x:c r="H2634" s="14" t="str">
        <x:v>22:00</x:v>
      </x:c>
      <x:c r="I2634" s="14" t="str">
        <x:v>Genel</x:v>
      </x:c>
      <x:c r="J2634" s="14" t="str">
        <x:v>Uyku Hazırlığı</x:v>
      </x:c>
      <x:c r="K2634" s="14" t="str"/>
      <x:c r="L2634" s="14" t="str">
        <x:v>22:00'de yatakta ve uyku.</x:v>
      </x:c>
      <x:c r="M2634" s="14" t="str"/>
      <x:c r="N2634" s="14" t="str"/>
      <x:c r="O2634" s="14" t="n">
        <x:v>0</x:v>
      </x:c>
      <x:c r="P2634" s="14" t="str">
        <x:v>Hayır</x:v>
      </x:c>
      <x:c r="Q2634" s="14" t="str">
        <x:v>Hayır</x:v>
      </x:c>
      <x:c r="R2634" s="14" t="str">
        <x:v>Planlandı</x:v>
      </x:c>
      <x:c r="S2634" s="15" t="str"/>
      <x:c r="T2634" s="14" t="str"/>
    </x:row>
    <x:row r="2635">
      <x:c r="A2635" s="14" t="n">
        <x:v>2634</x:v>
      </x:c>
      <x:c r="B2635" s="15" t="n">
        <x:v>46515</x:v>
      </x:c>
      <x:c r="C2635" s="14" t="str">
        <x:v>Cumartesi</x:v>
      </x:c>
      <x:c r="D2635" s="14" t="str">
        <x:v>Hafta Sonu</x:v>
      </x:c>
      <x:c r="E2635" s="14" t="str">
        <x:v>Tam gün</x:v>
      </x:c>
      <x:c r="F2635" s="14" t="str">
        <x:v>F4 - 60 Gün / 60 Tam Deneme</x:v>
      </x:c>
      <x:c r="G2635" s="14" t="str">
        <x:v>09:30</x:v>
      </x:c>
      <x:c r="H2635" s="14" t="str">
        <x:v>10:45</x:v>
      </x:c>
      <x:c r="I2635" s="14" t="str">
        <x:v>Deneme</x:v>
      </x:c>
      <x:c r="J2635" s="14" t="str">
        <x:v>Tam LGS Denemesi - Sözel</x:v>
      </x:c>
      <x:c r="K2635" s="14" t="str">
        <x:v>Deneme 25</x:v>
      </x:c>
      <x:c r="L2635" s="14" t="str">
        <x:v>Deneme 25/60 — Sözel oturum: Türkçe 20 + İnkılap 10 + Din 10 + İngilizce 10. 75 dakika.</x:v>
      </x:c>
      <x:c r="M2635" s="14" t="str">
        <x:v>Tam LGS Denemesi</x:v>
      </x:c>
      <x:c r="N2635" s="14" t="str"/>
      <x:c r="O2635" s="14" t="n">
        <x:v>50</x:v>
      </x:c>
      <x:c r="P2635" s="14" t="str">
        <x:v>75 dk</x:v>
      </x:c>
      <x:c r="Q2635" s="14" t="str">
        <x:v>Evet</x:v>
      </x:c>
      <x:c r="R2635" s="14" t="str">
        <x:v>Planlandı</x:v>
      </x:c>
      <x:c r="S2635" s="15" t="str"/>
      <x:c r="T2635" s="14" t="str">
        <x:v>2026 LGS formatı çalışma referansıdır; 2027 kılavuzu yayımlanırsa güncellenir.</x:v>
      </x:c>
    </x:row>
    <x:row r="2636">
      <x:c r="A2636" s="14" t="n">
        <x:v>2635</x:v>
      </x:c>
      <x:c r="B2636" s="15" t="n">
        <x:v>46515</x:v>
      </x:c>
      <x:c r="C2636" s="14" t="str">
        <x:v>Cumartesi</x:v>
      </x:c>
      <x:c r="D2636" s="14" t="str">
        <x:v>Hafta Sonu</x:v>
      </x:c>
      <x:c r="E2636" s="14" t="str">
        <x:v>Tam gün</x:v>
      </x:c>
      <x:c r="F2636" s="14" t="str">
        <x:v>F4 - 60 Gün / 60 Tam Deneme</x:v>
      </x:c>
      <x:c r="G2636" s="14" t="str">
        <x:v>10:45</x:v>
      </x:c>
      <x:c r="H2636" s="14" t="str">
        <x:v>11:30</x:v>
      </x:c>
      <x:c r="I2636" s="14" t="str">
        <x:v>Genel</x:v>
      </x:c>
      <x:c r="J2636" s="14" t="str">
        <x:v>Deneme Arası</x:v>
      </x:c>
      <x:c r="K2636" s="14" t="str"/>
      <x:c r="L2636" s="14" t="str">
        <x:v>45 dakika gerçek sınav arası simülasyonu: yemek/su/tuvalet; soru analizi yapma.</x:v>
      </x:c>
      <x:c r="M2636" s="14" t="str"/>
      <x:c r="N2636" s="14" t="str"/>
      <x:c r="O2636" s="14" t="n">
        <x:v>0</x:v>
      </x:c>
      <x:c r="P2636" s="14" t="str">
        <x:v>Hayır</x:v>
      </x:c>
      <x:c r="Q2636" s="14" t="str">
        <x:v>Evet</x:v>
      </x:c>
      <x:c r="R2636" s="14" t="str">
        <x:v>Planlandı</x:v>
      </x:c>
      <x:c r="S2636" s="15" t="str"/>
      <x:c r="T2636" s="14" t="str"/>
    </x:row>
    <x:row r="2637">
      <x:c r="A2637" s="14" t="n">
        <x:v>2636</x:v>
      </x:c>
      <x:c r="B2637" s="15" t="n">
        <x:v>46515</x:v>
      </x:c>
      <x:c r="C2637" s="14" t="str">
        <x:v>Cumartesi</x:v>
      </x:c>
      <x:c r="D2637" s="14" t="str">
        <x:v>Hafta Sonu</x:v>
      </x:c>
      <x:c r="E2637" s="14" t="str">
        <x:v>Tam gün</x:v>
      </x:c>
      <x:c r="F2637" s="14" t="str">
        <x:v>F4 - 60 Gün / 60 Tam Deneme</x:v>
      </x:c>
      <x:c r="G2637" s="14" t="str">
        <x:v>11:30</x:v>
      </x:c>
      <x:c r="H2637" s="14" t="str">
        <x:v>12:50</x:v>
      </x:c>
      <x:c r="I2637" s="14" t="str">
        <x:v>Deneme</x:v>
      </x:c>
      <x:c r="J2637" s="14" t="str">
        <x:v>Tam LGS Denemesi - Sayısal</x:v>
      </x:c>
      <x:c r="K2637" s="14" t="str">
        <x:v>Deneme 25</x:v>
      </x:c>
      <x:c r="L2637" s="14" t="str">
        <x:v>Deneme 25/60 — Sayısal oturum: Matematik 20 + Fen 20. 80 dakika.</x:v>
      </x:c>
      <x:c r="M2637" s="14" t="str">
        <x:v>Tam LGS Denemesi</x:v>
      </x:c>
      <x:c r="N2637" s="14" t="str"/>
      <x:c r="O2637" s="14" t="n">
        <x:v>40</x:v>
      </x:c>
      <x:c r="P2637" s="14" t="str">
        <x:v>80 dk</x:v>
      </x:c>
      <x:c r="Q2637" s="14" t="str">
        <x:v>Evet</x:v>
      </x:c>
      <x:c r="R2637" s="14" t="str">
        <x:v>Planlandı</x:v>
      </x:c>
      <x:c r="S2637" s="15" t="str"/>
      <x:c r="T2637" s="14" t="str"/>
    </x:row>
    <x:row r="2638">
      <x:c r="A2638" s="14" t="n">
        <x:v>2637</x:v>
      </x:c>
      <x:c r="B2638" s="15" t="n">
        <x:v>46515</x:v>
      </x:c>
      <x:c r="C2638" s="14" t="str">
        <x:v>Cumartesi</x:v>
      </x:c>
      <x:c r="D2638" s="14" t="str">
        <x:v>Hafta Sonu</x:v>
      </x:c>
      <x:c r="E2638" s="14" t="str">
        <x:v>Tam gün</x:v>
      </x:c>
      <x:c r="F2638" s="14" t="str">
        <x:v>F4 - 60 Gün / 60 Tam Deneme</x:v>
      </x:c>
      <x:c r="G2638" s="14" t="str">
        <x:v>14:30</x:v>
      </x:c>
      <x:c r="H2638" s="14" t="str">
        <x:v>15:15</x:v>
      </x:c>
      <x:c r="I2638" s="14" t="str">
        <x:v>Deneme</x:v>
      </x:c>
      <x:c r="J2638" s="14" t="str">
        <x:v>Deneme Analizi</x:v>
      </x:c>
      <x:c r="K2638" s="14" t="str">
        <x:v>Deneme 25</x:v>
      </x:c>
      <x:c r="L2638" s="14" t="str">
        <x:v>Tüm yanlış/boşları nedenleriyle analiz et; bilgi eksikliği, işlem, dikkat, yanlış okuma veya yorumlama olarak sınıflandır.</x:v>
      </x:c>
      <x:c r="M2638" s="14" t="str">
        <x:v>Deneme Takibi</x:v>
      </x:c>
      <x:c r="N2638" s="14" t="str"/>
      <x:c r="O2638" s="14" t="n">
        <x:v>0</x:v>
      </x:c>
      <x:c r="P2638" s="14" t="str">
        <x:v>Hayır</x:v>
      </x:c>
      <x:c r="Q2638" s="14" t="str">
        <x:v>Evet</x:v>
      </x:c>
      <x:c r="R2638" s="14" t="str">
        <x:v>Planlandı</x:v>
      </x:c>
      <x:c r="S2638" s="15" t="str"/>
      <x:c r="T2638" s="14" t="str">
        <x:v>Deneme çözülüp analiz edilmediyse gün tamamlanmış sayılmaz.</x:v>
      </x:c>
    </x:row>
    <x:row r="2639">
      <x:c r="A2639" s="14" t="n">
        <x:v>2638</x:v>
      </x:c>
      <x:c r="B2639" s="15" t="n">
        <x:v>46515</x:v>
      </x:c>
      <x:c r="C2639" s="14" t="str">
        <x:v>Cumartesi</x:v>
      </x:c>
      <x:c r="D2639" s="14" t="str">
        <x:v>Hafta Sonu</x:v>
      </x:c>
      <x:c r="E2639" s="14" t="str">
        <x:v>Tam gün</x:v>
      </x:c>
      <x:c r="F2639" s="14" t="str">
        <x:v>F4 - 60 Gün / 60 Tam Deneme</x:v>
      </x:c>
      <x:c r="G2639" s="14" t="str">
        <x:v>15:25</x:v>
      </x:c>
      <x:c r="H2639" s="14" t="str">
        <x:v>16:10</x:v>
      </x:c>
      <x:c r="I2639" s="14" t="str">
        <x:v>Genel</x:v>
      </x:c>
      <x:c r="J2639" s="14" t="str">
        <x:v>Hedefli Eksik Giderme</x:v>
      </x:c>
      <x:c r="K2639" s="14" t="str">
        <x:v>Denemeden Gelen Eksikler</x:v>
      </x:c>
      <x:c r="L2639" s="14" t="str">
        <x:v>Denemenin gösterdiği en kritik 1-3 eksiği gider: gerekirse ilgili playlist videosuna kısa dönüş + hedefli soru çözümü.</x:v>
      </x:c>
      <x:c r="M2639" s="14" t="str">
        <x:v>Playlist + Soru Kitabı + MEB</x:v>
      </x:c>
      <x:c r="N2639" s="14" t="str"/>
      <x:c r="O2639" s="14" t="n">
        <x:v>0</x:v>
      </x:c>
      <x:c r="P2639" s="14" t="str">
        <x:v>Hayır</x:v>
      </x:c>
      <x:c r="Q2639" s="14" t="str">
        <x:v>Evet</x:v>
      </x:c>
      <x:c r="R2639" s="14" t="str">
        <x:v>Planlandı</x:v>
      </x:c>
      <x:c r="S2639" s="15" t="str"/>
      <x:c r="T2639" s="14" t="str">
        <x:v>Yeni konu açılmaz; yalnız denemenin kanıtladığı eksiğe müdahale edilir.</x:v>
      </x:c>
    </x:row>
    <x:row r="2640">
      <x:c r="A2640" s="14" t="n">
        <x:v>2639</x:v>
      </x:c>
      <x:c r="B2640" s="15" t="n">
        <x:v>46515</x:v>
      </x:c>
      <x:c r="C2640" s="14" t="str">
        <x:v>Cumartesi</x:v>
      </x:c>
      <x:c r="D2640" s="14" t="str">
        <x:v>Hafta Sonu</x:v>
      </x:c>
      <x:c r="E2640" s="14" t="str">
        <x:v>Tam gün</x:v>
      </x:c>
      <x:c r="F2640" s="14" t="str">
        <x:v>F4 - 60 Gün / 60 Tam Deneme</x:v>
      </x:c>
      <x:c r="G2640" s="14" t="str">
        <x:v>16:20</x:v>
      </x:c>
      <x:c r="H2640" s="14" t="str">
        <x:v>16:40</x:v>
      </x:c>
      <x:c r="I2640" s="14" t="str">
        <x:v>Genel</x:v>
      </x:c>
      <x:c r="J2640" s="14" t="str">
        <x:v>Aralıklı Hata Tekrarı</x:v>
      </x:c>
      <x:c r="K2640" s="14" t="str">
        <x:v>+1 / +7 / +21</x:v>
      </x:c>
      <x:c r="L2640" s="14" t="str">
        <x:v>Bugün vadesi gelen eski yanlışları tekrar çöz ve bugünkü yanlışları Yanlış Defteri'ne ekle.</x:v>
      </x:c>
      <x:c r="M2640" s="14" t="str">
        <x:v>Yanlış Defteri</x:v>
      </x:c>
      <x:c r="N2640" s="14" t="str"/>
      <x:c r="O2640" s="14" t="n">
        <x:v>0</x:v>
      </x:c>
      <x:c r="P2640" s="14" t="str">
        <x:v>Hayır</x:v>
      </x:c>
      <x:c r="Q2640" s="14" t="str">
        <x:v>Evet</x:v>
      </x:c>
      <x:c r="R2640" s="14" t="str">
        <x:v>Planlandı</x:v>
      </x:c>
      <x:c r="S2640" s="15" t="str"/>
      <x:c r="T2640" s="14" t="str"/>
    </x:row>
    <x:row r="2641">
      <x:c r="A2641" s="14" t="n">
        <x:v>2640</x:v>
      </x:c>
      <x:c r="B2641" s="15" t="n">
        <x:v>46515</x:v>
      </x:c>
      <x:c r="C2641" s="14" t="str">
        <x:v>Cumartesi</x:v>
      </x:c>
      <x:c r="D2641" s="14" t="str">
        <x:v>Hafta Sonu</x:v>
      </x:c>
      <x:c r="E2641" s="14" t="str">
        <x:v>Tam gün</x:v>
      </x:c>
      <x:c r="F2641" s="14" t="str">
        <x:v>F4 - 60 Gün / 60 Tam Deneme</x:v>
      </x:c>
      <x:c r="G2641" s="14" t="str">
        <x:v>20:00</x:v>
      </x:c>
      <x:c r="H2641" s="14" t="str">
        <x:v>20:30</x:v>
      </x:c>
      <x:c r="I2641" s="14" t="str">
        <x:v>Okuma</x:v>
      </x:c>
      <x:c r="J2641" s="14" t="str">
        <x:v>İsteğe Bağlı</x:v>
      </x:c>
      <x:c r="K2641" s="14" t="str">
        <x:v>Serbest Kitap</x:v>
      </x:c>
      <x:c r="L2641" s="14" t="str">
        <x:v>Enerji uygunsa kısa isteğe bağlı okuma.</x:v>
      </x:c>
      <x:c r="M2641" s="14" t="str">
        <x:v>Serbest Kitap</x:v>
      </x:c>
      <x:c r="N2641" s="14" t="str"/>
      <x:c r="O2641" s="14" t="n">
        <x:v>0</x:v>
      </x:c>
      <x:c r="P2641" s="14" t="str">
        <x:v>İsteğe Bağlı</x:v>
      </x:c>
      <x:c r="Q2641" s="14" t="str">
        <x:v>Hayır</x:v>
      </x:c>
      <x:c r="R2641" s="14" t="str">
        <x:v>Planlandı</x:v>
      </x:c>
      <x:c r="S2641" s="15" t="str"/>
      <x:c r="T2641" s="14" t="str"/>
    </x:row>
    <x:row r="2642">
      <x:c r="A2642" s="14" t="n">
        <x:v>2641</x:v>
      </x:c>
      <x:c r="B2642" s="15" t="n">
        <x:v>46515</x:v>
      </x:c>
      <x:c r="C2642" s="14" t="str">
        <x:v>Cumartesi</x:v>
      </x:c>
      <x:c r="D2642" s="14" t="str">
        <x:v>Hafta Sonu</x:v>
      </x:c>
      <x:c r="E2642" s="14" t="str">
        <x:v>Tam gün</x:v>
      </x:c>
      <x:c r="F2642" s="14" t="str">
        <x:v>F4 - 60 Gün / 60 Tam Deneme</x:v>
      </x:c>
      <x:c r="G2642" s="14" t="str">
        <x:v>21:50</x:v>
      </x:c>
      <x:c r="H2642" s="14" t="str">
        <x:v>22:00</x:v>
      </x:c>
      <x:c r="I2642" s="14" t="str">
        <x:v>Genel</x:v>
      </x:c>
      <x:c r="J2642" s="14" t="str">
        <x:v>Uyku Hazırlığı</x:v>
      </x:c>
      <x:c r="K2642" s="14" t="str"/>
      <x:c r="L2642" s="14" t="str">
        <x:v>22:00'de yatakta ve uyku.</x:v>
      </x:c>
      <x:c r="M2642" s="14" t="str"/>
      <x:c r="N2642" s="14" t="str"/>
      <x:c r="O2642" s="14" t="n">
        <x:v>0</x:v>
      </x:c>
      <x:c r="P2642" s="14" t="str">
        <x:v>Hayır</x:v>
      </x:c>
      <x:c r="Q2642" s="14" t="str">
        <x:v>Hayır</x:v>
      </x:c>
      <x:c r="R2642" s="14" t="str">
        <x:v>Planlandı</x:v>
      </x:c>
      <x:c r="S2642" s="15" t="str"/>
      <x:c r="T2642" s="14" t="str"/>
    </x:row>
    <x:row r="2643">
      <x:c r="A2643" s="14" t="n">
        <x:v>2642</x:v>
      </x:c>
      <x:c r="B2643" s="15" t="n">
        <x:v>46516</x:v>
      </x:c>
      <x:c r="C2643" s="14" t="str">
        <x:v>Pazar</x:v>
      </x:c>
      <x:c r="D2643" s="14" t="str">
        <x:v>Hafta Sonu</x:v>
      </x:c>
      <x:c r="E2643" s="14" t="str">
        <x:v>Tam gün</x:v>
      </x:c>
      <x:c r="F2643" s="14" t="str">
        <x:v>F4 - 60 Gün / 60 Tam Deneme</x:v>
      </x:c>
      <x:c r="G2643" s="14" t="str">
        <x:v>09:30</x:v>
      </x:c>
      <x:c r="H2643" s="14" t="str">
        <x:v>10:45</x:v>
      </x:c>
      <x:c r="I2643" s="14" t="str">
        <x:v>Deneme</x:v>
      </x:c>
      <x:c r="J2643" s="14" t="str">
        <x:v>Tam LGS Denemesi - Sözel</x:v>
      </x:c>
      <x:c r="K2643" s="14" t="str">
        <x:v>Deneme 26</x:v>
      </x:c>
      <x:c r="L2643" s="14" t="str">
        <x:v>Deneme 26/60 — Sözel oturum: Türkçe 20 + İnkılap 10 + Din 10 + İngilizce 10. 75 dakika.</x:v>
      </x:c>
      <x:c r="M2643" s="14" t="str">
        <x:v>Tam LGS Denemesi</x:v>
      </x:c>
      <x:c r="N2643" s="14" t="str"/>
      <x:c r="O2643" s="14" t="n">
        <x:v>50</x:v>
      </x:c>
      <x:c r="P2643" s="14" t="str">
        <x:v>75 dk</x:v>
      </x:c>
      <x:c r="Q2643" s="14" t="str">
        <x:v>Evet</x:v>
      </x:c>
      <x:c r="R2643" s="14" t="str">
        <x:v>Planlandı</x:v>
      </x:c>
      <x:c r="S2643" s="15" t="str"/>
      <x:c r="T2643" s="14" t="str">
        <x:v>2026 LGS formatı çalışma referansıdır; 2027 kılavuzu yayımlanırsa güncellenir.</x:v>
      </x:c>
    </x:row>
    <x:row r="2644">
      <x:c r="A2644" s="14" t="n">
        <x:v>2643</x:v>
      </x:c>
      <x:c r="B2644" s="15" t="n">
        <x:v>46516</x:v>
      </x:c>
      <x:c r="C2644" s="14" t="str">
        <x:v>Pazar</x:v>
      </x:c>
      <x:c r="D2644" s="14" t="str">
        <x:v>Hafta Sonu</x:v>
      </x:c>
      <x:c r="E2644" s="14" t="str">
        <x:v>Tam gün</x:v>
      </x:c>
      <x:c r="F2644" s="14" t="str">
        <x:v>F4 - 60 Gün / 60 Tam Deneme</x:v>
      </x:c>
      <x:c r="G2644" s="14" t="str">
        <x:v>10:45</x:v>
      </x:c>
      <x:c r="H2644" s="14" t="str">
        <x:v>11:30</x:v>
      </x:c>
      <x:c r="I2644" s="14" t="str">
        <x:v>Genel</x:v>
      </x:c>
      <x:c r="J2644" s="14" t="str">
        <x:v>Deneme Arası</x:v>
      </x:c>
      <x:c r="K2644" s="14" t="str"/>
      <x:c r="L2644" s="14" t="str">
        <x:v>45 dakika gerçek sınav arası simülasyonu: yemek/su/tuvalet; soru analizi yapma.</x:v>
      </x:c>
      <x:c r="M2644" s="14" t="str"/>
      <x:c r="N2644" s="14" t="str"/>
      <x:c r="O2644" s="14" t="n">
        <x:v>0</x:v>
      </x:c>
      <x:c r="P2644" s="14" t="str">
        <x:v>Hayır</x:v>
      </x:c>
      <x:c r="Q2644" s="14" t="str">
        <x:v>Evet</x:v>
      </x:c>
      <x:c r="R2644" s="14" t="str">
        <x:v>Planlandı</x:v>
      </x:c>
      <x:c r="S2644" s="15" t="str"/>
      <x:c r="T2644" s="14" t="str"/>
    </x:row>
    <x:row r="2645">
      <x:c r="A2645" s="14" t="n">
        <x:v>2644</x:v>
      </x:c>
      <x:c r="B2645" s="15" t="n">
        <x:v>46516</x:v>
      </x:c>
      <x:c r="C2645" s="14" t="str">
        <x:v>Pazar</x:v>
      </x:c>
      <x:c r="D2645" s="14" t="str">
        <x:v>Hafta Sonu</x:v>
      </x:c>
      <x:c r="E2645" s="14" t="str">
        <x:v>Tam gün</x:v>
      </x:c>
      <x:c r="F2645" s="14" t="str">
        <x:v>F4 - 60 Gün / 60 Tam Deneme</x:v>
      </x:c>
      <x:c r="G2645" s="14" t="str">
        <x:v>11:30</x:v>
      </x:c>
      <x:c r="H2645" s="14" t="str">
        <x:v>12:50</x:v>
      </x:c>
      <x:c r="I2645" s="14" t="str">
        <x:v>Deneme</x:v>
      </x:c>
      <x:c r="J2645" s="14" t="str">
        <x:v>Tam LGS Denemesi - Sayısal</x:v>
      </x:c>
      <x:c r="K2645" s="14" t="str">
        <x:v>Deneme 26</x:v>
      </x:c>
      <x:c r="L2645" s="14" t="str">
        <x:v>Deneme 26/60 — Sayısal oturum: Matematik 20 + Fen 20. 80 dakika.</x:v>
      </x:c>
      <x:c r="M2645" s="14" t="str">
        <x:v>Tam LGS Denemesi</x:v>
      </x:c>
      <x:c r="N2645" s="14" t="str"/>
      <x:c r="O2645" s="14" t="n">
        <x:v>40</x:v>
      </x:c>
      <x:c r="P2645" s="14" t="str">
        <x:v>80 dk</x:v>
      </x:c>
      <x:c r="Q2645" s="14" t="str">
        <x:v>Evet</x:v>
      </x:c>
      <x:c r="R2645" s="14" t="str">
        <x:v>Planlandı</x:v>
      </x:c>
      <x:c r="S2645" s="15" t="str"/>
      <x:c r="T2645" s="14" t="str"/>
    </x:row>
    <x:row r="2646">
      <x:c r="A2646" s="14" t="n">
        <x:v>2645</x:v>
      </x:c>
      <x:c r="B2646" s="15" t="n">
        <x:v>46516</x:v>
      </x:c>
      <x:c r="C2646" s="14" t="str">
        <x:v>Pazar</x:v>
      </x:c>
      <x:c r="D2646" s="14" t="str">
        <x:v>Hafta Sonu</x:v>
      </x:c>
      <x:c r="E2646" s="14" t="str">
        <x:v>Tam gün</x:v>
      </x:c>
      <x:c r="F2646" s="14" t="str">
        <x:v>F4 - 60 Gün / 60 Tam Deneme</x:v>
      </x:c>
      <x:c r="G2646" s="14" t="str">
        <x:v>14:30</x:v>
      </x:c>
      <x:c r="H2646" s="14" t="str">
        <x:v>15:15</x:v>
      </x:c>
      <x:c r="I2646" s="14" t="str">
        <x:v>Deneme</x:v>
      </x:c>
      <x:c r="J2646" s="14" t="str">
        <x:v>Deneme Analizi</x:v>
      </x:c>
      <x:c r="K2646" s="14" t="str">
        <x:v>Deneme 26</x:v>
      </x:c>
      <x:c r="L2646" s="14" t="str">
        <x:v>Tüm yanlış/boşları nedenleriyle analiz et; bilgi eksikliği, işlem, dikkat, yanlış okuma veya yorumlama olarak sınıflandır.</x:v>
      </x:c>
      <x:c r="M2646" s="14" t="str">
        <x:v>Deneme Takibi</x:v>
      </x:c>
      <x:c r="N2646" s="14" t="str"/>
      <x:c r="O2646" s="14" t="n">
        <x:v>0</x:v>
      </x:c>
      <x:c r="P2646" s="14" t="str">
        <x:v>Hayır</x:v>
      </x:c>
      <x:c r="Q2646" s="14" t="str">
        <x:v>Evet</x:v>
      </x:c>
      <x:c r="R2646" s="14" t="str">
        <x:v>Planlandı</x:v>
      </x:c>
      <x:c r="S2646" s="15" t="str"/>
      <x:c r="T2646" s="14" t="str">
        <x:v>Deneme çözülüp analiz edilmediyse gün tamamlanmış sayılmaz.</x:v>
      </x:c>
    </x:row>
    <x:row r="2647">
      <x:c r="A2647" s="14" t="n">
        <x:v>2646</x:v>
      </x:c>
      <x:c r="B2647" s="15" t="n">
        <x:v>46516</x:v>
      </x:c>
      <x:c r="C2647" s="14" t="str">
        <x:v>Pazar</x:v>
      </x:c>
      <x:c r="D2647" s="14" t="str">
        <x:v>Hafta Sonu</x:v>
      </x:c>
      <x:c r="E2647" s="14" t="str">
        <x:v>Tam gün</x:v>
      </x:c>
      <x:c r="F2647" s="14" t="str">
        <x:v>F4 - 60 Gün / 60 Tam Deneme</x:v>
      </x:c>
      <x:c r="G2647" s="14" t="str">
        <x:v>15:25</x:v>
      </x:c>
      <x:c r="H2647" s="14" t="str">
        <x:v>16:10</x:v>
      </x:c>
      <x:c r="I2647" s="14" t="str">
        <x:v>Genel</x:v>
      </x:c>
      <x:c r="J2647" s="14" t="str">
        <x:v>Hedefli Eksik Giderme</x:v>
      </x:c>
      <x:c r="K2647" s="14" t="str">
        <x:v>Denemeden Gelen Eksikler</x:v>
      </x:c>
      <x:c r="L2647" s="14" t="str">
        <x:v>Denemenin gösterdiği en kritik 1-3 eksiği gider: gerekirse ilgili playlist videosuna kısa dönüş + hedefli soru çözümü.</x:v>
      </x:c>
      <x:c r="M2647" s="14" t="str">
        <x:v>Playlist + Soru Kitabı + MEB</x:v>
      </x:c>
      <x:c r="N2647" s="14" t="str"/>
      <x:c r="O2647" s="14" t="n">
        <x:v>0</x:v>
      </x:c>
      <x:c r="P2647" s="14" t="str">
        <x:v>Hayır</x:v>
      </x:c>
      <x:c r="Q2647" s="14" t="str">
        <x:v>Evet</x:v>
      </x:c>
      <x:c r="R2647" s="14" t="str">
        <x:v>Planlandı</x:v>
      </x:c>
      <x:c r="S2647" s="15" t="str"/>
      <x:c r="T2647" s="14" t="str">
        <x:v>Yeni konu açılmaz; yalnız denemenin kanıtladığı eksiğe müdahale edilir.</x:v>
      </x:c>
    </x:row>
    <x:row r="2648">
      <x:c r="A2648" s="14" t="n">
        <x:v>2647</x:v>
      </x:c>
      <x:c r="B2648" s="15" t="n">
        <x:v>46516</x:v>
      </x:c>
      <x:c r="C2648" s="14" t="str">
        <x:v>Pazar</x:v>
      </x:c>
      <x:c r="D2648" s="14" t="str">
        <x:v>Hafta Sonu</x:v>
      </x:c>
      <x:c r="E2648" s="14" t="str">
        <x:v>Tam gün</x:v>
      </x:c>
      <x:c r="F2648" s="14" t="str">
        <x:v>F4 - 60 Gün / 60 Tam Deneme</x:v>
      </x:c>
      <x:c r="G2648" s="14" t="str">
        <x:v>16:20</x:v>
      </x:c>
      <x:c r="H2648" s="14" t="str">
        <x:v>16:40</x:v>
      </x:c>
      <x:c r="I2648" s="14" t="str">
        <x:v>Genel</x:v>
      </x:c>
      <x:c r="J2648" s="14" t="str">
        <x:v>Aralıklı Hata Tekrarı</x:v>
      </x:c>
      <x:c r="K2648" s="14" t="str">
        <x:v>+1 / +7 / +21</x:v>
      </x:c>
      <x:c r="L2648" s="14" t="str">
        <x:v>Bugün vadesi gelen eski yanlışları tekrar çöz ve bugünkü yanlışları Yanlış Defteri'ne ekle.</x:v>
      </x:c>
      <x:c r="M2648" s="14" t="str">
        <x:v>Yanlış Defteri</x:v>
      </x:c>
      <x:c r="N2648" s="14" t="str"/>
      <x:c r="O2648" s="14" t="n">
        <x:v>0</x:v>
      </x:c>
      <x:c r="P2648" s="14" t="str">
        <x:v>Hayır</x:v>
      </x:c>
      <x:c r="Q2648" s="14" t="str">
        <x:v>Evet</x:v>
      </x:c>
      <x:c r="R2648" s="14" t="str">
        <x:v>Planlandı</x:v>
      </x:c>
      <x:c r="S2648" s="15" t="str"/>
      <x:c r="T2648" s="14" t="str"/>
    </x:row>
    <x:row r="2649">
      <x:c r="A2649" s="14" t="n">
        <x:v>2648</x:v>
      </x:c>
      <x:c r="B2649" s="15" t="n">
        <x:v>46516</x:v>
      </x:c>
      <x:c r="C2649" s="14" t="str">
        <x:v>Pazar</x:v>
      </x:c>
      <x:c r="D2649" s="14" t="str">
        <x:v>Hafta Sonu</x:v>
      </x:c>
      <x:c r="E2649" s="14" t="str">
        <x:v>Tam gün</x:v>
      </x:c>
      <x:c r="F2649" s="14" t="str">
        <x:v>F4 - 60 Gün / 60 Tam Deneme</x:v>
      </x:c>
      <x:c r="G2649" s="14" t="str">
        <x:v>20:00</x:v>
      </x:c>
      <x:c r="H2649" s="14" t="str">
        <x:v>20:30</x:v>
      </x:c>
      <x:c r="I2649" s="14" t="str">
        <x:v>Okuma</x:v>
      </x:c>
      <x:c r="J2649" s="14" t="str">
        <x:v>İsteğe Bağlı</x:v>
      </x:c>
      <x:c r="K2649" s="14" t="str">
        <x:v>Serbest Kitap</x:v>
      </x:c>
      <x:c r="L2649" s="14" t="str">
        <x:v>Enerji uygunsa kısa isteğe bağlı okuma.</x:v>
      </x:c>
      <x:c r="M2649" s="14" t="str">
        <x:v>Serbest Kitap</x:v>
      </x:c>
      <x:c r="N2649" s="14" t="str"/>
      <x:c r="O2649" s="14" t="n">
        <x:v>0</x:v>
      </x:c>
      <x:c r="P2649" s="14" t="str">
        <x:v>İsteğe Bağlı</x:v>
      </x:c>
      <x:c r="Q2649" s="14" t="str">
        <x:v>Hayır</x:v>
      </x:c>
      <x:c r="R2649" s="14" t="str">
        <x:v>Planlandı</x:v>
      </x:c>
      <x:c r="S2649" s="15" t="str"/>
      <x:c r="T2649" s="14" t="str"/>
    </x:row>
    <x:row r="2650">
      <x:c r="A2650" s="14" t="n">
        <x:v>2649</x:v>
      </x:c>
      <x:c r="B2650" s="15" t="n">
        <x:v>46516</x:v>
      </x:c>
      <x:c r="C2650" s="14" t="str">
        <x:v>Pazar</x:v>
      </x:c>
      <x:c r="D2650" s="14" t="str">
        <x:v>Hafta Sonu</x:v>
      </x:c>
      <x:c r="E2650" s="14" t="str">
        <x:v>Tam gün</x:v>
      </x:c>
      <x:c r="F2650" s="14" t="str">
        <x:v>F4 - 60 Gün / 60 Tam Deneme</x:v>
      </x:c>
      <x:c r="G2650" s="14" t="str">
        <x:v>21:50</x:v>
      </x:c>
      <x:c r="H2650" s="14" t="str">
        <x:v>22:00</x:v>
      </x:c>
      <x:c r="I2650" s="14" t="str">
        <x:v>Genel</x:v>
      </x:c>
      <x:c r="J2650" s="14" t="str">
        <x:v>Uyku Hazırlığı</x:v>
      </x:c>
      <x:c r="K2650" s="14" t="str"/>
      <x:c r="L2650" s="14" t="str">
        <x:v>22:00'de yatakta ve uyku.</x:v>
      </x:c>
      <x:c r="M2650" s="14" t="str"/>
      <x:c r="N2650" s="14" t="str"/>
      <x:c r="O2650" s="14" t="n">
        <x:v>0</x:v>
      </x:c>
      <x:c r="P2650" s="14" t="str">
        <x:v>Hayır</x:v>
      </x:c>
      <x:c r="Q2650" s="14" t="str">
        <x:v>Hayır</x:v>
      </x:c>
      <x:c r="R2650" s="14" t="str">
        <x:v>Planlandı</x:v>
      </x:c>
      <x:c r="S2650" s="15" t="str"/>
      <x:c r="T2650" s="14" t="str"/>
    </x:row>
    <x:row r="2651">
      <x:c r="A2651" s="14" t="n">
        <x:v>2650</x:v>
      </x:c>
      <x:c r="B2651" s="15" t="n">
        <x:v>46517</x:v>
      </x:c>
      <x:c r="C2651" s="14" t="str">
        <x:v>Pazartesi</x:v>
      </x:c>
      <x:c r="D2651" s="14" t="str">
        <x:v>Okul Günü</x:v>
      </x:c>
      <x:c r="E2651" s="14" t="str">
        <x:v>16:00 sonrası</x:v>
      </x:c>
      <x:c r="F2651" s="14" t="str">
        <x:v>F4 - 60 Gün / 60 Tam Deneme</x:v>
      </x:c>
      <x:c r="G2651" s="14" t="str">
        <x:v>16:00</x:v>
      </x:c>
      <x:c r="H2651" s="14" t="str">
        <x:v>16:25</x:v>
      </x:c>
      <x:c r="I2651" s="14" t="str">
        <x:v>Genel</x:v>
      </x:c>
      <x:c r="J2651" s="14" t="str">
        <x:v>Dinlenme</x:v>
      </x:c>
      <x:c r="K2651" s="14" t="str"/>
      <x:c r="L2651" s="14" t="str">
        <x:v>Eve geliş + kısa dinlenme.</x:v>
      </x:c>
      <x:c r="M2651" s="14" t="str"/>
      <x:c r="N2651" s="14" t="str"/>
      <x:c r="O2651" s="14" t="n">
        <x:v>0</x:v>
      </x:c>
      <x:c r="P2651" s="14" t="str">
        <x:v>Hayır</x:v>
      </x:c>
      <x:c r="Q2651" s="14" t="str">
        <x:v>Hayır</x:v>
      </x:c>
      <x:c r="R2651" s="14" t="str">
        <x:v>Planlandı</x:v>
      </x:c>
      <x:c r="S2651" s="15" t="str"/>
      <x:c r="T2651" s="14" t="str"/>
    </x:row>
    <x:row r="2652">
      <x:c r="A2652" s="14" t="n">
        <x:v>2651</x:v>
      </x:c>
      <x:c r="B2652" s="15" t="n">
        <x:v>46517</x:v>
      </x:c>
      <x:c r="C2652" s="14" t="str">
        <x:v>Pazartesi</x:v>
      </x:c>
      <x:c r="D2652" s="14" t="str">
        <x:v>Okul Günü</x:v>
      </x:c>
      <x:c r="E2652" s="14" t="str">
        <x:v>16:00 sonrası</x:v>
      </x:c>
      <x:c r="F2652" s="14" t="str">
        <x:v>F4 - 60 Gün / 60 Tam Deneme</x:v>
      </x:c>
      <x:c r="G2652" s="14" t="str">
        <x:v>16:30</x:v>
      </x:c>
      <x:c r="H2652" s="14" t="str">
        <x:v>17:45</x:v>
      </x:c>
      <x:c r="I2652" s="14" t="str">
        <x:v>Deneme</x:v>
      </x:c>
      <x:c r="J2652" s="14" t="str">
        <x:v>Tam LGS Denemesi - Sözel</x:v>
      </x:c>
      <x:c r="K2652" s="14" t="str">
        <x:v>Deneme 27</x:v>
      </x:c>
      <x:c r="L2652" s="14" t="str">
        <x:v>Deneme 27/60 — Sözel oturum: Türkçe 20 + İnkılap 10 + Din 10 + İngilizce 10. 75 dakika.</x:v>
      </x:c>
      <x:c r="M2652" s="14" t="str">
        <x:v>Tam LGS Denemesi</x:v>
      </x:c>
      <x:c r="N2652" s="14" t="str"/>
      <x:c r="O2652" s="14" t="n">
        <x:v>50</x:v>
      </x:c>
      <x:c r="P2652" s="14" t="str">
        <x:v>75 dk</x:v>
      </x:c>
      <x:c r="Q2652" s="14" t="str">
        <x:v>Evet</x:v>
      </x:c>
      <x:c r="R2652" s="14" t="str">
        <x:v>Planlandı</x:v>
      </x:c>
      <x:c r="S2652" s="15" t="str"/>
      <x:c r="T2652" s="14" t="str">
        <x:v>2026 LGS formatı çalışma referansıdır; 2027 kılavuzu yayımlanırsa güncellenir.</x:v>
      </x:c>
    </x:row>
    <x:row r="2653">
      <x:c r="A2653" s="14" t="n">
        <x:v>2652</x:v>
      </x:c>
      <x:c r="B2653" s="15" t="n">
        <x:v>46517</x:v>
      </x:c>
      <x:c r="C2653" s="14" t="str">
        <x:v>Pazartesi</x:v>
      </x:c>
      <x:c r="D2653" s="14" t="str">
        <x:v>Okul Günü</x:v>
      </x:c>
      <x:c r="E2653" s="14" t="str">
        <x:v>16:00 sonrası</x:v>
      </x:c>
      <x:c r="F2653" s="14" t="str">
        <x:v>F4 - 60 Gün / 60 Tam Deneme</x:v>
      </x:c>
      <x:c r="G2653" s="14" t="str">
        <x:v>17:45</x:v>
      </x:c>
      <x:c r="H2653" s="14" t="str">
        <x:v>18:30</x:v>
      </x:c>
      <x:c r="I2653" s="14" t="str">
        <x:v>Genel</x:v>
      </x:c>
      <x:c r="J2653" s="14" t="str">
        <x:v>Deneme Arası</x:v>
      </x:c>
      <x:c r="K2653" s="14" t="str"/>
      <x:c r="L2653" s="14" t="str">
        <x:v>45 dakika gerçek sınav arası simülasyonu: yemek/su/tuvalet; soru analizi yapma.</x:v>
      </x:c>
      <x:c r="M2653" s="14" t="str"/>
      <x:c r="N2653" s="14" t="str"/>
      <x:c r="O2653" s="14" t="n">
        <x:v>0</x:v>
      </x:c>
      <x:c r="P2653" s="14" t="str">
        <x:v>Hayır</x:v>
      </x:c>
      <x:c r="Q2653" s="14" t="str">
        <x:v>Evet</x:v>
      </x:c>
      <x:c r="R2653" s="14" t="str">
        <x:v>Planlandı</x:v>
      </x:c>
      <x:c r="S2653" s="15" t="str"/>
      <x:c r="T2653" s="14" t="str"/>
    </x:row>
    <x:row r="2654">
      <x:c r="A2654" s="14" t="n">
        <x:v>2653</x:v>
      </x:c>
      <x:c r="B2654" s="15" t="n">
        <x:v>46517</x:v>
      </x:c>
      <x:c r="C2654" s="14" t="str">
        <x:v>Pazartesi</x:v>
      </x:c>
      <x:c r="D2654" s="14" t="str">
        <x:v>Okul Günü</x:v>
      </x:c>
      <x:c r="E2654" s="14" t="str">
        <x:v>16:00 sonrası</x:v>
      </x:c>
      <x:c r="F2654" s="14" t="str">
        <x:v>F4 - 60 Gün / 60 Tam Deneme</x:v>
      </x:c>
      <x:c r="G2654" s="14" t="str">
        <x:v>18:30</x:v>
      </x:c>
      <x:c r="H2654" s="14" t="str">
        <x:v>19:50</x:v>
      </x:c>
      <x:c r="I2654" s="14" t="str">
        <x:v>Deneme</x:v>
      </x:c>
      <x:c r="J2654" s="14" t="str">
        <x:v>Tam LGS Denemesi - Sayısal</x:v>
      </x:c>
      <x:c r="K2654" s="14" t="str">
        <x:v>Deneme 27</x:v>
      </x:c>
      <x:c r="L2654" s="14" t="str">
        <x:v>Deneme 27/60 — Sayısal oturum: Matematik 20 + Fen 20. 80 dakika.</x:v>
      </x:c>
      <x:c r="M2654" s="14" t="str">
        <x:v>Tam LGS Denemesi</x:v>
      </x:c>
      <x:c r="N2654" s="14" t="str"/>
      <x:c r="O2654" s="14" t="n">
        <x:v>40</x:v>
      </x:c>
      <x:c r="P2654" s="14" t="str">
        <x:v>80 dk</x:v>
      </x:c>
      <x:c r="Q2654" s="14" t="str">
        <x:v>Evet</x:v>
      </x:c>
      <x:c r="R2654" s="14" t="str">
        <x:v>Planlandı</x:v>
      </x:c>
      <x:c r="S2654" s="15" t="str"/>
      <x:c r="T2654" s="14" t="str"/>
    </x:row>
    <x:row r="2655">
      <x:c r="A2655" s="14" t="n">
        <x:v>2654</x:v>
      </x:c>
      <x:c r="B2655" s="15" t="n">
        <x:v>46517</x:v>
      </x:c>
      <x:c r="C2655" s="14" t="str">
        <x:v>Pazartesi</x:v>
      </x:c>
      <x:c r="D2655" s="14" t="str">
        <x:v>Okul Günü</x:v>
      </x:c>
      <x:c r="E2655" s="14" t="str">
        <x:v>16:00 sonrası</x:v>
      </x:c>
      <x:c r="F2655" s="14" t="str">
        <x:v>F4 - 60 Gün / 60 Tam Deneme</x:v>
      </x:c>
      <x:c r="G2655" s="14" t="str">
        <x:v>20:00</x:v>
      </x:c>
      <x:c r="H2655" s="14" t="str">
        <x:v>20:45</x:v>
      </x:c>
      <x:c r="I2655" s="14" t="str">
        <x:v>Deneme</x:v>
      </x:c>
      <x:c r="J2655" s="14" t="str">
        <x:v>Deneme Analizi</x:v>
      </x:c>
      <x:c r="K2655" s="14" t="str">
        <x:v>Deneme 27</x:v>
      </x:c>
      <x:c r="L2655" s="14" t="str">
        <x:v>Tüm yanlış/boşları nedenleriyle analiz et; bilgi eksikliği, işlem, dikkat, yanlış okuma veya yorumlama olarak sınıflandır.</x:v>
      </x:c>
      <x:c r="M2655" s="14" t="str">
        <x:v>Deneme Takibi</x:v>
      </x:c>
      <x:c r="N2655" s="14" t="str"/>
      <x:c r="O2655" s="14" t="n">
        <x:v>0</x:v>
      </x:c>
      <x:c r="P2655" s="14" t="str">
        <x:v>Hayır</x:v>
      </x:c>
      <x:c r="Q2655" s="14" t="str">
        <x:v>Evet</x:v>
      </x:c>
      <x:c r="R2655" s="14" t="str">
        <x:v>Planlandı</x:v>
      </x:c>
      <x:c r="S2655" s="15" t="str"/>
      <x:c r="T2655" s="14" t="str">
        <x:v>Deneme çözülüp analiz edilmediyse gün tamamlanmış sayılmaz.</x:v>
      </x:c>
    </x:row>
    <x:row r="2656">
      <x:c r="A2656" s="14" t="n">
        <x:v>2655</x:v>
      </x:c>
      <x:c r="B2656" s="15" t="n">
        <x:v>46517</x:v>
      </x:c>
      <x:c r="C2656" s="14" t="str">
        <x:v>Pazartesi</x:v>
      </x:c>
      <x:c r="D2656" s="14" t="str">
        <x:v>Okul Günü</x:v>
      </x:c>
      <x:c r="E2656" s="14" t="str">
        <x:v>16:00 sonrası</x:v>
      </x:c>
      <x:c r="F2656" s="14" t="str">
        <x:v>F4 - 60 Gün / 60 Tam Deneme</x:v>
      </x:c>
      <x:c r="G2656" s="14" t="str">
        <x:v>20:50</x:v>
      </x:c>
      <x:c r="H2656" s="14" t="str">
        <x:v>21:25</x:v>
      </x:c>
      <x:c r="I2656" s="14" t="str">
        <x:v>Genel</x:v>
      </x:c>
      <x:c r="J2656" s="14" t="str">
        <x:v>Hedefli Eksik Giderme</x:v>
      </x:c>
      <x:c r="K2656" s="14" t="str">
        <x:v>Denemeden Gelen Eksikler</x:v>
      </x:c>
      <x:c r="L2656" s="14" t="str">
        <x:v>Denemenin gösterdiği en kritik 1-3 eksiği gider: gerekirse ilgili playlist videosuna kısa dönüş + hedefli soru çözümü.</x:v>
      </x:c>
      <x:c r="M2656" s="14" t="str">
        <x:v>Playlist + Soru Kitabı + MEB</x:v>
      </x:c>
      <x:c r="N2656" s="14" t="str"/>
      <x:c r="O2656" s="14" t="n">
        <x:v>0</x:v>
      </x:c>
      <x:c r="P2656" s="14" t="str">
        <x:v>Hayır</x:v>
      </x:c>
      <x:c r="Q2656" s="14" t="str">
        <x:v>Evet</x:v>
      </x:c>
      <x:c r="R2656" s="14" t="str">
        <x:v>Planlandı</x:v>
      </x:c>
      <x:c r="S2656" s="15" t="str"/>
      <x:c r="T2656" s="14" t="str">
        <x:v>Yeni konu açılmaz; yalnız denemenin kanıtladığı eksiğe müdahale edilir.</x:v>
      </x:c>
    </x:row>
    <x:row r="2657">
      <x:c r="A2657" s="14" t="n">
        <x:v>2656</x:v>
      </x:c>
      <x:c r="B2657" s="15" t="n">
        <x:v>46517</x:v>
      </x:c>
      <x:c r="C2657" s="14" t="str">
        <x:v>Pazartesi</x:v>
      </x:c>
      <x:c r="D2657" s="14" t="str">
        <x:v>Okul Günü</x:v>
      </x:c>
      <x:c r="E2657" s="14" t="str">
        <x:v>16:00 sonrası</x:v>
      </x:c>
      <x:c r="F2657" s="14" t="str">
        <x:v>F4 - 60 Gün / 60 Tam Deneme</x:v>
      </x:c>
      <x:c r="G2657" s="14" t="str">
        <x:v>21:25</x:v>
      </x:c>
      <x:c r="H2657" s="14" t="str">
        <x:v>21:40</x:v>
      </x:c>
      <x:c r="I2657" s="14" t="str">
        <x:v>Genel</x:v>
      </x:c>
      <x:c r="J2657" s="14" t="str">
        <x:v>Aralıklı Hata Tekrarı</x:v>
      </x:c>
      <x:c r="K2657" s="14" t="str">
        <x:v>+1 / +7 / +21</x:v>
      </x:c>
      <x:c r="L2657" s="14" t="str">
        <x:v>Bugün vadesi gelen eski yanlışları tekrar çöz ve bugünkü yanlışları Yanlış Defteri'ne ekle.</x:v>
      </x:c>
      <x:c r="M2657" s="14" t="str">
        <x:v>Yanlış Defteri</x:v>
      </x:c>
      <x:c r="N2657" s="14" t="str"/>
      <x:c r="O2657" s="14" t="n">
        <x:v>0</x:v>
      </x:c>
      <x:c r="P2657" s="14" t="str">
        <x:v>Hayır</x:v>
      </x:c>
      <x:c r="Q2657" s="14" t="str">
        <x:v>Evet</x:v>
      </x:c>
      <x:c r="R2657" s="14" t="str">
        <x:v>Planlandı</x:v>
      </x:c>
      <x:c r="S2657" s="15" t="str"/>
      <x:c r="T2657" s="14" t="str"/>
    </x:row>
    <x:row r="2658">
      <x:c r="A2658" s="14" t="n">
        <x:v>2657</x:v>
      </x:c>
      <x:c r="B2658" s="15" t="n">
        <x:v>46517</x:v>
      </x:c>
      <x:c r="C2658" s="14" t="str">
        <x:v>Pazartesi</x:v>
      </x:c>
      <x:c r="D2658" s="14" t="str">
        <x:v>Okul Günü</x:v>
      </x:c>
      <x:c r="E2658" s="14" t="str">
        <x:v>16:00 sonrası</x:v>
      </x:c>
      <x:c r="F2658" s="14" t="str">
        <x:v>F4 - 60 Gün / 60 Tam Deneme</x:v>
      </x:c>
      <x:c r="G2658" s="14" t="str">
        <x:v>21:40</x:v>
      </x:c>
      <x:c r="H2658" s="14" t="str">
        <x:v>21:50</x:v>
      </x:c>
      <x:c r="I2658" s="14" t="str">
        <x:v>Okuma</x:v>
      </x:c>
      <x:c r="J2658" s="14" t="str">
        <x:v>İsteğe Bağlı</x:v>
      </x:c>
      <x:c r="K2658" s="14" t="str">
        <x:v>Serbest Kitap</x:v>
      </x:c>
      <x:c r="L2658" s="14" t="str">
        <x:v>Enerji uygunsa kısa isteğe bağlı okuma.</x:v>
      </x:c>
      <x:c r="M2658" s="14" t="str">
        <x:v>Serbest Kitap</x:v>
      </x:c>
      <x:c r="N2658" s="14" t="str"/>
      <x:c r="O2658" s="14" t="n">
        <x:v>0</x:v>
      </x:c>
      <x:c r="P2658" s="14" t="str">
        <x:v>İsteğe Bağlı</x:v>
      </x:c>
      <x:c r="Q2658" s="14" t="str">
        <x:v>Hayır</x:v>
      </x:c>
      <x:c r="R2658" s="14" t="str">
        <x:v>Planlandı</x:v>
      </x:c>
      <x:c r="S2658" s="15" t="str"/>
      <x:c r="T2658" s="14" t="str"/>
    </x:row>
    <x:row r="2659">
      <x:c r="A2659" s="14" t="n">
        <x:v>2658</x:v>
      </x:c>
      <x:c r="B2659" s="15" t="n">
        <x:v>46517</x:v>
      </x:c>
      <x:c r="C2659" s="14" t="str">
        <x:v>Pazartesi</x:v>
      </x:c>
      <x:c r="D2659" s="14" t="str">
        <x:v>Okul Günü</x:v>
      </x:c>
      <x:c r="E2659" s="14" t="str">
        <x:v>16:00 sonrası</x:v>
      </x:c>
      <x:c r="F2659" s="14" t="str">
        <x:v>F4 - 60 Gün / 60 Tam Deneme</x:v>
      </x:c>
      <x:c r="G2659" s="14" t="str">
        <x:v>21:50</x:v>
      </x:c>
      <x:c r="H2659" s="14" t="str">
        <x:v>22:00</x:v>
      </x:c>
      <x:c r="I2659" s="14" t="str">
        <x:v>Genel</x:v>
      </x:c>
      <x:c r="J2659" s="14" t="str">
        <x:v>Uyku Hazırlığı</x:v>
      </x:c>
      <x:c r="K2659" s="14" t="str"/>
      <x:c r="L2659" s="14" t="str">
        <x:v>22:00'de yatakta ve uyku.</x:v>
      </x:c>
      <x:c r="M2659" s="14" t="str"/>
      <x:c r="N2659" s="14" t="str"/>
      <x:c r="O2659" s="14" t="n">
        <x:v>0</x:v>
      </x:c>
      <x:c r="P2659" s="14" t="str">
        <x:v>Hayır</x:v>
      </x:c>
      <x:c r="Q2659" s="14" t="str">
        <x:v>Hayır</x:v>
      </x:c>
      <x:c r="R2659" s="14" t="str">
        <x:v>Planlandı</x:v>
      </x:c>
      <x:c r="S2659" s="15" t="str"/>
      <x:c r="T2659" s="14" t="str"/>
    </x:row>
    <x:row r="2660">
      <x:c r="A2660" s="14" t="n">
        <x:v>2659</x:v>
      </x:c>
      <x:c r="B2660" s="15" t="n">
        <x:v>46518</x:v>
      </x:c>
      <x:c r="C2660" s="14" t="str">
        <x:v>Salı</x:v>
      </x:c>
      <x:c r="D2660" s="14" t="str">
        <x:v>Okul Günü</x:v>
      </x:c>
      <x:c r="E2660" s="14" t="str">
        <x:v>16:00 sonrası</x:v>
      </x:c>
      <x:c r="F2660" s="14" t="str">
        <x:v>F4 - 60 Gün / 60 Tam Deneme</x:v>
      </x:c>
      <x:c r="G2660" s="14" t="str">
        <x:v>16:00</x:v>
      </x:c>
      <x:c r="H2660" s="14" t="str">
        <x:v>16:25</x:v>
      </x:c>
      <x:c r="I2660" s="14" t="str">
        <x:v>Genel</x:v>
      </x:c>
      <x:c r="J2660" s="14" t="str">
        <x:v>Dinlenme</x:v>
      </x:c>
      <x:c r="K2660" s="14" t="str"/>
      <x:c r="L2660" s="14" t="str">
        <x:v>Eve geliş + kısa dinlenme.</x:v>
      </x:c>
      <x:c r="M2660" s="14" t="str"/>
      <x:c r="N2660" s="14" t="str"/>
      <x:c r="O2660" s="14" t="n">
        <x:v>0</x:v>
      </x:c>
      <x:c r="P2660" s="14" t="str">
        <x:v>Hayır</x:v>
      </x:c>
      <x:c r="Q2660" s="14" t="str">
        <x:v>Hayır</x:v>
      </x:c>
      <x:c r="R2660" s="14" t="str">
        <x:v>Planlandı</x:v>
      </x:c>
      <x:c r="S2660" s="15" t="str"/>
      <x:c r="T2660" s="14" t="str"/>
    </x:row>
    <x:row r="2661">
      <x:c r="A2661" s="14" t="n">
        <x:v>2660</x:v>
      </x:c>
      <x:c r="B2661" s="15" t="n">
        <x:v>46518</x:v>
      </x:c>
      <x:c r="C2661" s="14" t="str">
        <x:v>Salı</x:v>
      </x:c>
      <x:c r="D2661" s="14" t="str">
        <x:v>Okul Günü</x:v>
      </x:c>
      <x:c r="E2661" s="14" t="str">
        <x:v>16:00 sonrası</x:v>
      </x:c>
      <x:c r="F2661" s="14" t="str">
        <x:v>F4 - 60 Gün / 60 Tam Deneme</x:v>
      </x:c>
      <x:c r="G2661" s="14" t="str">
        <x:v>16:30</x:v>
      </x:c>
      <x:c r="H2661" s="14" t="str">
        <x:v>17:45</x:v>
      </x:c>
      <x:c r="I2661" s="14" t="str">
        <x:v>Deneme</x:v>
      </x:c>
      <x:c r="J2661" s="14" t="str">
        <x:v>Tam LGS Denemesi - Sözel</x:v>
      </x:c>
      <x:c r="K2661" s="14" t="str">
        <x:v>Deneme 28</x:v>
      </x:c>
      <x:c r="L2661" s="14" t="str">
        <x:v>Deneme 28/60 — Sözel oturum: Türkçe 20 + İnkılap 10 + Din 10 + İngilizce 10. 75 dakika.</x:v>
      </x:c>
      <x:c r="M2661" s="14" t="str">
        <x:v>Tam LGS Denemesi</x:v>
      </x:c>
      <x:c r="N2661" s="14" t="str"/>
      <x:c r="O2661" s="14" t="n">
        <x:v>50</x:v>
      </x:c>
      <x:c r="P2661" s="14" t="str">
        <x:v>75 dk</x:v>
      </x:c>
      <x:c r="Q2661" s="14" t="str">
        <x:v>Evet</x:v>
      </x:c>
      <x:c r="R2661" s="14" t="str">
        <x:v>Planlandı</x:v>
      </x:c>
      <x:c r="S2661" s="15" t="str"/>
      <x:c r="T2661" s="14" t="str">
        <x:v>2026 LGS formatı çalışma referansıdır; 2027 kılavuzu yayımlanırsa güncellenir.</x:v>
      </x:c>
    </x:row>
    <x:row r="2662">
      <x:c r="A2662" s="14" t="n">
        <x:v>2661</x:v>
      </x:c>
      <x:c r="B2662" s="15" t="n">
        <x:v>46518</x:v>
      </x:c>
      <x:c r="C2662" s="14" t="str">
        <x:v>Salı</x:v>
      </x:c>
      <x:c r="D2662" s="14" t="str">
        <x:v>Okul Günü</x:v>
      </x:c>
      <x:c r="E2662" s="14" t="str">
        <x:v>16:00 sonrası</x:v>
      </x:c>
      <x:c r="F2662" s="14" t="str">
        <x:v>F4 - 60 Gün / 60 Tam Deneme</x:v>
      </x:c>
      <x:c r="G2662" s="14" t="str">
        <x:v>17:45</x:v>
      </x:c>
      <x:c r="H2662" s="14" t="str">
        <x:v>18:30</x:v>
      </x:c>
      <x:c r="I2662" s="14" t="str">
        <x:v>Genel</x:v>
      </x:c>
      <x:c r="J2662" s="14" t="str">
        <x:v>Deneme Arası</x:v>
      </x:c>
      <x:c r="K2662" s="14" t="str"/>
      <x:c r="L2662" s="14" t="str">
        <x:v>45 dakika gerçek sınav arası simülasyonu: yemek/su/tuvalet; soru analizi yapma.</x:v>
      </x:c>
      <x:c r="M2662" s="14" t="str"/>
      <x:c r="N2662" s="14" t="str"/>
      <x:c r="O2662" s="14" t="n">
        <x:v>0</x:v>
      </x:c>
      <x:c r="P2662" s="14" t="str">
        <x:v>Hayır</x:v>
      </x:c>
      <x:c r="Q2662" s="14" t="str">
        <x:v>Evet</x:v>
      </x:c>
      <x:c r="R2662" s="14" t="str">
        <x:v>Planlandı</x:v>
      </x:c>
      <x:c r="S2662" s="15" t="str"/>
      <x:c r="T2662" s="14" t="str"/>
    </x:row>
    <x:row r="2663">
      <x:c r="A2663" s="14" t="n">
        <x:v>2662</x:v>
      </x:c>
      <x:c r="B2663" s="15" t="n">
        <x:v>46518</x:v>
      </x:c>
      <x:c r="C2663" s="14" t="str">
        <x:v>Salı</x:v>
      </x:c>
      <x:c r="D2663" s="14" t="str">
        <x:v>Okul Günü</x:v>
      </x:c>
      <x:c r="E2663" s="14" t="str">
        <x:v>16:00 sonrası</x:v>
      </x:c>
      <x:c r="F2663" s="14" t="str">
        <x:v>F4 - 60 Gün / 60 Tam Deneme</x:v>
      </x:c>
      <x:c r="G2663" s="14" t="str">
        <x:v>18:30</x:v>
      </x:c>
      <x:c r="H2663" s="14" t="str">
        <x:v>19:50</x:v>
      </x:c>
      <x:c r="I2663" s="14" t="str">
        <x:v>Deneme</x:v>
      </x:c>
      <x:c r="J2663" s="14" t="str">
        <x:v>Tam LGS Denemesi - Sayısal</x:v>
      </x:c>
      <x:c r="K2663" s="14" t="str">
        <x:v>Deneme 28</x:v>
      </x:c>
      <x:c r="L2663" s="14" t="str">
        <x:v>Deneme 28/60 — Sayısal oturum: Matematik 20 + Fen 20. 80 dakika.</x:v>
      </x:c>
      <x:c r="M2663" s="14" t="str">
        <x:v>Tam LGS Denemesi</x:v>
      </x:c>
      <x:c r="N2663" s="14" t="str"/>
      <x:c r="O2663" s="14" t="n">
        <x:v>40</x:v>
      </x:c>
      <x:c r="P2663" s="14" t="str">
        <x:v>80 dk</x:v>
      </x:c>
      <x:c r="Q2663" s="14" t="str">
        <x:v>Evet</x:v>
      </x:c>
      <x:c r="R2663" s="14" t="str">
        <x:v>Planlandı</x:v>
      </x:c>
      <x:c r="S2663" s="15" t="str"/>
      <x:c r="T2663" s="14" t="str"/>
    </x:row>
    <x:row r="2664">
      <x:c r="A2664" s="14" t="n">
        <x:v>2663</x:v>
      </x:c>
      <x:c r="B2664" s="15" t="n">
        <x:v>46518</x:v>
      </x:c>
      <x:c r="C2664" s="14" t="str">
        <x:v>Salı</x:v>
      </x:c>
      <x:c r="D2664" s="14" t="str">
        <x:v>Okul Günü</x:v>
      </x:c>
      <x:c r="E2664" s="14" t="str">
        <x:v>16:00 sonrası</x:v>
      </x:c>
      <x:c r="F2664" s="14" t="str">
        <x:v>F4 - 60 Gün / 60 Tam Deneme</x:v>
      </x:c>
      <x:c r="G2664" s="14" t="str">
        <x:v>20:00</x:v>
      </x:c>
      <x:c r="H2664" s="14" t="str">
        <x:v>20:45</x:v>
      </x:c>
      <x:c r="I2664" s="14" t="str">
        <x:v>Deneme</x:v>
      </x:c>
      <x:c r="J2664" s="14" t="str">
        <x:v>Deneme Analizi</x:v>
      </x:c>
      <x:c r="K2664" s="14" t="str">
        <x:v>Deneme 28</x:v>
      </x:c>
      <x:c r="L2664" s="14" t="str">
        <x:v>Tüm yanlış/boşları nedenleriyle analiz et; bilgi eksikliği, işlem, dikkat, yanlış okuma veya yorumlama olarak sınıflandır.</x:v>
      </x:c>
      <x:c r="M2664" s="14" t="str">
        <x:v>Deneme Takibi</x:v>
      </x:c>
      <x:c r="N2664" s="14" t="str"/>
      <x:c r="O2664" s="14" t="n">
        <x:v>0</x:v>
      </x:c>
      <x:c r="P2664" s="14" t="str">
        <x:v>Hayır</x:v>
      </x:c>
      <x:c r="Q2664" s="14" t="str">
        <x:v>Evet</x:v>
      </x:c>
      <x:c r="R2664" s="14" t="str">
        <x:v>Planlandı</x:v>
      </x:c>
      <x:c r="S2664" s="15" t="str"/>
      <x:c r="T2664" s="14" t="str">
        <x:v>Deneme çözülüp analiz edilmediyse gün tamamlanmış sayılmaz.</x:v>
      </x:c>
    </x:row>
    <x:row r="2665">
      <x:c r="A2665" s="14" t="n">
        <x:v>2664</x:v>
      </x:c>
      <x:c r="B2665" s="15" t="n">
        <x:v>46518</x:v>
      </x:c>
      <x:c r="C2665" s="14" t="str">
        <x:v>Salı</x:v>
      </x:c>
      <x:c r="D2665" s="14" t="str">
        <x:v>Okul Günü</x:v>
      </x:c>
      <x:c r="E2665" s="14" t="str">
        <x:v>16:00 sonrası</x:v>
      </x:c>
      <x:c r="F2665" s="14" t="str">
        <x:v>F4 - 60 Gün / 60 Tam Deneme</x:v>
      </x:c>
      <x:c r="G2665" s="14" t="str">
        <x:v>20:50</x:v>
      </x:c>
      <x:c r="H2665" s="14" t="str">
        <x:v>21:25</x:v>
      </x:c>
      <x:c r="I2665" s="14" t="str">
        <x:v>Genel</x:v>
      </x:c>
      <x:c r="J2665" s="14" t="str">
        <x:v>Hedefli Eksik Giderme</x:v>
      </x:c>
      <x:c r="K2665" s="14" t="str">
        <x:v>Denemeden Gelen Eksikler</x:v>
      </x:c>
      <x:c r="L2665" s="14" t="str">
        <x:v>Denemenin gösterdiği en kritik 1-3 eksiği gider: gerekirse ilgili playlist videosuna kısa dönüş + hedefli soru çözümü.</x:v>
      </x:c>
      <x:c r="M2665" s="14" t="str">
        <x:v>Playlist + Soru Kitabı + MEB</x:v>
      </x:c>
      <x:c r="N2665" s="14" t="str"/>
      <x:c r="O2665" s="14" t="n">
        <x:v>0</x:v>
      </x:c>
      <x:c r="P2665" s="14" t="str">
        <x:v>Hayır</x:v>
      </x:c>
      <x:c r="Q2665" s="14" t="str">
        <x:v>Evet</x:v>
      </x:c>
      <x:c r="R2665" s="14" t="str">
        <x:v>Planlandı</x:v>
      </x:c>
      <x:c r="S2665" s="15" t="str"/>
      <x:c r="T2665" s="14" t="str">
        <x:v>Yeni konu açılmaz; yalnız denemenin kanıtladığı eksiğe müdahale edilir.</x:v>
      </x:c>
    </x:row>
    <x:row r="2666">
      <x:c r="A2666" s="14" t="n">
        <x:v>2665</x:v>
      </x:c>
      <x:c r="B2666" s="15" t="n">
        <x:v>46518</x:v>
      </x:c>
      <x:c r="C2666" s="14" t="str">
        <x:v>Salı</x:v>
      </x:c>
      <x:c r="D2666" s="14" t="str">
        <x:v>Okul Günü</x:v>
      </x:c>
      <x:c r="E2666" s="14" t="str">
        <x:v>16:00 sonrası</x:v>
      </x:c>
      <x:c r="F2666" s="14" t="str">
        <x:v>F4 - 60 Gün / 60 Tam Deneme</x:v>
      </x:c>
      <x:c r="G2666" s="14" t="str">
        <x:v>21:25</x:v>
      </x:c>
      <x:c r="H2666" s="14" t="str">
        <x:v>21:40</x:v>
      </x:c>
      <x:c r="I2666" s="14" t="str">
        <x:v>Genel</x:v>
      </x:c>
      <x:c r="J2666" s="14" t="str">
        <x:v>Aralıklı Hata Tekrarı</x:v>
      </x:c>
      <x:c r="K2666" s="14" t="str">
        <x:v>+1 / +7 / +21</x:v>
      </x:c>
      <x:c r="L2666" s="14" t="str">
        <x:v>Bugün vadesi gelen eski yanlışları tekrar çöz ve bugünkü yanlışları Yanlış Defteri'ne ekle.</x:v>
      </x:c>
      <x:c r="M2666" s="14" t="str">
        <x:v>Yanlış Defteri</x:v>
      </x:c>
      <x:c r="N2666" s="14" t="str"/>
      <x:c r="O2666" s="14" t="n">
        <x:v>0</x:v>
      </x:c>
      <x:c r="P2666" s="14" t="str">
        <x:v>Hayır</x:v>
      </x:c>
      <x:c r="Q2666" s="14" t="str">
        <x:v>Evet</x:v>
      </x:c>
      <x:c r="R2666" s="14" t="str">
        <x:v>Planlandı</x:v>
      </x:c>
      <x:c r="S2666" s="15" t="str"/>
      <x:c r="T2666" s="14" t="str"/>
    </x:row>
    <x:row r="2667">
      <x:c r="A2667" s="14" t="n">
        <x:v>2666</x:v>
      </x:c>
      <x:c r="B2667" s="15" t="n">
        <x:v>46518</x:v>
      </x:c>
      <x:c r="C2667" s="14" t="str">
        <x:v>Salı</x:v>
      </x:c>
      <x:c r="D2667" s="14" t="str">
        <x:v>Okul Günü</x:v>
      </x:c>
      <x:c r="E2667" s="14" t="str">
        <x:v>16:00 sonrası</x:v>
      </x:c>
      <x:c r="F2667" s="14" t="str">
        <x:v>F4 - 60 Gün / 60 Tam Deneme</x:v>
      </x:c>
      <x:c r="G2667" s="14" t="str">
        <x:v>21:40</x:v>
      </x:c>
      <x:c r="H2667" s="14" t="str">
        <x:v>21:50</x:v>
      </x:c>
      <x:c r="I2667" s="14" t="str">
        <x:v>Okuma</x:v>
      </x:c>
      <x:c r="J2667" s="14" t="str">
        <x:v>İsteğe Bağlı</x:v>
      </x:c>
      <x:c r="K2667" s="14" t="str">
        <x:v>Serbest Kitap</x:v>
      </x:c>
      <x:c r="L2667" s="14" t="str">
        <x:v>Enerji uygunsa kısa isteğe bağlı okuma.</x:v>
      </x:c>
      <x:c r="M2667" s="14" t="str">
        <x:v>Serbest Kitap</x:v>
      </x:c>
      <x:c r="N2667" s="14" t="str"/>
      <x:c r="O2667" s="14" t="n">
        <x:v>0</x:v>
      </x:c>
      <x:c r="P2667" s="14" t="str">
        <x:v>İsteğe Bağlı</x:v>
      </x:c>
      <x:c r="Q2667" s="14" t="str">
        <x:v>Hayır</x:v>
      </x:c>
      <x:c r="R2667" s="14" t="str">
        <x:v>Planlandı</x:v>
      </x:c>
      <x:c r="S2667" s="15" t="str"/>
      <x:c r="T2667" s="14" t="str"/>
    </x:row>
    <x:row r="2668">
      <x:c r="A2668" s="14" t="n">
        <x:v>2667</x:v>
      </x:c>
      <x:c r="B2668" s="15" t="n">
        <x:v>46518</x:v>
      </x:c>
      <x:c r="C2668" s="14" t="str">
        <x:v>Salı</x:v>
      </x:c>
      <x:c r="D2668" s="14" t="str">
        <x:v>Okul Günü</x:v>
      </x:c>
      <x:c r="E2668" s="14" t="str">
        <x:v>16:00 sonrası</x:v>
      </x:c>
      <x:c r="F2668" s="14" t="str">
        <x:v>F4 - 60 Gün / 60 Tam Deneme</x:v>
      </x:c>
      <x:c r="G2668" s="14" t="str">
        <x:v>21:50</x:v>
      </x:c>
      <x:c r="H2668" s="14" t="str">
        <x:v>22:00</x:v>
      </x:c>
      <x:c r="I2668" s="14" t="str">
        <x:v>Genel</x:v>
      </x:c>
      <x:c r="J2668" s="14" t="str">
        <x:v>Uyku Hazırlığı</x:v>
      </x:c>
      <x:c r="K2668" s="14" t="str"/>
      <x:c r="L2668" s="14" t="str">
        <x:v>22:00'de yatakta ve uyku.</x:v>
      </x:c>
      <x:c r="M2668" s="14" t="str"/>
      <x:c r="N2668" s="14" t="str"/>
      <x:c r="O2668" s="14" t="n">
        <x:v>0</x:v>
      </x:c>
      <x:c r="P2668" s="14" t="str">
        <x:v>Hayır</x:v>
      </x:c>
      <x:c r="Q2668" s="14" t="str">
        <x:v>Hayır</x:v>
      </x:c>
      <x:c r="R2668" s="14" t="str">
        <x:v>Planlandı</x:v>
      </x:c>
      <x:c r="S2668" s="15" t="str"/>
      <x:c r="T2668" s="14" t="str"/>
    </x:row>
    <x:row r="2669">
      <x:c r="A2669" s="14" t="n">
        <x:v>2668</x:v>
      </x:c>
      <x:c r="B2669" s="15" t="n">
        <x:v>46519</x:v>
      </x:c>
      <x:c r="C2669" s="14" t="str">
        <x:v>Çarşamba</x:v>
      </x:c>
      <x:c r="D2669" s="14" t="str">
        <x:v>Okul Günü</x:v>
      </x:c>
      <x:c r="E2669" s="14" t="str">
        <x:v>16:00 sonrası</x:v>
      </x:c>
      <x:c r="F2669" s="14" t="str">
        <x:v>F4 - 60 Gün / 60 Tam Deneme</x:v>
      </x:c>
      <x:c r="G2669" s="14" t="str">
        <x:v>16:00</x:v>
      </x:c>
      <x:c r="H2669" s="14" t="str">
        <x:v>16:25</x:v>
      </x:c>
      <x:c r="I2669" s="14" t="str">
        <x:v>Genel</x:v>
      </x:c>
      <x:c r="J2669" s="14" t="str">
        <x:v>Dinlenme</x:v>
      </x:c>
      <x:c r="K2669" s="14" t="str"/>
      <x:c r="L2669" s="14" t="str">
        <x:v>Eve geliş + kısa dinlenme.</x:v>
      </x:c>
      <x:c r="M2669" s="14" t="str"/>
      <x:c r="N2669" s="14" t="str"/>
      <x:c r="O2669" s="14" t="n">
        <x:v>0</x:v>
      </x:c>
      <x:c r="P2669" s="14" t="str">
        <x:v>Hayır</x:v>
      </x:c>
      <x:c r="Q2669" s="14" t="str">
        <x:v>Hayır</x:v>
      </x:c>
      <x:c r="R2669" s="14" t="str">
        <x:v>Planlandı</x:v>
      </x:c>
      <x:c r="S2669" s="15" t="str"/>
      <x:c r="T2669" s="14" t="str"/>
    </x:row>
    <x:row r="2670">
      <x:c r="A2670" s="14" t="n">
        <x:v>2669</x:v>
      </x:c>
      <x:c r="B2670" s="15" t="n">
        <x:v>46519</x:v>
      </x:c>
      <x:c r="C2670" s="14" t="str">
        <x:v>Çarşamba</x:v>
      </x:c>
      <x:c r="D2670" s="14" t="str">
        <x:v>Okul Günü</x:v>
      </x:c>
      <x:c r="E2670" s="14" t="str">
        <x:v>16:00 sonrası</x:v>
      </x:c>
      <x:c r="F2670" s="14" t="str">
        <x:v>F4 - 60 Gün / 60 Tam Deneme</x:v>
      </x:c>
      <x:c r="G2670" s="14" t="str">
        <x:v>16:30</x:v>
      </x:c>
      <x:c r="H2670" s="14" t="str">
        <x:v>17:45</x:v>
      </x:c>
      <x:c r="I2670" s="14" t="str">
        <x:v>Deneme</x:v>
      </x:c>
      <x:c r="J2670" s="14" t="str">
        <x:v>Tam LGS Denemesi - Sözel</x:v>
      </x:c>
      <x:c r="K2670" s="14" t="str">
        <x:v>Deneme 29</x:v>
      </x:c>
      <x:c r="L2670" s="14" t="str">
        <x:v>Deneme 29/60 — Sözel oturum: Türkçe 20 + İnkılap 10 + Din 10 + İngilizce 10. 75 dakika.</x:v>
      </x:c>
      <x:c r="M2670" s="14" t="str">
        <x:v>Tam LGS Denemesi</x:v>
      </x:c>
      <x:c r="N2670" s="14" t="str"/>
      <x:c r="O2670" s="14" t="n">
        <x:v>50</x:v>
      </x:c>
      <x:c r="P2670" s="14" t="str">
        <x:v>75 dk</x:v>
      </x:c>
      <x:c r="Q2670" s="14" t="str">
        <x:v>Evet</x:v>
      </x:c>
      <x:c r="R2670" s="14" t="str">
        <x:v>Planlandı</x:v>
      </x:c>
      <x:c r="S2670" s="15" t="str"/>
      <x:c r="T2670" s="14" t="str">
        <x:v>2026 LGS formatı çalışma referansıdır; 2027 kılavuzu yayımlanırsa güncellenir.</x:v>
      </x:c>
    </x:row>
    <x:row r="2671">
      <x:c r="A2671" s="14" t="n">
        <x:v>2670</x:v>
      </x:c>
      <x:c r="B2671" s="15" t="n">
        <x:v>46519</x:v>
      </x:c>
      <x:c r="C2671" s="14" t="str">
        <x:v>Çarşamba</x:v>
      </x:c>
      <x:c r="D2671" s="14" t="str">
        <x:v>Okul Günü</x:v>
      </x:c>
      <x:c r="E2671" s="14" t="str">
        <x:v>16:00 sonrası</x:v>
      </x:c>
      <x:c r="F2671" s="14" t="str">
        <x:v>F4 - 60 Gün / 60 Tam Deneme</x:v>
      </x:c>
      <x:c r="G2671" s="14" t="str">
        <x:v>17:45</x:v>
      </x:c>
      <x:c r="H2671" s="14" t="str">
        <x:v>18:30</x:v>
      </x:c>
      <x:c r="I2671" s="14" t="str">
        <x:v>Genel</x:v>
      </x:c>
      <x:c r="J2671" s="14" t="str">
        <x:v>Deneme Arası</x:v>
      </x:c>
      <x:c r="K2671" s="14" t="str"/>
      <x:c r="L2671" s="14" t="str">
        <x:v>45 dakika gerçek sınav arası simülasyonu: yemek/su/tuvalet; soru analizi yapma.</x:v>
      </x:c>
      <x:c r="M2671" s="14" t="str"/>
      <x:c r="N2671" s="14" t="str"/>
      <x:c r="O2671" s="14" t="n">
        <x:v>0</x:v>
      </x:c>
      <x:c r="P2671" s="14" t="str">
        <x:v>Hayır</x:v>
      </x:c>
      <x:c r="Q2671" s="14" t="str">
        <x:v>Evet</x:v>
      </x:c>
      <x:c r="R2671" s="14" t="str">
        <x:v>Planlandı</x:v>
      </x:c>
      <x:c r="S2671" s="15" t="str"/>
      <x:c r="T2671" s="14" t="str"/>
    </x:row>
    <x:row r="2672">
      <x:c r="A2672" s="14" t="n">
        <x:v>2671</x:v>
      </x:c>
      <x:c r="B2672" s="15" t="n">
        <x:v>46519</x:v>
      </x:c>
      <x:c r="C2672" s="14" t="str">
        <x:v>Çarşamba</x:v>
      </x:c>
      <x:c r="D2672" s="14" t="str">
        <x:v>Okul Günü</x:v>
      </x:c>
      <x:c r="E2672" s="14" t="str">
        <x:v>16:00 sonrası</x:v>
      </x:c>
      <x:c r="F2672" s="14" t="str">
        <x:v>F4 - 60 Gün / 60 Tam Deneme</x:v>
      </x:c>
      <x:c r="G2672" s="14" t="str">
        <x:v>18:30</x:v>
      </x:c>
      <x:c r="H2672" s="14" t="str">
        <x:v>19:50</x:v>
      </x:c>
      <x:c r="I2672" s="14" t="str">
        <x:v>Deneme</x:v>
      </x:c>
      <x:c r="J2672" s="14" t="str">
        <x:v>Tam LGS Denemesi - Sayısal</x:v>
      </x:c>
      <x:c r="K2672" s="14" t="str">
        <x:v>Deneme 29</x:v>
      </x:c>
      <x:c r="L2672" s="14" t="str">
        <x:v>Deneme 29/60 — Sayısal oturum: Matematik 20 + Fen 20. 80 dakika.</x:v>
      </x:c>
      <x:c r="M2672" s="14" t="str">
        <x:v>Tam LGS Denemesi</x:v>
      </x:c>
      <x:c r="N2672" s="14" t="str"/>
      <x:c r="O2672" s="14" t="n">
        <x:v>40</x:v>
      </x:c>
      <x:c r="P2672" s="14" t="str">
        <x:v>80 dk</x:v>
      </x:c>
      <x:c r="Q2672" s="14" t="str">
        <x:v>Evet</x:v>
      </x:c>
      <x:c r="R2672" s="14" t="str">
        <x:v>Planlandı</x:v>
      </x:c>
      <x:c r="S2672" s="15" t="str"/>
      <x:c r="T2672" s="14" t="str"/>
    </x:row>
    <x:row r="2673">
      <x:c r="A2673" s="14" t="n">
        <x:v>2672</x:v>
      </x:c>
      <x:c r="B2673" s="15" t="n">
        <x:v>46519</x:v>
      </x:c>
      <x:c r="C2673" s="14" t="str">
        <x:v>Çarşamba</x:v>
      </x:c>
      <x:c r="D2673" s="14" t="str">
        <x:v>Okul Günü</x:v>
      </x:c>
      <x:c r="E2673" s="14" t="str">
        <x:v>16:00 sonrası</x:v>
      </x:c>
      <x:c r="F2673" s="14" t="str">
        <x:v>F4 - 60 Gün / 60 Tam Deneme</x:v>
      </x:c>
      <x:c r="G2673" s="14" t="str">
        <x:v>20:00</x:v>
      </x:c>
      <x:c r="H2673" s="14" t="str">
        <x:v>20:45</x:v>
      </x:c>
      <x:c r="I2673" s="14" t="str">
        <x:v>Deneme</x:v>
      </x:c>
      <x:c r="J2673" s="14" t="str">
        <x:v>Deneme Analizi</x:v>
      </x:c>
      <x:c r="K2673" s="14" t="str">
        <x:v>Deneme 29</x:v>
      </x:c>
      <x:c r="L2673" s="14" t="str">
        <x:v>Tüm yanlış/boşları nedenleriyle analiz et; bilgi eksikliği, işlem, dikkat, yanlış okuma veya yorumlama olarak sınıflandır.</x:v>
      </x:c>
      <x:c r="M2673" s="14" t="str">
        <x:v>Deneme Takibi</x:v>
      </x:c>
      <x:c r="N2673" s="14" t="str"/>
      <x:c r="O2673" s="14" t="n">
        <x:v>0</x:v>
      </x:c>
      <x:c r="P2673" s="14" t="str">
        <x:v>Hayır</x:v>
      </x:c>
      <x:c r="Q2673" s="14" t="str">
        <x:v>Evet</x:v>
      </x:c>
      <x:c r="R2673" s="14" t="str">
        <x:v>Planlandı</x:v>
      </x:c>
      <x:c r="S2673" s="15" t="str"/>
      <x:c r="T2673" s="14" t="str">
        <x:v>Deneme çözülüp analiz edilmediyse gün tamamlanmış sayılmaz.</x:v>
      </x:c>
    </x:row>
    <x:row r="2674">
      <x:c r="A2674" s="14" t="n">
        <x:v>2673</x:v>
      </x:c>
      <x:c r="B2674" s="15" t="n">
        <x:v>46519</x:v>
      </x:c>
      <x:c r="C2674" s="14" t="str">
        <x:v>Çarşamba</x:v>
      </x:c>
      <x:c r="D2674" s="14" t="str">
        <x:v>Okul Günü</x:v>
      </x:c>
      <x:c r="E2674" s="14" t="str">
        <x:v>16:00 sonrası</x:v>
      </x:c>
      <x:c r="F2674" s="14" t="str">
        <x:v>F4 - 60 Gün / 60 Tam Deneme</x:v>
      </x:c>
      <x:c r="G2674" s="14" t="str">
        <x:v>20:50</x:v>
      </x:c>
      <x:c r="H2674" s="14" t="str">
        <x:v>21:25</x:v>
      </x:c>
      <x:c r="I2674" s="14" t="str">
        <x:v>Genel</x:v>
      </x:c>
      <x:c r="J2674" s="14" t="str">
        <x:v>Hedefli Eksik Giderme</x:v>
      </x:c>
      <x:c r="K2674" s="14" t="str">
        <x:v>Denemeden Gelen Eksikler</x:v>
      </x:c>
      <x:c r="L2674" s="14" t="str">
        <x:v>Denemenin gösterdiği en kritik 1-3 eksiği gider: gerekirse ilgili playlist videosuna kısa dönüş + hedefli soru çözümü.</x:v>
      </x:c>
      <x:c r="M2674" s="14" t="str">
        <x:v>Playlist + Soru Kitabı + MEB</x:v>
      </x:c>
      <x:c r="N2674" s="14" t="str"/>
      <x:c r="O2674" s="14" t="n">
        <x:v>0</x:v>
      </x:c>
      <x:c r="P2674" s="14" t="str">
        <x:v>Hayır</x:v>
      </x:c>
      <x:c r="Q2674" s="14" t="str">
        <x:v>Evet</x:v>
      </x:c>
      <x:c r="R2674" s="14" t="str">
        <x:v>Planlandı</x:v>
      </x:c>
      <x:c r="S2674" s="15" t="str"/>
      <x:c r="T2674" s="14" t="str">
        <x:v>Yeni konu açılmaz; yalnız denemenin kanıtladığı eksiğe müdahale edilir.</x:v>
      </x:c>
    </x:row>
    <x:row r="2675">
      <x:c r="A2675" s="14" t="n">
        <x:v>2674</x:v>
      </x:c>
      <x:c r="B2675" s="15" t="n">
        <x:v>46519</x:v>
      </x:c>
      <x:c r="C2675" s="14" t="str">
        <x:v>Çarşamba</x:v>
      </x:c>
      <x:c r="D2675" s="14" t="str">
        <x:v>Okul Günü</x:v>
      </x:c>
      <x:c r="E2675" s="14" t="str">
        <x:v>16:00 sonrası</x:v>
      </x:c>
      <x:c r="F2675" s="14" t="str">
        <x:v>F4 - 60 Gün / 60 Tam Deneme</x:v>
      </x:c>
      <x:c r="G2675" s="14" t="str">
        <x:v>21:25</x:v>
      </x:c>
      <x:c r="H2675" s="14" t="str">
        <x:v>21:40</x:v>
      </x:c>
      <x:c r="I2675" s="14" t="str">
        <x:v>Genel</x:v>
      </x:c>
      <x:c r="J2675" s="14" t="str">
        <x:v>Aralıklı Hata Tekrarı</x:v>
      </x:c>
      <x:c r="K2675" s="14" t="str">
        <x:v>+1 / +7 / +21</x:v>
      </x:c>
      <x:c r="L2675" s="14" t="str">
        <x:v>Bugün vadesi gelen eski yanlışları tekrar çöz ve bugünkü yanlışları Yanlış Defteri'ne ekle.</x:v>
      </x:c>
      <x:c r="M2675" s="14" t="str">
        <x:v>Yanlış Defteri</x:v>
      </x:c>
      <x:c r="N2675" s="14" t="str"/>
      <x:c r="O2675" s="14" t="n">
        <x:v>0</x:v>
      </x:c>
      <x:c r="P2675" s="14" t="str">
        <x:v>Hayır</x:v>
      </x:c>
      <x:c r="Q2675" s="14" t="str">
        <x:v>Evet</x:v>
      </x:c>
      <x:c r="R2675" s="14" t="str">
        <x:v>Planlandı</x:v>
      </x:c>
      <x:c r="S2675" s="15" t="str"/>
      <x:c r="T2675" s="14" t="str"/>
    </x:row>
    <x:row r="2676">
      <x:c r="A2676" s="14" t="n">
        <x:v>2675</x:v>
      </x:c>
      <x:c r="B2676" s="15" t="n">
        <x:v>46519</x:v>
      </x:c>
      <x:c r="C2676" s="14" t="str">
        <x:v>Çarşamba</x:v>
      </x:c>
      <x:c r="D2676" s="14" t="str">
        <x:v>Okul Günü</x:v>
      </x:c>
      <x:c r="E2676" s="14" t="str">
        <x:v>16:00 sonrası</x:v>
      </x:c>
      <x:c r="F2676" s="14" t="str">
        <x:v>F4 - 60 Gün / 60 Tam Deneme</x:v>
      </x:c>
      <x:c r="G2676" s="14" t="str">
        <x:v>21:40</x:v>
      </x:c>
      <x:c r="H2676" s="14" t="str">
        <x:v>21:50</x:v>
      </x:c>
      <x:c r="I2676" s="14" t="str">
        <x:v>Okuma</x:v>
      </x:c>
      <x:c r="J2676" s="14" t="str">
        <x:v>İsteğe Bağlı</x:v>
      </x:c>
      <x:c r="K2676" s="14" t="str">
        <x:v>Serbest Kitap</x:v>
      </x:c>
      <x:c r="L2676" s="14" t="str">
        <x:v>Enerji uygunsa kısa isteğe bağlı okuma.</x:v>
      </x:c>
      <x:c r="M2676" s="14" t="str">
        <x:v>Serbest Kitap</x:v>
      </x:c>
      <x:c r="N2676" s="14" t="str"/>
      <x:c r="O2676" s="14" t="n">
        <x:v>0</x:v>
      </x:c>
      <x:c r="P2676" s="14" t="str">
        <x:v>İsteğe Bağlı</x:v>
      </x:c>
      <x:c r="Q2676" s="14" t="str">
        <x:v>Hayır</x:v>
      </x:c>
      <x:c r="R2676" s="14" t="str">
        <x:v>Planlandı</x:v>
      </x:c>
      <x:c r="S2676" s="15" t="str"/>
      <x:c r="T2676" s="14" t="str"/>
    </x:row>
    <x:row r="2677">
      <x:c r="A2677" s="14" t="n">
        <x:v>2676</x:v>
      </x:c>
      <x:c r="B2677" s="15" t="n">
        <x:v>46519</x:v>
      </x:c>
      <x:c r="C2677" s="14" t="str">
        <x:v>Çarşamba</x:v>
      </x:c>
      <x:c r="D2677" s="14" t="str">
        <x:v>Okul Günü</x:v>
      </x:c>
      <x:c r="E2677" s="14" t="str">
        <x:v>16:00 sonrası</x:v>
      </x:c>
      <x:c r="F2677" s="14" t="str">
        <x:v>F4 - 60 Gün / 60 Tam Deneme</x:v>
      </x:c>
      <x:c r="G2677" s="14" t="str">
        <x:v>21:50</x:v>
      </x:c>
      <x:c r="H2677" s="14" t="str">
        <x:v>22:00</x:v>
      </x:c>
      <x:c r="I2677" s="14" t="str">
        <x:v>Genel</x:v>
      </x:c>
      <x:c r="J2677" s="14" t="str">
        <x:v>Uyku Hazırlığı</x:v>
      </x:c>
      <x:c r="K2677" s="14" t="str"/>
      <x:c r="L2677" s="14" t="str">
        <x:v>22:00'de yatakta ve uyku.</x:v>
      </x:c>
      <x:c r="M2677" s="14" t="str"/>
      <x:c r="N2677" s="14" t="str"/>
      <x:c r="O2677" s="14" t="n">
        <x:v>0</x:v>
      </x:c>
      <x:c r="P2677" s="14" t="str">
        <x:v>Hayır</x:v>
      </x:c>
      <x:c r="Q2677" s="14" t="str">
        <x:v>Hayır</x:v>
      </x:c>
      <x:c r="R2677" s="14" t="str">
        <x:v>Planlandı</x:v>
      </x:c>
      <x:c r="S2677" s="15" t="str"/>
      <x:c r="T2677" s="14" t="str"/>
    </x:row>
    <x:row r="2678">
      <x:c r="A2678" s="14" t="n">
        <x:v>2677</x:v>
      </x:c>
      <x:c r="B2678" s="15" t="n">
        <x:v>46520</x:v>
      </x:c>
      <x:c r="C2678" s="14" t="str">
        <x:v>Perşembe</x:v>
      </x:c>
      <x:c r="D2678" s="14" t="str">
        <x:v>Okul Günü</x:v>
      </x:c>
      <x:c r="E2678" s="14" t="str">
        <x:v>16:00 sonrası</x:v>
      </x:c>
      <x:c r="F2678" s="14" t="str">
        <x:v>F4 - 60 Gün / 60 Tam Deneme</x:v>
      </x:c>
      <x:c r="G2678" s="14" t="str">
        <x:v>16:00</x:v>
      </x:c>
      <x:c r="H2678" s="14" t="str">
        <x:v>16:25</x:v>
      </x:c>
      <x:c r="I2678" s="14" t="str">
        <x:v>Genel</x:v>
      </x:c>
      <x:c r="J2678" s="14" t="str">
        <x:v>Dinlenme</x:v>
      </x:c>
      <x:c r="K2678" s="14" t="str"/>
      <x:c r="L2678" s="14" t="str">
        <x:v>Eve geliş + kısa dinlenme.</x:v>
      </x:c>
      <x:c r="M2678" s="14" t="str"/>
      <x:c r="N2678" s="14" t="str"/>
      <x:c r="O2678" s="14" t="n">
        <x:v>0</x:v>
      </x:c>
      <x:c r="P2678" s="14" t="str">
        <x:v>Hayır</x:v>
      </x:c>
      <x:c r="Q2678" s="14" t="str">
        <x:v>Hayır</x:v>
      </x:c>
      <x:c r="R2678" s="14" t="str">
        <x:v>Planlandı</x:v>
      </x:c>
      <x:c r="S2678" s="15" t="str"/>
      <x:c r="T2678" s="14" t="str"/>
    </x:row>
    <x:row r="2679">
      <x:c r="A2679" s="14" t="n">
        <x:v>2678</x:v>
      </x:c>
      <x:c r="B2679" s="15" t="n">
        <x:v>46520</x:v>
      </x:c>
      <x:c r="C2679" s="14" t="str">
        <x:v>Perşembe</x:v>
      </x:c>
      <x:c r="D2679" s="14" t="str">
        <x:v>Okul Günü</x:v>
      </x:c>
      <x:c r="E2679" s="14" t="str">
        <x:v>16:00 sonrası</x:v>
      </x:c>
      <x:c r="F2679" s="14" t="str">
        <x:v>F4 - 60 Gün / 60 Tam Deneme</x:v>
      </x:c>
      <x:c r="G2679" s="14" t="str">
        <x:v>16:30</x:v>
      </x:c>
      <x:c r="H2679" s="14" t="str">
        <x:v>17:45</x:v>
      </x:c>
      <x:c r="I2679" s="14" t="str">
        <x:v>Deneme</x:v>
      </x:c>
      <x:c r="J2679" s="14" t="str">
        <x:v>Tam LGS Denemesi - Sözel</x:v>
      </x:c>
      <x:c r="K2679" s="14" t="str">
        <x:v>Deneme 30</x:v>
      </x:c>
      <x:c r="L2679" s="14" t="str">
        <x:v>Deneme 30/60 — Sözel oturum: Türkçe 20 + İnkılap 10 + Din 10 + İngilizce 10. 75 dakika.</x:v>
      </x:c>
      <x:c r="M2679" s="14" t="str">
        <x:v>Tam LGS Denemesi</x:v>
      </x:c>
      <x:c r="N2679" s="14" t="str"/>
      <x:c r="O2679" s="14" t="n">
        <x:v>50</x:v>
      </x:c>
      <x:c r="P2679" s="14" t="str">
        <x:v>75 dk</x:v>
      </x:c>
      <x:c r="Q2679" s="14" t="str">
        <x:v>Evet</x:v>
      </x:c>
      <x:c r="R2679" s="14" t="str">
        <x:v>Planlandı</x:v>
      </x:c>
      <x:c r="S2679" s="15" t="str"/>
      <x:c r="T2679" s="14" t="str">
        <x:v>2026 LGS formatı çalışma referansıdır; 2027 kılavuzu yayımlanırsa güncellenir.</x:v>
      </x:c>
    </x:row>
    <x:row r="2680">
      <x:c r="A2680" s="14" t="n">
        <x:v>2679</x:v>
      </x:c>
      <x:c r="B2680" s="15" t="n">
        <x:v>46520</x:v>
      </x:c>
      <x:c r="C2680" s="14" t="str">
        <x:v>Perşembe</x:v>
      </x:c>
      <x:c r="D2680" s="14" t="str">
        <x:v>Okul Günü</x:v>
      </x:c>
      <x:c r="E2680" s="14" t="str">
        <x:v>16:00 sonrası</x:v>
      </x:c>
      <x:c r="F2680" s="14" t="str">
        <x:v>F4 - 60 Gün / 60 Tam Deneme</x:v>
      </x:c>
      <x:c r="G2680" s="14" t="str">
        <x:v>17:45</x:v>
      </x:c>
      <x:c r="H2680" s="14" t="str">
        <x:v>18:30</x:v>
      </x:c>
      <x:c r="I2680" s="14" t="str">
        <x:v>Genel</x:v>
      </x:c>
      <x:c r="J2680" s="14" t="str">
        <x:v>Deneme Arası</x:v>
      </x:c>
      <x:c r="K2680" s="14" t="str"/>
      <x:c r="L2680" s="14" t="str">
        <x:v>45 dakika gerçek sınav arası simülasyonu: yemek/su/tuvalet; soru analizi yapma.</x:v>
      </x:c>
      <x:c r="M2680" s="14" t="str"/>
      <x:c r="N2680" s="14" t="str"/>
      <x:c r="O2680" s="14" t="n">
        <x:v>0</x:v>
      </x:c>
      <x:c r="P2680" s="14" t="str">
        <x:v>Hayır</x:v>
      </x:c>
      <x:c r="Q2680" s="14" t="str">
        <x:v>Evet</x:v>
      </x:c>
      <x:c r="R2680" s="14" t="str">
        <x:v>Planlandı</x:v>
      </x:c>
      <x:c r="S2680" s="15" t="str"/>
      <x:c r="T2680" s="14" t="str"/>
    </x:row>
    <x:row r="2681">
      <x:c r="A2681" s="14" t="n">
        <x:v>2680</x:v>
      </x:c>
      <x:c r="B2681" s="15" t="n">
        <x:v>46520</x:v>
      </x:c>
      <x:c r="C2681" s="14" t="str">
        <x:v>Perşembe</x:v>
      </x:c>
      <x:c r="D2681" s="14" t="str">
        <x:v>Okul Günü</x:v>
      </x:c>
      <x:c r="E2681" s="14" t="str">
        <x:v>16:00 sonrası</x:v>
      </x:c>
      <x:c r="F2681" s="14" t="str">
        <x:v>F4 - 60 Gün / 60 Tam Deneme</x:v>
      </x:c>
      <x:c r="G2681" s="14" t="str">
        <x:v>18:30</x:v>
      </x:c>
      <x:c r="H2681" s="14" t="str">
        <x:v>19:50</x:v>
      </x:c>
      <x:c r="I2681" s="14" t="str">
        <x:v>Deneme</x:v>
      </x:c>
      <x:c r="J2681" s="14" t="str">
        <x:v>Tam LGS Denemesi - Sayısal</x:v>
      </x:c>
      <x:c r="K2681" s="14" t="str">
        <x:v>Deneme 30</x:v>
      </x:c>
      <x:c r="L2681" s="14" t="str">
        <x:v>Deneme 30/60 — Sayısal oturum: Matematik 20 + Fen 20. 80 dakika.</x:v>
      </x:c>
      <x:c r="M2681" s="14" t="str">
        <x:v>Tam LGS Denemesi</x:v>
      </x:c>
      <x:c r="N2681" s="14" t="str"/>
      <x:c r="O2681" s="14" t="n">
        <x:v>40</x:v>
      </x:c>
      <x:c r="P2681" s="14" t="str">
        <x:v>80 dk</x:v>
      </x:c>
      <x:c r="Q2681" s="14" t="str">
        <x:v>Evet</x:v>
      </x:c>
      <x:c r="R2681" s="14" t="str">
        <x:v>Planlandı</x:v>
      </x:c>
      <x:c r="S2681" s="15" t="str"/>
      <x:c r="T2681" s="14" t="str"/>
    </x:row>
    <x:row r="2682">
      <x:c r="A2682" s="14" t="n">
        <x:v>2681</x:v>
      </x:c>
      <x:c r="B2682" s="15" t="n">
        <x:v>46520</x:v>
      </x:c>
      <x:c r="C2682" s="14" t="str">
        <x:v>Perşembe</x:v>
      </x:c>
      <x:c r="D2682" s="14" t="str">
        <x:v>Okul Günü</x:v>
      </x:c>
      <x:c r="E2682" s="14" t="str">
        <x:v>16:00 sonrası</x:v>
      </x:c>
      <x:c r="F2682" s="14" t="str">
        <x:v>F4 - 60 Gün / 60 Tam Deneme</x:v>
      </x:c>
      <x:c r="G2682" s="14" t="str">
        <x:v>20:00</x:v>
      </x:c>
      <x:c r="H2682" s="14" t="str">
        <x:v>20:45</x:v>
      </x:c>
      <x:c r="I2682" s="14" t="str">
        <x:v>Deneme</x:v>
      </x:c>
      <x:c r="J2682" s="14" t="str">
        <x:v>Deneme Analizi</x:v>
      </x:c>
      <x:c r="K2682" s="14" t="str">
        <x:v>Deneme 30</x:v>
      </x:c>
      <x:c r="L2682" s="14" t="str">
        <x:v>Tüm yanlış/boşları nedenleriyle analiz et; bilgi eksikliği, işlem, dikkat, yanlış okuma veya yorumlama olarak sınıflandır.</x:v>
      </x:c>
      <x:c r="M2682" s="14" t="str">
        <x:v>Deneme Takibi</x:v>
      </x:c>
      <x:c r="N2682" s="14" t="str"/>
      <x:c r="O2682" s="14" t="n">
        <x:v>0</x:v>
      </x:c>
      <x:c r="P2682" s="14" t="str">
        <x:v>Hayır</x:v>
      </x:c>
      <x:c r="Q2682" s="14" t="str">
        <x:v>Evet</x:v>
      </x:c>
      <x:c r="R2682" s="14" t="str">
        <x:v>Planlandı</x:v>
      </x:c>
      <x:c r="S2682" s="15" t="str"/>
      <x:c r="T2682" s="14" t="str">
        <x:v>Deneme çözülüp analiz edilmediyse gün tamamlanmış sayılmaz.</x:v>
      </x:c>
    </x:row>
    <x:row r="2683">
      <x:c r="A2683" s="14" t="n">
        <x:v>2682</x:v>
      </x:c>
      <x:c r="B2683" s="15" t="n">
        <x:v>46520</x:v>
      </x:c>
      <x:c r="C2683" s="14" t="str">
        <x:v>Perşembe</x:v>
      </x:c>
      <x:c r="D2683" s="14" t="str">
        <x:v>Okul Günü</x:v>
      </x:c>
      <x:c r="E2683" s="14" t="str">
        <x:v>16:00 sonrası</x:v>
      </x:c>
      <x:c r="F2683" s="14" t="str">
        <x:v>F4 - 60 Gün / 60 Tam Deneme</x:v>
      </x:c>
      <x:c r="G2683" s="14" t="str">
        <x:v>20:50</x:v>
      </x:c>
      <x:c r="H2683" s="14" t="str">
        <x:v>21:25</x:v>
      </x:c>
      <x:c r="I2683" s="14" t="str">
        <x:v>Genel</x:v>
      </x:c>
      <x:c r="J2683" s="14" t="str">
        <x:v>Hedefli Eksik Giderme</x:v>
      </x:c>
      <x:c r="K2683" s="14" t="str">
        <x:v>Denemeden Gelen Eksikler</x:v>
      </x:c>
      <x:c r="L2683" s="14" t="str">
        <x:v>Denemenin gösterdiği en kritik 1-3 eksiği gider: gerekirse ilgili playlist videosuna kısa dönüş + hedefli soru çözümü.</x:v>
      </x:c>
      <x:c r="M2683" s="14" t="str">
        <x:v>Playlist + Soru Kitabı + MEB</x:v>
      </x:c>
      <x:c r="N2683" s="14" t="str"/>
      <x:c r="O2683" s="14" t="n">
        <x:v>0</x:v>
      </x:c>
      <x:c r="P2683" s="14" t="str">
        <x:v>Hayır</x:v>
      </x:c>
      <x:c r="Q2683" s="14" t="str">
        <x:v>Evet</x:v>
      </x:c>
      <x:c r="R2683" s="14" t="str">
        <x:v>Planlandı</x:v>
      </x:c>
      <x:c r="S2683" s="15" t="str"/>
      <x:c r="T2683" s="14" t="str">
        <x:v>Yeni konu açılmaz; yalnız denemenin kanıtladığı eksiğe müdahale edilir.</x:v>
      </x:c>
    </x:row>
    <x:row r="2684">
      <x:c r="A2684" s="14" t="n">
        <x:v>2683</x:v>
      </x:c>
      <x:c r="B2684" s="15" t="n">
        <x:v>46520</x:v>
      </x:c>
      <x:c r="C2684" s="14" t="str">
        <x:v>Perşembe</x:v>
      </x:c>
      <x:c r="D2684" s="14" t="str">
        <x:v>Okul Günü</x:v>
      </x:c>
      <x:c r="E2684" s="14" t="str">
        <x:v>16:00 sonrası</x:v>
      </x:c>
      <x:c r="F2684" s="14" t="str">
        <x:v>F4 - 60 Gün / 60 Tam Deneme</x:v>
      </x:c>
      <x:c r="G2684" s="14" t="str">
        <x:v>21:25</x:v>
      </x:c>
      <x:c r="H2684" s="14" t="str">
        <x:v>21:40</x:v>
      </x:c>
      <x:c r="I2684" s="14" t="str">
        <x:v>Genel</x:v>
      </x:c>
      <x:c r="J2684" s="14" t="str">
        <x:v>Aralıklı Hata Tekrarı</x:v>
      </x:c>
      <x:c r="K2684" s="14" t="str">
        <x:v>+1 / +7 / +21</x:v>
      </x:c>
      <x:c r="L2684" s="14" t="str">
        <x:v>Bugün vadesi gelen eski yanlışları tekrar çöz ve bugünkü yanlışları Yanlış Defteri'ne ekle.</x:v>
      </x:c>
      <x:c r="M2684" s="14" t="str">
        <x:v>Yanlış Defteri</x:v>
      </x:c>
      <x:c r="N2684" s="14" t="str"/>
      <x:c r="O2684" s="14" t="n">
        <x:v>0</x:v>
      </x:c>
      <x:c r="P2684" s="14" t="str">
        <x:v>Hayır</x:v>
      </x:c>
      <x:c r="Q2684" s="14" t="str">
        <x:v>Evet</x:v>
      </x:c>
      <x:c r="R2684" s="14" t="str">
        <x:v>Planlandı</x:v>
      </x:c>
      <x:c r="S2684" s="15" t="str"/>
      <x:c r="T2684" s="14" t="str"/>
    </x:row>
    <x:row r="2685">
      <x:c r="A2685" s="14" t="n">
        <x:v>2684</x:v>
      </x:c>
      <x:c r="B2685" s="15" t="n">
        <x:v>46520</x:v>
      </x:c>
      <x:c r="C2685" s="14" t="str">
        <x:v>Perşembe</x:v>
      </x:c>
      <x:c r="D2685" s="14" t="str">
        <x:v>Okul Günü</x:v>
      </x:c>
      <x:c r="E2685" s="14" t="str">
        <x:v>16:00 sonrası</x:v>
      </x:c>
      <x:c r="F2685" s="14" t="str">
        <x:v>F4 - 60 Gün / 60 Tam Deneme</x:v>
      </x:c>
      <x:c r="G2685" s="14" t="str">
        <x:v>21:40</x:v>
      </x:c>
      <x:c r="H2685" s="14" t="str">
        <x:v>21:50</x:v>
      </x:c>
      <x:c r="I2685" s="14" t="str">
        <x:v>Okuma</x:v>
      </x:c>
      <x:c r="J2685" s="14" t="str">
        <x:v>İsteğe Bağlı</x:v>
      </x:c>
      <x:c r="K2685" s="14" t="str">
        <x:v>Serbest Kitap</x:v>
      </x:c>
      <x:c r="L2685" s="14" t="str">
        <x:v>Enerji uygunsa kısa isteğe bağlı okuma.</x:v>
      </x:c>
      <x:c r="M2685" s="14" t="str">
        <x:v>Serbest Kitap</x:v>
      </x:c>
      <x:c r="N2685" s="14" t="str"/>
      <x:c r="O2685" s="14" t="n">
        <x:v>0</x:v>
      </x:c>
      <x:c r="P2685" s="14" t="str">
        <x:v>İsteğe Bağlı</x:v>
      </x:c>
      <x:c r="Q2685" s="14" t="str">
        <x:v>Hayır</x:v>
      </x:c>
      <x:c r="R2685" s="14" t="str">
        <x:v>Planlandı</x:v>
      </x:c>
      <x:c r="S2685" s="15" t="str"/>
      <x:c r="T2685" s="14" t="str"/>
    </x:row>
    <x:row r="2686">
      <x:c r="A2686" s="14" t="n">
        <x:v>2685</x:v>
      </x:c>
      <x:c r="B2686" s="15" t="n">
        <x:v>46520</x:v>
      </x:c>
      <x:c r="C2686" s="14" t="str">
        <x:v>Perşembe</x:v>
      </x:c>
      <x:c r="D2686" s="14" t="str">
        <x:v>Okul Günü</x:v>
      </x:c>
      <x:c r="E2686" s="14" t="str">
        <x:v>16:00 sonrası</x:v>
      </x:c>
      <x:c r="F2686" s="14" t="str">
        <x:v>F4 - 60 Gün / 60 Tam Deneme</x:v>
      </x:c>
      <x:c r="G2686" s="14" t="str">
        <x:v>21:50</x:v>
      </x:c>
      <x:c r="H2686" s="14" t="str">
        <x:v>22:00</x:v>
      </x:c>
      <x:c r="I2686" s="14" t="str">
        <x:v>Genel</x:v>
      </x:c>
      <x:c r="J2686" s="14" t="str">
        <x:v>Uyku Hazırlığı</x:v>
      </x:c>
      <x:c r="K2686" s="14" t="str"/>
      <x:c r="L2686" s="14" t="str">
        <x:v>22:00'de yatakta ve uyku.</x:v>
      </x:c>
      <x:c r="M2686" s="14" t="str"/>
      <x:c r="N2686" s="14" t="str"/>
      <x:c r="O2686" s="14" t="n">
        <x:v>0</x:v>
      </x:c>
      <x:c r="P2686" s="14" t="str">
        <x:v>Hayır</x:v>
      </x:c>
      <x:c r="Q2686" s="14" t="str">
        <x:v>Hayır</x:v>
      </x:c>
      <x:c r="R2686" s="14" t="str">
        <x:v>Planlandı</x:v>
      </x:c>
      <x:c r="S2686" s="15" t="str"/>
      <x:c r="T2686" s="14" t="str"/>
    </x:row>
    <x:row r="2687">
      <x:c r="A2687" s="14" t="n">
        <x:v>2686</x:v>
      </x:c>
      <x:c r="B2687" s="15" t="n">
        <x:v>46521</x:v>
      </x:c>
      <x:c r="C2687" s="14" t="str">
        <x:v>Cuma</x:v>
      </x:c>
      <x:c r="D2687" s="14" t="str">
        <x:v>Okul Günü</x:v>
      </x:c>
      <x:c r="E2687" s="14" t="str">
        <x:v>16:00 sonrası</x:v>
      </x:c>
      <x:c r="F2687" s="14" t="str">
        <x:v>F4 - 60 Gün / 60 Tam Deneme</x:v>
      </x:c>
      <x:c r="G2687" s="14" t="str">
        <x:v>16:00</x:v>
      </x:c>
      <x:c r="H2687" s="14" t="str">
        <x:v>16:25</x:v>
      </x:c>
      <x:c r="I2687" s="14" t="str">
        <x:v>Genel</x:v>
      </x:c>
      <x:c r="J2687" s="14" t="str">
        <x:v>Dinlenme</x:v>
      </x:c>
      <x:c r="K2687" s="14" t="str"/>
      <x:c r="L2687" s="14" t="str">
        <x:v>Eve geliş + kısa dinlenme.</x:v>
      </x:c>
      <x:c r="M2687" s="14" t="str"/>
      <x:c r="N2687" s="14" t="str"/>
      <x:c r="O2687" s="14" t="n">
        <x:v>0</x:v>
      </x:c>
      <x:c r="P2687" s="14" t="str">
        <x:v>Hayır</x:v>
      </x:c>
      <x:c r="Q2687" s="14" t="str">
        <x:v>Hayır</x:v>
      </x:c>
      <x:c r="R2687" s="14" t="str">
        <x:v>Planlandı</x:v>
      </x:c>
      <x:c r="S2687" s="15" t="str"/>
      <x:c r="T2687" s="14" t="str"/>
    </x:row>
    <x:row r="2688">
      <x:c r="A2688" s="14" t="n">
        <x:v>2687</x:v>
      </x:c>
      <x:c r="B2688" s="15" t="n">
        <x:v>46521</x:v>
      </x:c>
      <x:c r="C2688" s="14" t="str">
        <x:v>Cuma</x:v>
      </x:c>
      <x:c r="D2688" s="14" t="str">
        <x:v>Okul Günü</x:v>
      </x:c>
      <x:c r="E2688" s="14" t="str">
        <x:v>16:00 sonrası</x:v>
      </x:c>
      <x:c r="F2688" s="14" t="str">
        <x:v>F4 - 60 Gün / 60 Tam Deneme</x:v>
      </x:c>
      <x:c r="G2688" s="14" t="str">
        <x:v>16:30</x:v>
      </x:c>
      <x:c r="H2688" s="14" t="str">
        <x:v>17:45</x:v>
      </x:c>
      <x:c r="I2688" s="14" t="str">
        <x:v>Deneme</x:v>
      </x:c>
      <x:c r="J2688" s="14" t="str">
        <x:v>Tam LGS Denemesi - Sözel</x:v>
      </x:c>
      <x:c r="K2688" s="14" t="str">
        <x:v>Deneme 31</x:v>
      </x:c>
      <x:c r="L2688" s="14" t="str">
        <x:v>Deneme 31/60 — Sözel oturum: Türkçe 20 + İnkılap 10 + Din 10 + İngilizce 10. 75 dakika.</x:v>
      </x:c>
      <x:c r="M2688" s="14" t="str">
        <x:v>Tam LGS Denemesi</x:v>
      </x:c>
      <x:c r="N2688" s="14" t="str"/>
      <x:c r="O2688" s="14" t="n">
        <x:v>50</x:v>
      </x:c>
      <x:c r="P2688" s="14" t="str">
        <x:v>75 dk</x:v>
      </x:c>
      <x:c r="Q2688" s="14" t="str">
        <x:v>Evet</x:v>
      </x:c>
      <x:c r="R2688" s="14" t="str">
        <x:v>Planlandı</x:v>
      </x:c>
      <x:c r="S2688" s="15" t="str"/>
      <x:c r="T2688" s="14" t="str">
        <x:v>2026 LGS formatı çalışma referansıdır; 2027 kılavuzu yayımlanırsa güncellenir.</x:v>
      </x:c>
    </x:row>
    <x:row r="2689">
      <x:c r="A2689" s="14" t="n">
        <x:v>2688</x:v>
      </x:c>
      <x:c r="B2689" s="15" t="n">
        <x:v>46521</x:v>
      </x:c>
      <x:c r="C2689" s="14" t="str">
        <x:v>Cuma</x:v>
      </x:c>
      <x:c r="D2689" s="14" t="str">
        <x:v>Okul Günü</x:v>
      </x:c>
      <x:c r="E2689" s="14" t="str">
        <x:v>16:00 sonrası</x:v>
      </x:c>
      <x:c r="F2689" s="14" t="str">
        <x:v>F4 - 60 Gün / 60 Tam Deneme</x:v>
      </x:c>
      <x:c r="G2689" s="14" t="str">
        <x:v>17:45</x:v>
      </x:c>
      <x:c r="H2689" s="14" t="str">
        <x:v>18:30</x:v>
      </x:c>
      <x:c r="I2689" s="14" t="str">
        <x:v>Genel</x:v>
      </x:c>
      <x:c r="J2689" s="14" t="str">
        <x:v>Deneme Arası</x:v>
      </x:c>
      <x:c r="K2689" s="14" t="str"/>
      <x:c r="L2689" s="14" t="str">
        <x:v>45 dakika gerçek sınav arası simülasyonu: yemek/su/tuvalet; soru analizi yapma.</x:v>
      </x:c>
      <x:c r="M2689" s="14" t="str"/>
      <x:c r="N2689" s="14" t="str"/>
      <x:c r="O2689" s="14" t="n">
        <x:v>0</x:v>
      </x:c>
      <x:c r="P2689" s="14" t="str">
        <x:v>Hayır</x:v>
      </x:c>
      <x:c r="Q2689" s="14" t="str">
        <x:v>Evet</x:v>
      </x:c>
      <x:c r="R2689" s="14" t="str">
        <x:v>Planlandı</x:v>
      </x:c>
      <x:c r="S2689" s="15" t="str"/>
      <x:c r="T2689" s="14" t="str"/>
    </x:row>
    <x:row r="2690">
      <x:c r="A2690" s="14" t="n">
        <x:v>2689</x:v>
      </x:c>
      <x:c r="B2690" s="15" t="n">
        <x:v>46521</x:v>
      </x:c>
      <x:c r="C2690" s="14" t="str">
        <x:v>Cuma</x:v>
      </x:c>
      <x:c r="D2690" s="14" t="str">
        <x:v>Okul Günü</x:v>
      </x:c>
      <x:c r="E2690" s="14" t="str">
        <x:v>16:00 sonrası</x:v>
      </x:c>
      <x:c r="F2690" s="14" t="str">
        <x:v>F4 - 60 Gün / 60 Tam Deneme</x:v>
      </x:c>
      <x:c r="G2690" s="14" t="str">
        <x:v>18:30</x:v>
      </x:c>
      <x:c r="H2690" s="14" t="str">
        <x:v>19:50</x:v>
      </x:c>
      <x:c r="I2690" s="14" t="str">
        <x:v>Deneme</x:v>
      </x:c>
      <x:c r="J2690" s="14" t="str">
        <x:v>Tam LGS Denemesi - Sayısal</x:v>
      </x:c>
      <x:c r="K2690" s="14" t="str">
        <x:v>Deneme 31</x:v>
      </x:c>
      <x:c r="L2690" s="14" t="str">
        <x:v>Deneme 31/60 — Sayısal oturum: Matematik 20 + Fen 20. 80 dakika.</x:v>
      </x:c>
      <x:c r="M2690" s="14" t="str">
        <x:v>Tam LGS Denemesi</x:v>
      </x:c>
      <x:c r="N2690" s="14" t="str"/>
      <x:c r="O2690" s="14" t="n">
        <x:v>40</x:v>
      </x:c>
      <x:c r="P2690" s="14" t="str">
        <x:v>80 dk</x:v>
      </x:c>
      <x:c r="Q2690" s="14" t="str">
        <x:v>Evet</x:v>
      </x:c>
      <x:c r="R2690" s="14" t="str">
        <x:v>Planlandı</x:v>
      </x:c>
      <x:c r="S2690" s="15" t="str"/>
      <x:c r="T2690" s="14" t="str"/>
    </x:row>
    <x:row r="2691">
      <x:c r="A2691" s="14" t="n">
        <x:v>2690</x:v>
      </x:c>
      <x:c r="B2691" s="15" t="n">
        <x:v>46521</x:v>
      </x:c>
      <x:c r="C2691" s="14" t="str">
        <x:v>Cuma</x:v>
      </x:c>
      <x:c r="D2691" s="14" t="str">
        <x:v>Okul Günü</x:v>
      </x:c>
      <x:c r="E2691" s="14" t="str">
        <x:v>16:00 sonrası</x:v>
      </x:c>
      <x:c r="F2691" s="14" t="str">
        <x:v>F4 - 60 Gün / 60 Tam Deneme</x:v>
      </x:c>
      <x:c r="G2691" s="14" t="str">
        <x:v>20:00</x:v>
      </x:c>
      <x:c r="H2691" s="14" t="str">
        <x:v>20:45</x:v>
      </x:c>
      <x:c r="I2691" s="14" t="str">
        <x:v>Deneme</x:v>
      </x:c>
      <x:c r="J2691" s="14" t="str">
        <x:v>Deneme Analizi</x:v>
      </x:c>
      <x:c r="K2691" s="14" t="str">
        <x:v>Deneme 31</x:v>
      </x:c>
      <x:c r="L2691" s="14" t="str">
        <x:v>Tüm yanlış/boşları nedenleriyle analiz et; bilgi eksikliği, işlem, dikkat, yanlış okuma veya yorumlama olarak sınıflandır.</x:v>
      </x:c>
      <x:c r="M2691" s="14" t="str">
        <x:v>Deneme Takibi</x:v>
      </x:c>
      <x:c r="N2691" s="14" t="str"/>
      <x:c r="O2691" s="14" t="n">
        <x:v>0</x:v>
      </x:c>
      <x:c r="P2691" s="14" t="str">
        <x:v>Hayır</x:v>
      </x:c>
      <x:c r="Q2691" s="14" t="str">
        <x:v>Evet</x:v>
      </x:c>
      <x:c r="R2691" s="14" t="str">
        <x:v>Planlandı</x:v>
      </x:c>
      <x:c r="S2691" s="15" t="str"/>
      <x:c r="T2691" s="14" t="str">
        <x:v>Deneme çözülüp analiz edilmediyse gün tamamlanmış sayılmaz.</x:v>
      </x:c>
    </x:row>
    <x:row r="2692">
      <x:c r="A2692" s="14" t="n">
        <x:v>2691</x:v>
      </x:c>
      <x:c r="B2692" s="15" t="n">
        <x:v>46521</x:v>
      </x:c>
      <x:c r="C2692" s="14" t="str">
        <x:v>Cuma</x:v>
      </x:c>
      <x:c r="D2692" s="14" t="str">
        <x:v>Okul Günü</x:v>
      </x:c>
      <x:c r="E2692" s="14" t="str">
        <x:v>16:00 sonrası</x:v>
      </x:c>
      <x:c r="F2692" s="14" t="str">
        <x:v>F4 - 60 Gün / 60 Tam Deneme</x:v>
      </x:c>
      <x:c r="G2692" s="14" t="str">
        <x:v>20:50</x:v>
      </x:c>
      <x:c r="H2692" s="14" t="str">
        <x:v>21:25</x:v>
      </x:c>
      <x:c r="I2692" s="14" t="str">
        <x:v>Genel</x:v>
      </x:c>
      <x:c r="J2692" s="14" t="str">
        <x:v>Hedefli Eksik Giderme</x:v>
      </x:c>
      <x:c r="K2692" s="14" t="str">
        <x:v>Denemeden Gelen Eksikler</x:v>
      </x:c>
      <x:c r="L2692" s="14" t="str">
        <x:v>Denemenin gösterdiği en kritik 1-3 eksiği gider: gerekirse ilgili playlist videosuna kısa dönüş + hedefli soru çözümü.</x:v>
      </x:c>
      <x:c r="M2692" s="14" t="str">
        <x:v>Playlist + Soru Kitabı + MEB</x:v>
      </x:c>
      <x:c r="N2692" s="14" t="str"/>
      <x:c r="O2692" s="14" t="n">
        <x:v>0</x:v>
      </x:c>
      <x:c r="P2692" s="14" t="str">
        <x:v>Hayır</x:v>
      </x:c>
      <x:c r="Q2692" s="14" t="str">
        <x:v>Evet</x:v>
      </x:c>
      <x:c r="R2692" s="14" t="str">
        <x:v>Planlandı</x:v>
      </x:c>
      <x:c r="S2692" s="15" t="str"/>
      <x:c r="T2692" s="14" t="str">
        <x:v>Yeni konu açılmaz; yalnız denemenin kanıtladığı eksiğe müdahale edilir.</x:v>
      </x:c>
    </x:row>
    <x:row r="2693">
      <x:c r="A2693" s="14" t="n">
        <x:v>2692</x:v>
      </x:c>
      <x:c r="B2693" s="15" t="n">
        <x:v>46521</x:v>
      </x:c>
      <x:c r="C2693" s="14" t="str">
        <x:v>Cuma</x:v>
      </x:c>
      <x:c r="D2693" s="14" t="str">
        <x:v>Okul Günü</x:v>
      </x:c>
      <x:c r="E2693" s="14" t="str">
        <x:v>16:00 sonrası</x:v>
      </x:c>
      <x:c r="F2693" s="14" t="str">
        <x:v>F4 - 60 Gün / 60 Tam Deneme</x:v>
      </x:c>
      <x:c r="G2693" s="14" t="str">
        <x:v>21:25</x:v>
      </x:c>
      <x:c r="H2693" s="14" t="str">
        <x:v>21:40</x:v>
      </x:c>
      <x:c r="I2693" s="14" t="str">
        <x:v>Genel</x:v>
      </x:c>
      <x:c r="J2693" s="14" t="str">
        <x:v>Aralıklı Hata Tekrarı</x:v>
      </x:c>
      <x:c r="K2693" s="14" t="str">
        <x:v>+1 / +7 / +21</x:v>
      </x:c>
      <x:c r="L2693" s="14" t="str">
        <x:v>Bugün vadesi gelen eski yanlışları tekrar çöz ve bugünkü yanlışları Yanlış Defteri'ne ekle.</x:v>
      </x:c>
      <x:c r="M2693" s="14" t="str">
        <x:v>Yanlış Defteri</x:v>
      </x:c>
      <x:c r="N2693" s="14" t="str"/>
      <x:c r="O2693" s="14" t="n">
        <x:v>0</x:v>
      </x:c>
      <x:c r="P2693" s="14" t="str">
        <x:v>Hayır</x:v>
      </x:c>
      <x:c r="Q2693" s="14" t="str">
        <x:v>Evet</x:v>
      </x:c>
      <x:c r="R2693" s="14" t="str">
        <x:v>Planlandı</x:v>
      </x:c>
      <x:c r="S2693" s="15" t="str"/>
      <x:c r="T2693" s="14" t="str"/>
    </x:row>
    <x:row r="2694">
      <x:c r="A2694" s="14" t="n">
        <x:v>2693</x:v>
      </x:c>
      <x:c r="B2694" s="15" t="n">
        <x:v>46521</x:v>
      </x:c>
      <x:c r="C2694" s="14" t="str">
        <x:v>Cuma</x:v>
      </x:c>
      <x:c r="D2694" s="14" t="str">
        <x:v>Okul Günü</x:v>
      </x:c>
      <x:c r="E2694" s="14" t="str">
        <x:v>16:00 sonrası</x:v>
      </x:c>
      <x:c r="F2694" s="14" t="str">
        <x:v>F4 - 60 Gün / 60 Tam Deneme</x:v>
      </x:c>
      <x:c r="G2694" s="14" t="str">
        <x:v>21:40</x:v>
      </x:c>
      <x:c r="H2694" s="14" t="str">
        <x:v>21:50</x:v>
      </x:c>
      <x:c r="I2694" s="14" t="str">
        <x:v>Okuma</x:v>
      </x:c>
      <x:c r="J2694" s="14" t="str">
        <x:v>İsteğe Bağlı</x:v>
      </x:c>
      <x:c r="K2694" s="14" t="str">
        <x:v>Serbest Kitap</x:v>
      </x:c>
      <x:c r="L2694" s="14" t="str">
        <x:v>Enerji uygunsa kısa isteğe bağlı okuma.</x:v>
      </x:c>
      <x:c r="M2694" s="14" t="str">
        <x:v>Serbest Kitap</x:v>
      </x:c>
      <x:c r="N2694" s="14" t="str"/>
      <x:c r="O2694" s="14" t="n">
        <x:v>0</x:v>
      </x:c>
      <x:c r="P2694" s="14" t="str">
        <x:v>İsteğe Bağlı</x:v>
      </x:c>
      <x:c r="Q2694" s="14" t="str">
        <x:v>Hayır</x:v>
      </x:c>
      <x:c r="R2694" s="14" t="str">
        <x:v>Planlandı</x:v>
      </x:c>
      <x:c r="S2694" s="15" t="str"/>
      <x:c r="T2694" s="14" t="str"/>
    </x:row>
    <x:row r="2695">
      <x:c r="A2695" s="14" t="n">
        <x:v>2694</x:v>
      </x:c>
      <x:c r="B2695" s="15" t="n">
        <x:v>46521</x:v>
      </x:c>
      <x:c r="C2695" s="14" t="str">
        <x:v>Cuma</x:v>
      </x:c>
      <x:c r="D2695" s="14" t="str">
        <x:v>Okul Günü</x:v>
      </x:c>
      <x:c r="E2695" s="14" t="str">
        <x:v>16:00 sonrası</x:v>
      </x:c>
      <x:c r="F2695" s="14" t="str">
        <x:v>F4 - 60 Gün / 60 Tam Deneme</x:v>
      </x:c>
      <x:c r="G2695" s="14" t="str">
        <x:v>21:50</x:v>
      </x:c>
      <x:c r="H2695" s="14" t="str">
        <x:v>22:00</x:v>
      </x:c>
      <x:c r="I2695" s="14" t="str">
        <x:v>Genel</x:v>
      </x:c>
      <x:c r="J2695" s="14" t="str">
        <x:v>Uyku Hazırlığı</x:v>
      </x:c>
      <x:c r="K2695" s="14" t="str"/>
      <x:c r="L2695" s="14" t="str">
        <x:v>22:00'de yatakta ve uyku.</x:v>
      </x:c>
      <x:c r="M2695" s="14" t="str"/>
      <x:c r="N2695" s="14" t="str"/>
      <x:c r="O2695" s="14" t="n">
        <x:v>0</x:v>
      </x:c>
      <x:c r="P2695" s="14" t="str">
        <x:v>Hayır</x:v>
      </x:c>
      <x:c r="Q2695" s="14" t="str">
        <x:v>Hayır</x:v>
      </x:c>
      <x:c r="R2695" s="14" t="str">
        <x:v>Planlandı</x:v>
      </x:c>
      <x:c r="S2695" s="15" t="str"/>
      <x:c r="T2695" s="14" t="str"/>
    </x:row>
    <x:row r="2696">
      <x:c r="A2696" s="14" t="n">
        <x:v>2695</x:v>
      </x:c>
      <x:c r="B2696" s="15" t="n">
        <x:v>46522</x:v>
      </x:c>
      <x:c r="C2696" s="14" t="str">
        <x:v>Cumartesi</x:v>
      </x:c>
      <x:c r="D2696" s="14" t="str">
        <x:v>Hafta Sonu</x:v>
      </x:c>
      <x:c r="E2696" s="14" t="str">
        <x:v>Tam gün</x:v>
      </x:c>
      <x:c r="F2696" s="14" t="str">
        <x:v>F4 - 60 Gün / 60 Tam Deneme</x:v>
      </x:c>
      <x:c r="G2696" s="14" t="str">
        <x:v>09:30</x:v>
      </x:c>
      <x:c r="H2696" s="14" t="str">
        <x:v>10:45</x:v>
      </x:c>
      <x:c r="I2696" s="14" t="str">
        <x:v>Deneme</x:v>
      </x:c>
      <x:c r="J2696" s="14" t="str">
        <x:v>Tam LGS Denemesi - Sözel</x:v>
      </x:c>
      <x:c r="K2696" s="14" t="str">
        <x:v>Deneme 32</x:v>
      </x:c>
      <x:c r="L2696" s="14" t="str">
        <x:v>Deneme 32/60 — Sözel oturum: Türkçe 20 + İnkılap 10 + Din 10 + İngilizce 10. 75 dakika.</x:v>
      </x:c>
      <x:c r="M2696" s="14" t="str">
        <x:v>Tam LGS Denemesi</x:v>
      </x:c>
      <x:c r="N2696" s="14" t="str"/>
      <x:c r="O2696" s="14" t="n">
        <x:v>50</x:v>
      </x:c>
      <x:c r="P2696" s="14" t="str">
        <x:v>75 dk</x:v>
      </x:c>
      <x:c r="Q2696" s="14" t="str">
        <x:v>Evet</x:v>
      </x:c>
      <x:c r="R2696" s="14" t="str">
        <x:v>Planlandı</x:v>
      </x:c>
      <x:c r="S2696" s="15" t="str"/>
      <x:c r="T2696" s="14" t="str">
        <x:v>2026 LGS formatı çalışma referansıdır; 2027 kılavuzu yayımlanırsa güncellenir.</x:v>
      </x:c>
    </x:row>
    <x:row r="2697">
      <x:c r="A2697" s="14" t="n">
        <x:v>2696</x:v>
      </x:c>
      <x:c r="B2697" s="15" t="n">
        <x:v>46522</x:v>
      </x:c>
      <x:c r="C2697" s="14" t="str">
        <x:v>Cumartesi</x:v>
      </x:c>
      <x:c r="D2697" s="14" t="str">
        <x:v>Hafta Sonu</x:v>
      </x:c>
      <x:c r="E2697" s="14" t="str">
        <x:v>Tam gün</x:v>
      </x:c>
      <x:c r="F2697" s="14" t="str">
        <x:v>F4 - 60 Gün / 60 Tam Deneme</x:v>
      </x:c>
      <x:c r="G2697" s="14" t="str">
        <x:v>10:45</x:v>
      </x:c>
      <x:c r="H2697" s="14" t="str">
        <x:v>11:30</x:v>
      </x:c>
      <x:c r="I2697" s="14" t="str">
        <x:v>Genel</x:v>
      </x:c>
      <x:c r="J2697" s="14" t="str">
        <x:v>Deneme Arası</x:v>
      </x:c>
      <x:c r="K2697" s="14" t="str"/>
      <x:c r="L2697" s="14" t="str">
        <x:v>45 dakika gerçek sınav arası simülasyonu: yemek/su/tuvalet; soru analizi yapma.</x:v>
      </x:c>
      <x:c r="M2697" s="14" t="str"/>
      <x:c r="N2697" s="14" t="str"/>
      <x:c r="O2697" s="14" t="n">
        <x:v>0</x:v>
      </x:c>
      <x:c r="P2697" s="14" t="str">
        <x:v>Hayır</x:v>
      </x:c>
      <x:c r="Q2697" s="14" t="str">
        <x:v>Evet</x:v>
      </x:c>
      <x:c r="R2697" s="14" t="str">
        <x:v>Planlandı</x:v>
      </x:c>
      <x:c r="S2697" s="15" t="str"/>
      <x:c r="T2697" s="14" t="str"/>
    </x:row>
    <x:row r="2698">
      <x:c r="A2698" s="14" t="n">
        <x:v>2697</x:v>
      </x:c>
      <x:c r="B2698" s="15" t="n">
        <x:v>46522</x:v>
      </x:c>
      <x:c r="C2698" s="14" t="str">
        <x:v>Cumartesi</x:v>
      </x:c>
      <x:c r="D2698" s="14" t="str">
        <x:v>Hafta Sonu</x:v>
      </x:c>
      <x:c r="E2698" s="14" t="str">
        <x:v>Tam gün</x:v>
      </x:c>
      <x:c r="F2698" s="14" t="str">
        <x:v>F4 - 60 Gün / 60 Tam Deneme</x:v>
      </x:c>
      <x:c r="G2698" s="14" t="str">
        <x:v>11:30</x:v>
      </x:c>
      <x:c r="H2698" s="14" t="str">
        <x:v>12:50</x:v>
      </x:c>
      <x:c r="I2698" s="14" t="str">
        <x:v>Deneme</x:v>
      </x:c>
      <x:c r="J2698" s="14" t="str">
        <x:v>Tam LGS Denemesi - Sayısal</x:v>
      </x:c>
      <x:c r="K2698" s="14" t="str">
        <x:v>Deneme 32</x:v>
      </x:c>
      <x:c r="L2698" s="14" t="str">
        <x:v>Deneme 32/60 — Sayısal oturum: Matematik 20 + Fen 20. 80 dakika.</x:v>
      </x:c>
      <x:c r="M2698" s="14" t="str">
        <x:v>Tam LGS Denemesi</x:v>
      </x:c>
      <x:c r="N2698" s="14" t="str"/>
      <x:c r="O2698" s="14" t="n">
        <x:v>40</x:v>
      </x:c>
      <x:c r="P2698" s="14" t="str">
        <x:v>80 dk</x:v>
      </x:c>
      <x:c r="Q2698" s="14" t="str">
        <x:v>Evet</x:v>
      </x:c>
      <x:c r="R2698" s="14" t="str">
        <x:v>Planlandı</x:v>
      </x:c>
      <x:c r="S2698" s="15" t="str"/>
      <x:c r="T2698" s="14" t="str"/>
    </x:row>
    <x:row r="2699">
      <x:c r="A2699" s="14" t="n">
        <x:v>2698</x:v>
      </x:c>
      <x:c r="B2699" s="15" t="n">
        <x:v>46522</x:v>
      </x:c>
      <x:c r="C2699" s="14" t="str">
        <x:v>Cumartesi</x:v>
      </x:c>
      <x:c r="D2699" s="14" t="str">
        <x:v>Hafta Sonu</x:v>
      </x:c>
      <x:c r="E2699" s="14" t="str">
        <x:v>Tam gün</x:v>
      </x:c>
      <x:c r="F2699" s="14" t="str">
        <x:v>F4 - 60 Gün / 60 Tam Deneme</x:v>
      </x:c>
      <x:c r="G2699" s="14" t="str">
        <x:v>14:30</x:v>
      </x:c>
      <x:c r="H2699" s="14" t="str">
        <x:v>15:15</x:v>
      </x:c>
      <x:c r="I2699" s="14" t="str">
        <x:v>Deneme</x:v>
      </x:c>
      <x:c r="J2699" s="14" t="str">
        <x:v>Deneme Analizi</x:v>
      </x:c>
      <x:c r="K2699" s="14" t="str">
        <x:v>Deneme 32</x:v>
      </x:c>
      <x:c r="L2699" s="14" t="str">
        <x:v>Tüm yanlış/boşları nedenleriyle analiz et; bilgi eksikliği, işlem, dikkat, yanlış okuma veya yorumlama olarak sınıflandır.</x:v>
      </x:c>
      <x:c r="M2699" s="14" t="str">
        <x:v>Deneme Takibi</x:v>
      </x:c>
      <x:c r="N2699" s="14" t="str"/>
      <x:c r="O2699" s="14" t="n">
        <x:v>0</x:v>
      </x:c>
      <x:c r="P2699" s="14" t="str">
        <x:v>Hayır</x:v>
      </x:c>
      <x:c r="Q2699" s="14" t="str">
        <x:v>Evet</x:v>
      </x:c>
      <x:c r="R2699" s="14" t="str">
        <x:v>Planlandı</x:v>
      </x:c>
      <x:c r="S2699" s="15" t="str"/>
      <x:c r="T2699" s="14" t="str">
        <x:v>Deneme çözülüp analiz edilmediyse gün tamamlanmış sayılmaz.</x:v>
      </x:c>
    </x:row>
    <x:row r="2700">
      <x:c r="A2700" s="14" t="n">
        <x:v>2699</x:v>
      </x:c>
      <x:c r="B2700" s="15" t="n">
        <x:v>46522</x:v>
      </x:c>
      <x:c r="C2700" s="14" t="str">
        <x:v>Cumartesi</x:v>
      </x:c>
      <x:c r="D2700" s="14" t="str">
        <x:v>Hafta Sonu</x:v>
      </x:c>
      <x:c r="E2700" s="14" t="str">
        <x:v>Tam gün</x:v>
      </x:c>
      <x:c r="F2700" s="14" t="str">
        <x:v>F4 - 60 Gün / 60 Tam Deneme</x:v>
      </x:c>
      <x:c r="G2700" s="14" t="str">
        <x:v>15:25</x:v>
      </x:c>
      <x:c r="H2700" s="14" t="str">
        <x:v>16:10</x:v>
      </x:c>
      <x:c r="I2700" s="14" t="str">
        <x:v>Genel</x:v>
      </x:c>
      <x:c r="J2700" s="14" t="str">
        <x:v>Hedefli Eksik Giderme</x:v>
      </x:c>
      <x:c r="K2700" s="14" t="str">
        <x:v>Denemeden Gelen Eksikler</x:v>
      </x:c>
      <x:c r="L2700" s="14" t="str">
        <x:v>Denemenin gösterdiği en kritik 1-3 eksiği gider: gerekirse ilgili playlist videosuna kısa dönüş + hedefli soru çözümü.</x:v>
      </x:c>
      <x:c r="M2700" s="14" t="str">
        <x:v>Playlist + Soru Kitabı + MEB</x:v>
      </x:c>
      <x:c r="N2700" s="14" t="str"/>
      <x:c r="O2700" s="14" t="n">
        <x:v>0</x:v>
      </x:c>
      <x:c r="P2700" s="14" t="str">
        <x:v>Hayır</x:v>
      </x:c>
      <x:c r="Q2700" s="14" t="str">
        <x:v>Evet</x:v>
      </x:c>
      <x:c r="R2700" s="14" t="str">
        <x:v>Planlandı</x:v>
      </x:c>
      <x:c r="S2700" s="15" t="str"/>
      <x:c r="T2700" s="14" t="str">
        <x:v>Yeni konu açılmaz; yalnız denemenin kanıtladığı eksiğe müdahale edilir.</x:v>
      </x:c>
    </x:row>
    <x:row r="2701">
      <x:c r="A2701" s="14" t="n">
        <x:v>2700</x:v>
      </x:c>
      <x:c r="B2701" s="15" t="n">
        <x:v>46522</x:v>
      </x:c>
      <x:c r="C2701" s="14" t="str">
        <x:v>Cumartesi</x:v>
      </x:c>
      <x:c r="D2701" s="14" t="str">
        <x:v>Hafta Sonu</x:v>
      </x:c>
      <x:c r="E2701" s="14" t="str">
        <x:v>Tam gün</x:v>
      </x:c>
      <x:c r="F2701" s="14" t="str">
        <x:v>F4 - 60 Gün / 60 Tam Deneme</x:v>
      </x:c>
      <x:c r="G2701" s="14" t="str">
        <x:v>16:20</x:v>
      </x:c>
      <x:c r="H2701" s="14" t="str">
        <x:v>16:40</x:v>
      </x:c>
      <x:c r="I2701" s="14" t="str">
        <x:v>Genel</x:v>
      </x:c>
      <x:c r="J2701" s="14" t="str">
        <x:v>Aralıklı Hata Tekrarı</x:v>
      </x:c>
      <x:c r="K2701" s="14" t="str">
        <x:v>+1 / +7 / +21</x:v>
      </x:c>
      <x:c r="L2701" s="14" t="str">
        <x:v>Bugün vadesi gelen eski yanlışları tekrar çöz ve bugünkü yanlışları Yanlış Defteri'ne ekle.</x:v>
      </x:c>
      <x:c r="M2701" s="14" t="str">
        <x:v>Yanlış Defteri</x:v>
      </x:c>
      <x:c r="N2701" s="14" t="str"/>
      <x:c r="O2701" s="14" t="n">
        <x:v>0</x:v>
      </x:c>
      <x:c r="P2701" s="14" t="str">
        <x:v>Hayır</x:v>
      </x:c>
      <x:c r="Q2701" s="14" t="str">
        <x:v>Evet</x:v>
      </x:c>
      <x:c r="R2701" s="14" t="str">
        <x:v>Planlandı</x:v>
      </x:c>
      <x:c r="S2701" s="15" t="str"/>
      <x:c r="T2701" s="14" t="str"/>
    </x:row>
    <x:row r="2702">
      <x:c r="A2702" s="14" t="n">
        <x:v>2701</x:v>
      </x:c>
      <x:c r="B2702" s="15" t="n">
        <x:v>46522</x:v>
      </x:c>
      <x:c r="C2702" s="14" t="str">
        <x:v>Cumartesi</x:v>
      </x:c>
      <x:c r="D2702" s="14" t="str">
        <x:v>Hafta Sonu</x:v>
      </x:c>
      <x:c r="E2702" s="14" t="str">
        <x:v>Tam gün</x:v>
      </x:c>
      <x:c r="F2702" s="14" t="str">
        <x:v>F4 - 60 Gün / 60 Tam Deneme</x:v>
      </x:c>
      <x:c r="G2702" s="14" t="str">
        <x:v>20:00</x:v>
      </x:c>
      <x:c r="H2702" s="14" t="str">
        <x:v>20:30</x:v>
      </x:c>
      <x:c r="I2702" s="14" t="str">
        <x:v>Okuma</x:v>
      </x:c>
      <x:c r="J2702" s="14" t="str">
        <x:v>İsteğe Bağlı</x:v>
      </x:c>
      <x:c r="K2702" s="14" t="str">
        <x:v>Serbest Kitap</x:v>
      </x:c>
      <x:c r="L2702" s="14" t="str">
        <x:v>Enerji uygunsa kısa isteğe bağlı okuma.</x:v>
      </x:c>
      <x:c r="M2702" s="14" t="str">
        <x:v>Serbest Kitap</x:v>
      </x:c>
      <x:c r="N2702" s="14" t="str"/>
      <x:c r="O2702" s="14" t="n">
        <x:v>0</x:v>
      </x:c>
      <x:c r="P2702" s="14" t="str">
        <x:v>İsteğe Bağlı</x:v>
      </x:c>
      <x:c r="Q2702" s="14" t="str">
        <x:v>Hayır</x:v>
      </x:c>
      <x:c r="R2702" s="14" t="str">
        <x:v>Planlandı</x:v>
      </x:c>
      <x:c r="S2702" s="15" t="str"/>
      <x:c r="T2702" s="14" t="str"/>
    </x:row>
    <x:row r="2703">
      <x:c r="A2703" s="14" t="n">
        <x:v>2702</x:v>
      </x:c>
      <x:c r="B2703" s="15" t="n">
        <x:v>46522</x:v>
      </x:c>
      <x:c r="C2703" s="14" t="str">
        <x:v>Cumartesi</x:v>
      </x:c>
      <x:c r="D2703" s="14" t="str">
        <x:v>Hafta Sonu</x:v>
      </x:c>
      <x:c r="E2703" s="14" t="str">
        <x:v>Tam gün</x:v>
      </x:c>
      <x:c r="F2703" s="14" t="str">
        <x:v>F4 - 60 Gün / 60 Tam Deneme</x:v>
      </x:c>
      <x:c r="G2703" s="14" t="str">
        <x:v>21:50</x:v>
      </x:c>
      <x:c r="H2703" s="14" t="str">
        <x:v>22:00</x:v>
      </x:c>
      <x:c r="I2703" s="14" t="str">
        <x:v>Genel</x:v>
      </x:c>
      <x:c r="J2703" s="14" t="str">
        <x:v>Uyku Hazırlığı</x:v>
      </x:c>
      <x:c r="K2703" s="14" t="str"/>
      <x:c r="L2703" s="14" t="str">
        <x:v>22:00'de yatakta ve uyku.</x:v>
      </x:c>
      <x:c r="M2703" s="14" t="str"/>
      <x:c r="N2703" s="14" t="str"/>
      <x:c r="O2703" s="14" t="n">
        <x:v>0</x:v>
      </x:c>
      <x:c r="P2703" s="14" t="str">
        <x:v>Hayır</x:v>
      </x:c>
      <x:c r="Q2703" s="14" t="str">
        <x:v>Hayır</x:v>
      </x:c>
      <x:c r="R2703" s="14" t="str">
        <x:v>Planlandı</x:v>
      </x:c>
      <x:c r="S2703" s="15" t="str"/>
      <x:c r="T2703" s="14" t="str"/>
    </x:row>
    <x:row r="2704">
      <x:c r="A2704" s="14" t="n">
        <x:v>2703</x:v>
      </x:c>
      <x:c r="B2704" s="15" t="n">
        <x:v>46523</x:v>
      </x:c>
      <x:c r="C2704" s="14" t="str">
        <x:v>Pazar</x:v>
      </x:c>
      <x:c r="D2704" s="14" t="str">
        <x:v>Hafta Sonu</x:v>
      </x:c>
      <x:c r="E2704" s="14" t="str">
        <x:v>Tam gün</x:v>
      </x:c>
      <x:c r="F2704" s="14" t="str">
        <x:v>F4 - 60 Gün / 60 Tam Deneme</x:v>
      </x:c>
      <x:c r="G2704" s="14" t="str">
        <x:v>09:30</x:v>
      </x:c>
      <x:c r="H2704" s="14" t="str">
        <x:v>10:45</x:v>
      </x:c>
      <x:c r="I2704" s="14" t="str">
        <x:v>Deneme</x:v>
      </x:c>
      <x:c r="J2704" s="14" t="str">
        <x:v>Tam LGS Denemesi - Sözel</x:v>
      </x:c>
      <x:c r="K2704" s="14" t="str">
        <x:v>Deneme 33</x:v>
      </x:c>
      <x:c r="L2704" s="14" t="str">
        <x:v>Deneme 33/60 — Sözel oturum: Türkçe 20 + İnkılap 10 + Din 10 + İngilizce 10. 75 dakika.</x:v>
      </x:c>
      <x:c r="M2704" s="14" t="str">
        <x:v>Tam LGS Denemesi</x:v>
      </x:c>
      <x:c r="N2704" s="14" t="str"/>
      <x:c r="O2704" s="14" t="n">
        <x:v>50</x:v>
      </x:c>
      <x:c r="P2704" s="14" t="str">
        <x:v>75 dk</x:v>
      </x:c>
      <x:c r="Q2704" s="14" t="str">
        <x:v>Evet</x:v>
      </x:c>
      <x:c r="R2704" s="14" t="str">
        <x:v>Planlandı</x:v>
      </x:c>
      <x:c r="S2704" s="15" t="str"/>
      <x:c r="T2704" s="14" t="str">
        <x:v>2026 LGS formatı çalışma referansıdır; 2027 kılavuzu yayımlanırsa güncellenir.</x:v>
      </x:c>
    </x:row>
    <x:row r="2705">
      <x:c r="A2705" s="14" t="n">
        <x:v>2704</x:v>
      </x:c>
      <x:c r="B2705" s="15" t="n">
        <x:v>46523</x:v>
      </x:c>
      <x:c r="C2705" s="14" t="str">
        <x:v>Pazar</x:v>
      </x:c>
      <x:c r="D2705" s="14" t="str">
        <x:v>Hafta Sonu</x:v>
      </x:c>
      <x:c r="E2705" s="14" t="str">
        <x:v>Tam gün</x:v>
      </x:c>
      <x:c r="F2705" s="14" t="str">
        <x:v>F4 - 60 Gün / 60 Tam Deneme</x:v>
      </x:c>
      <x:c r="G2705" s="14" t="str">
        <x:v>10:45</x:v>
      </x:c>
      <x:c r="H2705" s="14" t="str">
        <x:v>11:30</x:v>
      </x:c>
      <x:c r="I2705" s="14" t="str">
        <x:v>Genel</x:v>
      </x:c>
      <x:c r="J2705" s="14" t="str">
        <x:v>Deneme Arası</x:v>
      </x:c>
      <x:c r="K2705" s="14" t="str"/>
      <x:c r="L2705" s="14" t="str">
        <x:v>45 dakika gerçek sınav arası simülasyonu: yemek/su/tuvalet; soru analizi yapma.</x:v>
      </x:c>
      <x:c r="M2705" s="14" t="str"/>
      <x:c r="N2705" s="14" t="str"/>
      <x:c r="O2705" s="14" t="n">
        <x:v>0</x:v>
      </x:c>
      <x:c r="P2705" s="14" t="str">
        <x:v>Hayır</x:v>
      </x:c>
      <x:c r="Q2705" s="14" t="str">
        <x:v>Evet</x:v>
      </x:c>
      <x:c r="R2705" s="14" t="str">
        <x:v>Planlandı</x:v>
      </x:c>
      <x:c r="S2705" s="15" t="str"/>
      <x:c r="T2705" s="14" t="str"/>
    </x:row>
    <x:row r="2706">
      <x:c r="A2706" s="14" t="n">
        <x:v>2705</x:v>
      </x:c>
      <x:c r="B2706" s="15" t="n">
        <x:v>46523</x:v>
      </x:c>
      <x:c r="C2706" s="14" t="str">
        <x:v>Pazar</x:v>
      </x:c>
      <x:c r="D2706" s="14" t="str">
        <x:v>Hafta Sonu</x:v>
      </x:c>
      <x:c r="E2706" s="14" t="str">
        <x:v>Tam gün</x:v>
      </x:c>
      <x:c r="F2706" s="14" t="str">
        <x:v>F4 - 60 Gün / 60 Tam Deneme</x:v>
      </x:c>
      <x:c r="G2706" s="14" t="str">
        <x:v>11:30</x:v>
      </x:c>
      <x:c r="H2706" s="14" t="str">
        <x:v>12:50</x:v>
      </x:c>
      <x:c r="I2706" s="14" t="str">
        <x:v>Deneme</x:v>
      </x:c>
      <x:c r="J2706" s="14" t="str">
        <x:v>Tam LGS Denemesi - Sayısal</x:v>
      </x:c>
      <x:c r="K2706" s="14" t="str">
        <x:v>Deneme 33</x:v>
      </x:c>
      <x:c r="L2706" s="14" t="str">
        <x:v>Deneme 33/60 — Sayısal oturum: Matematik 20 + Fen 20. 80 dakika.</x:v>
      </x:c>
      <x:c r="M2706" s="14" t="str">
        <x:v>Tam LGS Denemesi</x:v>
      </x:c>
      <x:c r="N2706" s="14" t="str"/>
      <x:c r="O2706" s="14" t="n">
        <x:v>40</x:v>
      </x:c>
      <x:c r="P2706" s="14" t="str">
        <x:v>80 dk</x:v>
      </x:c>
      <x:c r="Q2706" s="14" t="str">
        <x:v>Evet</x:v>
      </x:c>
      <x:c r="R2706" s="14" t="str">
        <x:v>Planlandı</x:v>
      </x:c>
      <x:c r="S2706" s="15" t="str"/>
      <x:c r="T2706" s="14" t="str"/>
    </x:row>
    <x:row r="2707">
      <x:c r="A2707" s="14" t="n">
        <x:v>2706</x:v>
      </x:c>
      <x:c r="B2707" s="15" t="n">
        <x:v>46523</x:v>
      </x:c>
      <x:c r="C2707" s="14" t="str">
        <x:v>Pazar</x:v>
      </x:c>
      <x:c r="D2707" s="14" t="str">
        <x:v>Hafta Sonu</x:v>
      </x:c>
      <x:c r="E2707" s="14" t="str">
        <x:v>Tam gün</x:v>
      </x:c>
      <x:c r="F2707" s="14" t="str">
        <x:v>F4 - 60 Gün / 60 Tam Deneme</x:v>
      </x:c>
      <x:c r="G2707" s="14" t="str">
        <x:v>14:30</x:v>
      </x:c>
      <x:c r="H2707" s="14" t="str">
        <x:v>15:15</x:v>
      </x:c>
      <x:c r="I2707" s="14" t="str">
        <x:v>Deneme</x:v>
      </x:c>
      <x:c r="J2707" s="14" t="str">
        <x:v>Deneme Analizi</x:v>
      </x:c>
      <x:c r="K2707" s="14" t="str">
        <x:v>Deneme 33</x:v>
      </x:c>
      <x:c r="L2707" s="14" t="str">
        <x:v>Tüm yanlış/boşları nedenleriyle analiz et; bilgi eksikliği, işlem, dikkat, yanlış okuma veya yorumlama olarak sınıflandır.</x:v>
      </x:c>
      <x:c r="M2707" s="14" t="str">
        <x:v>Deneme Takibi</x:v>
      </x:c>
      <x:c r="N2707" s="14" t="str"/>
      <x:c r="O2707" s="14" t="n">
        <x:v>0</x:v>
      </x:c>
      <x:c r="P2707" s="14" t="str">
        <x:v>Hayır</x:v>
      </x:c>
      <x:c r="Q2707" s="14" t="str">
        <x:v>Evet</x:v>
      </x:c>
      <x:c r="R2707" s="14" t="str">
        <x:v>Planlandı</x:v>
      </x:c>
      <x:c r="S2707" s="15" t="str"/>
      <x:c r="T2707" s="14" t="str">
        <x:v>Deneme çözülüp analiz edilmediyse gün tamamlanmış sayılmaz.</x:v>
      </x:c>
    </x:row>
    <x:row r="2708">
      <x:c r="A2708" s="14" t="n">
        <x:v>2707</x:v>
      </x:c>
      <x:c r="B2708" s="15" t="n">
        <x:v>46523</x:v>
      </x:c>
      <x:c r="C2708" s="14" t="str">
        <x:v>Pazar</x:v>
      </x:c>
      <x:c r="D2708" s="14" t="str">
        <x:v>Hafta Sonu</x:v>
      </x:c>
      <x:c r="E2708" s="14" t="str">
        <x:v>Tam gün</x:v>
      </x:c>
      <x:c r="F2708" s="14" t="str">
        <x:v>F4 - 60 Gün / 60 Tam Deneme</x:v>
      </x:c>
      <x:c r="G2708" s="14" t="str">
        <x:v>15:25</x:v>
      </x:c>
      <x:c r="H2708" s="14" t="str">
        <x:v>16:10</x:v>
      </x:c>
      <x:c r="I2708" s="14" t="str">
        <x:v>Genel</x:v>
      </x:c>
      <x:c r="J2708" s="14" t="str">
        <x:v>Hedefli Eksik Giderme</x:v>
      </x:c>
      <x:c r="K2708" s="14" t="str">
        <x:v>Denemeden Gelen Eksikler</x:v>
      </x:c>
      <x:c r="L2708" s="14" t="str">
        <x:v>Denemenin gösterdiği en kritik 1-3 eksiği gider: gerekirse ilgili playlist videosuna kısa dönüş + hedefli soru çözümü.</x:v>
      </x:c>
      <x:c r="M2708" s="14" t="str">
        <x:v>Playlist + Soru Kitabı + MEB</x:v>
      </x:c>
      <x:c r="N2708" s="14" t="str"/>
      <x:c r="O2708" s="14" t="n">
        <x:v>0</x:v>
      </x:c>
      <x:c r="P2708" s="14" t="str">
        <x:v>Hayır</x:v>
      </x:c>
      <x:c r="Q2708" s="14" t="str">
        <x:v>Evet</x:v>
      </x:c>
      <x:c r="R2708" s="14" t="str">
        <x:v>Planlandı</x:v>
      </x:c>
      <x:c r="S2708" s="15" t="str"/>
      <x:c r="T2708" s="14" t="str">
        <x:v>Yeni konu açılmaz; yalnız denemenin kanıtladığı eksiğe müdahale edilir.</x:v>
      </x:c>
    </x:row>
    <x:row r="2709">
      <x:c r="A2709" s="14" t="n">
        <x:v>2708</x:v>
      </x:c>
      <x:c r="B2709" s="15" t="n">
        <x:v>46523</x:v>
      </x:c>
      <x:c r="C2709" s="14" t="str">
        <x:v>Pazar</x:v>
      </x:c>
      <x:c r="D2709" s="14" t="str">
        <x:v>Hafta Sonu</x:v>
      </x:c>
      <x:c r="E2709" s="14" t="str">
        <x:v>Tam gün</x:v>
      </x:c>
      <x:c r="F2709" s="14" t="str">
        <x:v>F4 - 60 Gün / 60 Tam Deneme</x:v>
      </x:c>
      <x:c r="G2709" s="14" t="str">
        <x:v>16:20</x:v>
      </x:c>
      <x:c r="H2709" s="14" t="str">
        <x:v>16:40</x:v>
      </x:c>
      <x:c r="I2709" s="14" t="str">
        <x:v>Genel</x:v>
      </x:c>
      <x:c r="J2709" s="14" t="str">
        <x:v>Aralıklı Hata Tekrarı</x:v>
      </x:c>
      <x:c r="K2709" s="14" t="str">
        <x:v>+1 / +7 / +21</x:v>
      </x:c>
      <x:c r="L2709" s="14" t="str">
        <x:v>Bugün vadesi gelen eski yanlışları tekrar çöz ve bugünkü yanlışları Yanlış Defteri'ne ekle.</x:v>
      </x:c>
      <x:c r="M2709" s="14" t="str">
        <x:v>Yanlış Defteri</x:v>
      </x:c>
      <x:c r="N2709" s="14" t="str"/>
      <x:c r="O2709" s="14" t="n">
        <x:v>0</x:v>
      </x:c>
      <x:c r="P2709" s="14" t="str">
        <x:v>Hayır</x:v>
      </x:c>
      <x:c r="Q2709" s="14" t="str">
        <x:v>Evet</x:v>
      </x:c>
      <x:c r="R2709" s="14" t="str">
        <x:v>Planlandı</x:v>
      </x:c>
      <x:c r="S2709" s="15" t="str"/>
      <x:c r="T2709" s="14" t="str"/>
    </x:row>
    <x:row r="2710">
      <x:c r="A2710" s="14" t="n">
        <x:v>2709</x:v>
      </x:c>
      <x:c r="B2710" s="15" t="n">
        <x:v>46523</x:v>
      </x:c>
      <x:c r="C2710" s="14" t="str">
        <x:v>Pazar</x:v>
      </x:c>
      <x:c r="D2710" s="14" t="str">
        <x:v>Hafta Sonu</x:v>
      </x:c>
      <x:c r="E2710" s="14" t="str">
        <x:v>Tam gün</x:v>
      </x:c>
      <x:c r="F2710" s="14" t="str">
        <x:v>F4 - 60 Gün / 60 Tam Deneme</x:v>
      </x:c>
      <x:c r="G2710" s="14" t="str">
        <x:v>20:00</x:v>
      </x:c>
      <x:c r="H2710" s="14" t="str">
        <x:v>20:30</x:v>
      </x:c>
      <x:c r="I2710" s="14" t="str">
        <x:v>Okuma</x:v>
      </x:c>
      <x:c r="J2710" s="14" t="str">
        <x:v>İsteğe Bağlı</x:v>
      </x:c>
      <x:c r="K2710" s="14" t="str">
        <x:v>Serbest Kitap</x:v>
      </x:c>
      <x:c r="L2710" s="14" t="str">
        <x:v>Enerji uygunsa kısa isteğe bağlı okuma.</x:v>
      </x:c>
      <x:c r="M2710" s="14" t="str">
        <x:v>Serbest Kitap</x:v>
      </x:c>
      <x:c r="N2710" s="14" t="str"/>
      <x:c r="O2710" s="14" t="n">
        <x:v>0</x:v>
      </x:c>
      <x:c r="P2710" s="14" t="str">
        <x:v>İsteğe Bağlı</x:v>
      </x:c>
      <x:c r="Q2710" s="14" t="str">
        <x:v>Hayır</x:v>
      </x:c>
      <x:c r="R2710" s="14" t="str">
        <x:v>Planlandı</x:v>
      </x:c>
      <x:c r="S2710" s="15" t="str"/>
      <x:c r="T2710" s="14" t="str"/>
    </x:row>
    <x:row r="2711">
      <x:c r="A2711" s="14" t="n">
        <x:v>2710</x:v>
      </x:c>
      <x:c r="B2711" s="15" t="n">
        <x:v>46523</x:v>
      </x:c>
      <x:c r="C2711" s="14" t="str">
        <x:v>Pazar</x:v>
      </x:c>
      <x:c r="D2711" s="14" t="str">
        <x:v>Hafta Sonu</x:v>
      </x:c>
      <x:c r="E2711" s="14" t="str">
        <x:v>Tam gün</x:v>
      </x:c>
      <x:c r="F2711" s="14" t="str">
        <x:v>F4 - 60 Gün / 60 Tam Deneme</x:v>
      </x:c>
      <x:c r="G2711" s="14" t="str">
        <x:v>21:50</x:v>
      </x:c>
      <x:c r="H2711" s="14" t="str">
        <x:v>22:00</x:v>
      </x:c>
      <x:c r="I2711" s="14" t="str">
        <x:v>Genel</x:v>
      </x:c>
      <x:c r="J2711" s="14" t="str">
        <x:v>Uyku Hazırlığı</x:v>
      </x:c>
      <x:c r="K2711" s="14" t="str"/>
      <x:c r="L2711" s="14" t="str">
        <x:v>22:00'de yatakta ve uyku.</x:v>
      </x:c>
      <x:c r="M2711" s="14" t="str"/>
      <x:c r="N2711" s="14" t="str"/>
      <x:c r="O2711" s="14" t="n">
        <x:v>0</x:v>
      </x:c>
      <x:c r="P2711" s="14" t="str">
        <x:v>Hayır</x:v>
      </x:c>
      <x:c r="Q2711" s="14" t="str">
        <x:v>Hayır</x:v>
      </x:c>
      <x:c r="R2711" s="14" t="str">
        <x:v>Planlandı</x:v>
      </x:c>
      <x:c r="S2711" s="15" t="str"/>
      <x:c r="T2711" s="14" t="str"/>
    </x:row>
    <x:row r="2712">
      <x:c r="A2712" s="14" t="n">
        <x:v>2711</x:v>
      </x:c>
      <x:c r="B2712" s="15" t="n">
        <x:v>46524</x:v>
      </x:c>
      <x:c r="C2712" s="14" t="str">
        <x:v>Pazartesi</x:v>
      </x:c>
      <x:c r="D2712" s="14" t="str">
        <x:v>Okul Günü</x:v>
      </x:c>
      <x:c r="E2712" s="14" t="str">
        <x:v>16:00 sonrası</x:v>
      </x:c>
      <x:c r="F2712" s="14" t="str">
        <x:v>F4 - 60 Gün / 60 Tam Deneme</x:v>
      </x:c>
      <x:c r="G2712" s="14" t="str">
        <x:v>16:00</x:v>
      </x:c>
      <x:c r="H2712" s="14" t="str">
        <x:v>16:25</x:v>
      </x:c>
      <x:c r="I2712" s="14" t="str">
        <x:v>Genel</x:v>
      </x:c>
      <x:c r="J2712" s="14" t="str">
        <x:v>Dinlenme</x:v>
      </x:c>
      <x:c r="K2712" s="14" t="str"/>
      <x:c r="L2712" s="14" t="str">
        <x:v>Eve geliş + kısa dinlenme.</x:v>
      </x:c>
      <x:c r="M2712" s="14" t="str"/>
      <x:c r="N2712" s="14" t="str"/>
      <x:c r="O2712" s="14" t="n">
        <x:v>0</x:v>
      </x:c>
      <x:c r="P2712" s="14" t="str">
        <x:v>Hayır</x:v>
      </x:c>
      <x:c r="Q2712" s="14" t="str">
        <x:v>Hayır</x:v>
      </x:c>
      <x:c r="R2712" s="14" t="str">
        <x:v>Planlandı</x:v>
      </x:c>
      <x:c r="S2712" s="15" t="str"/>
      <x:c r="T2712" s="14" t="str"/>
    </x:row>
    <x:row r="2713">
      <x:c r="A2713" s="14" t="n">
        <x:v>2712</x:v>
      </x:c>
      <x:c r="B2713" s="15" t="n">
        <x:v>46524</x:v>
      </x:c>
      <x:c r="C2713" s="14" t="str">
        <x:v>Pazartesi</x:v>
      </x:c>
      <x:c r="D2713" s="14" t="str">
        <x:v>Okul Günü</x:v>
      </x:c>
      <x:c r="E2713" s="14" t="str">
        <x:v>16:00 sonrası</x:v>
      </x:c>
      <x:c r="F2713" s="14" t="str">
        <x:v>F4 - 60 Gün / 60 Tam Deneme</x:v>
      </x:c>
      <x:c r="G2713" s="14" t="str">
        <x:v>16:30</x:v>
      </x:c>
      <x:c r="H2713" s="14" t="str">
        <x:v>17:45</x:v>
      </x:c>
      <x:c r="I2713" s="14" t="str">
        <x:v>Deneme</x:v>
      </x:c>
      <x:c r="J2713" s="14" t="str">
        <x:v>Tam LGS Denemesi - Sözel</x:v>
      </x:c>
      <x:c r="K2713" s="14" t="str">
        <x:v>Deneme 34</x:v>
      </x:c>
      <x:c r="L2713" s="14" t="str">
        <x:v>Deneme 34/60 — Sözel oturum: Türkçe 20 + İnkılap 10 + Din 10 + İngilizce 10. 75 dakika.</x:v>
      </x:c>
      <x:c r="M2713" s="14" t="str">
        <x:v>Tam LGS Denemesi</x:v>
      </x:c>
      <x:c r="N2713" s="14" t="str"/>
      <x:c r="O2713" s="14" t="n">
        <x:v>50</x:v>
      </x:c>
      <x:c r="P2713" s="14" t="str">
        <x:v>75 dk</x:v>
      </x:c>
      <x:c r="Q2713" s="14" t="str">
        <x:v>Evet</x:v>
      </x:c>
      <x:c r="R2713" s="14" t="str">
        <x:v>Planlandı</x:v>
      </x:c>
      <x:c r="S2713" s="15" t="str"/>
      <x:c r="T2713" s="14" t="str">
        <x:v>2026 LGS formatı çalışma referansıdır; 2027 kılavuzu yayımlanırsa güncellenir.</x:v>
      </x:c>
    </x:row>
    <x:row r="2714">
      <x:c r="A2714" s="14" t="n">
        <x:v>2713</x:v>
      </x:c>
      <x:c r="B2714" s="15" t="n">
        <x:v>46524</x:v>
      </x:c>
      <x:c r="C2714" s="14" t="str">
        <x:v>Pazartesi</x:v>
      </x:c>
      <x:c r="D2714" s="14" t="str">
        <x:v>Okul Günü</x:v>
      </x:c>
      <x:c r="E2714" s="14" t="str">
        <x:v>16:00 sonrası</x:v>
      </x:c>
      <x:c r="F2714" s="14" t="str">
        <x:v>F4 - 60 Gün / 60 Tam Deneme</x:v>
      </x:c>
      <x:c r="G2714" s="14" t="str">
        <x:v>17:45</x:v>
      </x:c>
      <x:c r="H2714" s="14" t="str">
        <x:v>18:30</x:v>
      </x:c>
      <x:c r="I2714" s="14" t="str">
        <x:v>Genel</x:v>
      </x:c>
      <x:c r="J2714" s="14" t="str">
        <x:v>Deneme Arası</x:v>
      </x:c>
      <x:c r="K2714" s="14" t="str"/>
      <x:c r="L2714" s="14" t="str">
        <x:v>45 dakika gerçek sınav arası simülasyonu: yemek/su/tuvalet; soru analizi yapma.</x:v>
      </x:c>
      <x:c r="M2714" s="14" t="str"/>
      <x:c r="N2714" s="14" t="str"/>
      <x:c r="O2714" s="14" t="n">
        <x:v>0</x:v>
      </x:c>
      <x:c r="P2714" s="14" t="str">
        <x:v>Hayır</x:v>
      </x:c>
      <x:c r="Q2714" s="14" t="str">
        <x:v>Evet</x:v>
      </x:c>
      <x:c r="R2714" s="14" t="str">
        <x:v>Planlandı</x:v>
      </x:c>
      <x:c r="S2714" s="15" t="str"/>
      <x:c r="T2714" s="14" t="str"/>
    </x:row>
    <x:row r="2715">
      <x:c r="A2715" s="14" t="n">
        <x:v>2714</x:v>
      </x:c>
      <x:c r="B2715" s="15" t="n">
        <x:v>46524</x:v>
      </x:c>
      <x:c r="C2715" s="14" t="str">
        <x:v>Pazartesi</x:v>
      </x:c>
      <x:c r="D2715" s="14" t="str">
        <x:v>Okul Günü</x:v>
      </x:c>
      <x:c r="E2715" s="14" t="str">
        <x:v>16:00 sonrası</x:v>
      </x:c>
      <x:c r="F2715" s="14" t="str">
        <x:v>F4 - 60 Gün / 60 Tam Deneme</x:v>
      </x:c>
      <x:c r="G2715" s="14" t="str">
        <x:v>18:30</x:v>
      </x:c>
      <x:c r="H2715" s="14" t="str">
        <x:v>19:50</x:v>
      </x:c>
      <x:c r="I2715" s="14" t="str">
        <x:v>Deneme</x:v>
      </x:c>
      <x:c r="J2715" s="14" t="str">
        <x:v>Tam LGS Denemesi - Sayısal</x:v>
      </x:c>
      <x:c r="K2715" s="14" t="str">
        <x:v>Deneme 34</x:v>
      </x:c>
      <x:c r="L2715" s="14" t="str">
        <x:v>Deneme 34/60 — Sayısal oturum: Matematik 20 + Fen 20. 80 dakika.</x:v>
      </x:c>
      <x:c r="M2715" s="14" t="str">
        <x:v>Tam LGS Denemesi</x:v>
      </x:c>
      <x:c r="N2715" s="14" t="str"/>
      <x:c r="O2715" s="14" t="n">
        <x:v>40</x:v>
      </x:c>
      <x:c r="P2715" s="14" t="str">
        <x:v>80 dk</x:v>
      </x:c>
      <x:c r="Q2715" s="14" t="str">
        <x:v>Evet</x:v>
      </x:c>
      <x:c r="R2715" s="14" t="str">
        <x:v>Planlandı</x:v>
      </x:c>
      <x:c r="S2715" s="15" t="str"/>
      <x:c r="T2715" s="14" t="str"/>
    </x:row>
    <x:row r="2716">
      <x:c r="A2716" s="14" t="n">
        <x:v>2715</x:v>
      </x:c>
      <x:c r="B2716" s="15" t="n">
        <x:v>46524</x:v>
      </x:c>
      <x:c r="C2716" s="14" t="str">
        <x:v>Pazartesi</x:v>
      </x:c>
      <x:c r="D2716" s="14" t="str">
        <x:v>Okul Günü</x:v>
      </x:c>
      <x:c r="E2716" s="14" t="str">
        <x:v>16:00 sonrası</x:v>
      </x:c>
      <x:c r="F2716" s="14" t="str">
        <x:v>F4 - 60 Gün / 60 Tam Deneme</x:v>
      </x:c>
      <x:c r="G2716" s="14" t="str">
        <x:v>20:00</x:v>
      </x:c>
      <x:c r="H2716" s="14" t="str">
        <x:v>20:45</x:v>
      </x:c>
      <x:c r="I2716" s="14" t="str">
        <x:v>Deneme</x:v>
      </x:c>
      <x:c r="J2716" s="14" t="str">
        <x:v>Deneme Analizi</x:v>
      </x:c>
      <x:c r="K2716" s="14" t="str">
        <x:v>Deneme 34</x:v>
      </x:c>
      <x:c r="L2716" s="14" t="str">
        <x:v>Tüm yanlış/boşları nedenleriyle analiz et; bilgi eksikliği, işlem, dikkat, yanlış okuma veya yorumlama olarak sınıflandır.</x:v>
      </x:c>
      <x:c r="M2716" s="14" t="str">
        <x:v>Deneme Takibi</x:v>
      </x:c>
      <x:c r="N2716" s="14" t="str"/>
      <x:c r="O2716" s="14" t="n">
        <x:v>0</x:v>
      </x:c>
      <x:c r="P2716" s="14" t="str">
        <x:v>Hayır</x:v>
      </x:c>
      <x:c r="Q2716" s="14" t="str">
        <x:v>Evet</x:v>
      </x:c>
      <x:c r="R2716" s="14" t="str">
        <x:v>Planlandı</x:v>
      </x:c>
      <x:c r="S2716" s="15" t="str"/>
      <x:c r="T2716" s="14" t="str">
        <x:v>Deneme çözülüp analiz edilmediyse gün tamamlanmış sayılmaz.</x:v>
      </x:c>
    </x:row>
    <x:row r="2717">
      <x:c r="A2717" s="14" t="n">
        <x:v>2716</x:v>
      </x:c>
      <x:c r="B2717" s="15" t="n">
        <x:v>46524</x:v>
      </x:c>
      <x:c r="C2717" s="14" t="str">
        <x:v>Pazartesi</x:v>
      </x:c>
      <x:c r="D2717" s="14" t="str">
        <x:v>Okul Günü</x:v>
      </x:c>
      <x:c r="E2717" s="14" t="str">
        <x:v>16:00 sonrası</x:v>
      </x:c>
      <x:c r="F2717" s="14" t="str">
        <x:v>F4 - 60 Gün / 60 Tam Deneme</x:v>
      </x:c>
      <x:c r="G2717" s="14" t="str">
        <x:v>20:50</x:v>
      </x:c>
      <x:c r="H2717" s="14" t="str">
        <x:v>21:25</x:v>
      </x:c>
      <x:c r="I2717" s="14" t="str">
        <x:v>Genel</x:v>
      </x:c>
      <x:c r="J2717" s="14" t="str">
        <x:v>Hedefli Eksik Giderme</x:v>
      </x:c>
      <x:c r="K2717" s="14" t="str">
        <x:v>Denemeden Gelen Eksikler</x:v>
      </x:c>
      <x:c r="L2717" s="14" t="str">
        <x:v>Denemenin gösterdiği en kritik 1-3 eksiği gider: gerekirse ilgili playlist videosuna kısa dönüş + hedefli soru çözümü.</x:v>
      </x:c>
      <x:c r="M2717" s="14" t="str">
        <x:v>Playlist + Soru Kitabı + MEB</x:v>
      </x:c>
      <x:c r="N2717" s="14" t="str"/>
      <x:c r="O2717" s="14" t="n">
        <x:v>0</x:v>
      </x:c>
      <x:c r="P2717" s="14" t="str">
        <x:v>Hayır</x:v>
      </x:c>
      <x:c r="Q2717" s="14" t="str">
        <x:v>Evet</x:v>
      </x:c>
      <x:c r="R2717" s="14" t="str">
        <x:v>Planlandı</x:v>
      </x:c>
      <x:c r="S2717" s="15" t="str"/>
      <x:c r="T2717" s="14" t="str">
        <x:v>Yeni konu açılmaz; yalnız denemenin kanıtladığı eksiğe müdahale edilir.</x:v>
      </x:c>
    </x:row>
    <x:row r="2718">
      <x:c r="A2718" s="14" t="n">
        <x:v>2717</x:v>
      </x:c>
      <x:c r="B2718" s="15" t="n">
        <x:v>46524</x:v>
      </x:c>
      <x:c r="C2718" s="14" t="str">
        <x:v>Pazartesi</x:v>
      </x:c>
      <x:c r="D2718" s="14" t="str">
        <x:v>Okul Günü</x:v>
      </x:c>
      <x:c r="E2718" s="14" t="str">
        <x:v>16:00 sonrası</x:v>
      </x:c>
      <x:c r="F2718" s="14" t="str">
        <x:v>F4 - 60 Gün / 60 Tam Deneme</x:v>
      </x:c>
      <x:c r="G2718" s="14" t="str">
        <x:v>21:25</x:v>
      </x:c>
      <x:c r="H2718" s="14" t="str">
        <x:v>21:40</x:v>
      </x:c>
      <x:c r="I2718" s="14" t="str">
        <x:v>Genel</x:v>
      </x:c>
      <x:c r="J2718" s="14" t="str">
        <x:v>Aralıklı Hata Tekrarı</x:v>
      </x:c>
      <x:c r="K2718" s="14" t="str">
        <x:v>+1 / +7 / +21</x:v>
      </x:c>
      <x:c r="L2718" s="14" t="str">
        <x:v>Bugün vadesi gelen eski yanlışları tekrar çöz ve bugünkü yanlışları Yanlış Defteri'ne ekle.</x:v>
      </x:c>
      <x:c r="M2718" s="14" t="str">
        <x:v>Yanlış Defteri</x:v>
      </x:c>
      <x:c r="N2718" s="14" t="str"/>
      <x:c r="O2718" s="14" t="n">
        <x:v>0</x:v>
      </x:c>
      <x:c r="P2718" s="14" t="str">
        <x:v>Hayır</x:v>
      </x:c>
      <x:c r="Q2718" s="14" t="str">
        <x:v>Evet</x:v>
      </x:c>
      <x:c r="R2718" s="14" t="str">
        <x:v>Planlandı</x:v>
      </x:c>
      <x:c r="S2718" s="15" t="str"/>
      <x:c r="T2718" s="14" t="str"/>
    </x:row>
    <x:row r="2719">
      <x:c r="A2719" s="14" t="n">
        <x:v>2718</x:v>
      </x:c>
      <x:c r="B2719" s="15" t="n">
        <x:v>46524</x:v>
      </x:c>
      <x:c r="C2719" s="14" t="str">
        <x:v>Pazartesi</x:v>
      </x:c>
      <x:c r="D2719" s="14" t="str">
        <x:v>Okul Günü</x:v>
      </x:c>
      <x:c r="E2719" s="14" t="str">
        <x:v>16:00 sonrası</x:v>
      </x:c>
      <x:c r="F2719" s="14" t="str">
        <x:v>F4 - 60 Gün / 60 Tam Deneme</x:v>
      </x:c>
      <x:c r="G2719" s="14" t="str">
        <x:v>21:40</x:v>
      </x:c>
      <x:c r="H2719" s="14" t="str">
        <x:v>21:50</x:v>
      </x:c>
      <x:c r="I2719" s="14" t="str">
        <x:v>Okuma</x:v>
      </x:c>
      <x:c r="J2719" s="14" t="str">
        <x:v>İsteğe Bağlı</x:v>
      </x:c>
      <x:c r="K2719" s="14" t="str">
        <x:v>Serbest Kitap</x:v>
      </x:c>
      <x:c r="L2719" s="14" t="str">
        <x:v>Enerji uygunsa kısa isteğe bağlı okuma.</x:v>
      </x:c>
      <x:c r="M2719" s="14" t="str">
        <x:v>Serbest Kitap</x:v>
      </x:c>
      <x:c r="N2719" s="14" t="str"/>
      <x:c r="O2719" s="14" t="n">
        <x:v>0</x:v>
      </x:c>
      <x:c r="P2719" s="14" t="str">
        <x:v>İsteğe Bağlı</x:v>
      </x:c>
      <x:c r="Q2719" s="14" t="str">
        <x:v>Hayır</x:v>
      </x:c>
      <x:c r="R2719" s="14" t="str">
        <x:v>Planlandı</x:v>
      </x:c>
      <x:c r="S2719" s="15" t="str"/>
      <x:c r="T2719" s="14" t="str"/>
    </x:row>
    <x:row r="2720">
      <x:c r="A2720" s="14" t="n">
        <x:v>2719</x:v>
      </x:c>
      <x:c r="B2720" s="15" t="n">
        <x:v>46524</x:v>
      </x:c>
      <x:c r="C2720" s="14" t="str">
        <x:v>Pazartesi</x:v>
      </x:c>
      <x:c r="D2720" s="14" t="str">
        <x:v>Okul Günü</x:v>
      </x:c>
      <x:c r="E2720" s="14" t="str">
        <x:v>16:00 sonrası</x:v>
      </x:c>
      <x:c r="F2720" s="14" t="str">
        <x:v>F4 - 60 Gün / 60 Tam Deneme</x:v>
      </x:c>
      <x:c r="G2720" s="14" t="str">
        <x:v>21:50</x:v>
      </x:c>
      <x:c r="H2720" s="14" t="str">
        <x:v>22:00</x:v>
      </x:c>
      <x:c r="I2720" s="14" t="str">
        <x:v>Genel</x:v>
      </x:c>
      <x:c r="J2720" s="14" t="str">
        <x:v>Uyku Hazırlığı</x:v>
      </x:c>
      <x:c r="K2720" s="14" t="str"/>
      <x:c r="L2720" s="14" t="str">
        <x:v>22:00'de yatakta ve uyku.</x:v>
      </x:c>
      <x:c r="M2720" s="14" t="str"/>
      <x:c r="N2720" s="14" t="str"/>
      <x:c r="O2720" s="14" t="n">
        <x:v>0</x:v>
      </x:c>
      <x:c r="P2720" s="14" t="str">
        <x:v>Hayır</x:v>
      </x:c>
      <x:c r="Q2720" s="14" t="str">
        <x:v>Hayır</x:v>
      </x:c>
      <x:c r="R2720" s="14" t="str">
        <x:v>Planlandı</x:v>
      </x:c>
      <x:c r="S2720" s="15" t="str"/>
      <x:c r="T2720" s="14" t="str"/>
    </x:row>
    <x:row r="2721">
      <x:c r="A2721" s="14" t="n">
        <x:v>2720</x:v>
      </x:c>
      <x:c r="B2721" s="15" t="n">
        <x:v>46525</x:v>
      </x:c>
      <x:c r="C2721" s="14" t="str">
        <x:v>Salı</x:v>
      </x:c>
      <x:c r="D2721" s="14" t="str">
        <x:v>Okul Günü</x:v>
      </x:c>
      <x:c r="E2721" s="14" t="str">
        <x:v>16:00 sonrası</x:v>
      </x:c>
      <x:c r="F2721" s="14" t="str">
        <x:v>F4 - 60 Gün / 60 Tam Deneme</x:v>
      </x:c>
      <x:c r="G2721" s="14" t="str">
        <x:v>16:00</x:v>
      </x:c>
      <x:c r="H2721" s="14" t="str">
        <x:v>16:25</x:v>
      </x:c>
      <x:c r="I2721" s="14" t="str">
        <x:v>Genel</x:v>
      </x:c>
      <x:c r="J2721" s="14" t="str">
        <x:v>Dinlenme</x:v>
      </x:c>
      <x:c r="K2721" s="14" t="str"/>
      <x:c r="L2721" s="14" t="str">
        <x:v>Eve geliş + kısa dinlenme.</x:v>
      </x:c>
      <x:c r="M2721" s="14" t="str"/>
      <x:c r="N2721" s="14" t="str"/>
      <x:c r="O2721" s="14" t="n">
        <x:v>0</x:v>
      </x:c>
      <x:c r="P2721" s="14" t="str">
        <x:v>Hayır</x:v>
      </x:c>
      <x:c r="Q2721" s="14" t="str">
        <x:v>Hayır</x:v>
      </x:c>
      <x:c r="R2721" s="14" t="str">
        <x:v>Planlandı</x:v>
      </x:c>
      <x:c r="S2721" s="15" t="str"/>
      <x:c r="T2721" s="14" t="str"/>
    </x:row>
    <x:row r="2722">
      <x:c r="A2722" s="14" t="n">
        <x:v>2721</x:v>
      </x:c>
      <x:c r="B2722" s="15" t="n">
        <x:v>46525</x:v>
      </x:c>
      <x:c r="C2722" s="14" t="str">
        <x:v>Salı</x:v>
      </x:c>
      <x:c r="D2722" s="14" t="str">
        <x:v>Okul Günü</x:v>
      </x:c>
      <x:c r="E2722" s="14" t="str">
        <x:v>16:00 sonrası</x:v>
      </x:c>
      <x:c r="F2722" s="14" t="str">
        <x:v>F4 - 60 Gün / 60 Tam Deneme</x:v>
      </x:c>
      <x:c r="G2722" s="14" t="str">
        <x:v>16:30</x:v>
      </x:c>
      <x:c r="H2722" s="14" t="str">
        <x:v>17:45</x:v>
      </x:c>
      <x:c r="I2722" s="14" t="str">
        <x:v>Deneme</x:v>
      </x:c>
      <x:c r="J2722" s="14" t="str">
        <x:v>Tam LGS Denemesi - Sözel</x:v>
      </x:c>
      <x:c r="K2722" s="14" t="str">
        <x:v>Deneme 35</x:v>
      </x:c>
      <x:c r="L2722" s="14" t="str">
        <x:v>Deneme 35/60 — Sözel oturum: Türkçe 20 + İnkılap 10 + Din 10 + İngilizce 10. 75 dakika.</x:v>
      </x:c>
      <x:c r="M2722" s="14" t="str">
        <x:v>Tam LGS Denemesi</x:v>
      </x:c>
      <x:c r="N2722" s="14" t="str"/>
      <x:c r="O2722" s="14" t="n">
        <x:v>50</x:v>
      </x:c>
      <x:c r="P2722" s="14" t="str">
        <x:v>75 dk</x:v>
      </x:c>
      <x:c r="Q2722" s="14" t="str">
        <x:v>Evet</x:v>
      </x:c>
      <x:c r="R2722" s="14" t="str">
        <x:v>Planlandı</x:v>
      </x:c>
      <x:c r="S2722" s="15" t="str"/>
      <x:c r="T2722" s="14" t="str">
        <x:v>2026 LGS formatı çalışma referansıdır; 2027 kılavuzu yayımlanırsa güncellenir.</x:v>
      </x:c>
    </x:row>
    <x:row r="2723">
      <x:c r="A2723" s="14" t="n">
        <x:v>2722</x:v>
      </x:c>
      <x:c r="B2723" s="15" t="n">
        <x:v>46525</x:v>
      </x:c>
      <x:c r="C2723" s="14" t="str">
        <x:v>Salı</x:v>
      </x:c>
      <x:c r="D2723" s="14" t="str">
        <x:v>Okul Günü</x:v>
      </x:c>
      <x:c r="E2723" s="14" t="str">
        <x:v>16:00 sonrası</x:v>
      </x:c>
      <x:c r="F2723" s="14" t="str">
        <x:v>F4 - 60 Gün / 60 Tam Deneme</x:v>
      </x:c>
      <x:c r="G2723" s="14" t="str">
        <x:v>17:45</x:v>
      </x:c>
      <x:c r="H2723" s="14" t="str">
        <x:v>18:30</x:v>
      </x:c>
      <x:c r="I2723" s="14" t="str">
        <x:v>Genel</x:v>
      </x:c>
      <x:c r="J2723" s="14" t="str">
        <x:v>Deneme Arası</x:v>
      </x:c>
      <x:c r="K2723" s="14" t="str"/>
      <x:c r="L2723" s="14" t="str">
        <x:v>45 dakika gerçek sınav arası simülasyonu: yemek/su/tuvalet; soru analizi yapma.</x:v>
      </x:c>
      <x:c r="M2723" s="14" t="str"/>
      <x:c r="N2723" s="14" t="str"/>
      <x:c r="O2723" s="14" t="n">
        <x:v>0</x:v>
      </x:c>
      <x:c r="P2723" s="14" t="str">
        <x:v>Hayır</x:v>
      </x:c>
      <x:c r="Q2723" s="14" t="str">
        <x:v>Evet</x:v>
      </x:c>
      <x:c r="R2723" s="14" t="str">
        <x:v>Planlandı</x:v>
      </x:c>
      <x:c r="S2723" s="15" t="str"/>
      <x:c r="T2723" s="14" t="str"/>
    </x:row>
    <x:row r="2724">
      <x:c r="A2724" s="14" t="n">
        <x:v>2723</x:v>
      </x:c>
      <x:c r="B2724" s="15" t="n">
        <x:v>46525</x:v>
      </x:c>
      <x:c r="C2724" s="14" t="str">
        <x:v>Salı</x:v>
      </x:c>
      <x:c r="D2724" s="14" t="str">
        <x:v>Okul Günü</x:v>
      </x:c>
      <x:c r="E2724" s="14" t="str">
        <x:v>16:00 sonrası</x:v>
      </x:c>
      <x:c r="F2724" s="14" t="str">
        <x:v>F4 - 60 Gün / 60 Tam Deneme</x:v>
      </x:c>
      <x:c r="G2724" s="14" t="str">
        <x:v>18:30</x:v>
      </x:c>
      <x:c r="H2724" s="14" t="str">
        <x:v>19:50</x:v>
      </x:c>
      <x:c r="I2724" s="14" t="str">
        <x:v>Deneme</x:v>
      </x:c>
      <x:c r="J2724" s="14" t="str">
        <x:v>Tam LGS Denemesi - Sayısal</x:v>
      </x:c>
      <x:c r="K2724" s="14" t="str">
        <x:v>Deneme 35</x:v>
      </x:c>
      <x:c r="L2724" s="14" t="str">
        <x:v>Deneme 35/60 — Sayısal oturum: Matematik 20 + Fen 20. 80 dakika.</x:v>
      </x:c>
      <x:c r="M2724" s="14" t="str">
        <x:v>Tam LGS Denemesi</x:v>
      </x:c>
      <x:c r="N2724" s="14" t="str"/>
      <x:c r="O2724" s="14" t="n">
        <x:v>40</x:v>
      </x:c>
      <x:c r="P2724" s="14" t="str">
        <x:v>80 dk</x:v>
      </x:c>
      <x:c r="Q2724" s="14" t="str">
        <x:v>Evet</x:v>
      </x:c>
      <x:c r="R2724" s="14" t="str">
        <x:v>Planlandı</x:v>
      </x:c>
      <x:c r="S2724" s="15" t="str"/>
      <x:c r="T2724" s="14" t="str"/>
    </x:row>
    <x:row r="2725">
      <x:c r="A2725" s="14" t="n">
        <x:v>2724</x:v>
      </x:c>
      <x:c r="B2725" s="15" t="n">
        <x:v>46525</x:v>
      </x:c>
      <x:c r="C2725" s="14" t="str">
        <x:v>Salı</x:v>
      </x:c>
      <x:c r="D2725" s="14" t="str">
        <x:v>Okul Günü</x:v>
      </x:c>
      <x:c r="E2725" s="14" t="str">
        <x:v>16:00 sonrası</x:v>
      </x:c>
      <x:c r="F2725" s="14" t="str">
        <x:v>F4 - 60 Gün / 60 Tam Deneme</x:v>
      </x:c>
      <x:c r="G2725" s="14" t="str">
        <x:v>20:00</x:v>
      </x:c>
      <x:c r="H2725" s="14" t="str">
        <x:v>20:45</x:v>
      </x:c>
      <x:c r="I2725" s="14" t="str">
        <x:v>Deneme</x:v>
      </x:c>
      <x:c r="J2725" s="14" t="str">
        <x:v>Deneme Analizi</x:v>
      </x:c>
      <x:c r="K2725" s="14" t="str">
        <x:v>Deneme 35</x:v>
      </x:c>
      <x:c r="L2725" s="14" t="str">
        <x:v>Tüm yanlış/boşları nedenleriyle analiz et; bilgi eksikliği, işlem, dikkat, yanlış okuma veya yorumlama olarak sınıflandır.</x:v>
      </x:c>
      <x:c r="M2725" s="14" t="str">
        <x:v>Deneme Takibi</x:v>
      </x:c>
      <x:c r="N2725" s="14" t="str"/>
      <x:c r="O2725" s="14" t="n">
        <x:v>0</x:v>
      </x:c>
      <x:c r="P2725" s="14" t="str">
        <x:v>Hayır</x:v>
      </x:c>
      <x:c r="Q2725" s="14" t="str">
        <x:v>Evet</x:v>
      </x:c>
      <x:c r="R2725" s="14" t="str">
        <x:v>Planlandı</x:v>
      </x:c>
      <x:c r="S2725" s="15" t="str"/>
      <x:c r="T2725" s="14" t="str">
        <x:v>Deneme çözülüp analiz edilmediyse gün tamamlanmış sayılmaz.</x:v>
      </x:c>
    </x:row>
    <x:row r="2726">
      <x:c r="A2726" s="14" t="n">
        <x:v>2725</x:v>
      </x:c>
      <x:c r="B2726" s="15" t="n">
        <x:v>46525</x:v>
      </x:c>
      <x:c r="C2726" s="14" t="str">
        <x:v>Salı</x:v>
      </x:c>
      <x:c r="D2726" s="14" t="str">
        <x:v>Okul Günü</x:v>
      </x:c>
      <x:c r="E2726" s="14" t="str">
        <x:v>16:00 sonrası</x:v>
      </x:c>
      <x:c r="F2726" s="14" t="str">
        <x:v>F4 - 60 Gün / 60 Tam Deneme</x:v>
      </x:c>
      <x:c r="G2726" s="14" t="str">
        <x:v>20:50</x:v>
      </x:c>
      <x:c r="H2726" s="14" t="str">
        <x:v>21:25</x:v>
      </x:c>
      <x:c r="I2726" s="14" t="str">
        <x:v>Genel</x:v>
      </x:c>
      <x:c r="J2726" s="14" t="str">
        <x:v>Hedefli Eksik Giderme</x:v>
      </x:c>
      <x:c r="K2726" s="14" t="str">
        <x:v>Denemeden Gelen Eksikler</x:v>
      </x:c>
      <x:c r="L2726" s="14" t="str">
        <x:v>Denemenin gösterdiği en kritik 1-3 eksiği gider: gerekirse ilgili playlist videosuna kısa dönüş + hedefli soru çözümü.</x:v>
      </x:c>
      <x:c r="M2726" s="14" t="str">
        <x:v>Playlist + Soru Kitabı + MEB</x:v>
      </x:c>
      <x:c r="N2726" s="14" t="str"/>
      <x:c r="O2726" s="14" t="n">
        <x:v>0</x:v>
      </x:c>
      <x:c r="P2726" s="14" t="str">
        <x:v>Hayır</x:v>
      </x:c>
      <x:c r="Q2726" s="14" t="str">
        <x:v>Evet</x:v>
      </x:c>
      <x:c r="R2726" s="14" t="str">
        <x:v>Planlandı</x:v>
      </x:c>
      <x:c r="S2726" s="15" t="str"/>
      <x:c r="T2726" s="14" t="str">
        <x:v>Yeni konu açılmaz; yalnız denemenin kanıtladığı eksiğe müdahale edilir.</x:v>
      </x:c>
    </x:row>
    <x:row r="2727">
      <x:c r="A2727" s="14" t="n">
        <x:v>2726</x:v>
      </x:c>
      <x:c r="B2727" s="15" t="n">
        <x:v>46525</x:v>
      </x:c>
      <x:c r="C2727" s="14" t="str">
        <x:v>Salı</x:v>
      </x:c>
      <x:c r="D2727" s="14" t="str">
        <x:v>Okul Günü</x:v>
      </x:c>
      <x:c r="E2727" s="14" t="str">
        <x:v>16:00 sonrası</x:v>
      </x:c>
      <x:c r="F2727" s="14" t="str">
        <x:v>F4 - 60 Gün / 60 Tam Deneme</x:v>
      </x:c>
      <x:c r="G2727" s="14" t="str">
        <x:v>21:25</x:v>
      </x:c>
      <x:c r="H2727" s="14" t="str">
        <x:v>21:40</x:v>
      </x:c>
      <x:c r="I2727" s="14" t="str">
        <x:v>Genel</x:v>
      </x:c>
      <x:c r="J2727" s="14" t="str">
        <x:v>Aralıklı Hata Tekrarı</x:v>
      </x:c>
      <x:c r="K2727" s="14" t="str">
        <x:v>+1 / +7 / +21</x:v>
      </x:c>
      <x:c r="L2727" s="14" t="str">
        <x:v>Bugün vadesi gelen eski yanlışları tekrar çöz ve bugünkü yanlışları Yanlış Defteri'ne ekle.</x:v>
      </x:c>
      <x:c r="M2727" s="14" t="str">
        <x:v>Yanlış Defteri</x:v>
      </x:c>
      <x:c r="N2727" s="14" t="str"/>
      <x:c r="O2727" s="14" t="n">
        <x:v>0</x:v>
      </x:c>
      <x:c r="P2727" s="14" t="str">
        <x:v>Hayır</x:v>
      </x:c>
      <x:c r="Q2727" s="14" t="str">
        <x:v>Evet</x:v>
      </x:c>
      <x:c r="R2727" s="14" t="str">
        <x:v>Planlandı</x:v>
      </x:c>
      <x:c r="S2727" s="15" t="str"/>
      <x:c r="T2727" s="14" t="str"/>
    </x:row>
    <x:row r="2728">
      <x:c r="A2728" s="14" t="n">
        <x:v>2727</x:v>
      </x:c>
      <x:c r="B2728" s="15" t="n">
        <x:v>46525</x:v>
      </x:c>
      <x:c r="C2728" s="14" t="str">
        <x:v>Salı</x:v>
      </x:c>
      <x:c r="D2728" s="14" t="str">
        <x:v>Okul Günü</x:v>
      </x:c>
      <x:c r="E2728" s="14" t="str">
        <x:v>16:00 sonrası</x:v>
      </x:c>
      <x:c r="F2728" s="14" t="str">
        <x:v>F4 - 60 Gün / 60 Tam Deneme</x:v>
      </x:c>
      <x:c r="G2728" s="14" t="str">
        <x:v>21:40</x:v>
      </x:c>
      <x:c r="H2728" s="14" t="str">
        <x:v>21:50</x:v>
      </x:c>
      <x:c r="I2728" s="14" t="str">
        <x:v>Okuma</x:v>
      </x:c>
      <x:c r="J2728" s="14" t="str">
        <x:v>İsteğe Bağlı</x:v>
      </x:c>
      <x:c r="K2728" s="14" t="str">
        <x:v>Serbest Kitap</x:v>
      </x:c>
      <x:c r="L2728" s="14" t="str">
        <x:v>Enerji uygunsa kısa isteğe bağlı okuma.</x:v>
      </x:c>
      <x:c r="M2728" s="14" t="str">
        <x:v>Serbest Kitap</x:v>
      </x:c>
      <x:c r="N2728" s="14" t="str"/>
      <x:c r="O2728" s="14" t="n">
        <x:v>0</x:v>
      </x:c>
      <x:c r="P2728" s="14" t="str">
        <x:v>İsteğe Bağlı</x:v>
      </x:c>
      <x:c r="Q2728" s="14" t="str">
        <x:v>Hayır</x:v>
      </x:c>
      <x:c r="R2728" s="14" t="str">
        <x:v>Planlandı</x:v>
      </x:c>
      <x:c r="S2728" s="15" t="str"/>
      <x:c r="T2728" s="14" t="str"/>
    </x:row>
    <x:row r="2729">
      <x:c r="A2729" s="14" t="n">
        <x:v>2728</x:v>
      </x:c>
      <x:c r="B2729" s="15" t="n">
        <x:v>46525</x:v>
      </x:c>
      <x:c r="C2729" s="14" t="str">
        <x:v>Salı</x:v>
      </x:c>
      <x:c r="D2729" s="14" t="str">
        <x:v>Okul Günü</x:v>
      </x:c>
      <x:c r="E2729" s="14" t="str">
        <x:v>16:00 sonrası</x:v>
      </x:c>
      <x:c r="F2729" s="14" t="str">
        <x:v>F4 - 60 Gün / 60 Tam Deneme</x:v>
      </x:c>
      <x:c r="G2729" s="14" t="str">
        <x:v>21:50</x:v>
      </x:c>
      <x:c r="H2729" s="14" t="str">
        <x:v>22:00</x:v>
      </x:c>
      <x:c r="I2729" s="14" t="str">
        <x:v>Genel</x:v>
      </x:c>
      <x:c r="J2729" s="14" t="str">
        <x:v>Uyku Hazırlığı</x:v>
      </x:c>
      <x:c r="K2729" s="14" t="str"/>
      <x:c r="L2729" s="14" t="str">
        <x:v>22:00'de yatakta ve uyku.</x:v>
      </x:c>
      <x:c r="M2729" s="14" t="str"/>
      <x:c r="N2729" s="14" t="str"/>
      <x:c r="O2729" s="14" t="n">
        <x:v>0</x:v>
      </x:c>
      <x:c r="P2729" s="14" t="str">
        <x:v>Hayır</x:v>
      </x:c>
      <x:c r="Q2729" s="14" t="str">
        <x:v>Hayır</x:v>
      </x:c>
      <x:c r="R2729" s="14" t="str">
        <x:v>Planlandı</x:v>
      </x:c>
      <x:c r="S2729" s="15" t="str"/>
      <x:c r="T2729" s="14" t="str"/>
    </x:row>
    <x:row r="2730">
      <x:c r="A2730" s="14" t="n">
        <x:v>2729</x:v>
      </x:c>
      <x:c r="B2730" s="15" t="n">
        <x:v>46526</x:v>
      </x:c>
      <x:c r="C2730" s="14" t="str">
        <x:v>Çarşamba</x:v>
      </x:c>
      <x:c r="D2730" s="14" t="str">
        <x:v>Resmî Tatil</x:v>
      </x:c>
      <x:c r="E2730" s="14" t="str">
        <x:v>19 Mayıs</x:v>
      </x:c>
      <x:c r="F2730" s="14" t="str">
        <x:v>F4 - 60 Gün / 60 Tam Deneme</x:v>
      </x:c>
      <x:c r="G2730" s="14" t="str">
        <x:v>09:30</x:v>
      </x:c>
      <x:c r="H2730" s="14" t="str">
        <x:v>10:45</x:v>
      </x:c>
      <x:c r="I2730" s="14" t="str">
        <x:v>Deneme</x:v>
      </x:c>
      <x:c r="J2730" s="14" t="str">
        <x:v>Tam LGS Denemesi - Sözel</x:v>
      </x:c>
      <x:c r="K2730" s="14" t="str">
        <x:v>Deneme 36</x:v>
      </x:c>
      <x:c r="L2730" s="14" t="str">
        <x:v>Deneme 36/60 — Sözel oturum: Türkçe 20 + İnkılap 10 + Din 10 + İngilizce 10. 75 dakika.</x:v>
      </x:c>
      <x:c r="M2730" s="14" t="str">
        <x:v>Tam LGS Denemesi</x:v>
      </x:c>
      <x:c r="N2730" s="14" t="str"/>
      <x:c r="O2730" s="14" t="n">
        <x:v>50</x:v>
      </x:c>
      <x:c r="P2730" s="14" t="str">
        <x:v>75 dk</x:v>
      </x:c>
      <x:c r="Q2730" s="14" t="str">
        <x:v>Evet</x:v>
      </x:c>
      <x:c r="R2730" s="14" t="str">
        <x:v>Planlandı</x:v>
      </x:c>
      <x:c r="S2730" s="15" t="str"/>
      <x:c r="T2730" s="14" t="str">
        <x:v>2026 LGS formatı çalışma referansıdır; 2027 kılavuzu yayımlanırsa güncellenir.</x:v>
      </x:c>
    </x:row>
    <x:row r="2731">
      <x:c r="A2731" s="14" t="n">
        <x:v>2730</x:v>
      </x:c>
      <x:c r="B2731" s="15" t="n">
        <x:v>46526</x:v>
      </x:c>
      <x:c r="C2731" s="14" t="str">
        <x:v>Çarşamba</x:v>
      </x:c>
      <x:c r="D2731" s="14" t="str">
        <x:v>Resmî Tatil</x:v>
      </x:c>
      <x:c r="E2731" s="14" t="str">
        <x:v>19 Mayıs</x:v>
      </x:c>
      <x:c r="F2731" s="14" t="str">
        <x:v>F4 - 60 Gün / 60 Tam Deneme</x:v>
      </x:c>
      <x:c r="G2731" s="14" t="str">
        <x:v>10:45</x:v>
      </x:c>
      <x:c r="H2731" s="14" t="str">
        <x:v>11:30</x:v>
      </x:c>
      <x:c r="I2731" s="14" t="str">
        <x:v>Genel</x:v>
      </x:c>
      <x:c r="J2731" s="14" t="str">
        <x:v>Deneme Arası</x:v>
      </x:c>
      <x:c r="K2731" s="14" t="str"/>
      <x:c r="L2731" s="14" t="str">
        <x:v>45 dakika gerçek sınav arası simülasyonu: yemek/su/tuvalet; soru analizi yapma.</x:v>
      </x:c>
      <x:c r="M2731" s="14" t="str"/>
      <x:c r="N2731" s="14" t="str"/>
      <x:c r="O2731" s="14" t="n">
        <x:v>0</x:v>
      </x:c>
      <x:c r="P2731" s="14" t="str">
        <x:v>Hayır</x:v>
      </x:c>
      <x:c r="Q2731" s="14" t="str">
        <x:v>Evet</x:v>
      </x:c>
      <x:c r="R2731" s="14" t="str">
        <x:v>Planlandı</x:v>
      </x:c>
      <x:c r="S2731" s="15" t="str"/>
      <x:c r="T2731" s="14" t="str"/>
    </x:row>
    <x:row r="2732">
      <x:c r="A2732" s="14" t="n">
        <x:v>2731</x:v>
      </x:c>
      <x:c r="B2732" s="15" t="n">
        <x:v>46526</x:v>
      </x:c>
      <x:c r="C2732" s="14" t="str">
        <x:v>Çarşamba</x:v>
      </x:c>
      <x:c r="D2732" s="14" t="str">
        <x:v>Resmî Tatil</x:v>
      </x:c>
      <x:c r="E2732" s="14" t="str">
        <x:v>19 Mayıs</x:v>
      </x:c>
      <x:c r="F2732" s="14" t="str">
        <x:v>F4 - 60 Gün / 60 Tam Deneme</x:v>
      </x:c>
      <x:c r="G2732" s="14" t="str">
        <x:v>11:30</x:v>
      </x:c>
      <x:c r="H2732" s="14" t="str">
        <x:v>12:50</x:v>
      </x:c>
      <x:c r="I2732" s="14" t="str">
        <x:v>Deneme</x:v>
      </x:c>
      <x:c r="J2732" s="14" t="str">
        <x:v>Tam LGS Denemesi - Sayısal</x:v>
      </x:c>
      <x:c r="K2732" s="14" t="str">
        <x:v>Deneme 36</x:v>
      </x:c>
      <x:c r="L2732" s="14" t="str">
        <x:v>Deneme 36/60 — Sayısal oturum: Matematik 20 + Fen 20. 80 dakika.</x:v>
      </x:c>
      <x:c r="M2732" s="14" t="str">
        <x:v>Tam LGS Denemesi</x:v>
      </x:c>
      <x:c r="N2732" s="14" t="str"/>
      <x:c r="O2732" s="14" t="n">
        <x:v>40</x:v>
      </x:c>
      <x:c r="P2732" s="14" t="str">
        <x:v>80 dk</x:v>
      </x:c>
      <x:c r="Q2732" s="14" t="str">
        <x:v>Evet</x:v>
      </x:c>
      <x:c r="R2732" s="14" t="str">
        <x:v>Planlandı</x:v>
      </x:c>
      <x:c r="S2732" s="15" t="str"/>
      <x:c r="T2732" s="14" t="str"/>
    </x:row>
    <x:row r="2733">
      <x:c r="A2733" s="14" t="n">
        <x:v>2732</x:v>
      </x:c>
      <x:c r="B2733" s="15" t="n">
        <x:v>46526</x:v>
      </x:c>
      <x:c r="C2733" s="14" t="str">
        <x:v>Çarşamba</x:v>
      </x:c>
      <x:c r="D2733" s="14" t="str">
        <x:v>Resmî Tatil</x:v>
      </x:c>
      <x:c r="E2733" s="14" t="str">
        <x:v>19 Mayıs</x:v>
      </x:c>
      <x:c r="F2733" s="14" t="str">
        <x:v>F4 - 60 Gün / 60 Tam Deneme</x:v>
      </x:c>
      <x:c r="G2733" s="14" t="str">
        <x:v>14:30</x:v>
      </x:c>
      <x:c r="H2733" s="14" t="str">
        <x:v>15:15</x:v>
      </x:c>
      <x:c r="I2733" s="14" t="str">
        <x:v>Deneme</x:v>
      </x:c>
      <x:c r="J2733" s="14" t="str">
        <x:v>Deneme Analizi</x:v>
      </x:c>
      <x:c r="K2733" s="14" t="str">
        <x:v>Deneme 36</x:v>
      </x:c>
      <x:c r="L2733" s="14" t="str">
        <x:v>Tüm yanlış/boşları nedenleriyle analiz et; bilgi eksikliği, işlem, dikkat, yanlış okuma veya yorumlama olarak sınıflandır.</x:v>
      </x:c>
      <x:c r="M2733" s="14" t="str">
        <x:v>Deneme Takibi</x:v>
      </x:c>
      <x:c r="N2733" s="14" t="str"/>
      <x:c r="O2733" s="14" t="n">
        <x:v>0</x:v>
      </x:c>
      <x:c r="P2733" s="14" t="str">
        <x:v>Hayır</x:v>
      </x:c>
      <x:c r="Q2733" s="14" t="str">
        <x:v>Evet</x:v>
      </x:c>
      <x:c r="R2733" s="14" t="str">
        <x:v>Planlandı</x:v>
      </x:c>
      <x:c r="S2733" s="15" t="str"/>
      <x:c r="T2733" s="14" t="str">
        <x:v>Deneme çözülüp analiz edilmediyse gün tamamlanmış sayılmaz.</x:v>
      </x:c>
    </x:row>
    <x:row r="2734">
      <x:c r="A2734" s="14" t="n">
        <x:v>2733</x:v>
      </x:c>
      <x:c r="B2734" s="15" t="n">
        <x:v>46526</x:v>
      </x:c>
      <x:c r="C2734" s="14" t="str">
        <x:v>Çarşamba</x:v>
      </x:c>
      <x:c r="D2734" s="14" t="str">
        <x:v>Resmî Tatil</x:v>
      </x:c>
      <x:c r="E2734" s="14" t="str">
        <x:v>19 Mayıs</x:v>
      </x:c>
      <x:c r="F2734" s="14" t="str">
        <x:v>F4 - 60 Gün / 60 Tam Deneme</x:v>
      </x:c>
      <x:c r="G2734" s="14" t="str">
        <x:v>15:25</x:v>
      </x:c>
      <x:c r="H2734" s="14" t="str">
        <x:v>16:10</x:v>
      </x:c>
      <x:c r="I2734" s="14" t="str">
        <x:v>Genel</x:v>
      </x:c>
      <x:c r="J2734" s="14" t="str">
        <x:v>Hedefli Eksik Giderme</x:v>
      </x:c>
      <x:c r="K2734" s="14" t="str">
        <x:v>Denemeden Gelen Eksikler</x:v>
      </x:c>
      <x:c r="L2734" s="14" t="str">
        <x:v>Denemenin gösterdiği en kritik 1-3 eksiği gider: gerekirse ilgili playlist videosuna kısa dönüş + hedefli soru çözümü.</x:v>
      </x:c>
      <x:c r="M2734" s="14" t="str">
        <x:v>Playlist + Soru Kitabı + MEB</x:v>
      </x:c>
      <x:c r="N2734" s="14" t="str"/>
      <x:c r="O2734" s="14" t="n">
        <x:v>0</x:v>
      </x:c>
      <x:c r="P2734" s="14" t="str">
        <x:v>Hayır</x:v>
      </x:c>
      <x:c r="Q2734" s="14" t="str">
        <x:v>Evet</x:v>
      </x:c>
      <x:c r="R2734" s="14" t="str">
        <x:v>Planlandı</x:v>
      </x:c>
      <x:c r="S2734" s="15" t="str"/>
      <x:c r="T2734" s="14" t="str">
        <x:v>Yeni konu açılmaz; yalnız denemenin kanıtladığı eksiğe müdahale edilir.</x:v>
      </x:c>
    </x:row>
    <x:row r="2735">
      <x:c r="A2735" s="14" t="n">
        <x:v>2734</x:v>
      </x:c>
      <x:c r="B2735" s="15" t="n">
        <x:v>46526</x:v>
      </x:c>
      <x:c r="C2735" s="14" t="str">
        <x:v>Çarşamba</x:v>
      </x:c>
      <x:c r="D2735" s="14" t="str">
        <x:v>Resmî Tatil</x:v>
      </x:c>
      <x:c r="E2735" s="14" t="str">
        <x:v>19 Mayıs</x:v>
      </x:c>
      <x:c r="F2735" s="14" t="str">
        <x:v>F4 - 60 Gün / 60 Tam Deneme</x:v>
      </x:c>
      <x:c r="G2735" s="14" t="str">
        <x:v>16:20</x:v>
      </x:c>
      <x:c r="H2735" s="14" t="str">
        <x:v>16:40</x:v>
      </x:c>
      <x:c r="I2735" s="14" t="str">
        <x:v>Genel</x:v>
      </x:c>
      <x:c r="J2735" s="14" t="str">
        <x:v>Aralıklı Hata Tekrarı</x:v>
      </x:c>
      <x:c r="K2735" s="14" t="str">
        <x:v>+1 / +7 / +21</x:v>
      </x:c>
      <x:c r="L2735" s="14" t="str">
        <x:v>Bugün vadesi gelen eski yanlışları tekrar çöz ve bugünkü yanlışları Yanlış Defteri'ne ekle.</x:v>
      </x:c>
      <x:c r="M2735" s="14" t="str">
        <x:v>Yanlış Defteri</x:v>
      </x:c>
      <x:c r="N2735" s="14" t="str"/>
      <x:c r="O2735" s="14" t="n">
        <x:v>0</x:v>
      </x:c>
      <x:c r="P2735" s="14" t="str">
        <x:v>Hayır</x:v>
      </x:c>
      <x:c r="Q2735" s="14" t="str">
        <x:v>Evet</x:v>
      </x:c>
      <x:c r="R2735" s="14" t="str">
        <x:v>Planlandı</x:v>
      </x:c>
      <x:c r="S2735" s="15" t="str"/>
      <x:c r="T2735" s="14" t="str"/>
    </x:row>
    <x:row r="2736">
      <x:c r="A2736" s="14" t="n">
        <x:v>2735</x:v>
      </x:c>
      <x:c r="B2736" s="15" t="n">
        <x:v>46526</x:v>
      </x:c>
      <x:c r="C2736" s="14" t="str">
        <x:v>Çarşamba</x:v>
      </x:c>
      <x:c r="D2736" s="14" t="str">
        <x:v>Resmî Tatil</x:v>
      </x:c>
      <x:c r="E2736" s="14" t="str">
        <x:v>19 Mayıs</x:v>
      </x:c>
      <x:c r="F2736" s="14" t="str">
        <x:v>F4 - 60 Gün / 60 Tam Deneme</x:v>
      </x:c>
      <x:c r="G2736" s="14" t="str">
        <x:v>20:00</x:v>
      </x:c>
      <x:c r="H2736" s="14" t="str">
        <x:v>20:30</x:v>
      </x:c>
      <x:c r="I2736" s="14" t="str">
        <x:v>Okuma</x:v>
      </x:c>
      <x:c r="J2736" s="14" t="str">
        <x:v>İsteğe Bağlı</x:v>
      </x:c>
      <x:c r="K2736" s="14" t="str">
        <x:v>Serbest Kitap</x:v>
      </x:c>
      <x:c r="L2736" s="14" t="str">
        <x:v>Enerji uygunsa kısa isteğe bağlı okuma.</x:v>
      </x:c>
      <x:c r="M2736" s="14" t="str">
        <x:v>Serbest Kitap</x:v>
      </x:c>
      <x:c r="N2736" s="14" t="str"/>
      <x:c r="O2736" s="14" t="n">
        <x:v>0</x:v>
      </x:c>
      <x:c r="P2736" s="14" t="str">
        <x:v>İsteğe Bağlı</x:v>
      </x:c>
      <x:c r="Q2736" s="14" t="str">
        <x:v>Hayır</x:v>
      </x:c>
      <x:c r="R2736" s="14" t="str">
        <x:v>Planlandı</x:v>
      </x:c>
      <x:c r="S2736" s="15" t="str"/>
      <x:c r="T2736" s="14" t="str"/>
    </x:row>
    <x:row r="2737">
      <x:c r="A2737" s="14" t="n">
        <x:v>2736</x:v>
      </x:c>
      <x:c r="B2737" s="15" t="n">
        <x:v>46526</x:v>
      </x:c>
      <x:c r="C2737" s="14" t="str">
        <x:v>Çarşamba</x:v>
      </x:c>
      <x:c r="D2737" s="14" t="str">
        <x:v>Resmî Tatil</x:v>
      </x:c>
      <x:c r="E2737" s="14" t="str">
        <x:v>19 Mayıs</x:v>
      </x:c>
      <x:c r="F2737" s="14" t="str">
        <x:v>F4 - 60 Gün / 60 Tam Deneme</x:v>
      </x:c>
      <x:c r="G2737" s="14" t="str">
        <x:v>21:50</x:v>
      </x:c>
      <x:c r="H2737" s="14" t="str">
        <x:v>22:00</x:v>
      </x:c>
      <x:c r="I2737" s="14" t="str">
        <x:v>Genel</x:v>
      </x:c>
      <x:c r="J2737" s="14" t="str">
        <x:v>Uyku Hazırlığı</x:v>
      </x:c>
      <x:c r="K2737" s="14" t="str"/>
      <x:c r="L2737" s="14" t="str">
        <x:v>22:00'de yatakta ve uyku.</x:v>
      </x:c>
      <x:c r="M2737" s="14" t="str"/>
      <x:c r="N2737" s="14" t="str"/>
      <x:c r="O2737" s="14" t="n">
        <x:v>0</x:v>
      </x:c>
      <x:c r="P2737" s="14" t="str">
        <x:v>Hayır</x:v>
      </x:c>
      <x:c r="Q2737" s="14" t="str">
        <x:v>Hayır</x:v>
      </x:c>
      <x:c r="R2737" s="14" t="str">
        <x:v>Planlandı</x:v>
      </x:c>
      <x:c r="S2737" s="15" t="str"/>
      <x:c r="T2737" s="14" t="str"/>
    </x:row>
    <x:row r="2738">
      <x:c r="A2738" s="14" t="n">
        <x:v>2737</x:v>
      </x:c>
      <x:c r="B2738" s="15" t="n">
        <x:v>46527</x:v>
      </x:c>
      <x:c r="C2738" s="14" t="str">
        <x:v>Perşembe</x:v>
      </x:c>
      <x:c r="D2738" s="14" t="str">
        <x:v>Okul Günü</x:v>
      </x:c>
      <x:c r="E2738" s="14" t="str">
        <x:v>16:00 sonrası</x:v>
      </x:c>
      <x:c r="F2738" s="14" t="str">
        <x:v>F4 - 60 Gün / 60 Tam Deneme</x:v>
      </x:c>
      <x:c r="G2738" s="14" t="str">
        <x:v>16:00</x:v>
      </x:c>
      <x:c r="H2738" s="14" t="str">
        <x:v>16:25</x:v>
      </x:c>
      <x:c r="I2738" s="14" t="str">
        <x:v>Genel</x:v>
      </x:c>
      <x:c r="J2738" s="14" t="str">
        <x:v>Dinlenme</x:v>
      </x:c>
      <x:c r="K2738" s="14" t="str"/>
      <x:c r="L2738" s="14" t="str">
        <x:v>Eve geliş + kısa dinlenme.</x:v>
      </x:c>
      <x:c r="M2738" s="14" t="str"/>
      <x:c r="N2738" s="14" t="str"/>
      <x:c r="O2738" s="14" t="n">
        <x:v>0</x:v>
      </x:c>
      <x:c r="P2738" s="14" t="str">
        <x:v>Hayır</x:v>
      </x:c>
      <x:c r="Q2738" s="14" t="str">
        <x:v>Hayır</x:v>
      </x:c>
      <x:c r="R2738" s="14" t="str">
        <x:v>Planlandı</x:v>
      </x:c>
      <x:c r="S2738" s="15" t="str"/>
      <x:c r="T2738" s="14" t="str"/>
    </x:row>
    <x:row r="2739">
      <x:c r="A2739" s="14" t="n">
        <x:v>2738</x:v>
      </x:c>
      <x:c r="B2739" s="15" t="n">
        <x:v>46527</x:v>
      </x:c>
      <x:c r="C2739" s="14" t="str">
        <x:v>Perşembe</x:v>
      </x:c>
      <x:c r="D2739" s="14" t="str">
        <x:v>Okul Günü</x:v>
      </x:c>
      <x:c r="E2739" s="14" t="str">
        <x:v>16:00 sonrası</x:v>
      </x:c>
      <x:c r="F2739" s="14" t="str">
        <x:v>F4 - 60 Gün / 60 Tam Deneme</x:v>
      </x:c>
      <x:c r="G2739" s="14" t="str">
        <x:v>16:30</x:v>
      </x:c>
      <x:c r="H2739" s="14" t="str">
        <x:v>17:45</x:v>
      </x:c>
      <x:c r="I2739" s="14" t="str">
        <x:v>Deneme</x:v>
      </x:c>
      <x:c r="J2739" s="14" t="str">
        <x:v>Tam LGS Denemesi - Sözel</x:v>
      </x:c>
      <x:c r="K2739" s="14" t="str">
        <x:v>Deneme 37</x:v>
      </x:c>
      <x:c r="L2739" s="14" t="str">
        <x:v>Deneme 37/60 — Sözel oturum: Türkçe 20 + İnkılap 10 + Din 10 + İngilizce 10. 75 dakika.</x:v>
      </x:c>
      <x:c r="M2739" s="14" t="str">
        <x:v>Tam LGS Denemesi</x:v>
      </x:c>
      <x:c r="N2739" s="14" t="str"/>
      <x:c r="O2739" s="14" t="n">
        <x:v>50</x:v>
      </x:c>
      <x:c r="P2739" s="14" t="str">
        <x:v>75 dk</x:v>
      </x:c>
      <x:c r="Q2739" s="14" t="str">
        <x:v>Evet</x:v>
      </x:c>
      <x:c r="R2739" s="14" t="str">
        <x:v>Planlandı</x:v>
      </x:c>
      <x:c r="S2739" s="15" t="str"/>
      <x:c r="T2739" s="14" t="str">
        <x:v>2026 LGS formatı çalışma referansıdır; 2027 kılavuzu yayımlanırsa güncellenir.</x:v>
      </x:c>
    </x:row>
    <x:row r="2740">
      <x:c r="A2740" s="14" t="n">
        <x:v>2739</x:v>
      </x:c>
      <x:c r="B2740" s="15" t="n">
        <x:v>46527</x:v>
      </x:c>
      <x:c r="C2740" s="14" t="str">
        <x:v>Perşembe</x:v>
      </x:c>
      <x:c r="D2740" s="14" t="str">
        <x:v>Okul Günü</x:v>
      </x:c>
      <x:c r="E2740" s="14" t="str">
        <x:v>16:00 sonrası</x:v>
      </x:c>
      <x:c r="F2740" s="14" t="str">
        <x:v>F4 - 60 Gün / 60 Tam Deneme</x:v>
      </x:c>
      <x:c r="G2740" s="14" t="str">
        <x:v>17:45</x:v>
      </x:c>
      <x:c r="H2740" s="14" t="str">
        <x:v>18:30</x:v>
      </x:c>
      <x:c r="I2740" s="14" t="str">
        <x:v>Genel</x:v>
      </x:c>
      <x:c r="J2740" s="14" t="str">
        <x:v>Deneme Arası</x:v>
      </x:c>
      <x:c r="K2740" s="14" t="str"/>
      <x:c r="L2740" s="14" t="str">
        <x:v>45 dakika gerçek sınav arası simülasyonu: yemek/su/tuvalet; soru analizi yapma.</x:v>
      </x:c>
      <x:c r="M2740" s="14" t="str"/>
      <x:c r="N2740" s="14" t="str"/>
      <x:c r="O2740" s="14" t="n">
        <x:v>0</x:v>
      </x:c>
      <x:c r="P2740" s="14" t="str">
        <x:v>Hayır</x:v>
      </x:c>
      <x:c r="Q2740" s="14" t="str">
        <x:v>Evet</x:v>
      </x:c>
      <x:c r="R2740" s="14" t="str">
        <x:v>Planlandı</x:v>
      </x:c>
      <x:c r="S2740" s="15" t="str"/>
      <x:c r="T2740" s="14" t="str"/>
    </x:row>
    <x:row r="2741">
      <x:c r="A2741" s="14" t="n">
        <x:v>2740</x:v>
      </x:c>
      <x:c r="B2741" s="15" t="n">
        <x:v>46527</x:v>
      </x:c>
      <x:c r="C2741" s="14" t="str">
        <x:v>Perşembe</x:v>
      </x:c>
      <x:c r="D2741" s="14" t="str">
        <x:v>Okul Günü</x:v>
      </x:c>
      <x:c r="E2741" s="14" t="str">
        <x:v>16:00 sonrası</x:v>
      </x:c>
      <x:c r="F2741" s="14" t="str">
        <x:v>F4 - 60 Gün / 60 Tam Deneme</x:v>
      </x:c>
      <x:c r="G2741" s="14" t="str">
        <x:v>18:30</x:v>
      </x:c>
      <x:c r="H2741" s="14" t="str">
        <x:v>19:50</x:v>
      </x:c>
      <x:c r="I2741" s="14" t="str">
        <x:v>Deneme</x:v>
      </x:c>
      <x:c r="J2741" s="14" t="str">
        <x:v>Tam LGS Denemesi - Sayısal</x:v>
      </x:c>
      <x:c r="K2741" s="14" t="str">
        <x:v>Deneme 37</x:v>
      </x:c>
      <x:c r="L2741" s="14" t="str">
        <x:v>Deneme 37/60 — Sayısal oturum: Matematik 20 + Fen 20. 80 dakika.</x:v>
      </x:c>
      <x:c r="M2741" s="14" t="str">
        <x:v>Tam LGS Denemesi</x:v>
      </x:c>
      <x:c r="N2741" s="14" t="str"/>
      <x:c r="O2741" s="14" t="n">
        <x:v>40</x:v>
      </x:c>
      <x:c r="P2741" s="14" t="str">
        <x:v>80 dk</x:v>
      </x:c>
      <x:c r="Q2741" s="14" t="str">
        <x:v>Evet</x:v>
      </x:c>
      <x:c r="R2741" s="14" t="str">
        <x:v>Planlandı</x:v>
      </x:c>
      <x:c r="S2741" s="15" t="str"/>
      <x:c r="T2741" s="14" t="str"/>
    </x:row>
    <x:row r="2742">
      <x:c r="A2742" s="14" t="n">
        <x:v>2741</x:v>
      </x:c>
      <x:c r="B2742" s="15" t="n">
        <x:v>46527</x:v>
      </x:c>
      <x:c r="C2742" s="14" t="str">
        <x:v>Perşembe</x:v>
      </x:c>
      <x:c r="D2742" s="14" t="str">
        <x:v>Okul Günü</x:v>
      </x:c>
      <x:c r="E2742" s="14" t="str">
        <x:v>16:00 sonrası</x:v>
      </x:c>
      <x:c r="F2742" s="14" t="str">
        <x:v>F4 - 60 Gün / 60 Tam Deneme</x:v>
      </x:c>
      <x:c r="G2742" s="14" t="str">
        <x:v>20:00</x:v>
      </x:c>
      <x:c r="H2742" s="14" t="str">
        <x:v>20:45</x:v>
      </x:c>
      <x:c r="I2742" s="14" t="str">
        <x:v>Deneme</x:v>
      </x:c>
      <x:c r="J2742" s="14" t="str">
        <x:v>Deneme Analizi</x:v>
      </x:c>
      <x:c r="K2742" s="14" t="str">
        <x:v>Deneme 37</x:v>
      </x:c>
      <x:c r="L2742" s="14" t="str">
        <x:v>Tüm yanlış/boşları nedenleriyle analiz et; bilgi eksikliği, işlem, dikkat, yanlış okuma veya yorumlama olarak sınıflandır.</x:v>
      </x:c>
      <x:c r="M2742" s="14" t="str">
        <x:v>Deneme Takibi</x:v>
      </x:c>
      <x:c r="N2742" s="14" t="str"/>
      <x:c r="O2742" s="14" t="n">
        <x:v>0</x:v>
      </x:c>
      <x:c r="P2742" s="14" t="str">
        <x:v>Hayır</x:v>
      </x:c>
      <x:c r="Q2742" s="14" t="str">
        <x:v>Evet</x:v>
      </x:c>
      <x:c r="R2742" s="14" t="str">
        <x:v>Planlandı</x:v>
      </x:c>
      <x:c r="S2742" s="15" t="str"/>
      <x:c r="T2742" s="14" t="str">
        <x:v>Deneme çözülüp analiz edilmediyse gün tamamlanmış sayılmaz.</x:v>
      </x:c>
    </x:row>
    <x:row r="2743">
      <x:c r="A2743" s="14" t="n">
        <x:v>2742</x:v>
      </x:c>
      <x:c r="B2743" s="15" t="n">
        <x:v>46527</x:v>
      </x:c>
      <x:c r="C2743" s="14" t="str">
        <x:v>Perşembe</x:v>
      </x:c>
      <x:c r="D2743" s="14" t="str">
        <x:v>Okul Günü</x:v>
      </x:c>
      <x:c r="E2743" s="14" t="str">
        <x:v>16:00 sonrası</x:v>
      </x:c>
      <x:c r="F2743" s="14" t="str">
        <x:v>F4 - 60 Gün / 60 Tam Deneme</x:v>
      </x:c>
      <x:c r="G2743" s="14" t="str">
        <x:v>20:50</x:v>
      </x:c>
      <x:c r="H2743" s="14" t="str">
        <x:v>21:25</x:v>
      </x:c>
      <x:c r="I2743" s="14" t="str">
        <x:v>Genel</x:v>
      </x:c>
      <x:c r="J2743" s="14" t="str">
        <x:v>Hedefli Eksik Giderme</x:v>
      </x:c>
      <x:c r="K2743" s="14" t="str">
        <x:v>Denemeden Gelen Eksikler</x:v>
      </x:c>
      <x:c r="L2743" s="14" t="str">
        <x:v>Denemenin gösterdiği en kritik 1-3 eksiği gider: gerekirse ilgili playlist videosuna kısa dönüş + hedefli soru çözümü.</x:v>
      </x:c>
      <x:c r="M2743" s="14" t="str">
        <x:v>Playlist + Soru Kitabı + MEB</x:v>
      </x:c>
      <x:c r="N2743" s="14" t="str"/>
      <x:c r="O2743" s="14" t="n">
        <x:v>0</x:v>
      </x:c>
      <x:c r="P2743" s="14" t="str">
        <x:v>Hayır</x:v>
      </x:c>
      <x:c r="Q2743" s="14" t="str">
        <x:v>Evet</x:v>
      </x:c>
      <x:c r="R2743" s="14" t="str">
        <x:v>Planlandı</x:v>
      </x:c>
      <x:c r="S2743" s="15" t="str"/>
      <x:c r="T2743" s="14" t="str">
        <x:v>Yeni konu açılmaz; yalnız denemenin kanıtladığı eksiğe müdahale edilir.</x:v>
      </x:c>
    </x:row>
    <x:row r="2744">
      <x:c r="A2744" s="14" t="n">
        <x:v>2743</x:v>
      </x:c>
      <x:c r="B2744" s="15" t="n">
        <x:v>46527</x:v>
      </x:c>
      <x:c r="C2744" s="14" t="str">
        <x:v>Perşembe</x:v>
      </x:c>
      <x:c r="D2744" s="14" t="str">
        <x:v>Okul Günü</x:v>
      </x:c>
      <x:c r="E2744" s="14" t="str">
        <x:v>16:00 sonrası</x:v>
      </x:c>
      <x:c r="F2744" s="14" t="str">
        <x:v>F4 - 60 Gün / 60 Tam Deneme</x:v>
      </x:c>
      <x:c r="G2744" s="14" t="str">
        <x:v>21:25</x:v>
      </x:c>
      <x:c r="H2744" s="14" t="str">
        <x:v>21:40</x:v>
      </x:c>
      <x:c r="I2744" s="14" t="str">
        <x:v>Genel</x:v>
      </x:c>
      <x:c r="J2744" s="14" t="str">
        <x:v>Aralıklı Hata Tekrarı</x:v>
      </x:c>
      <x:c r="K2744" s="14" t="str">
        <x:v>+1 / +7 / +21</x:v>
      </x:c>
      <x:c r="L2744" s="14" t="str">
        <x:v>Bugün vadesi gelen eski yanlışları tekrar çöz ve bugünkü yanlışları Yanlış Defteri'ne ekle.</x:v>
      </x:c>
      <x:c r="M2744" s="14" t="str">
        <x:v>Yanlış Defteri</x:v>
      </x:c>
      <x:c r="N2744" s="14" t="str"/>
      <x:c r="O2744" s="14" t="n">
        <x:v>0</x:v>
      </x:c>
      <x:c r="P2744" s="14" t="str">
        <x:v>Hayır</x:v>
      </x:c>
      <x:c r="Q2744" s="14" t="str">
        <x:v>Evet</x:v>
      </x:c>
      <x:c r="R2744" s="14" t="str">
        <x:v>Planlandı</x:v>
      </x:c>
      <x:c r="S2744" s="15" t="str"/>
      <x:c r="T2744" s="14" t="str"/>
    </x:row>
    <x:row r="2745">
      <x:c r="A2745" s="14" t="n">
        <x:v>2744</x:v>
      </x:c>
      <x:c r="B2745" s="15" t="n">
        <x:v>46527</x:v>
      </x:c>
      <x:c r="C2745" s="14" t="str">
        <x:v>Perşembe</x:v>
      </x:c>
      <x:c r="D2745" s="14" t="str">
        <x:v>Okul Günü</x:v>
      </x:c>
      <x:c r="E2745" s="14" t="str">
        <x:v>16:00 sonrası</x:v>
      </x:c>
      <x:c r="F2745" s="14" t="str">
        <x:v>F4 - 60 Gün / 60 Tam Deneme</x:v>
      </x:c>
      <x:c r="G2745" s="14" t="str">
        <x:v>21:40</x:v>
      </x:c>
      <x:c r="H2745" s="14" t="str">
        <x:v>21:50</x:v>
      </x:c>
      <x:c r="I2745" s="14" t="str">
        <x:v>Okuma</x:v>
      </x:c>
      <x:c r="J2745" s="14" t="str">
        <x:v>İsteğe Bağlı</x:v>
      </x:c>
      <x:c r="K2745" s="14" t="str">
        <x:v>Serbest Kitap</x:v>
      </x:c>
      <x:c r="L2745" s="14" t="str">
        <x:v>Enerji uygunsa kısa isteğe bağlı okuma.</x:v>
      </x:c>
      <x:c r="M2745" s="14" t="str">
        <x:v>Serbest Kitap</x:v>
      </x:c>
      <x:c r="N2745" s="14" t="str"/>
      <x:c r="O2745" s="14" t="n">
        <x:v>0</x:v>
      </x:c>
      <x:c r="P2745" s="14" t="str">
        <x:v>İsteğe Bağlı</x:v>
      </x:c>
      <x:c r="Q2745" s="14" t="str">
        <x:v>Hayır</x:v>
      </x:c>
      <x:c r="R2745" s="14" t="str">
        <x:v>Planlandı</x:v>
      </x:c>
      <x:c r="S2745" s="15" t="str"/>
      <x:c r="T2745" s="14" t="str"/>
    </x:row>
    <x:row r="2746">
      <x:c r="A2746" s="14" t="n">
        <x:v>2745</x:v>
      </x:c>
      <x:c r="B2746" s="15" t="n">
        <x:v>46527</x:v>
      </x:c>
      <x:c r="C2746" s="14" t="str">
        <x:v>Perşembe</x:v>
      </x:c>
      <x:c r="D2746" s="14" t="str">
        <x:v>Okul Günü</x:v>
      </x:c>
      <x:c r="E2746" s="14" t="str">
        <x:v>16:00 sonrası</x:v>
      </x:c>
      <x:c r="F2746" s="14" t="str">
        <x:v>F4 - 60 Gün / 60 Tam Deneme</x:v>
      </x:c>
      <x:c r="G2746" s="14" t="str">
        <x:v>21:50</x:v>
      </x:c>
      <x:c r="H2746" s="14" t="str">
        <x:v>22:00</x:v>
      </x:c>
      <x:c r="I2746" s="14" t="str">
        <x:v>Genel</x:v>
      </x:c>
      <x:c r="J2746" s="14" t="str">
        <x:v>Uyku Hazırlığı</x:v>
      </x:c>
      <x:c r="K2746" s="14" t="str"/>
      <x:c r="L2746" s="14" t="str">
        <x:v>22:00'de yatakta ve uyku.</x:v>
      </x:c>
      <x:c r="M2746" s="14" t="str"/>
      <x:c r="N2746" s="14" t="str"/>
      <x:c r="O2746" s="14" t="n">
        <x:v>0</x:v>
      </x:c>
      <x:c r="P2746" s="14" t="str">
        <x:v>Hayır</x:v>
      </x:c>
      <x:c r="Q2746" s="14" t="str">
        <x:v>Hayır</x:v>
      </x:c>
      <x:c r="R2746" s="14" t="str">
        <x:v>Planlandı</x:v>
      </x:c>
      <x:c r="S2746" s="15" t="str"/>
      <x:c r="T2746" s="14" t="str"/>
    </x:row>
    <x:row r="2747">
      <x:c r="A2747" s="14" t="n">
        <x:v>2746</x:v>
      </x:c>
      <x:c r="B2747" s="15" t="n">
        <x:v>46528</x:v>
      </x:c>
      <x:c r="C2747" s="14" t="str">
        <x:v>Cuma</x:v>
      </x:c>
      <x:c r="D2747" s="14" t="str">
        <x:v>Okul Günü</x:v>
      </x:c>
      <x:c r="E2747" s="14" t="str">
        <x:v>16:00 sonrası</x:v>
      </x:c>
      <x:c r="F2747" s="14" t="str">
        <x:v>F4 - 60 Gün / 60 Tam Deneme</x:v>
      </x:c>
      <x:c r="G2747" s="14" t="str">
        <x:v>16:00</x:v>
      </x:c>
      <x:c r="H2747" s="14" t="str">
        <x:v>16:25</x:v>
      </x:c>
      <x:c r="I2747" s="14" t="str">
        <x:v>Genel</x:v>
      </x:c>
      <x:c r="J2747" s="14" t="str">
        <x:v>Dinlenme</x:v>
      </x:c>
      <x:c r="K2747" s="14" t="str"/>
      <x:c r="L2747" s="14" t="str">
        <x:v>Eve geliş + kısa dinlenme.</x:v>
      </x:c>
      <x:c r="M2747" s="14" t="str"/>
      <x:c r="N2747" s="14" t="str"/>
      <x:c r="O2747" s="14" t="n">
        <x:v>0</x:v>
      </x:c>
      <x:c r="P2747" s="14" t="str">
        <x:v>Hayır</x:v>
      </x:c>
      <x:c r="Q2747" s="14" t="str">
        <x:v>Hayır</x:v>
      </x:c>
      <x:c r="R2747" s="14" t="str">
        <x:v>Planlandı</x:v>
      </x:c>
      <x:c r="S2747" s="15" t="str"/>
      <x:c r="T2747" s="14" t="str"/>
    </x:row>
    <x:row r="2748">
      <x:c r="A2748" s="14" t="n">
        <x:v>2747</x:v>
      </x:c>
      <x:c r="B2748" s="15" t="n">
        <x:v>46528</x:v>
      </x:c>
      <x:c r="C2748" s="14" t="str">
        <x:v>Cuma</x:v>
      </x:c>
      <x:c r="D2748" s="14" t="str">
        <x:v>Okul Günü</x:v>
      </x:c>
      <x:c r="E2748" s="14" t="str">
        <x:v>16:00 sonrası</x:v>
      </x:c>
      <x:c r="F2748" s="14" t="str">
        <x:v>F4 - 60 Gün / 60 Tam Deneme</x:v>
      </x:c>
      <x:c r="G2748" s="14" t="str">
        <x:v>16:30</x:v>
      </x:c>
      <x:c r="H2748" s="14" t="str">
        <x:v>17:45</x:v>
      </x:c>
      <x:c r="I2748" s="14" t="str">
        <x:v>Deneme</x:v>
      </x:c>
      <x:c r="J2748" s="14" t="str">
        <x:v>Tam LGS Denemesi - Sözel</x:v>
      </x:c>
      <x:c r="K2748" s="14" t="str">
        <x:v>Deneme 38</x:v>
      </x:c>
      <x:c r="L2748" s="14" t="str">
        <x:v>Deneme 38/60 — Sözel oturum: Türkçe 20 + İnkılap 10 + Din 10 + İngilizce 10. 75 dakika.</x:v>
      </x:c>
      <x:c r="M2748" s="14" t="str">
        <x:v>Tam LGS Denemesi</x:v>
      </x:c>
      <x:c r="N2748" s="14" t="str"/>
      <x:c r="O2748" s="14" t="n">
        <x:v>50</x:v>
      </x:c>
      <x:c r="P2748" s="14" t="str">
        <x:v>75 dk</x:v>
      </x:c>
      <x:c r="Q2748" s="14" t="str">
        <x:v>Evet</x:v>
      </x:c>
      <x:c r="R2748" s="14" t="str">
        <x:v>Planlandı</x:v>
      </x:c>
      <x:c r="S2748" s="15" t="str"/>
      <x:c r="T2748" s="14" t="str">
        <x:v>2026 LGS formatı çalışma referansıdır; 2027 kılavuzu yayımlanırsa güncellenir.</x:v>
      </x:c>
    </x:row>
    <x:row r="2749">
      <x:c r="A2749" s="14" t="n">
        <x:v>2748</x:v>
      </x:c>
      <x:c r="B2749" s="15" t="n">
        <x:v>46528</x:v>
      </x:c>
      <x:c r="C2749" s="14" t="str">
        <x:v>Cuma</x:v>
      </x:c>
      <x:c r="D2749" s="14" t="str">
        <x:v>Okul Günü</x:v>
      </x:c>
      <x:c r="E2749" s="14" t="str">
        <x:v>16:00 sonrası</x:v>
      </x:c>
      <x:c r="F2749" s="14" t="str">
        <x:v>F4 - 60 Gün / 60 Tam Deneme</x:v>
      </x:c>
      <x:c r="G2749" s="14" t="str">
        <x:v>17:45</x:v>
      </x:c>
      <x:c r="H2749" s="14" t="str">
        <x:v>18:30</x:v>
      </x:c>
      <x:c r="I2749" s="14" t="str">
        <x:v>Genel</x:v>
      </x:c>
      <x:c r="J2749" s="14" t="str">
        <x:v>Deneme Arası</x:v>
      </x:c>
      <x:c r="K2749" s="14" t="str"/>
      <x:c r="L2749" s="14" t="str">
        <x:v>45 dakika gerçek sınav arası simülasyonu: yemek/su/tuvalet; soru analizi yapma.</x:v>
      </x:c>
      <x:c r="M2749" s="14" t="str"/>
      <x:c r="N2749" s="14" t="str"/>
      <x:c r="O2749" s="14" t="n">
        <x:v>0</x:v>
      </x:c>
      <x:c r="P2749" s="14" t="str">
        <x:v>Hayır</x:v>
      </x:c>
      <x:c r="Q2749" s="14" t="str">
        <x:v>Evet</x:v>
      </x:c>
      <x:c r="R2749" s="14" t="str">
        <x:v>Planlandı</x:v>
      </x:c>
      <x:c r="S2749" s="15" t="str"/>
      <x:c r="T2749" s="14" t="str"/>
    </x:row>
    <x:row r="2750">
      <x:c r="A2750" s="14" t="n">
        <x:v>2749</x:v>
      </x:c>
      <x:c r="B2750" s="15" t="n">
        <x:v>46528</x:v>
      </x:c>
      <x:c r="C2750" s="14" t="str">
        <x:v>Cuma</x:v>
      </x:c>
      <x:c r="D2750" s="14" t="str">
        <x:v>Okul Günü</x:v>
      </x:c>
      <x:c r="E2750" s="14" t="str">
        <x:v>16:00 sonrası</x:v>
      </x:c>
      <x:c r="F2750" s="14" t="str">
        <x:v>F4 - 60 Gün / 60 Tam Deneme</x:v>
      </x:c>
      <x:c r="G2750" s="14" t="str">
        <x:v>18:30</x:v>
      </x:c>
      <x:c r="H2750" s="14" t="str">
        <x:v>19:50</x:v>
      </x:c>
      <x:c r="I2750" s="14" t="str">
        <x:v>Deneme</x:v>
      </x:c>
      <x:c r="J2750" s="14" t="str">
        <x:v>Tam LGS Denemesi - Sayısal</x:v>
      </x:c>
      <x:c r="K2750" s="14" t="str">
        <x:v>Deneme 38</x:v>
      </x:c>
      <x:c r="L2750" s="14" t="str">
        <x:v>Deneme 38/60 — Sayısal oturum: Matematik 20 + Fen 20. 80 dakika.</x:v>
      </x:c>
      <x:c r="M2750" s="14" t="str">
        <x:v>Tam LGS Denemesi</x:v>
      </x:c>
      <x:c r="N2750" s="14" t="str"/>
      <x:c r="O2750" s="14" t="n">
        <x:v>40</x:v>
      </x:c>
      <x:c r="P2750" s="14" t="str">
        <x:v>80 dk</x:v>
      </x:c>
      <x:c r="Q2750" s="14" t="str">
        <x:v>Evet</x:v>
      </x:c>
      <x:c r="R2750" s="14" t="str">
        <x:v>Planlandı</x:v>
      </x:c>
      <x:c r="S2750" s="15" t="str"/>
      <x:c r="T2750" s="14" t="str"/>
    </x:row>
    <x:row r="2751">
      <x:c r="A2751" s="14" t="n">
        <x:v>2750</x:v>
      </x:c>
      <x:c r="B2751" s="15" t="n">
        <x:v>46528</x:v>
      </x:c>
      <x:c r="C2751" s="14" t="str">
        <x:v>Cuma</x:v>
      </x:c>
      <x:c r="D2751" s="14" t="str">
        <x:v>Okul Günü</x:v>
      </x:c>
      <x:c r="E2751" s="14" t="str">
        <x:v>16:00 sonrası</x:v>
      </x:c>
      <x:c r="F2751" s="14" t="str">
        <x:v>F4 - 60 Gün / 60 Tam Deneme</x:v>
      </x:c>
      <x:c r="G2751" s="14" t="str">
        <x:v>20:00</x:v>
      </x:c>
      <x:c r="H2751" s="14" t="str">
        <x:v>20:45</x:v>
      </x:c>
      <x:c r="I2751" s="14" t="str">
        <x:v>Deneme</x:v>
      </x:c>
      <x:c r="J2751" s="14" t="str">
        <x:v>Deneme Analizi</x:v>
      </x:c>
      <x:c r="K2751" s="14" t="str">
        <x:v>Deneme 38</x:v>
      </x:c>
      <x:c r="L2751" s="14" t="str">
        <x:v>Tüm yanlış/boşları nedenleriyle analiz et; bilgi eksikliği, işlem, dikkat, yanlış okuma veya yorumlama olarak sınıflandır.</x:v>
      </x:c>
      <x:c r="M2751" s="14" t="str">
        <x:v>Deneme Takibi</x:v>
      </x:c>
      <x:c r="N2751" s="14" t="str"/>
      <x:c r="O2751" s="14" t="n">
        <x:v>0</x:v>
      </x:c>
      <x:c r="P2751" s="14" t="str">
        <x:v>Hayır</x:v>
      </x:c>
      <x:c r="Q2751" s="14" t="str">
        <x:v>Evet</x:v>
      </x:c>
      <x:c r="R2751" s="14" t="str">
        <x:v>Planlandı</x:v>
      </x:c>
      <x:c r="S2751" s="15" t="str"/>
      <x:c r="T2751" s="14" t="str">
        <x:v>Deneme çözülüp analiz edilmediyse gün tamamlanmış sayılmaz.</x:v>
      </x:c>
    </x:row>
    <x:row r="2752">
      <x:c r="A2752" s="14" t="n">
        <x:v>2751</x:v>
      </x:c>
      <x:c r="B2752" s="15" t="n">
        <x:v>46528</x:v>
      </x:c>
      <x:c r="C2752" s="14" t="str">
        <x:v>Cuma</x:v>
      </x:c>
      <x:c r="D2752" s="14" t="str">
        <x:v>Okul Günü</x:v>
      </x:c>
      <x:c r="E2752" s="14" t="str">
        <x:v>16:00 sonrası</x:v>
      </x:c>
      <x:c r="F2752" s="14" t="str">
        <x:v>F4 - 60 Gün / 60 Tam Deneme</x:v>
      </x:c>
      <x:c r="G2752" s="14" t="str">
        <x:v>20:50</x:v>
      </x:c>
      <x:c r="H2752" s="14" t="str">
        <x:v>21:25</x:v>
      </x:c>
      <x:c r="I2752" s="14" t="str">
        <x:v>Genel</x:v>
      </x:c>
      <x:c r="J2752" s="14" t="str">
        <x:v>Hedefli Eksik Giderme</x:v>
      </x:c>
      <x:c r="K2752" s="14" t="str">
        <x:v>Denemeden Gelen Eksikler</x:v>
      </x:c>
      <x:c r="L2752" s="14" t="str">
        <x:v>Denemenin gösterdiği en kritik 1-3 eksiği gider: gerekirse ilgili playlist videosuna kısa dönüş + hedefli soru çözümü.</x:v>
      </x:c>
      <x:c r="M2752" s="14" t="str">
        <x:v>Playlist + Soru Kitabı + MEB</x:v>
      </x:c>
      <x:c r="N2752" s="14" t="str"/>
      <x:c r="O2752" s="14" t="n">
        <x:v>0</x:v>
      </x:c>
      <x:c r="P2752" s="14" t="str">
        <x:v>Hayır</x:v>
      </x:c>
      <x:c r="Q2752" s="14" t="str">
        <x:v>Evet</x:v>
      </x:c>
      <x:c r="R2752" s="14" t="str">
        <x:v>Planlandı</x:v>
      </x:c>
      <x:c r="S2752" s="15" t="str"/>
      <x:c r="T2752" s="14" t="str">
        <x:v>Yeni konu açılmaz; yalnız denemenin kanıtladığı eksiğe müdahale edilir.</x:v>
      </x:c>
    </x:row>
    <x:row r="2753">
      <x:c r="A2753" s="14" t="n">
        <x:v>2752</x:v>
      </x:c>
      <x:c r="B2753" s="15" t="n">
        <x:v>46528</x:v>
      </x:c>
      <x:c r="C2753" s="14" t="str">
        <x:v>Cuma</x:v>
      </x:c>
      <x:c r="D2753" s="14" t="str">
        <x:v>Okul Günü</x:v>
      </x:c>
      <x:c r="E2753" s="14" t="str">
        <x:v>16:00 sonrası</x:v>
      </x:c>
      <x:c r="F2753" s="14" t="str">
        <x:v>F4 - 60 Gün / 60 Tam Deneme</x:v>
      </x:c>
      <x:c r="G2753" s="14" t="str">
        <x:v>21:25</x:v>
      </x:c>
      <x:c r="H2753" s="14" t="str">
        <x:v>21:40</x:v>
      </x:c>
      <x:c r="I2753" s="14" t="str">
        <x:v>Genel</x:v>
      </x:c>
      <x:c r="J2753" s="14" t="str">
        <x:v>Aralıklı Hata Tekrarı</x:v>
      </x:c>
      <x:c r="K2753" s="14" t="str">
        <x:v>+1 / +7 / +21</x:v>
      </x:c>
      <x:c r="L2753" s="14" t="str">
        <x:v>Bugün vadesi gelen eski yanlışları tekrar çöz ve bugünkü yanlışları Yanlış Defteri'ne ekle.</x:v>
      </x:c>
      <x:c r="M2753" s="14" t="str">
        <x:v>Yanlış Defteri</x:v>
      </x:c>
      <x:c r="N2753" s="14" t="str"/>
      <x:c r="O2753" s="14" t="n">
        <x:v>0</x:v>
      </x:c>
      <x:c r="P2753" s="14" t="str">
        <x:v>Hayır</x:v>
      </x:c>
      <x:c r="Q2753" s="14" t="str">
        <x:v>Evet</x:v>
      </x:c>
      <x:c r="R2753" s="14" t="str">
        <x:v>Planlandı</x:v>
      </x:c>
      <x:c r="S2753" s="15" t="str"/>
      <x:c r="T2753" s="14" t="str"/>
    </x:row>
    <x:row r="2754">
      <x:c r="A2754" s="14" t="n">
        <x:v>2753</x:v>
      </x:c>
      <x:c r="B2754" s="15" t="n">
        <x:v>46528</x:v>
      </x:c>
      <x:c r="C2754" s="14" t="str">
        <x:v>Cuma</x:v>
      </x:c>
      <x:c r="D2754" s="14" t="str">
        <x:v>Okul Günü</x:v>
      </x:c>
      <x:c r="E2754" s="14" t="str">
        <x:v>16:00 sonrası</x:v>
      </x:c>
      <x:c r="F2754" s="14" t="str">
        <x:v>F4 - 60 Gün / 60 Tam Deneme</x:v>
      </x:c>
      <x:c r="G2754" s="14" t="str">
        <x:v>21:40</x:v>
      </x:c>
      <x:c r="H2754" s="14" t="str">
        <x:v>21:50</x:v>
      </x:c>
      <x:c r="I2754" s="14" t="str">
        <x:v>Okuma</x:v>
      </x:c>
      <x:c r="J2754" s="14" t="str">
        <x:v>İsteğe Bağlı</x:v>
      </x:c>
      <x:c r="K2754" s="14" t="str">
        <x:v>Serbest Kitap</x:v>
      </x:c>
      <x:c r="L2754" s="14" t="str">
        <x:v>Enerji uygunsa kısa isteğe bağlı okuma.</x:v>
      </x:c>
      <x:c r="M2754" s="14" t="str">
        <x:v>Serbest Kitap</x:v>
      </x:c>
      <x:c r="N2754" s="14" t="str"/>
      <x:c r="O2754" s="14" t="n">
        <x:v>0</x:v>
      </x:c>
      <x:c r="P2754" s="14" t="str">
        <x:v>İsteğe Bağlı</x:v>
      </x:c>
      <x:c r="Q2754" s="14" t="str">
        <x:v>Hayır</x:v>
      </x:c>
      <x:c r="R2754" s="14" t="str">
        <x:v>Planlandı</x:v>
      </x:c>
      <x:c r="S2754" s="15" t="str"/>
      <x:c r="T2754" s="14" t="str"/>
    </x:row>
    <x:row r="2755">
      <x:c r="A2755" s="14" t="n">
        <x:v>2754</x:v>
      </x:c>
      <x:c r="B2755" s="15" t="n">
        <x:v>46528</x:v>
      </x:c>
      <x:c r="C2755" s="14" t="str">
        <x:v>Cuma</x:v>
      </x:c>
      <x:c r="D2755" s="14" t="str">
        <x:v>Okul Günü</x:v>
      </x:c>
      <x:c r="E2755" s="14" t="str">
        <x:v>16:00 sonrası</x:v>
      </x:c>
      <x:c r="F2755" s="14" t="str">
        <x:v>F4 - 60 Gün / 60 Tam Deneme</x:v>
      </x:c>
      <x:c r="G2755" s="14" t="str">
        <x:v>21:50</x:v>
      </x:c>
      <x:c r="H2755" s="14" t="str">
        <x:v>22:00</x:v>
      </x:c>
      <x:c r="I2755" s="14" t="str">
        <x:v>Genel</x:v>
      </x:c>
      <x:c r="J2755" s="14" t="str">
        <x:v>Uyku Hazırlığı</x:v>
      </x:c>
      <x:c r="K2755" s="14" t="str"/>
      <x:c r="L2755" s="14" t="str">
        <x:v>22:00'de yatakta ve uyku.</x:v>
      </x:c>
      <x:c r="M2755" s="14" t="str"/>
      <x:c r="N2755" s="14" t="str"/>
      <x:c r="O2755" s="14" t="n">
        <x:v>0</x:v>
      </x:c>
      <x:c r="P2755" s="14" t="str">
        <x:v>Hayır</x:v>
      </x:c>
      <x:c r="Q2755" s="14" t="str">
        <x:v>Hayır</x:v>
      </x:c>
      <x:c r="R2755" s="14" t="str">
        <x:v>Planlandı</x:v>
      </x:c>
      <x:c r="S2755" s="15" t="str"/>
      <x:c r="T2755" s="14" t="str"/>
    </x:row>
    <x:row r="2756">
      <x:c r="A2756" s="14" t="n">
        <x:v>2755</x:v>
      </x:c>
      <x:c r="B2756" s="15" t="n">
        <x:v>46529</x:v>
      </x:c>
      <x:c r="C2756" s="14" t="str">
        <x:v>Cumartesi</x:v>
      </x:c>
      <x:c r="D2756" s="14" t="str">
        <x:v>Hafta Sonu</x:v>
      </x:c>
      <x:c r="E2756" s="14" t="str">
        <x:v>Tam gün</x:v>
      </x:c>
      <x:c r="F2756" s="14" t="str">
        <x:v>F4 - 60 Gün / 60 Tam Deneme</x:v>
      </x:c>
      <x:c r="G2756" s="14" t="str">
        <x:v>09:30</x:v>
      </x:c>
      <x:c r="H2756" s="14" t="str">
        <x:v>10:45</x:v>
      </x:c>
      <x:c r="I2756" s="14" t="str">
        <x:v>Deneme</x:v>
      </x:c>
      <x:c r="J2756" s="14" t="str">
        <x:v>Tam LGS Denemesi - Sözel</x:v>
      </x:c>
      <x:c r="K2756" s="14" t="str">
        <x:v>Deneme 39</x:v>
      </x:c>
      <x:c r="L2756" s="14" t="str">
        <x:v>Deneme 39/60 — Sözel oturum: Türkçe 20 + İnkılap 10 + Din 10 + İngilizce 10. 75 dakika.</x:v>
      </x:c>
      <x:c r="M2756" s="14" t="str">
        <x:v>Tam LGS Denemesi</x:v>
      </x:c>
      <x:c r="N2756" s="14" t="str"/>
      <x:c r="O2756" s="14" t="n">
        <x:v>50</x:v>
      </x:c>
      <x:c r="P2756" s="14" t="str">
        <x:v>75 dk</x:v>
      </x:c>
      <x:c r="Q2756" s="14" t="str">
        <x:v>Evet</x:v>
      </x:c>
      <x:c r="R2756" s="14" t="str">
        <x:v>Planlandı</x:v>
      </x:c>
      <x:c r="S2756" s="15" t="str"/>
      <x:c r="T2756" s="14" t="str">
        <x:v>2026 LGS formatı çalışma referansıdır; 2027 kılavuzu yayımlanırsa güncellenir.</x:v>
      </x:c>
    </x:row>
    <x:row r="2757">
      <x:c r="A2757" s="14" t="n">
        <x:v>2756</x:v>
      </x:c>
      <x:c r="B2757" s="15" t="n">
        <x:v>46529</x:v>
      </x:c>
      <x:c r="C2757" s="14" t="str">
        <x:v>Cumartesi</x:v>
      </x:c>
      <x:c r="D2757" s="14" t="str">
        <x:v>Hafta Sonu</x:v>
      </x:c>
      <x:c r="E2757" s="14" t="str">
        <x:v>Tam gün</x:v>
      </x:c>
      <x:c r="F2757" s="14" t="str">
        <x:v>F4 - 60 Gün / 60 Tam Deneme</x:v>
      </x:c>
      <x:c r="G2757" s="14" t="str">
        <x:v>10:45</x:v>
      </x:c>
      <x:c r="H2757" s="14" t="str">
        <x:v>11:30</x:v>
      </x:c>
      <x:c r="I2757" s="14" t="str">
        <x:v>Genel</x:v>
      </x:c>
      <x:c r="J2757" s="14" t="str">
        <x:v>Deneme Arası</x:v>
      </x:c>
      <x:c r="K2757" s="14" t="str"/>
      <x:c r="L2757" s="14" t="str">
        <x:v>45 dakika gerçek sınav arası simülasyonu: yemek/su/tuvalet; soru analizi yapma.</x:v>
      </x:c>
      <x:c r="M2757" s="14" t="str"/>
      <x:c r="N2757" s="14" t="str"/>
      <x:c r="O2757" s="14" t="n">
        <x:v>0</x:v>
      </x:c>
      <x:c r="P2757" s="14" t="str">
        <x:v>Hayır</x:v>
      </x:c>
      <x:c r="Q2757" s="14" t="str">
        <x:v>Evet</x:v>
      </x:c>
      <x:c r="R2757" s="14" t="str">
        <x:v>Planlandı</x:v>
      </x:c>
      <x:c r="S2757" s="15" t="str"/>
      <x:c r="T2757" s="14" t="str"/>
    </x:row>
    <x:row r="2758">
      <x:c r="A2758" s="14" t="n">
        <x:v>2757</x:v>
      </x:c>
      <x:c r="B2758" s="15" t="n">
        <x:v>46529</x:v>
      </x:c>
      <x:c r="C2758" s="14" t="str">
        <x:v>Cumartesi</x:v>
      </x:c>
      <x:c r="D2758" s="14" t="str">
        <x:v>Hafta Sonu</x:v>
      </x:c>
      <x:c r="E2758" s="14" t="str">
        <x:v>Tam gün</x:v>
      </x:c>
      <x:c r="F2758" s="14" t="str">
        <x:v>F4 - 60 Gün / 60 Tam Deneme</x:v>
      </x:c>
      <x:c r="G2758" s="14" t="str">
        <x:v>11:30</x:v>
      </x:c>
      <x:c r="H2758" s="14" t="str">
        <x:v>12:50</x:v>
      </x:c>
      <x:c r="I2758" s="14" t="str">
        <x:v>Deneme</x:v>
      </x:c>
      <x:c r="J2758" s="14" t="str">
        <x:v>Tam LGS Denemesi - Sayısal</x:v>
      </x:c>
      <x:c r="K2758" s="14" t="str">
        <x:v>Deneme 39</x:v>
      </x:c>
      <x:c r="L2758" s="14" t="str">
        <x:v>Deneme 39/60 — Sayısal oturum: Matematik 20 + Fen 20. 80 dakika.</x:v>
      </x:c>
      <x:c r="M2758" s="14" t="str">
        <x:v>Tam LGS Denemesi</x:v>
      </x:c>
      <x:c r="N2758" s="14" t="str"/>
      <x:c r="O2758" s="14" t="n">
        <x:v>40</x:v>
      </x:c>
      <x:c r="P2758" s="14" t="str">
        <x:v>80 dk</x:v>
      </x:c>
      <x:c r="Q2758" s="14" t="str">
        <x:v>Evet</x:v>
      </x:c>
      <x:c r="R2758" s="14" t="str">
        <x:v>Planlandı</x:v>
      </x:c>
      <x:c r="S2758" s="15" t="str"/>
      <x:c r="T2758" s="14" t="str"/>
    </x:row>
    <x:row r="2759">
      <x:c r="A2759" s="14" t="n">
        <x:v>2758</x:v>
      </x:c>
      <x:c r="B2759" s="15" t="n">
        <x:v>46529</x:v>
      </x:c>
      <x:c r="C2759" s="14" t="str">
        <x:v>Cumartesi</x:v>
      </x:c>
      <x:c r="D2759" s="14" t="str">
        <x:v>Hafta Sonu</x:v>
      </x:c>
      <x:c r="E2759" s="14" t="str">
        <x:v>Tam gün</x:v>
      </x:c>
      <x:c r="F2759" s="14" t="str">
        <x:v>F4 - 60 Gün / 60 Tam Deneme</x:v>
      </x:c>
      <x:c r="G2759" s="14" t="str">
        <x:v>14:30</x:v>
      </x:c>
      <x:c r="H2759" s="14" t="str">
        <x:v>15:15</x:v>
      </x:c>
      <x:c r="I2759" s="14" t="str">
        <x:v>Deneme</x:v>
      </x:c>
      <x:c r="J2759" s="14" t="str">
        <x:v>Deneme Analizi</x:v>
      </x:c>
      <x:c r="K2759" s="14" t="str">
        <x:v>Deneme 39</x:v>
      </x:c>
      <x:c r="L2759" s="14" t="str">
        <x:v>Tüm yanlış/boşları nedenleriyle analiz et; bilgi eksikliği, işlem, dikkat, yanlış okuma veya yorumlama olarak sınıflandır.</x:v>
      </x:c>
      <x:c r="M2759" s="14" t="str">
        <x:v>Deneme Takibi</x:v>
      </x:c>
      <x:c r="N2759" s="14" t="str"/>
      <x:c r="O2759" s="14" t="n">
        <x:v>0</x:v>
      </x:c>
      <x:c r="P2759" s="14" t="str">
        <x:v>Hayır</x:v>
      </x:c>
      <x:c r="Q2759" s="14" t="str">
        <x:v>Evet</x:v>
      </x:c>
      <x:c r="R2759" s="14" t="str">
        <x:v>Planlandı</x:v>
      </x:c>
      <x:c r="S2759" s="15" t="str"/>
      <x:c r="T2759" s="14" t="str">
        <x:v>Deneme çözülüp analiz edilmediyse gün tamamlanmış sayılmaz.</x:v>
      </x:c>
    </x:row>
    <x:row r="2760">
      <x:c r="A2760" s="14" t="n">
        <x:v>2759</x:v>
      </x:c>
      <x:c r="B2760" s="15" t="n">
        <x:v>46529</x:v>
      </x:c>
      <x:c r="C2760" s="14" t="str">
        <x:v>Cumartesi</x:v>
      </x:c>
      <x:c r="D2760" s="14" t="str">
        <x:v>Hafta Sonu</x:v>
      </x:c>
      <x:c r="E2760" s="14" t="str">
        <x:v>Tam gün</x:v>
      </x:c>
      <x:c r="F2760" s="14" t="str">
        <x:v>F4 - 60 Gün / 60 Tam Deneme</x:v>
      </x:c>
      <x:c r="G2760" s="14" t="str">
        <x:v>15:25</x:v>
      </x:c>
      <x:c r="H2760" s="14" t="str">
        <x:v>16:10</x:v>
      </x:c>
      <x:c r="I2760" s="14" t="str">
        <x:v>Genel</x:v>
      </x:c>
      <x:c r="J2760" s="14" t="str">
        <x:v>Hedefli Eksik Giderme</x:v>
      </x:c>
      <x:c r="K2760" s="14" t="str">
        <x:v>Denemeden Gelen Eksikler</x:v>
      </x:c>
      <x:c r="L2760" s="14" t="str">
        <x:v>Denemenin gösterdiği en kritik 1-3 eksiği gider: gerekirse ilgili playlist videosuna kısa dönüş + hedefli soru çözümü.</x:v>
      </x:c>
      <x:c r="M2760" s="14" t="str">
        <x:v>Playlist + Soru Kitabı + MEB</x:v>
      </x:c>
      <x:c r="N2760" s="14" t="str"/>
      <x:c r="O2760" s="14" t="n">
        <x:v>0</x:v>
      </x:c>
      <x:c r="P2760" s="14" t="str">
        <x:v>Hayır</x:v>
      </x:c>
      <x:c r="Q2760" s="14" t="str">
        <x:v>Evet</x:v>
      </x:c>
      <x:c r="R2760" s="14" t="str">
        <x:v>Planlandı</x:v>
      </x:c>
      <x:c r="S2760" s="15" t="str"/>
      <x:c r="T2760" s="14" t="str">
        <x:v>Yeni konu açılmaz; yalnız denemenin kanıtladığı eksiğe müdahale edilir.</x:v>
      </x:c>
    </x:row>
    <x:row r="2761">
      <x:c r="A2761" s="14" t="n">
        <x:v>2760</x:v>
      </x:c>
      <x:c r="B2761" s="15" t="n">
        <x:v>46529</x:v>
      </x:c>
      <x:c r="C2761" s="14" t="str">
        <x:v>Cumartesi</x:v>
      </x:c>
      <x:c r="D2761" s="14" t="str">
        <x:v>Hafta Sonu</x:v>
      </x:c>
      <x:c r="E2761" s="14" t="str">
        <x:v>Tam gün</x:v>
      </x:c>
      <x:c r="F2761" s="14" t="str">
        <x:v>F4 - 60 Gün / 60 Tam Deneme</x:v>
      </x:c>
      <x:c r="G2761" s="14" t="str">
        <x:v>16:20</x:v>
      </x:c>
      <x:c r="H2761" s="14" t="str">
        <x:v>16:40</x:v>
      </x:c>
      <x:c r="I2761" s="14" t="str">
        <x:v>Genel</x:v>
      </x:c>
      <x:c r="J2761" s="14" t="str">
        <x:v>Aralıklı Hata Tekrarı</x:v>
      </x:c>
      <x:c r="K2761" s="14" t="str">
        <x:v>+1 / +7 / +21</x:v>
      </x:c>
      <x:c r="L2761" s="14" t="str">
        <x:v>Bugün vadesi gelen eski yanlışları tekrar çöz ve bugünkü yanlışları Yanlış Defteri'ne ekle.</x:v>
      </x:c>
      <x:c r="M2761" s="14" t="str">
        <x:v>Yanlış Defteri</x:v>
      </x:c>
      <x:c r="N2761" s="14" t="str"/>
      <x:c r="O2761" s="14" t="n">
        <x:v>0</x:v>
      </x:c>
      <x:c r="P2761" s="14" t="str">
        <x:v>Hayır</x:v>
      </x:c>
      <x:c r="Q2761" s="14" t="str">
        <x:v>Evet</x:v>
      </x:c>
      <x:c r="R2761" s="14" t="str">
        <x:v>Planlandı</x:v>
      </x:c>
      <x:c r="S2761" s="15" t="str"/>
      <x:c r="T2761" s="14" t="str"/>
    </x:row>
    <x:row r="2762">
      <x:c r="A2762" s="14" t="n">
        <x:v>2761</x:v>
      </x:c>
      <x:c r="B2762" s="15" t="n">
        <x:v>46529</x:v>
      </x:c>
      <x:c r="C2762" s="14" t="str">
        <x:v>Cumartesi</x:v>
      </x:c>
      <x:c r="D2762" s="14" t="str">
        <x:v>Hafta Sonu</x:v>
      </x:c>
      <x:c r="E2762" s="14" t="str">
        <x:v>Tam gün</x:v>
      </x:c>
      <x:c r="F2762" s="14" t="str">
        <x:v>F4 - 60 Gün / 60 Tam Deneme</x:v>
      </x:c>
      <x:c r="G2762" s="14" t="str">
        <x:v>20:00</x:v>
      </x:c>
      <x:c r="H2762" s="14" t="str">
        <x:v>20:30</x:v>
      </x:c>
      <x:c r="I2762" s="14" t="str">
        <x:v>Okuma</x:v>
      </x:c>
      <x:c r="J2762" s="14" t="str">
        <x:v>İsteğe Bağlı</x:v>
      </x:c>
      <x:c r="K2762" s="14" t="str">
        <x:v>Serbest Kitap</x:v>
      </x:c>
      <x:c r="L2762" s="14" t="str">
        <x:v>Enerji uygunsa kısa isteğe bağlı okuma.</x:v>
      </x:c>
      <x:c r="M2762" s="14" t="str">
        <x:v>Serbest Kitap</x:v>
      </x:c>
      <x:c r="N2762" s="14" t="str"/>
      <x:c r="O2762" s="14" t="n">
        <x:v>0</x:v>
      </x:c>
      <x:c r="P2762" s="14" t="str">
        <x:v>İsteğe Bağlı</x:v>
      </x:c>
      <x:c r="Q2762" s="14" t="str">
        <x:v>Hayır</x:v>
      </x:c>
      <x:c r="R2762" s="14" t="str">
        <x:v>Planlandı</x:v>
      </x:c>
      <x:c r="S2762" s="15" t="str"/>
      <x:c r="T2762" s="14" t="str"/>
    </x:row>
    <x:row r="2763">
      <x:c r="A2763" s="14" t="n">
        <x:v>2762</x:v>
      </x:c>
      <x:c r="B2763" s="15" t="n">
        <x:v>46529</x:v>
      </x:c>
      <x:c r="C2763" s="14" t="str">
        <x:v>Cumartesi</x:v>
      </x:c>
      <x:c r="D2763" s="14" t="str">
        <x:v>Hafta Sonu</x:v>
      </x:c>
      <x:c r="E2763" s="14" t="str">
        <x:v>Tam gün</x:v>
      </x:c>
      <x:c r="F2763" s="14" t="str">
        <x:v>F4 - 60 Gün / 60 Tam Deneme</x:v>
      </x:c>
      <x:c r="G2763" s="14" t="str">
        <x:v>21:50</x:v>
      </x:c>
      <x:c r="H2763" s="14" t="str">
        <x:v>22:00</x:v>
      </x:c>
      <x:c r="I2763" s="14" t="str">
        <x:v>Genel</x:v>
      </x:c>
      <x:c r="J2763" s="14" t="str">
        <x:v>Uyku Hazırlığı</x:v>
      </x:c>
      <x:c r="K2763" s="14" t="str"/>
      <x:c r="L2763" s="14" t="str">
        <x:v>22:00'de yatakta ve uyku.</x:v>
      </x:c>
      <x:c r="M2763" s="14" t="str"/>
      <x:c r="N2763" s="14" t="str"/>
      <x:c r="O2763" s="14" t="n">
        <x:v>0</x:v>
      </x:c>
      <x:c r="P2763" s="14" t="str">
        <x:v>Hayır</x:v>
      </x:c>
      <x:c r="Q2763" s="14" t="str">
        <x:v>Hayır</x:v>
      </x:c>
      <x:c r="R2763" s="14" t="str">
        <x:v>Planlandı</x:v>
      </x:c>
      <x:c r="S2763" s="15" t="str"/>
      <x:c r="T2763" s="14" t="str"/>
    </x:row>
    <x:row r="2764">
      <x:c r="A2764" s="14" t="n">
        <x:v>2763</x:v>
      </x:c>
      <x:c r="B2764" s="15" t="n">
        <x:v>46530</x:v>
      </x:c>
      <x:c r="C2764" s="14" t="str">
        <x:v>Pazar</x:v>
      </x:c>
      <x:c r="D2764" s="14" t="str">
        <x:v>Hafta Sonu</x:v>
      </x:c>
      <x:c r="E2764" s="14" t="str">
        <x:v>Tam gün</x:v>
      </x:c>
      <x:c r="F2764" s="14" t="str">
        <x:v>F4 - 60 Gün / 60 Tam Deneme</x:v>
      </x:c>
      <x:c r="G2764" s="14" t="str">
        <x:v>09:30</x:v>
      </x:c>
      <x:c r="H2764" s="14" t="str">
        <x:v>10:45</x:v>
      </x:c>
      <x:c r="I2764" s="14" t="str">
        <x:v>Deneme</x:v>
      </x:c>
      <x:c r="J2764" s="14" t="str">
        <x:v>Tam LGS Denemesi - Sözel</x:v>
      </x:c>
      <x:c r="K2764" s="14" t="str">
        <x:v>Deneme 40</x:v>
      </x:c>
      <x:c r="L2764" s="14" t="str">
        <x:v>Deneme 40/60 — Sözel oturum: Türkçe 20 + İnkılap 10 + Din 10 + İngilizce 10. 75 dakika.</x:v>
      </x:c>
      <x:c r="M2764" s="14" t="str">
        <x:v>Tam LGS Denemesi</x:v>
      </x:c>
      <x:c r="N2764" s="14" t="str"/>
      <x:c r="O2764" s="14" t="n">
        <x:v>50</x:v>
      </x:c>
      <x:c r="P2764" s="14" t="str">
        <x:v>75 dk</x:v>
      </x:c>
      <x:c r="Q2764" s="14" t="str">
        <x:v>Evet</x:v>
      </x:c>
      <x:c r="R2764" s="14" t="str">
        <x:v>Planlandı</x:v>
      </x:c>
      <x:c r="S2764" s="15" t="str"/>
      <x:c r="T2764" s="14" t="str">
        <x:v>2026 LGS formatı çalışma referansıdır; 2027 kılavuzu yayımlanırsa güncellenir.</x:v>
      </x:c>
    </x:row>
    <x:row r="2765">
      <x:c r="A2765" s="14" t="n">
        <x:v>2764</x:v>
      </x:c>
      <x:c r="B2765" s="15" t="n">
        <x:v>46530</x:v>
      </x:c>
      <x:c r="C2765" s="14" t="str">
        <x:v>Pazar</x:v>
      </x:c>
      <x:c r="D2765" s="14" t="str">
        <x:v>Hafta Sonu</x:v>
      </x:c>
      <x:c r="E2765" s="14" t="str">
        <x:v>Tam gün</x:v>
      </x:c>
      <x:c r="F2765" s="14" t="str">
        <x:v>F4 - 60 Gün / 60 Tam Deneme</x:v>
      </x:c>
      <x:c r="G2765" s="14" t="str">
        <x:v>10:45</x:v>
      </x:c>
      <x:c r="H2765" s="14" t="str">
        <x:v>11:30</x:v>
      </x:c>
      <x:c r="I2765" s="14" t="str">
        <x:v>Genel</x:v>
      </x:c>
      <x:c r="J2765" s="14" t="str">
        <x:v>Deneme Arası</x:v>
      </x:c>
      <x:c r="K2765" s="14" t="str"/>
      <x:c r="L2765" s="14" t="str">
        <x:v>45 dakika gerçek sınav arası simülasyonu: yemek/su/tuvalet; soru analizi yapma.</x:v>
      </x:c>
      <x:c r="M2765" s="14" t="str"/>
      <x:c r="N2765" s="14" t="str"/>
      <x:c r="O2765" s="14" t="n">
        <x:v>0</x:v>
      </x:c>
      <x:c r="P2765" s="14" t="str">
        <x:v>Hayır</x:v>
      </x:c>
      <x:c r="Q2765" s="14" t="str">
        <x:v>Evet</x:v>
      </x:c>
      <x:c r="R2765" s="14" t="str">
        <x:v>Planlandı</x:v>
      </x:c>
      <x:c r="S2765" s="15" t="str"/>
      <x:c r="T2765" s="14" t="str"/>
    </x:row>
    <x:row r="2766">
      <x:c r="A2766" s="14" t="n">
        <x:v>2765</x:v>
      </x:c>
      <x:c r="B2766" s="15" t="n">
        <x:v>46530</x:v>
      </x:c>
      <x:c r="C2766" s="14" t="str">
        <x:v>Pazar</x:v>
      </x:c>
      <x:c r="D2766" s="14" t="str">
        <x:v>Hafta Sonu</x:v>
      </x:c>
      <x:c r="E2766" s="14" t="str">
        <x:v>Tam gün</x:v>
      </x:c>
      <x:c r="F2766" s="14" t="str">
        <x:v>F4 - 60 Gün / 60 Tam Deneme</x:v>
      </x:c>
      <x:c r="G2766" s="14" t="str">
        <x:v>11:30</x:v>
      </x:c>
      <x:c r="H2766" s="14" t="str">
        <x:v>12:50</x:v>
      </x:c>
      <x:c r="I2766" s="14" t="str">
        <x:v>Deneme</x:v>
      </x:c>
      <x:c r="J2766" s="14" t="str">
        <x:v>Tam LGS Denemesi - Sayısal</x:v>
      </x:c>
      <x:c r="K2766" s="14" t="str">
        <x:v>Deneme 40</x:v>
      </x:c>
      <x:c r="L2766" s="14" t="str">
        <x:v>Deneme 40/60 — Sayısal oturum: Matematik 20 + Fen 20. 80 dakika.</x:v>
      </x:c>
      <x:c r="M2766" s="14" t="str">
        <x:v>Tam LGS Denemesi</x:v>
      </x:c>
      <x:c r="N2766" s="14" t="str"/>
      <x:c r="O2766" s="14" t="n">
        <x:v>40</x:v>
      </x:c>
      <x:c r="P2766" s="14" t="str">
        <x:v>80 dk</x:v>
      </x:c>
      <x:c r="Q2766" s="14" t="str">
        <x:v>Evet</x:v>
      </x:c>
      <x:c r="R2766" s="14" t="str">
        <x:v>Planlandı</x:v>
      </x:c>
      <x:c r="S2766" s="15" t="str"/>
      <x:c r="T2766" s="14" t="str"/>
    </x:row>
    <x:row r="2767">
      <x:c r="A2767" s="14" t="n">
        <x:v>2766</x:v>
      </x:c>
      <x:c r="B2767" s="15" t="n">
        <x:v>46530</x:v>
      </x:c>
      <x:c r="C2767" s="14" t="str">
        <x:v>Pazar</x:v>
      </x:c>
      <x:c r="D2767" s="14" t="str">
        <x:v>Hafta Sonu</x:v>
      </x:c>
      <x:c r="E2767" s="14" t="str">
        <x:v>Tam gün</x:v>
      </x:c>
      <x:c r="F2767" s="14" t="str">
        <x:v>F4 - 60 Gün / 60 Tam Deneme</x:v>
      </x:c>
      <x:c r="G2767" s="14" t="str">
        <x:v>14:30</x:v>
      </x:c>
      <x:c r="H2767" s="14" t="str">
        <x:v>15:15</x:v>
      </x:c>
      <x:c r="I2767" s="14" t="str">
        <x:v>Deneme</x:v>
      </x:c>
      <x:c r="J2767" s="14" t="str">
        <x:v>Deneme Analizi</x:v>
      </x:c>
      <x:c r="K2767" s="14" t="str">
        <x:v>Deneme 40</x:v>
      </x:c>
      <x:c r="L2767" s="14" t="str">
        <x:v>Tüm yanlış/boşları nedenleriyle analiz et; bilgi eksikliği, işlem, dikkat, yanlış okuma veya yorumlama olarak sınıflandır.</x:v>
      </x:c>
      <x:c r="M2767" s="14" t="str">
        <x:v>Deneme Takibi</x:v>
      </x:c>
      <x:c r="N2767" s="14" t="str"/>
      <x:c r="O2767" s="14" t="n">
        <x:v>0</x:v>
      </x:c>
      <x:c r="P2767" s="14" t="str">
        <x:v>Hayır</x:v>
      </x:c>
      <x:c r="Q2767" s="14" t="str">
        <x:v>Evet</x:v>
      </x:c>
      <x:c r="R2767" s="14" t="str">
        <x:v>Planlandı</x:v>
      </x:c>
      <x:c r="S2767" s="15" t="str"/>
      <x:c r="T2767" s="14" t="str">
        <x:v>Deneme çözülüp analiz edilmediyse gün tamamlanmış sayılmaz.</x:v>
      </x:c>
    </x:row>
    <x:row r="2768">
      <x:c r="A2768" s="14" t="n">
        <x:v>2767</x:v>
      </x:c>
      <x:c r="B2768" s="15" t="n">
        <x:v>46530</x:v>
      </x:c>
      <x:c r="C2768" s="14" t="str">
        <x:v>Pazar</x:v>
      </x:c>
      <x:c r="D2768" s="14" t="str">
        <x:v>Hafta Sonu</x:v>
      </x:c>
      <x:c r="E2768" s="14" t="str">
        <x:v>Tam gün</x:v>
      </x:c>
      <x:c r="F2768" s="14" t="str">
        <x:v>F4 - 60 Gün / 60 Tam Deneme</x:v>
      </x:c>
      <x:c r="G2768" s="14" t="str">
        <x:v>15:25</x:v>
      </x:c>
      <x:c r="H2768" s="14" t="str">
        <x:v>16:10</x:v>
      </x:c>
      <x:c r="I2768" s="14" t="str">
        <x:v>Genel</x:v>
      </x:c>
      <x:c r="J2768" s="14" t="str">
        <x:v>Hedefli Eksik Giderme</x:v>
      </x:c>
      <x:c r="K2768" s="14" t="str">
        <x:v>Denemeden Gelen Eksikler</x:v>
      </x:c>
      <x:c r="L2768" s="14" t="str">
        <x:v>Denemenin gösterdiği en kritik 1-3 eksiği gider: gerekirse ilgili playlist videosuna kısa dönüş + hedefli soru çözümü.</x:v>
      </x:c>
      <x:c r="M2768" s="14" t="str">
        <x:v>Playlist + Soru Kitabı + MEB</x:v>
      </x:c>
      <x:c r="N2768" s="14" t="str"/>
      <x:c r="O2768" s="14" t="n">
        <x:v>0</x:v>
      </x:c>
      <x:c r="P2768" s="14" t="str">
        <x:v>Hayır</x:v>
      </x:c>
      <x:c r="Q2768" s="14" t="str">
        <x:v>Evet</x:v>
      </x:c>
      <x:c r="R2768" s="14" t="str">
        <x:v>Planlandı</x:v>
      </x:c>
      <x:c r="S2768" s="15" t="str"/>
      <x:c r="T2768" s="14" t="str">
        <x:v>Yeni konu açılmaz; yalnız denemenin kanıtladığı eksiğe müdahale edilir.</x:v>
      </x:c>
    </x:row>
    <x:row r="2769">
      <x:c r="A2769" s="14" t="n">
        <x:v>2768</x:v>
      </x:c>
      <x:c r="B2769" s="15" t="n">
        <x:v>46530</x:v>
      </x:c>
      <x:c r="C2769" s="14" t="str">
        <x:v>Pazar</x:v>
      </x:c>
      <x:c r="D2769" s="14" t="str">
        <x:v>Hafta Sonu</x:v>
      </x:c>
      <x:c r="E2769" s="14" t="str">
        <x:v>Tam gün</x:v>
      </x:c>
      <x:c r="F2769" s="14" t="str">
        <x:v>F4 - 60 Gün / 60 Tam Deneme</x:v>
      </x:c>
      <x:c r="G2769" s="14" t="str">
        <x:v>16:20</x:v>
      </x:c>
      <x:c r="H2769" s="14" t="str">
        <x:v>16:40</x:v>
      </x:c>
      <x:c r="I2769" s="14" t="str">
        <x:v>Genel</x:v>
      </x:c>
      <x:c r="J2769" s="14" t="str">
        <x:v>Aralıklı Hata Tekrarı</x:v>
      </x:c>
      <x:c r="K2769" s="14" t="str">
        <x:v>+1 / +7 / +21</x:v>
      </x:c>
      <x:c r="L2769" s="14" t="str">
        <x:v>Bugün vadesi gelen eski yanlışları tekrar çöz ve bugünkü yanlışları Yanlış Defteri'ne ekle.</x:v>
      </x:c>
      <x:c r="M2769" s="14" t="str">
        <x:v>Yanlış Defteri</x:v>
      </x:c>
      <x:c r="N2769" s="14" t="str"/>
      <x:c r="O2769" s="14" t="n">
        <x:v>0</x:v>
      </x:c>
      <x:c r="P2769" s="14" t="str">
        <x:v>Hayır</x:v>
      </x:c>
      <x:c r="Q2769" s="14" t="str">
        <x:v>Evet</x:v>
      </x:c>
      <x:c r="R2769" s="14" t="str">
        <x:v>Planlandı</x:v>
      </x:c>
      <x:c r="S2769" s="15" t="str"/>
      <x:c r="T2769" s="14" t="str"/>
    </x:row>
    <x:row r="2770">
      <x:c r="A2770" s="14" t="n">
        <x:v>2769</x:v>
      </x:c>
      <x:c r="B2770" s="15" t="n">
        <x:v>46530</x:v>
      </x:c>
      <x:c r="C2770" s="14" t="str">
        <x:v>Pazar</x:v>
      </x:c>
      <x:c r="D2770" s="14" t="str">
        <x:v>Hafta Sonu</x:v>
      </x:c>
      <x:c r="E2770" s="14" t="str">
        <x:v>Tam gün</x:v>
      </x:c>
      <x:c r="F2770" s="14" t="str">
        <x:v>F4 - 60 Gün / 60 Tam Deneme</x:v>
      </x:c>
      <x:c r="G2770" s="14" t="str">
        <x:v>20:00</x:v>
      </x:c>
      <x:c r="H2770" s="14" t="str">
        <x:v>20:30</x:v>
      </x:c>
      <x:c r="I2770" s="14" t="str">
        <x:v>Okuma</x:v>
      </x:c>
      <x:c r="J2770" s="14" t="str">
        <x:v>İsteğe Bağlı</x:v>
      </x:c>
      <x:c r="K2770" s="14" t="str">
        <x:v>Serbest Kitap</x:v>
      </x:c>
      <x:c r="L2770" s="14" t="str">
        <x:v>Enerji uygunsa kısa isteğe bağlı okuma.</x:v>
      </x:c>
      <x:c r="M2770" s="14" t="str">
        <x:v>Serbest Kitap</x:v>
      </x:c>
      <x:c r="N2770" s="14" t="str"/>
      <x:c r="O2770" s="14" t="n">
        <x:v>0</x:v>
      </x:c>
      <x:c r="P2770" s="14" t="str">
        <x:v>İsteğe Bağlı</x:v>
      </x:c>
      <x:c r="Q2770" s="14" t="str">
        <x:v>Hayır</x:v>
      </x:c>
      <x:c r="R2770" s="14" t="str">
        <x:v>Planlandı</x:v>
      </x:c>
      <x:c r="S2770" s="15" t="str"/>
      <x:c r="T2770" s="14" t="str"/>
    </x:row>
    <x:row r="2771">
      <x:c r="A2771" s="14" t="n">
        <x:v>2770</x:v>
      </x:c>
      <x:c r="B2771" s="15" t="n">
        <x:v>46530</x:v>
      </x:c>
      <x:c r="C2771" s="14" t="str">
        <x:v>Pazar</x:v>
      </x:c>
      <x:c r="D2771" s="14" t="str">
        <x:v>Hafta Sonu</x:v>
      </x:c>
      <x:c r="E2771" s="14" t="str">
        <x:v>Tam gün</x:v>
      </x:c>
      <x:c r="F2771" s="14" t="str">
        <x:v>F4 - 60 Gün / 60 Tam Deneme</x:v>
      </x:c>
      <x:c r="G2771" s="14" t="str">
        <x:v>21:50</x:v>
      </x:c>
      <x:c r="H2771" s="14" t="str">
        <x:v>22:00</x:v>
      </x:c>
      <x:c r="I2771" s="14" t="str">
        <x:v>Genel</x:v>
      </x:c>
      <x:c r="J2771" s="14" t="str">
        <x:v>Uyku Hazırlığı</x:v>
      </x:c>
      <x:c r="K2771" s="14" t="str"/>
      <x:c r="L2771" s="14" t="str">
        <x:v>22:00'de yatakta ve uyku.</x:v>
      </x:c>
      <x:c r="M2771" s="14" t="str"/>
      <x:c r="N2771" s="14" t="str"/>
      <x:c r="O2771" s="14" t="n">
        <x:v>0</x:v>
      </x:c>
      <x:c r="P2771" s="14" t="str">
        <x:v>Hayır</x:v>
      </x:c>
      <x:c r="Q2771" s="14" t="str">
        <x:v>Hayır</x:v>
      </x:c>
      <x:c r="R2771" s="14" t="str">
        <x:v>Planlandı</x:v>
      </x:c>
      <x:c r="S2771" s="15" t="str"/>
      <x:c r="T2771" s="14" t="str"/>
    </x:row>
    <x:row r="2772">
      <x:c r="A2772" s="14" t="n">
        <x:v>2771</x:v>
      </x:c>
      <x:c r="B2772" s="15" t="n">
        <x:v>46531</x:v>
      </x:c>
      <x:c r="C2772" s="14" t="str">
        <x:v>Pazartesi</x:v>
      </x:c>
      <x:c r="D2772" s="14" t="str">
        <x:v>Okul Günü</x:v>
      </x:c>
      <x:c r="E2772" s="14" t="str">
        <x:v>16:00 sonrası</x:v>
      </x:c>
      <x:c r="F2772" s="14" t="str">
        <x:v>F4 - 60 Gün / 60 Tam Deneme</x:v>
      </x:c>
      <x:c r="G2772" s="14" t="str">
        <x:v>16:00</x:v>
      </x:c>
      <x:c r="H2772" s="14" t="str">
        <x:v>16:25</x:v>
      </x:c>
      <x:c r="I2772" s="14" t="str">
        <x:v>Genel</x:v>
      </x:c>
      <x:c r="J2772" s="14" t="str">
        <x:v>Dinlenme</x:v>
      </x:c>
      <x:c r="K2772" s="14" t="str"/>
      <x:c r="L2772" s="14" t="str">
        <x:v>Eve geliş + kısa dinlenme.</x:v>
      </x:c>
      <x:c r="M2772" s="14" t="str"/>
      <x:c r="N2772" s="14" t="str"/>
      <x:c r="O2772" s="14" t="n">
        <x:v>0</x:v>
      </x:c>
      <x:c r="P2772" s="14" t="str">
        <x:v>Hayır</x:v>
      </x:c>
      <x:c r="Q2772" s="14" t="str">
        <x:v>Hayır</x:v>
      </x:c>
      <x:c r="R2772" s="14" t="str">
        <x:v>Planlandı</x:v>
      </x:c>
      <x:c r="S2772" s="15" t="str"/>
      <x:c r="T2772" s="14" t="str"/>
    </x:row>
    <x:row r="2773">
      <x:c r="A2773" s="14" t="n">
        <x:v>2772</x:v>
      </x:c>
      <x:c r="B2773" s="15" t="n">
        <x:v>46531</x:v>
      </x:c>
      <x:c r="C2773" s="14" t="str">
        <x:v>Pazartesi</x:v>
      </x:c>
      <x:c r="D2773" s="14" t="str">
        <x:v>Okul Günü</x:v>
      </x:c>
      <x:c r="E2773" s="14" t="str">
        <x:v>16:00 sonrası</x:v>
      </x:c>
      <x:c r="F2773" s="14" t="str">
        <x:v>F4 - 60 Gün / 60 Tam Deneme</x:v>
      </x:c>
      <x:c r="G2773" s="14" t="str">
        <x:v>16:30</x:v>
      </x:c>
      <x:c r="H2773" s="14" t="str">
        <x:v>17:45</x:v>
      </x:c>
      <x:c r="I2773" s="14" t="str">
        <x:v>Deneme</x:v>
      </x:c>
      <x:c r="J2773" s="14" t="str">
        <x:v>Tam LGS Denemesi - Sözel</x:v>
      </x:c>
      <x:c r="K2773" s="14" t="str">
        <x:v>Deneme 41</x:v>
      </x:c>
      <x:c r="L2773" s="14" t="str">
        <x:v>Deneme 41/60 — Sözel oturum: Türkçe 20 + İnkılap 10 + Din 10 + İngilizce 10. 75 dakika.</x:v>
      </x:c>
      <x:c r="M2773" s="14" t="str">
        <x:v>Tam LGS Denemesi</x:v>
      </x:c>
      <x:c r="N2773" s="14" t="str"/>
      <x:c r="O2773" s="14" t="n">
        <x:v>50</x:v>
      </x:c>
      <x:c r="P2773" s="14" t="str">
        <x:v>75 dk</x:v>
      </x:c>
      <x:c r="Q2773" s="14" t="str">
        <x:v>Evet</x:v>
      </x:c>
      <x:c r="R2773" s="14" t="str">
        <x:v>Planlandı</x:v>
      </x:c>
      <x:c r="S2773" s="15" t="str"/>
      <x:c r="T2773" s="14" t="str">
        <x:v>2026 LGS formatı çalışma referansıdır; 2027 kılavuzu yayımlanırsa güncellenir.</x:v>
      </x:c>
    </x:row>
    <x:row r="2774">
      <x:c r="A2774" s="14" t="n">
        <x:v>2773</x:v>
      </x:c>
      <x:c r="B2774" s="15" t="n">
        <x:v>46531</x:v>
      </x:c>
      <x:c r="C2774" s="14" t="str">
        <x:v>Pazartesi</x:v>
      </x:c>
      <x:c r="D2774" s="14" t="str">
        <x:v>Okul Günü</x:v>
      </x:c>
      <x:c r="E2774" s="14" t="str">
        <x:v>16:00 sonrası</x:v>
      </x:c>
      <x:c r="F2774" s="14" t="str">
        <x:v>F4 - 60 Gün / 60 Tam Deneme</x:v>
      </x:c>
      <x:c r="G2774" s="14" t="str">
        <x:v>17:45</x:v>
      </x:c>
      <x:c r="H2774" s="14" t="str">
        <x:v>18:30</x:v>
      </x:c>
      <x:c r="I2774" s="14" t="str">
        <x:v>Genel</x:v>
      </x:c>
      <x:c r="J2774" s="14" t="str">
        <x:v>Deneme Arası</x:v>
      </x:c>
      <x:c r="K2774" s="14" t="str"/>
      <x:c r="L2774" s="14" t="str">
        <x:v>45 dakika gerçek sınav arası simülasyonu: yemek/su/tuvalet; soru analizi yapma.</x:v>
      </x:c>
      <x:c r="M2774" s="14" t="str"/>
      <x:c r="N2774" s="14" t="str"/>
      <x:c r="O2774" s="14" t="n">
        <x:v>0</x:v>
      </x:c>
      <x:c r="P2774" s="14" t="str">
        <x:v>Hayır</x:v>
      </x:c>
      <x:c r="Q2774" s="14" t="str">
        <x:v>Evet</x:v>
      </x:c>
      <x:c r="R2774" s="14" t="str">
        <x:v>Planlandı</x:v>
      </x:c>
      <x:c r="S2774" s="15" t="str"/>
      <x:c r="T2774" s="14" t="str"/>
    </x:row>
    <x:row r="2775">
      <x:c r="A2775" s="14" t="n">
        <x:v>2774</x:v>
      </x:c>
      <x:c r="B2775" s="15" t="n">
        <x:v>46531</x:v>
      </x:c>
      <x:c r="C2775" s="14" t="str">
        <x:v>Pazartesi</x:v>
      </x:c>
      <x:c r="D2775" s="14" t="str">
        <x:v>Okul Günü</x:v>
      </x:c>
      <x:c r="E2775" s="14" t="str">
        <x:v>16:00 sonrası</x:v>
      </x:c>
      <x:c r="F2775" s="14" t="str">
        <x:v>F4 - 60 Gün / 60 Tam Deneme</x:v>
      </x:c>
      <x:c r="G2775" s="14" t="str">
        <x:v>18:30</x:v>
      </x:c>
      <x:c r="H2775" s="14" t="str">
        <x:v>19:50</x:v>
      </x:c>
      <x:c r="I2775" s="14" t="str">
        <x:v>Deneme</x:v>
      </x:c>
      <x:c r="J2775" s="14" t="str">
        <x:v>Tam LGS Denemesi - Sayısal</x:v>
      </x:c>
      <x:c r="K2775" s="14" t="str">
        <x:v>Deneme 41</x:v>
      </x:c>
      <x:c r="L2775" s="14" t="str">
        <x:v>Deneme 41/60 — Sayısal oturum: Matematik 20 + Fen 20. 80 dakika.</x:v>
      </x:c>
      <x:c r="M2775" s="14" t="str">
        <x:v>Tam LGS Denemesi</x:v>
      </x:c>
      <x:c r="N2775" s="14" t="str"/>
      <x:c r="O2775" s="14" t="n">
        <x:v>40</x:v>
      </x:c>
      <x:c r="P2775" s="14" t="str">
        <x:v>80 dk</x:v>
      </x:c>
      <x:c r="Q2775" s="14" t="str">
        <x:v>Evet</x:v>
      </x:c>
      <x:c r="R2775" s="14" t="str">
        <x:v>Planlandı</x:v>
      </x:c>
      <x:c r="S2775" s="15" t="str"/>
      <x:c r="T2775" s="14" t="str"/>
    </x:row>
    <x:row r="2776">
      <x:c r="A2776" s="14" t="n">
        <x:v>2775</x:v>
      </x:c>
      <x:c r="B2776" s="15" t="n">
        <x:v>46531</x:v>
      </x:c>
      <x:c r="C2776" s="14" t="str">
        <x:v>Pazartesi</x:v>
      </x:c>
      <x:c r="D2776" s="14" t="str">
        <x:v>Okul Günü</x:v>
      </x:c>
      <x:c r="E2776" s="14" t="str">
        <x:v>16:00 sonrası</x:v>
      </x:c>
      <x:c r="F2776" s="14" t="str">
        <x:v>F4 - 60 Gün / 60 Tam Deneme</x:v>
      </x:c>
      <x:c r="G2776" s="14" t="str">
        <x:v>20:00</x:v>
      </x:c>
      <x:c r="H2776" s="14" t="str">
        <x:v>20:45</x:v>
      </x:c>
      <x:c r="I2776" s="14" t="str">
        <x:v>Deneme</x:v>
      </x:c>
      <x:c r="J2776" s="14" t="str">
        <x:v>Deneme Analizi</x:v>
      </x:c>
      <x:c r="K2776" s="14" t="str">
        <x:v>Deneme 41</x:v>
      </x:c>
      <x:c r="L2776" s="14" t="str">
        <x:v>Tüm yanlış/boşları nedenleriyle analiz et; bilgi eksikliği, işlem, dikkat, yanlış okuma veya yorumlama olarak sınıflandır.</x:v>
      </x:c>
      <x:c r="M2776" s="14" t="str">
        <x:v>Deneme Takibi</x:v>
      </x:c>
      <x:c r="N2776" s="14" t="str"/>
      <x:c r="O2776" s="14" t="n">
        <x:v>0</x:v>
      </x:c>
      <x:c r="P2776" s="14" t="str">
        <x:v>Hayır</x:v>
      </x:c>
      <x:c r="Q2776" s="14" t="str">
        <x:v>Evet</x:v>
      </x:c>
      <x:c r="R2776" s="14" t="str">
        <x:v>Planlandı</x:v>
      </x:c>
      <x:c r="S2776" s="15" t="str"/>
      <x:c r="T2776" s="14" t="str">
        <x:v>Deneme çözülüp analiz edilmediyse gün tamamlanmış sayılmaz.</x:v>
      </x:c>
    </x:row>
    <x:row r="2777">
      <x:c r="A2777" s="14" t="n">
        <x:v>2776</x:v>
      </x:c>
      <x:c r="B2777" s="15" t="n">
        <x:v>46531</x:v>
      </x:c>
      <x:c r="C2777" s="14" t="str">
        <x:v>Pazartesi</x:v>
      </x:c>
      <x:c r="D2777" s="14" t="str">
        <x:v>Okul Günü</x:v>
      </x:c>
      <x:c r="E2777" s="14" t="str">
        <x:v>16:00 sonrası</x:v>
      </x:c>
      <x:c r="F2777" s="14" t="str">
        <x:v>F4 - 60 Gün / 60 Tam Deneme</x:v>
      </x:c>
      <x:c r="G2777" s="14" t="str">
        <x:v>20:50</x:v>
      </x:c>
      <x:c r="H2777" s="14" t="str">
        <x:v>21:25</x:v>
      </x:c>
      <x:c r="I2777" s="14" t="str">
        <x:v>Genel</x:v>
      </x:c>
      <x:c r="J2777" s="14" t="str">
        <x:v>Hedefli Eksik Giderme</x:v>
      </x:c>
      <x:c r="K2777" s="14" t="str">
        <x:v>Denemeden Gelen Eksikler</x:v>
      </x:c>
      <x:c r="L2777" s="14" t="str">
        <x:v>Denemenin gösterdiği en kritik 1-3 eksiği gider: gerekirse ilgili playlist videosuna kısa dönüş + hedefli soru çözümü.</x:v>
      </x:c>
      <x:c r="M2777" s="14" t="str">
        <x:v>Playlist + Soru Kitabı + MEB</x:v>
      </x:c>
      <x:c r="N2777" s="14" t="str"/>
      <x:c r="O2777" s="14" t="n">
        <x:v>0</x:v>
      </x:c>
      <x:c r="P2777" s="14" t="str">
        <x:v>Hayır</x:v>
      </x:c>
      <x:c r="Q2777" s="14" t="str">
        <x:v>Evet</x:v>
      </x:c>
      <x:c r="R2777" s="14" t="str">
        <x:v>Planlandı</x:v>
      </x:c>
      <x:c r="S2777" s="15" t="str"/>
      <x:c r="T2777" s="14" t="str">
        <x:v>Yeni konu açılmaz; yalnız denemenin kanıtladığı eksiğe müdahale edilir.</x:v>
      </x:c>
    </x:row>
    <x:row r="2778">
      <x:c r="A2778" s="14" t="n">
        <x:v>2777</x:v>
      </x:c>
      <x:c r="B2778" s="15" t="n">
        <x:v>46531</x:v>
      </x:c>
      <x:c r="C2778" s="14" t="str">
        <x:v>Pazartesi</x:v>
      </x:c>
      <x:c r="D2778" s="14" t="str">
        <x:v>Okul Günü</x:v>
      </x:c>
      <x:c r="E2778" s="14" t="str">
        <x:v>16:00 sonrası</x:v>
      </x:c>
      <x:c r="F2778" s="14" t="str">
        <x:v>F4 - 60 Gün / 60 Tam Deneme</x:v>
      </x:c>
      <x:c r="G2778" s="14" t="str">
        <x:v>21:25</x:v>
      </x:c>
      <x:c r="H2778" s="14" t="str">
        <x:v>21:40</x:v>
      </x:c>
      <x:c r="I2778" s="14" t="str">
        <x:v>Genel</x:v>
      </x:c>
      <x:c r="J2778" s="14" t="str">
        <x:v>Aralıklı Hata Tekrarı</x:v>
      </x:c>
      <x:c r="K2778" s="14" t="str">
        <x:v>+1 / +7 / +21</x:v>
      </x:c>
      <x:c r="L2778" s="14" t="str">
        <x:v>Bugün vadesi gelen eski yanlışları tekrar çöz ve bugünkü yanlışları Yanlış Defteri'ne ekle.</x:v>
      </x:c>
      <x:c r="M2778" s="14" t="str">
        <x:v>Yanlış Defteri</x:v>
      </x:c>
      <x:c r="N2778" s="14" t="str"/>
      <x:c r="O2778" s="14" t="n">
        <x:v>0</x:v>
      </x:c>
      <x:c r="P2778" s="14" t="str">
        <x:v>Hayır</x:v>
      </x:c>
      <x:c r="Q2778" s="14" t="str">
        <x:v>Evet</x:v>
      </x:c>
      <x:c r="R2778" s="14" t="str">
        <x:v>Planlandı</x:v>
      </x:c>
      <x:c r="S2778" s="15" t="str"/>
      <x:c r="T2778" s="14" t="str"/>
    </x:row>
    <x:row r="2779">
      <x:c r="A2779" s="14" t="n">
        <x:v>2778</x:v>
      </x:c>
      <x:c r="B2779" s="15" t="n">
        <x:v>46531</x:v>
      </x:c>
      <x:c r="C2779" s="14" t="str">
        <x:v>Pazartesi</x:v>
      </x:c>
      <x:c r="D2779" s="14" t="str">
        <x:v>Okul Günü</x:v>
      </x:c>
      <x:c r="E2779" s="14" t="str">
        <x:v>16:00 sonrası</x:v>
      </x:c>
      <x:c r="F2779" s="14" t="str">
        <x:v>F4 - 60 Gün / 60 Tam Deneme</x:v>
      </x:c>
      <x:c r="G2779" s="14" t="str">
        <x:v>21:40</x:v>
      </x:c>
      <x:c r="H2779" s="14" t="str">
        <x:v>21:50</x:v>
      </x:c>
      <x:c r="I2779" s="14" t="str">
        <x:v>Okuma</x:v>
      </x:c>
      <x:c r="J2779" s="14" t="str">
        <x:v>İsteğe Bağlı</x:v>
      </x:c>
      <x:c r="K2779" s="14" t="str">
        <x:v>Serbest Kitap</x:v>
      </x:c>
      <x:c r="L2779" s="14" t="str">
        <x:v>Enerji uygunsa kısa isteğe bağlı okuma.</x:v>
      </x:c>
      <x:c r="M2779" s="14" t="str">
        <x:v>Serbest Kitap</x:v>
      </x:c>
      <x:c r="N2779" s="14" t="str"/>
      <x:c r="O2779" s="14" t="n">
        <x:v>0</x:v>
      </x:c>
      <x:c r="P2779" s="14" t="str">
        <x:v>İsteğe Bağlı</x:v>
      </x:c>
      <x:c r="Q2779" s="14" t="str">
        <x:v>Hayır</x:v>
      </x:c>
      <x:c r="R2779" s="14" t="str">
        <x:v>Planlandı</x:v>
      </x:c>
      <x:c r="S2779" s="15" t="str"/>
      <x:c r="T2779" s="14" t="str"/>
    </x:row>
    <x:row r="2780">
      <x:c r="A2780" s="14" t="n">
        <x:v>2779</x:v>
      </x:c>
      <x:c r="B2780" s="15" t="n">
        <x:v>46531</x:v>
      </x:c>
      <x:c r="C2780" s="14" t="str">
        <x:v>Pazartesi</x:v>
      </x:c>
      <x:c r="D2780" s="14" t="str">
        <x:v>Okul Günü</x:v>
      </x:c>
      <x:c r="E2780" s="14" t="str">
        <x:v>16:00 sonrası</x:v>
      </x:c>
      <x:c r="F2780" s="14" t="str">
        <x:v>F4 - 60 Gün / 60 Tam Deneme</x:v>
      </x:c>
      <x:c r="G2780" s="14" t="str">
        <x:v>21:50</x:v>
      </x:c>
      <x:c r="H2780" s="14" t="str">
        <x:v>22:00</x:v>
      </x:c>
      <x:c r="I2780" s="14" t="str">
        <x:v>Genel</x:v>
      </x:c>
      <x:c r="J2780" s="14" t="str">
        <x:v>Uyku Hazırlığı</x:v>
      </x:c>
      <x:c r="K2780" s="14" t="str"/>
      <x:c r="L2780" s="14" t="str">
        <x:v>22:00'de yatakta ve uyku.</x:v>
      </x:c>
      <x:c r="M2780" s="14" t="str"/>
      <x:c r="N2780" s="14" t="str"/>
      <x:c r="O2780" s="14" t="n">
        <x:v>0</x:v>
      </x:c>
      <x:c r="P2780" s="14" t="str">
        <x:v>Hayır</x:v>
      </x:c>
      <x:c r="Q2780" s="14" t="str">
        <x:v>Hayır</x:v>
      </x:c>
      <x:c r="R2780" s="14" t="str">
        <x:v>Planlandı</x:v>
      </x:c>
      <x:c r="S2780" s="15" t="str"/>
      <x:c r="T2780" s="14" t="str"/>
    </x:row>
    <x:row r="2781">
      <x:c r="A2781" s="14" t="n">
        <x:v>2780</x:v>
      </x:c>
      <x:c r="B2781" s="15" t="n">
        <x:v>46532</x:v>
      </x:c>
      <x:c r="C2781" s="14" t="str">
        <x:v>Salı</x:v>
      </x:c>
      <x:c r="D2781" s="14" t="str">
        <x:v>Okul Günü</x:v>
      </x:c>
      <x:c r="E2781" s="14" t="str">
        <x:v>16:00 sonrası</x:v>
      </x:c>
      <x:c r="F2781" s="14" t="str">
        <x:v>F4 - 60 Gün / 60 Tam Deneme</x:v>
      </x:c>
      <x:c r="G2781" s="14" t="str">
        <x:v>16:00</x:v>
      </x:c>
      <x:c r="H2781" s="14" t="str">
        <x:v>16:25</x:v>
      </x:c>
      <x:c r="I2781" s="14" t="str">
        <x:v>Genel</x:v>
      </x:c>
      <x:c r="J2781" s="14" t="str">
        <x:v>Dinlenme</x:v>
      </x:c>
      <x:c r="K2781" s="14" t="str"/>
      <x:c r="L2781" s="14" t="str">
        <x:v>Eve geliş + kısa dinlenme.</x:v>
      </x:c>
      <x:c r="M2781" s="14" t="str"/>
      <x:c r="N2781" s="14" t="str"/>
      <x:c r="O2781" s="14" t="n">
        <x:v>0</x:v>
      </x:c>
      <x:c r="P2781" s="14" t="str">
        <x:v>Hayır</x:v>
      </x:c>
      <x:c r="Q2781" s="14" t="str">
        <x:v>Hayır</x:v>
      </x:c>
      <x:c r="R2781" s="14" t="str">
        <x:v>Planlandı</x:v>
      </x:c>
      <x:c r="S2781" s="15" t="str"/>
      <x:c r="T2781" s="14" t="str"/>
    </x:row>
    <x:row r="2782">
      <x:c r="A2782" s="14" t="n">
        <x:v>2781</x:v>
      </x:c>
      <x:c r="B2782" s="15" t="n">
        <x:v>46532</x:v>
      </x:c>
      <x:c r="C2782" s="14" t="str">
        <x:v>Salı</x:v>
      </x:c>
      <x:c r="D2782" s="14" t="str">
        <x:v>Okul Günü</x:v>
      </x:c>
      <x:c r="E2782" s="14" t="str">
        <x:v>16:00 sonrası</x:v>
      </x:c>
      <x:c r="F2782" s="14" t="str">
        <x:v>F4 - 60 Gün / 60 Tam Deneme</x:v>
      </x:c>
      <x:c r="G2782" s="14" t="str">
        <x:v>16:30</x:v>
      </x:c>
      <x:c r="H2782" s="14" t="str">
        <x:v>17:45</x:v>
      </x:c>
      <x:c r="I2782" s="14" t="str">
        <x:v>Deneme</x:v>
      </x:c>
      <x:c r="J2782" s="14" t="str">
        <x:v>Tam LGS Denemesi - Sözel</x:v>
      </x:c>
      <x:c r="K2782" s="14" t="str">
        <x:v>Deneme 42</x:v>
      </x:c>
      <x:c r="L2782" s="14" t="str">
        <x:v>Deneme 42/60 — Sözel oturum: Türkçe 20 + İnkılap 10 + Din 10 + İngilizce 10. 75 dakika.</x:v>
      </x:c>
      <x:c r="M2782" s="14" t="str">
        <x:v>Tam LGS Denemesi</x:v>
      </x:c>
      <x:c r="N2782" s="14" t="str"/>
      <x:c r="O2782" s="14" t="n">
        <x:v>50</x:v>
      </x:c>
      <x:c r="P2782" s="14" t="str">
        <x:v>75 dk</x:v>
      </x:c>
      <x:c r="Q2782" s="14" t="str">
        <x:v>Evet</x:v>
      </x:c>
      <x:c r="R2782" s="14" t="str">
        <x:v>Planlandı</x:v>
      </x:c>
      <x:c r="S2782" s="15" t="str"/>
      <x:c r="T2782" s="14" t="str">
        <x:v>2026 LGS formatı çalışma referansıdır; 2027 kılavuzu yayımlanırsa güncellenir.</x:v>
      </x:c>
    </x:row>
    <x:row r="2783">
      <x:c r="A2783" s="14" t="n">
        <x:v>2782</x:v>
      </x:c>
      <x:c r="B2783" s="15" t="n">
        <x:v>46532</x:v>
      </x:c>
      <x:c r="C2783" s="14" t="str">
        <x:v>Salı</x:v>
      </x:c>
      <x:c r="D2783" s="14" t="str">
        <x:v>Okul Günü</x:v>
      </x:c>
      <x:c r="E2783" s="14" t="str">
        <x:v>16:00 sonrası</x:v>
      </x:c>
      <x:c r="F2783" s="14" t="str">
        <x:v>F4 - 60 Gün / 60 Tam Deneme</x:v>
      </x:c>
      <x:c r="G2783" s="14" t="str">
        <x:v>17:45</x:v>
      </x:c>
      <x:c r="H2783" s="14" t="str">
        <x:v>18:30</x:v>
      </x:c>
      <x:c r="I2783" s="14" t="str">
        <x:v>Genel</x:v>
      </x:c>
      <x:c r="J2783" s="14" t="str">
        <x:v>Deneme Arası</x:v>
      </x:c>
      <x:c r="K2783" s="14" t="str"/>
      <x:c r="L2783" s="14" t="str">
        <x:v>45 dakika gerçek sınav arası simülasyonu: yemek/su/tuvalet; soru analizi yapma.</x:v>
      </x:c>
      <x:c r="M2783" s="14" t="str"/>
      <x:c r="N2783" s="14" t="str"/>
      <x:c r="O2783" s="14" t="n">
        <x:v>0</x:v>
      </x:c>
      <x:c r="P2783" s="14" t="str">
        <x:v>Hayır</x:v>
      </x:c>
      <x:c r="Q2783" s="14" t="str">
        <x:v>Evet</x:v>
      </x:c>
      <x:c r="R2783" s="14" t="str">
        <x:v>Planlandı</x:v>
      </x:c>
      <x:c r="S2783" s="15" t="str"/>
      <x:c r="T2783" s="14" t="str"/>
    </x:row>
    <x:row r="2784">
      <x:c r="A2784" s="14" t="n">
        <x:v>2783</x:v>
      </x:c>
      <x:c r="B2784" s="15" t="n">
        <x:v>46532</x:v>
      </x:c>
      <x:c r="C2784" s="14" t="str">
        <x:v>Salı</x:v>
      </x:c>
      <x:c r="D2784" s="14" t="str">
        <x:v>Okul Günü</x:v>
      </x:c>
      <x:c r="E2784" s="14" t="str">
        <x:v>16:00 sonrası</x:v>
      </x:c>
      <x:c r="F2784" s="14" t="str">
        <x:v>F4 - 60 Gün / 60 Tam Deneme</x:v>
      </x:c>
      <x:c r="G2784" s="14" t="str">
        <x:v>18:30</x:v>
      </x:c>
      <x:c r="H2784" s="14" t="str">
        <x:v>19:50</x:v>
      </x:c>
      <x:c r="I2784" s="14" t="str">
        <x:v>Deneme</x:v>
      </x:c>
      <x:c r="J2784" s="14" t="str">
        <x:v>Tam LGS Denemesi - Sayısal</x:v>
      </x:c>
      <x:c r="K2784" s="14" t="str">
        <x:v>Deneme 42</x:v>
      </x:c>
      <x:c r="L2784" s="14" t="str">
        <x:v>Deneme 42/60 — Sayısal oturum: Matematik 20 + Fen 20. 80 dakika.</x:v>
      </x:c>
      <x:c r="M2784" s="14" t="str">
        <x:v>Tam LGS Denemesi</x:v>
      </x:c>
      <x:c r="N2784" s="14" t="str"/>
      <x:c r="O2784" s="14" t="n">
        <x:v>40</x:v>
      </x:c>
      <x:c r="P2784" s="14" t="str">
        <x:v>80 dk</x:v>
      </x:c>
      <x:c r="Q2784" s="14" t="str">
        <x:v>Evet</x:v>
      </x:c>
      <x:c r="R2784" s="14" t="str">
        <x:v>Planlandı</x:v>
      </x:c>
      <x:c r="S2784" s="15" t="str"/>
      <x:c r="T2784" s="14" t="str"/>
    </x:row>
    <x:row r="2785">
      <x:c r="A2785" s="14" t="n">
        <x:v>2784</x:v>
      </x:c>
      <x:c r="B2785" s="15" t="n">
        <x:v>46532</x:v>
      </x:c>
      <x:c r="C2785" s="14" t="str">
        <x:v>Salı</x:v>
      </x:c>
      <x:c r="D2785" s="14" t="str">
        <x:v>Okul Günü</x:v>
      </x:c>
      <x:c r="E2785" s="14" t="str">
        <x:v>16:00 sonrası</x:v>
      </x:c>
      <x:c r="F2785" s="14" t="str">
        <x:v>F4 - 60 Gün / 60 Tam Deneme</x:v>
      </x:c>
      <x:c r="G2785" s="14" t="str">
        <x:v>20:00</x:v>
      </x:c>
      <x:c r="H2785" s="14" t="str">
        <x:v>20:45</x:v>
      </x:c>
      <x:c r="I2785" s="14" t="str">
        <x:v>Deneme</x:v>
      </x:c>
      <x:c r="J2785" s="14" t="str">
        <x:v>Deneme Analizi</x:v>
      </x:c>
      <x:c r="K2785" s="14" t="str">
        <x:v>Deneme 42</x:v>
      </x:c>
      <x:c r="L2785" s="14" t="str">
        <x:v>Tüm yanlış/boşları nedenleriyle analiz et; bilgi eksikliği, işlem, dikkat, yanlış okuma veya yorumlama olarak sınıflandır.</x:v>
      </x:c>
      <x:c r="M2785" s="14" t="str">
        <x:v>Deneme Takibi</x:v>
      </x:c>
      <x:c r="N2785" s="14" t="str"/>
      <x:c r="O2785" s="14" t="n">
        <x:v>0</x:v>
      </x:c>
      <x:c r="P2785" s="14" t="str">
        <x:v>Hayır</x:v>
      </x:c>
      <x:c r="Q2785" s="14" t="str">
        <x:v>Evet</x:v>
      </x:c>
      <x:c r="R2785" s="14" t="str">
        <x:v>Planlandı</x:v>
      </x:c>
      <x:c r="S2785" s="15" t="str"/>
      <x:c r="T2785" s="14" t="str">
        <x:v>Deneme çözülüp analiz edilmediyse gün tamamlanmış sayılmaz.</x:v>
      </x:c>
    </x:row>
    <x:row r="2786">
      <x:c r="A2786" s="14" t="n">
        <x:v>2785</x:v>
      </x:c>
      <x:c r="B2786" s="15" t="n">
        <x:v>46532</x:v>
      </x:c>
      <x:c r="C2786" s="14" t="str">
        <x:v>Salı</x:v>
      </x:c>
      <x:c r="D2786" s="14" t="str">
        <x:v>Okul Günü</x:v>
      </x:c>
      <x:c r="E2786" s="14" t="str">
        <x:v>16:00 sonrası</x:v>
      </x:c>
      <x:c r="F2786" s="14" t="str">
        <x:v>F4 - 60 Gün / 60 Tam Deneme</x:v>
      </x:c>
      <x:c r="G2786" s="14" t="str">
        <x:v>20:50</x:v>
      </x:c>
      <x:c r="H2786" s="14" t="str">
        <x:v>21:25</x:v>
      </x:c>
      <x:c r="I2786" s="14" t="str">
        <x:v>Genel</x:v>
      </x:c>
      <x:c r="J2786" s="14" t="str">
        <x:v>Hedefli Eksik Giderme</x:v>
      </x:c>
      <x:c r="K2786" s="14" t="str">
        <x:v>Denemeden Gelen Eksikler</x:v>
      </x:c>
      <x:c r="L2786" s="14" t="str">
        <x:v>Denemenin gösterdiği en kritik 1-3 eksiği gider: gerekirse ilgili playlist videosuna kısa dönüş + hedefli soru çözümü.</x:v>
      </x:c>
      <x:c r="M2786" s="14" t="str">
        <x:v>Playlist + Soru Kitabı + MEB</x:v>
      </x:c>
      <x:c r="N2786" s="14" t="str"/>
      <x:c r="O2786" s="14" t="n">
        <x:v>0</x:v>
      </x:c>
      <x:c r="P2786" s="14" t="str">
        <x:v>Hayır</x:v>
      </x:c>
      <x:c r="Q2786" s="14" t="str">
        <x:v>Evet</x:v>
      </x:c>
      <x:c r="R2786" s="14" t="str">
        <x:v>Planlandı</x:v>
      </x:c>
      <x:c r="S2786" s="15" t="str"/>
      <x:c r="T2786" s="14" t="str">
        <x:v>Yeni konu açılmaz; yalnız denemenin kanıtladığı eksiğe müdahale edilir.</x:v>
      </x:c>
    </x:row>
    <x:row r="2787">
      <x:c r="A2787" s="14" t="n">
        <x:v>2786</x:v>
      </x:c>
      <x:c r="B2787" s="15" t="n">
        <x:v>46532</x:v>
      </x:c>
      <x:c r="C2787" s="14" t="str">
        <x:v>Salı</x:v>
      </x:c>
      <x:c r="D2787" s="14" t="str">
        <x:v>Okul Günü</x:v>
      </x:c>
      <x:c r="E2787" s="14" t="str">
        <x:v>16:00 sonrası</x:v>
      </x:c>
      <x:c r="F2787" s="14" t="str">
        <x:v>F4 - 60 Gün / 60 Tam Deneme</x:v>
      </x:c>
      <x:c r="G2787" s="14" t="str">
        <x:v>21:25</x:v>
      </x:c>
      <x:c r="H2787" s="14" t="str">
        <x:v>21:40</x:v>
      </x:c>
      <x:c r="I2787" s="14" t="str">
        <x:v>Genel</x:v>
      </x:c>
      <x:c r="J2787" s="14" t="str">
        <x:v>Aralıklı Hata Tekrarı</x:v>
      </x:c>
      <x:c r="K2787" s="14" t="str">
        <x:v>+1 / +7 / +21</x:v>
      </x:c>
      <x:c r="L2787" s="14" t="str">
        <x:v>Bugün vadesi gelen eski yanlışları tekrar çöz ve bugünkü yanlışları Yanlış Defteri'ne ekle.</x:v>
      </x:c>
      <x:c r="M2787" s="14" t="str">
        <x:v>Yanlış Defteri</x:v>
      </x:c>
      <x:c r="N2787" s="14" t="str"/>
      <x:c r="O2787" s="14" t="n">
        <x:v>0</x:v>
      </x:c>
      <x:c r="P2787" s="14" t="str">
        <x:v>Hayır</x:v>
      </x:c>
      <x:c r="Q2787" s="14" t="str">
        <x:v>Evet</x:v>
      </x:c>
      <x:c r="R2787" s="14" t="str">
        <x:v>Planlandı</x:v>
      </x:c>
      <x:c r="S2787" s="15" t="str"/>
      <x:c r="T2787" s="14" t="str"/>
    </x:row>
    <x:row r="2788">
      <x:c r="A2788" s="14" t="n">
        <x:v>2787</x:v>
      </x:c>
      <x:c r="B2788" s="15" t="n">
        <x:v>46532</x:v>
      </x:c>
      <x:c r="C2788" s="14" t="str">
        <x:v>Salı</x:v>
      </x:c>
      <x:c r="D2788" s="14" t="str">
        <x:v>Okul Günü</x:v>
      </x:c>
      <x:c r="E2788" s="14" t="str">
        <x:v>16:00 sonrası</x:v>
      </x:c>
      <x:c r="F2788" s="14" t="str">
        <x:v>F4 - 60 Gün / 60 Tam Deneme</x:v>
      </x:c>
      <x:c r="G2788" s="14" t="str">
        <x:v>21:40</x:v>
      </x:c>
      <x:c r="H2788" s="14" t="str">
        <x:v>21:50</x:v>
      </x:c>
      <x:c r="I2788" s="14" t="str">
        <x:v>Okuma</x:v>
      </x:c>
      <x:c r="J2788" s="14" t="str">
        <x:v>İsteğe Bağlı</x:v>
      </x:c>
      <x:c r="K2788" s="14" t="str">
        <x:v>Serbest Kitap</x:v>
      </x:c>
      <x:c r="L2788" s="14" t="str">
        <x:v>Enerji uygunsa kısa isteğe bağlı okuma.</x:v>
      </x:c>
      <x:c r="M2788" s="14" t="str">
        <x:v>Serbest Kitap</x:v>
      </x:c>
      <x:c r="N2788" s="14" t="str"/>
      <x:c r="O2788" s="14" t="n">
        <x:v>0</x:v>
      </x:c>
      <x:c r="P2788" s="14" t="str">
        <x:v>İsteğe Bağlı</x:v>
      </x:c>
      <x:c r="Q2788" s="14" t="str">
        <x:v>Hayır</x:v>
      </x:c>
      <x:c r="R2788" s="14" t="str">
        <x:v>Planlandı</x:v>
      </x:c>
      <x:c r="S2788" s="15" t="str"/>
      <x:c r="T2788" s="14" t="str"/>
    </x:row>
    <x:row r="2789">
      <x:c r="A2789" s="14" t="n">
        <x:v>2788</x:v>
      </x:c>
      <x:c r="B2789" s="15" t="n">
        <x:v>46532</x:v>
      </x:c>
      <x:c r="C2789" s="14" t="str">
        <x:v>Salı</x:v>
      </x:c>
      <x:c r="D2789" s="14" t="str">
        <x:v>Okul Günü</x:v>
      </x:c>
      <x:c r="E2789" s="14" t="str">
        <x:v>16:00 sonrası</x:v>
      </x:c>
      <x:c r="F2789" s="14" t="str">
        <x:v>F4 - 60 Gün / 60 Tam Deneme</x:v>
      </x:c>
      <x:c r="G2789" s="14" t="str">
        <x:v>21:50</x:v>
      </x:c>
      <x:c r="H2789" s="14" t="str">
        <x:v>22:00</x:v>
      </x:c>
      <x:c r="I2789" s="14" t="str">
        <x:v>Genel</x:v>
      </x:c>
      <x:c r="J2789" s="14" t="str">
        <x:v>Uyku Hazırlığı</x:v>
      </x:c>
      <x:c r="K2789" s="14" t="str"/>
      <x:c r="L2789" s="14" t="str">
        <x:v>22:00'de yatakta ve uyku.</x:v>
      </x:c>
      <x:c r="M2789" s="14" t="str"/>
      <x:c r="N2789" s="14" t="str"/>
      <x:c r="O2789" s="14" t="n">
        <x:v>0</x:v>
      </x:c>
      <x:c r="P2789" s="14" t="str">
        <x:v>Hayır</x:v>
      </x:c>
      <x:c r="Q2789" s="14" t="str">
        <x:v>Hayır</x:v>
      </x:c>
      <x:c r="R2789" s="14" t="str">
        <x:v>Planlandı</x:v>
      </x:c>
      <x:c r="S2789" s="15" t="str"/>
      <x:c r="T2789" s="14" t="str"/>
    </x:row>
    <x:row r="2790">
      <x:c r="A2790" s="14" t="n">
        <x:v>2789</x:v>
      </x:c>
      <x:c r="B2790" s="15" t="n">
        <x:v>46533</x:v>
      </x:c>
      <x:c r="C2790" s="14" t="str">
        <x:v>Çarşamba</x:v>
      </x:c>
      <x:c r="D2790" s="14" t="str">
        <x:v>Okul Günü</x:v>
      </x:c>
      <x:c r="E2790" s="14" t="str">
        <x:v>16:00 sonrası</x:v>
      </x:c>
      <x:c r="F2790" s="14" t="str">
        <x:v>F4 - 60 Gün / 60 Tam Deneme</x:v>
      </x:c>
      <x:c r="G2790" s="14" t="str">
        <x:v>16:00</x:v>
      </x:c>
      <x:c r="H2790" s="14" t="str">
        <x:v>16:25</x:v>
      </x:c>
      <x:c r="I2790" s="14" t="str">
        <x:v>Genel</x:v>
      </x:c>
      <x:c r="J2790" s="14" t="str">
        <x:v>Dinlenme</x:v>
      </x:c>
      <x:c r="K2790" s="14" t="str"/>
      <x:c r="L2790" s="14" t="str">
        <x:v>Eve geliş + kısa dinlenme.</x:v>
      </x:c>
      <x:c r="M2790" s="14" t="str"/>
      <x:c r="N2790" s="14" t="str"/>
      <x:c r="O2790" s="14" t="n">
        <x:v>0</x:v>
      </x:c>
      <x:c r="P2790" s="14" t="str">
        <x:v>Hayır</x:v>
      </x:c>
      <x:c r="Q2790" s="14" t="str">
        <x:v>Hayır</x:v>
      </x:c>
      <x:c r="R2790" s="14" t="str">
        <x:v>Planlandı</x:v>
      </x:c>
      <x:c r="S2790" s="15" t="str"/>
      <x:c r="T2790" s="14" t="str"/>
    </x:row>
    <x:row r="2791">
      <x:c r="A2791" s="14" t="n">
        <x:v>2790</x:v>
      </x:c>
      <x:c r="B2791" s="15" t="n">
        <x:v>46533</x:v>
      </x:c>
      <x:c r="C2791" s="14" t="str">
        <x:v>Çarşamba</x:v>
      </x:c>
      <x:c r="D2791" s="14" t="str">
        <x:v>Okul Günü</x:v>
      </x:c>
      <x:c r="E2791" s="14" t="str">
        <x:v>16:00 sonrası</x:v>
      </x:c>
      <x:c r="F2791" s="14" t="str">
        <x:v>F4 - 60 Gün / 60 Tam Deneme</x:v>
      </x:c>
      <x:c r="G2791" s="14" t="str">
        <x:v>16:30</x:v>
      </x:c>
      <x:c r="H2791" s="14" t="str">
        <x:v>17:45</x:v>
      </x:c>
      <x:c r="I2791" s="14" t="str">
        <x:v>Deneme</x:v>
      </x:c>
      <x:c r="J2791" s="14" t="str">
        <x:v>Tam LGS Denemesi - Sözel</x:v>
      </x:c>
      <x:c r="K2791" s="14" t="str">
        <x:v>Deneme 43</x:v>
      </x:c>
      <x:c r="L2791" s="14" t="str">
        <x:v>Deneme 43/60 — Sözel oturum: Türkçe 20 + İnkılap 10 + Din 10 + İngilizce 10. 75 dakika.</x:v>
      </x:c>
      <x:c r="M2791" s="14" t="str">
        <x:v>Tam LGS Denemesi</x:v>
      </x:c>
      <x:c r="N2791" s="14" t="str"/>
      <x:c r="O2791" s="14" t="n">
        <x:v>50</x:v>
      </x:c>
      <x:c r="P2791" s="14" t="str">
        <x:v>75 dk</x:v>
      </x:c>
      <x:c r="Q2791" s="14" t="str">
        <x:v>Evet</x:v>
      </x:c>
      <x:c r="R2791" s="14" t="str">
        <x:v>Planlandı</x:v>
      </x:c>
      <x:c r="S2791" s="15" t="str"/>
      <x:c r="T2791" s="14" t="str">
        <x:v>2026 LGS formatı çalışma referansıdır; 2027 kılavuzu yayımlanırsa güncellenir.</x:v>
      </x:c>
    </x:row>
    <x:row r="2792">
      <x:c r="A2792" s="14" t="n">
        <x:v>2791</x:v>
      </x:c>
      <x:c r="B2792" s="15" t="n">
        <x:v>46533</x:v>
      </x:c>
      <x:c r="C2792" s="14" t="str">
        <x:v>Çarşamba</x:v>
      </x:c>
      <x:c r="D2792" s="14" t="str">
        <x:v>Okul Günü</x:v>
      </x:c>
      <x:c r="E2792" s="14" t="str">
        <x:v>16:00 sonrası</x:v>
      </x:c>
      <x:c r="F2792" s="14" t="str">
        <x:v>F4 - 60 Gün / 60 Tam Deneme</x:v>
      </x:c>
      <x:c r="G2792" s="14" t="str">
        <x:v>17:45</x:v>
      </x:c>
      <x:c r="H2792" s="14" t="str">
        <x:v>18:30</x:v>
      </x:c>
      <x:c r="I2792" s="14" t="str">
        <x:v>Genel</x:v>
      </x:c>
      <x:c r="J2792" s="14" t="str">
        <x:v>Deneme Arası</x:v>
      </x:c>
      <x:c r="K2792" s="14" t="str"/>
      <x:c r="L2792" s="14" t="str">
        <x:v>45 dakika gerçek sınav arası simülasyonu: yemek/su/tuvalet; soru analizi yapma.</x:v>
      </x:c>
      <x:c r="M2792" s="14" t="str"/>
      <x:c r="N2792" s="14" t="str"/>
      <x:c r="O2792" s="14" t="n">
        <x:v>0</x:v>
      </x:c>
      <x:c r="P2792" s="14" t="str">
        <x:v>Hayır</x:v>
      </x:c>
      <x:c r="Q2792" s="14" t="str">
        <x:v>Evet</x:v>
      </x:c>
      <x:c r="R2792" s="14" t="str">
        <x:v>Planlandı</x:v>
      </x:c>
      <x:c r="S2792" s="15" t="str"/>
      <x:c r="T2792" s="14" t="str"/>
    </x:row>
    <x:row r="2793">
      <x:c r="A2793" s="14" t="n">
        <x:v>2792</x:v>
      </x:c>
      <x:c r="B2793" s="15" t="n">
        <x:v>46533</x:v>
      </x:c>
      <x:c r="C2793" s="14" t="str">
        <x:v>Çarşamba</x:v>
      </x:c>
      <x:c r="D2793" s="14" t="str">
        <x:v>Okul Günü</x:v>
      </x:c>
      <x:c r="E2793" s="14" t="str">
        <x:v>16:00 sonrası</x:v>
      </x:c>
      <x:c r="F2793" s="14" t="str">
        <x:v>F4 - 60 Gün / 60 Tam Deneme</x:v>
      </x:c>
      <x:c r="G2793" s="14" t="str">
        <x:v>18:30</x:v>
      </x:c>
      <x:c r="H2793" s="14" t="str">
        <x:v>19:50</x:v>
      </x:c>
      <x:c r="I2793" s="14" t="str">
        <x:v>Deneme</x:v>
      </x:c>
      <x:c r="J2793" s="14" t="str">
        <x:v>Tam LGS Denemesi - Sayısal</x:v>
      </x:c>
      <x:c r="K2793" s="14" t="str">
        <x:v>Deneme 43</x:v>
      </x:c>
      <x:c r="L2793" s="14" t="str">
        <x:v>Deneme 43/60 — Sayısal oturum: Matematik 20 + Fen 20. 80 dakika.</x:v>
      </x:c>
      <x:c r="M2793" s="14" t="str">
        <x:v>Tam LGS Denemesi</x:v>
      </x:c>
      <x:c r="N2793" s="14" t="str"/>
      <x:c r="O2793" s="14" t="n">
        <x:v>40</x:v>
      </x:c>
      <x:c r="P2793" s="14" t="str">
        <x:v>80 dk</x:v>
      </x:c>
      <x:c r="Q2793" s="14" t="str">
        <x:v>Evet</x:v>
      </x:c>
      <x:c r="R2793" s="14" t="str">
        <x:v>Planlandı</x:v>
      </x:c>
      <x:c r="S2793" s="15" t="str"/>
      <x:c r="T2793" s="14" t="str"/>
    </x:row>
    <x:row r="2794">
      <x:c r="A2794" s="14" t="n">
        <x:v>2793</x:v>
      </x:c>
      <x:c r="B2794" s="15" t="n">
        <x:v>46533</x:v>
      </x:c>
      <x:c r="C2794" s="14" t="str">
        <x:v>Çarşamba</x:v>
      </x:c>
      <x:c r="D2794" s="14" t="str">
        <x:v>Okul Günü</x:v>
      </x:c>
      <x:c r="E2794" s="14" t="str">
        <x:v>16:00 sonrası</x:v>
      </x:c>
      <x:c r="F2794" s="14" t="str">
        <x:v>F4 - 60 Gün / 60 Tam Deneme</x:v>
      </x:c>
      <x:c r="G2794" s="14" t="str">
        <x:v>20:00</x:v>
      </x:c>
      <x:c r="H2794" s="14" t="str">
        <x:v>20:45</x:v>
      </x:c>
      <x:c r="I2794" s="14" t="str">
        <x:v>Deneme</x:v>
      </x:c>
      <x:c r="J2794" s="14" t="str">
        <x:v>Deneme Analizi</x:v>
      </x:c>
      <x:c r="K2794" s="14" t="str">
        <x:v>Deneme 43</x:v>
      </x:c>
      <x:c r="L2794" s="14" t="str">
        <x:v>Tüm yanlış/boşları nedenleriyle analiz et; bilgi eksikliği, işlem, dikkat, yanlış okuma veya yorumlama olarak sınıflandır.</x:v>
      </x:c>
      <x:c r="M2794" s="14" t="str">
        <x:v>Deneme Takibi</x:v>
      </x:c>
      <x:c r="N2794" s="14" t="str"/>
      <x:c r="O2794" s="14" t="n">
        <x:v>0</x:v>
      </x:c>
      <x:c r="P2794" s="14" t="str">
        <x:v>Hayır</x:v>
      </x:c>
      <x:c r="Q2794" s="14" t="str">
        <x:v>Evet</x:v>
      </x:c>
      <x:c r="R2794" s="14" t="str">
        <x:v>Planlandı</x:v>
      </x:c>
      <x:c r="S2794" s="15" t="str"/>
      <x:c r="T2794" s="14" t="str">
        <x:v>Deneme çözülüp analiz edilmediyse gün tamamlanmış sayılmaz.</x:v>
      </x:c>
    </x:row>
    <x:row r="2795">
      <x:c r="A2795" s="14" t="n">
        <x:v>2794</x:v>
      </x:c>
      <x:c r="B2795" s="15" t="n">
        <x:v>46533</x:v>
      </x:c>
      <x:c r="C2795" s="14" t="str">
        <x:v>Çarşamba</x:v>
      </x:c>
      <x:c r="D2795" s="14" t="str">
        <x:v>Okul Günü</x:v>
      </x:c>
      <x:c r="E2795" s="14" t="str">
        <x:v>16:00 sonrası</x:v>
      </x:c>
      <x:c r="F2795" s="14" t="str">
        <x:v>F4 - 60 Gün / 60 Tam Deneme</x:v>
      </x:c>
      <x:c r="G2795" s="14" t="str">
        <x:v>20:50</x:v>
      </x:c>
      <x:c r="H2795" s="14" t="str">
        <x:v>21:25</x:v>
      </x:c>
      <x:c r="I2795" s="14" t="str">
        <x:v>Genel</x:v>
      </x:c>
      <x:c r="J2795" s="14" t="str">
        <x:v>Hedefli Eksik Giderme</x:v>
      </x:c>
      <x:c r="K2795" s="14" t="str">
        <x:v>Denemeden Gelen Eksikler</x:v>
      </x:c>
      <x:c r="L2795" s="14" t="str">
        <x:v>Denemenin gösterdiği en kritik 1-3 eksiği gider: gerekirse ilgili playlist videosuna kısa dönüş + hedefli soru çözümü.</x:v>
      </x:c>
      <x:c r="M2795" s="14" t="str">
        <x:v>Playlist + Soru Kitabı + MEB</x:v>
      </x:c>
      <x:c r="N2795" s="14" t="str"/>
      <x:c r="O2795" s="14" t="n">
        <x:v>0</x:v>
      </x:c>
      <x:c r="P2795" s="14" t="str">
        <x:v>Hayır</x:v>
      </x:c>
      <x:c r="Q2795" s="14" t="str">
        <x:v>Evet</x:v>
      </x:c>
      <x:c r="R2795" s="14" t="str">
        <x:v>Planlandı</x:v>
      </x:c>
      <x:c r="S2795" s="15" t="str"/>
      <x:c r="T2795" s="14" t="str">
        <x:v>Yeni konu açılmaz; yalnız denemenin kanıtladığı eksiğe müdahale edilir.</x:v>
      </x:c>
    </x:row>
    <x:row r="2796">
      <x:c r="A2796" s="14" t="n">
        <x:v>2795</x:v>
      </x:c>
      <x:c r="B2796" s="15" t="n">
        <x:v>46533</x:v>
      </x:c>
      <x:c r="C2796" s="14" t="str">
        <x:v>Çarşamba</x:v>
      </x:c>
      <x:c r="D2796" s="14" t="str">
        <x:v>Okul Günü</x:v>
      </x:c>
      <x:c r="E2796" s="14" t="str">
        <x:v>16:00 sonrası</x:v>
      </x:c>
      <x:c r="F2796" s="14" t="str">
        <x:v>F4 - 60 Gün / 60 Tam Deneme</x:v>
      </x:c>
      <x:c r="G2796" s="14" t="str">
        <x:v>21:25</x:v>
      </x:c>
      <x:c r="H2796" s="14" t="str">
        <x:v>21:40</x:v>
      </x:c>
      <x:c r="I2796" s="14" t="str">
        <x:v>Genel</x:v>
      </x:c>
      <x:c r="J2796" s="14" t="str">
        <x:v>Aralıklı Hata Tekrarı</x:v>
      </x:c>
      <x:c r="K2796" s="14" t="str">
        <x:v>+1 / +7 / +21</x:v>
      </x:c>
      <x:c r="L2796" s="14" t="str">
        <x:v>Bugün vadesi gelen eski yanlışları tekrar çöz ve bugünkü yanlışları Yanlış Defteri'ne ekle.</x:v>
      </x:c>
      <x:c r="M2796" s="14" t="str">
        <x:v>Yanlış Defteri</x:v>
      </x:c>
      <x:c r="N2796" s="14" t="str"/>
      <x:c r="O2796" s="14" t="n">
        <x:v>0</x:v>
      </x:c>
      <x:c r="P2796" s="14" t="str">
        <x:v>Hayır</x:v>
      </x:c>
      <x:c r="Q2796" s="14" t="str">
        <x:v>Evet</x:v>
      </x:c>
      <x:c r="R2796" s="14" t="str">
        <x:v>Planlandı</x:v>
      </x:c>
      <x:c r="S2796" s="15" t="str"/>
      <x:c r="T2796" s="14" t="str"/>
    </x:row>
    <x:row r="2797">
      <x:c r="A2797" s="14" t="n">
        <x:v>2796</x:v>
      </x:c>
      <x:c r="B2797" s="15" t="n">
        <x:v>46533</x:v>
      </x:c>
      <x:c r="C2797" s="14" t="str">
        <x:v>Çarşamba</x:v>
      </x:c>
      <x:c r="D2797" s="14" t="str">
        <x:v>Okul Günü</x:v>
      </x:c>
      <x:c r="E2797" s="14" t="str">
        <x:v>16:00 sonrası</x:v>
      </x:c>
      <x:c r="F2797" s="14" t="str">
        <x:v>F4 - 60 Gün / 60 Tam Deneme</x:v>
      </x:c>
      <x:c r="G2797" s="14" t="str">
        <x:v>21:40</x:v>
      </x:c>
      <x:c r="H2797" s="14" t="str">
        <x:v>21:50</x:v>
      </x:c>
      <x:c r="I2797" s="14" t="str">
        <x:v>Okuma</x:v>
      </x:c>
      <x:c r="J2797" s="14" t="str">
        <x:v>İsteğe Bağlı</x:v>
      </x:c>
      <x:c r="K2797" s="14" t="str">
        <x:v>Serbest Kitap</x:v>
      </x:c>
      <x:c r="L2797" s="14" t="str">
        <x:v>Enerji uygunsa kısa isteğe bağlı okuma.</x:v>
      </x:c>
      <x:c r="M2797" s="14" t="str">
        <x:v>Serbest Kitap</x:v>
      </x:c>
      <x:c r="N2797" s="14" t="str"/>
      <x:c r="O2797" s="14" t="n">
        <x:v>0</x:v>
      </x:c>
      <x:c r="P2797" s="14" t="str">
        <x:v>İsteğe Bağlı</x:v>
      </x:c>
      <x:c r="Q2797" s="14" t="str">
        <x:v>Hayır</x:v>
      </x:c>
      <x:c r="R2797" s="14" t="str">
        <x:v>Planlandı</x:v>
      </x:c>
      <x:c r="S2797" s="15" t="str"/>
      <x:c r="T2797" s="14" t="str"/>
    </x:row>
    <x:row r="2798">
      <x:c r="A2798" s="14" t="n">
        <x:v>2797</x:v>
      </x:c>
      <x:c r="B2798" s="15" t="n">
        <x:v>46533</x:v>
      </x:c>
      <x:c r="C2798" s="14" t="str">
        <x:v>Çarşamba</x:v>
      </x:c>
      <x:c r="D2798" s="14" t="str">
        <x:v>Okul Günü</x:v>
      </x:c>
      <x:c r="E2798" s="14" t="str">
        <x:v>16:00 sonrası</x:v>
      </x:c>
      <x:c r="F2798" s="14" t="str">
        <x:v>F4 - 60 Gün / 60 Tam Deneme</x:v>
      </x:c>
      <x:c r="G2798" s="14" t="str">
        <x:v>21:50</x:v>
      </x:c>
      <x:c r="H2798" s="14" t="str">
        <x:v>22:00</x:v>
      </x:c>
      <x:c r="I2798" s="14" t="str">
        <x:v>Genel</x:v>
      </x:c>
      <x:c r="J2798" s="14" t="str">
        <x:v>Uyku Hazırlığı</x:v>
      </x:c>
      <x:c r="K2798" s="14" t="str"/>
      <x:c r="L2798" s="14" t="str">
        <x:v>22:00'de yatakta ve uyku.</x:v>
      </x:c>
      <x:c r="M2798" s="14" t="str"/>
      <x:c r="N2798" s="14" t="str"/>
      <x:c r="O2798" s="14" t="n">
        <x:v>0</x:v>
      </x:c>
      <x:c r="P2798" s="14" t="str">
        <x:v>Hayır</x:v>
      </x:c>
      <x:c r="Q2798" s="14" t="str">
        <x:v>Hayır</x:v>
      </x:c>
      <x:c r="R2798" s="14" t="str">
        <x:v>Planlandı</x:v>
      </x:c>
      <x:c r="S2798" s="15" t="str"/>
      <x:c r="T2798" s="14" t="str"/>
    </x:row>
    <x:row r="2799">
      <x:c r="A2799" s="14" t="n">
        <x:v>2798</x:v>
      </x:c>
      <x:c r="B2799" s="15" t="n">
        <x:v>46534</x:v>
      </x:c>
      <x:c r="C2799" s="14" t="str">
        <x:v>Perşembe</x:v>
      </x:c>
      <x:c r="D2799" s="14" t="str">
        <x:v>Okul Günü</x:v>
      </x:c>
      <x:c r="E2799" s="14" t="str">
        <x:v>16:00 sonrası</x:v>
      </x:c>
      <x:c r="F2799" s="14" t="str">
        <x:v>F4 - 60 Gün / 60 Tam Deneme</x:v>
      </x:c>
      <x:c r="G2799" s="14" t="str">
        <x:v>16:00</x:v>
      </x:c>
      <x:c r="H2799" s="14" t="str">
        <x:v>16:25</x:v>
      </x:c>
      <x:c r="I2799" s="14" t="str">
        <x:v>Genel</x:v>
      </x:c>
      <x:c r="J2799" s="14" t="str">
        <x:v>Dinlenme</x:v>
      </x:c>
      <x:c r="K2799" s="14" t="str"/>
      <x:c r="L2799" s="14" t="str">
        <x:v>Eve geliş + kısa dinlenme.</x:v>
      </x:c>
      <x:c r="M2799" s="14" t="str"/>
      <x:c r="N2799" s="14" t="str"/>
      <x:c r="O2799" s="14" t="n">
        <x:v>0</x:v>
      </x:c>
      <x:c r="P2799" s="14" t="str">
        <x:v>Hayır</x:v>
      </x:c>
      <x:c r="Q2799" s="14" t="str">
        <x:v>Hayır</x:v>
      </x:c>
      <x:c r="R2799" s="14" t="str">
        <x:v>Planlandı</x:v>
      </x:c>
      <x:c r="S2799" s="15" t="str"/>
      <x:c r="T2799" s="14" t="str"/>
    </x:row>
    <x:row r="2800">
      <x:c r="A2800" s="14" t="n">
        <x:v>2799</x:v>
      </x:c>
      <x:c r="B2800" s="15" t="n">
        <x:v>46534</x:v>
      </x:c>
      <x:c r="C2800" s="14" t="str">
        <x:v>Perşembe</x:v>
      </x:c>
      <x:c r="D2800" s="14" t="str">
        <x:v>Okul Günü</x:v>
      </x:c>
      <x:c r="E2800" s="14" t="str">
        <x:v>16:00 sonrası</x:v>
      </x:c>
      <x:c r="F2800" s="14" t="str">
        <x:v>F4 - 60 Gün / 60 Tam Deneme</x:v>
      </x:c>
      <x:c r="G2800" s="14" t="str">
        <x:v>16:30</x:v>
      </x:c>
      <x:c r="H2800" s="14" t="str">
        <x:v>17:45</x:v>
      </x:c>
      <x:c r="I2800" s="14" t="str">
        <x:v>Deneme</x:v>
      </x:c>
      <x:c r="J2800" s="14" t="str">
        <x:v>Tam LGS Denemesi - Sözel</x:v>
      </x:c>
      <x:c r="K2800" s="14" t="str">
        <x:v>Deneme 44</x:v>
      </x:c>
      <x:c r="L2800" s="14" t="str">
        <x:v>Deneme 44/60 — Sözel oturum: Türkçe 20 + İnkılap 10 + Din 10 + İngilizce 10. 75 dakika.</x:v>
      </x:c>
      <x:c r="M2800" s="14" t="str">
        <x:v>Tam LGS Denemesi</x:v>
      </x:c>
      <x:c r="N2800" s="14" t="str"/>
      <x:c r="O2800" s="14" t="n">
        <x:v>50</x:v>
      </x:c>
      <x:c r="P2800" s="14" t="str">
        <x:v>75 dk</x:v>
      </x:c>
      <x:c r="Q2800" s="14" t="str">
        <x:v>Evet</x:v>
      </x:c>
      <x:c r="R2800" s="14" t="str">
        <x:v>Planlandı</x:v>
      </x:c>
      <x:c r="S2800" s="15" t="str"/>
      <x:c r="T2800" s="14" t="str">
        <x:v>2026 LGS formatı çalışma referansıdır; 2027 kılavuzu yayımlanırsa güncellenir.</x:v>
      </x:c>
    </x:row>
    <x:row r="2801">
      <x:c r="A2801" s="14" t="n">
        <x:v>2800</x:v>
      </x:c>
      <x:c r="B2801" s="15" t="n">
        <x:v>46534</x:v>
      </x:c>
      <x:c r="C2801" s="14" t="str">
        <x:v>Perşembe</x:v>
      </x:c>
      <x:c r="D2801" s="14" t="str">
        <x:v>Okul Günü</x:v>
      </x:c>
      <x:c r="E2801" s="14" t="str">
        <x:v>16:00 sonrası</x:v>
      </x:c>
      <x:c r="F2801" s="14" t="str">
        <x:v>F4 - 60 Gün / 60 Tam Deneme</x:v>
      </x:c>
      <x:c r="G2801" s="14" t="str">
        <x:v>17:45</x:v>
      </x:c>
      <x:c r="H2801" s="14" t="str">
        <x:v>18:30</x:v>
      </x:c>
      <x:c r="I2801" s="14" t="str">
        <x:v>Genel</x:v>
      </x:c>
      <x:c r="J2801" s="14" t="str">
        <x:v>Deneme Arası</x:v>
      </x:c>
      <x:c r="K2801" s="14" t="str"/>
      <x:c r="L2801" s="14" t="str">
        <x:v>45 dakika gerçek sınav arası simülasyonu: yemek/su/tuvalet; soru analizi yapma.</x:v>
      </x:c>
      <x:c r="M2801" s="14" t="str"/>
      <x:c r="N2801" s="14" t="str"/>
      <x:c r="O2801" s="14" t="n">
        <x:v>0</x:v>
      </x:c>
      <x:c r="P2801" s="14" t="str">
        <x:v>Hayır</x:v>
      </x:c>
      <x:c r="Q2801" s="14" t="str">
        <x:v>Evet</x:v>
      </x:c>
      <x:c r="R2801" s="14" t="str">
        <x:v>Planlandı</x:v>
      </x:c>
      <x:c r="S2801" s="15" t="str"/>
      <x:c r="T2801" s="14" t="str"/>
    </x:row>
    <x:row r="2802">
      <x:c r="A2802" s="14" t="n">
        <x:v>2801</x:v>
      </x:c>
      <x:c r="B2802" s="15" t="n">
        <x:v>46534</x:v>
      </x:c>
      <x:c r="C2802" s="14" t="str">
        <x:v>Perşembe</x:v>
      </x:c>
      <x:c r="D2802" s="14" t="str">
        <x:v>Okul Günü</x:v>
      </x:c>
      <x:c r="E2802" s="14" t="str">
        <x:v>16:00 sonrası</x:v>
      </x:c>
      <x:c r="F2802" s="14" t="str">
        <x:v>F4 - 60 Gün / 60 Tam Deneme</x:v>
      </x:c>
      <x:c r="G2802" s="14" t="str">
        <x:v>18:30</x:v>
      </x:c>
      <x:c r="H2802" s="14" t="str">
        <x:v>19:50</x:v>
      </x:c>
      <x:c r="I2802" s="14" t="str">
        <x:v>Deneme</x:v>
      </x:c>
      <x:c r="J2802" s="14" t="str">
        <x:v>Tam LGS Denemesi - Sayısal</x:v>
      </x:c>
      <x:c r="K2802" s="14" t="str">
        <x:v>Deneme 44</x:v>
      </x:c>
      <x:c r="L2802" s="14" t="str">
        <x:v>Deneme 44/60 — Sayısal oturum: Matematik 20 + Fen 20. 80 dakika.</x:v>
      </x:c>
      <x:c r="M2802" s="14" t="str">
        <x:v>Tam LGS Denemesi</x:v>
      </x:c>
      <x:c r="N2802" s="14" t="str"/>
      <x:c r="O2802" s="14" t="n">
        <x:v>40</x:v>
      </x:c>
      <x:c r="P2802" s="14" t="str">
        <x:v>80 dk</x:v>
      </x:c>
      <x:c r="Q2802" s="14" t="str">
        <x:v>Evet</x:v>
      </x:c>
      <x:c r="R2802" s="14" t="str">
        <x:v>Planlandı</x:v>
      </x:c>
      <x:c r="S2802" s="15" t="str"/>
      <x:c r="T2802" s="14" t="str"/>
    </x:row>
    <x:row r="2803">
      <x:c r="A2803" s="14" t="n">
        <x:v>2802</x:v>
      </x:c>
      <x:c r="B2803" s="15" t="n">
        <x:v>46534</x:v>
      </x:c>
      <x:c r="C2803" s="14" t="str">
        <x:v>Perşembe</x:v>
      </x:c>
      <x:c r="D2803" s="14" t="str">
        <x:v>Okul Günü</x:v>
      </x:c>
      <x:c r="E2803" s="14" t="str">
        <x:v>16:00 sonrası</x:v>
      </x:c>
      <x:c r="F2803" s="14" t="str">
        <x:v>F4 - 60 Gün / 60 Tam Deneme</x:v>
      </x:c>
      <x:c r="G2803" s="14" t="str">
        <x:v>20:00</x:v>
      </x:c>
      <x:c r="H2803" s="14" t="str">
        <x:v>20:45</x:v>
      </x:c>
      <x:c r="I2803" s="14" t="str">
        <x:v>Deneme</x:v>
      </x:c>
      <x:c r="J2803" s="14" t="str">
        <x:v>Deneme Analizi</x:v>
      </x:c>
      <x:c r="K2803" s="14" t="str">
        <x:v>Deneme 44</x:v>
      </x:c>
      <x:c r="L2803" s="14" t="str">
        <x:v>Tüm yanlış/boşları nedenleriyle analiz et; bilgi eksikliği, işlem, dikkat, yanlış okuma veya yorumlama olarak sınıflandır.</x:v>
      </x:c>
      <x:c r="M2803" s="14" t="str">
        <x:v>Deneme Takibi</x:v>
      </x:c>
      <x:c r="N2803" s="14" t="str"/>
      <x:c r="O2803" s="14" t="n">
        <x:v>0</x:v>
      </x:c>
      <x:c r="P2803" s="14" t="str">
        <x:v>Hayır</x:v>
      </x:c>
      <x:c r="Q2803" s="14" t="str">
        <x:v>Evet</x:v>
      </x:c>
      <x:c r="R2803" s="14" t="str">
        <x:v>Planlandı</x:v>
      </x:c>
      <x:c r="S2803" s="15" t="str"/>
      <x:c r="T2803" s="14" t="str">
        <x:v>Deneme çözülüp analiz edilmediyse gün tamamlanmış sayılmaz.</x:v>
      </x:c>
    </x:row>
    <x:row r="2804">
      <x:c r="A2804" s="14" t="n">
        <x:v>2803</x:v>
      </x:c>
      <x:c r="B2804" s="15" t="n">
        <x:v>46534</x:v>
      </x:c>
      <x:c r="C2804" s="14" t="str">
        <x:v>Perşembe</x:v>
      </x:c>
      <x:c r="D2804" s="14" t="str">
        <x:v>Okul Günü</x:v>
      </x:c>
      <x:c r="E2804" s="14" t="str">
        <x:v>16:00 sonrası</x:v>
      </x:c>
      <x:c r="F2804" s="14" t="str">
        <x:v>F4 - 60 Gün / 60 Tam Deneme</x:v>
      </x:c>
      <x:c r="G2804" s="14" t="str">
        <x:v>20:50</x:v>
      </x:c>
      <x:c r="H2804" s="14" t="str">
        <x:v>21:25</x:v>
      </x:c>
      <x:c r="I2804" s="14" t="str">
        <x:v>Genel</x:v>
      </x:c>
      <x:c r="J2804" s="14" t="str">
        <x:v>Hedefli Eksik Giderme</x:v>
      </x:c>
      <x:c r="K2804" s="14" t="str">
        <x:v>Denemeden Gelen Eksikler</x:v>
      </x:c>
      <x:c r="L2804" s="14" t="str">
        <x:v>Denemenin gösterdiği en kritik 1-3 eksiği gider: gerekirse ilgili playlist videosuna kısa dönüş + hedefli soru çözümü.</x:v>
      </x:c>
      <x:c r="M2804" s="14" t="str">
        <x:v>Playlist + Soru Kitabı + MEB</x:v>
      </x:c>
      <x:c r="N2804" s="14" t="str"/>
      <x:c r="O2804" s="14" t="n">
        <x:v>0</x:v>
      </x:c>
      <x:c r="P2804" s="14" t="str">
        <x:v>Hayır</x:v>
      </x:c>
      <x:c r="Q2804" s="14" t="str">
        <x:v>Evet</x:v>
      </x:c>
      <x:c r="R2804" s="14" t="str">
        <x:v>Planlandı</x:v>
      </x:c>
      <x:c r="S2804" s="15" t="str"/>
      <x:c r="T2804" s="14" t="str">
        <x:v>Yeni konu açılmaz; yalnız denemenin kanıtladığı eksiğe müdahale edilir.</x:v>
      </x:c>
    </x:row>
    <x:row r="2805">
      <x:c r="A2805" s="14" t="n">
        <x:v>2804</x:v>
      </x:c>
      <x:c r="B2805" s="15" t="n">
        <x:v>46534</x:v>
      </x:c>
      <x:c r="C2805" s="14" t="str">
        <x:v>Perşembe</x:v>
      </x:c>
      <x:c r="D2805" s="14" t="str">
        <x:v>Okul Günü</x:v>
      </x:c>
      <x:c r="E2805" s="14" t="str">
        <x:v>16:00 sonrası</x:v>
      </x:c>
      <x:c r="F2805" s="14" t="str">
        <x:v>F4 - 60 Gün / 60 Tam Deneme</x:v>
      </x:c>
      <x:c r="G2805" s="14" t="str">
        <x:v>21:25</x:v>
      </x:c>
      <x:c r="H2805" s="14" t="str">
        <x:v>21:40</x:v>
      </x:c>
      <x:c r="I2805" s="14" t="str">
        <x:v>Genel</x:v>
      </x:c>
      <x:c r="J2805" s="14" t="str">
        <x:v>Aralıklı Hata Tekrarı</x:v>
      </x:c>
      <x:c r="K2805" s="14" t="str">
        <x:v>+1 / +7 / +21</x:v>
      </x:c>
      <x:c r="L2805" s="14" t="str">
        <x:v>Bugün vadesi gelen eski yanlışları tekrar çöz ve bugünkü yanlışları Yanlış Defteri'ne ekle.</x:v>
      </x:c>
      <x:c r="M2805" s="14" t="str">
        <x:v>Yanlış Defteri</x:v>
      </x:c>
      <x:c r="N2805" s="14" t="str"/>
      <x:c r="O2805" s="14" t="n">
        <x:v>0</x:v>
      </x:c>
      <x:c r="P2805" s="14" t="str">
        <x:v>Hayır</x:v>
      </x:c>
      <x:c r="Q2805" s="14" t="str">
        <x:v>Evet</x:v>
      </x:c>
      <x:c r="R2805" s="14" t="str">
        <x:v>Planlandı</x:v>
      </x:c>
      <x:c r="S2805" s="15" t="str"/>
      <x:c r="T2805" s="14" t="str"/>
    </x:row>
    <x:row r="2806">
      <x:c r="A2806" s="14" t="n">
        <x:v>2805</x:v>
      </x:c>
      <x:c r="B2806" s="15" t="n">
        <x:v>46534</x:v>
      </x:c>
      <x:c r="C2806" s="14" t="str">
        <x:v>Perşembe</x:v>
      </x:c>
      <x:c r="D2806" s="14" t="str">
        <x:v>Okul Günü</x:v>
      </x:c>
      <x:c r="E2806" s="14" t="str">
        <x:v>16:00 sonrası</x:v>
      </x:c>
      <x:c r="F2806" s="14" t="str">
        <x:v>F4 - 60 Gün / 60 Tam Deneme</x:v>
      </x:c>
      <x:c r="G2806" s="14" t="str">
        <x:v>21:40</x:v>
      </x:c>
      <x:c r="H2806" s="14" t="str">
        <x:v>21:50</x:v>
      </x:c>
      <x:c r="I2806" s="14" t="str">
        <x:v>Okuma</x:v>
      </x:c>
      <x:c r="J2806" s="14" t="str">
        <x:v>İsteğe Bağlı</x:v>
      </x:c>
      <x:c r="K2806" s="14" t="str">
        <x:v>Serbest Kitap</x:v>
      </x:c>
      <x:c r="L2806" s="14" t="str">
        <x:v>Enerji uygunsa kısa isteğe bağlı okuma.</x:v>
      </x:c>
      <x:c r="M2806" s="14" t="str">
        <x:v>Serbest Kitap</x:v>
      </x:c>
      <x:c r="N2806" s="14" t="str"/>
      <x:c r="O2806" s="14" t="n">
        <x:v>0</x:v>
      </x:c>
      <x:c r="P2806" s="14" t="str">
        <x:v>İsteğe Bağlı</x:v>
      </x:c>
      <x:c r="Q2806" s="14" t="str">
        <x:v>Hayır</x:v>
      </x:c>
      <x:c r="R2806" s="14" t="str">
        <x:v>Planlandı</x:v>
      </x:c>
      <x:c r="S2806" s="15" t="str"/>
      <x:c r="T2806" s="14" t="str"/>
    </x:row>
    <x:row r="2807">
      <x:c r="A2807" s="14" t="n">
        <x:v>2806</x:v>
      </x:c>
      <x:c r="B2807" s="15" t="n">
        <x:v>46534</x:v>
      </x:c>
      <x:c r="C2807" s="14" t="str">
        <x:v>Perşembe</x:v>
      </x:c>
      <x:c r="D2807" s="14" t="str">
        <x:v>Okul Günü</x:v>
      </x:c>
      <x:c r="E2807" s="14" t="str">
        <x:v>16:00 sonrası</x:v>
      </x:c>
      <x:c r="F2807" s="14" t="str">
        <x:v>F4 - 60 Gün / 60 Tam Deneme</x:v>
      </x:c>
      <x:c r="G2807" s="14" t="str">
        <x:v>21:50</x:v>
      </x:c>
      <x:c r="H2807" s="14" t="str">
        <x:v>22:00</x:v>
      </x:c>
      <x:c r="I2807" s="14" t="str">
        <x:v>Genel</x:v>
      </x:c>
      <x:c r="J2807" s="14" t="str">
        <x:v>Uyku Hazırlığı</x:v>
      </x:c>
      <x:c r="K2807" s="14" t="str"/>
      <x:c r="L2807" s="14" t="str">
        <x:v>22:00'de yatakta ve uyku.</x:v>
      </x:c>
      <x:c r="M2807" s="14" t="str"/>
      <x:c r="N2807" s="14" t="str"/>
      <x:c r="O2807" s="14" t="n">
        <x:v>0</x:v>
      </x:c>
      <x:c r="P2807" s="14" t="str">
        <x:v>Hayır</x:v>
      </x:c>
      <x:c r="Q2807" s="14" t="str">
        <x:v>Hayır</x:v>
      </x:c>
      <x:c r="R2807" s="14" t="str">
        <x:v>Planlandı</x:v>
      </x:c>
      <x:c r="S2807" s="15" t="str"/>
      <x:c r="T2807" s="14" t="str"/>
    </x:row>
    <x:row r="2808">
      <x:c r="A2808" s="14" t="n">
        <x:v>2807</x:v>
      </x:c>
      <x:c r="B2808" s="15" t="n">
        <x:v>46535</x:v>
      </x:c>
      <x:c r="C2808" s="14" t="str">
        <x:v>Cuma</x:v>
      </x:c>
      <x:c r="D2808" s="14" t="str">
        <x:v>Okul Günü</x:v>
      </x:c>
      <x:c r="E2808" s="14" t="str">
        <x:v>16:00 sonrası</x:v>
      </x:c>
      <x:c r="F2808" s="14" t="str">
        <x:v>F4 - 60 Gün / 60 Tam Deneme</x:v>
      </x:c>
      <x:c r="G2808" s="14" t="str">
        <x:v>16:00</x:v>
      </x:c>
      <x:c r="H2808" s="14" t="str">
        <x:v>16:25</x:v>
      </x:c>
      <x:c r="I2808" s="14" t="str">
        <x:v>Genel</x:v>
      </x:c>
      <x:c r="J2808" s="14" t="str">
        <x:v>Dinlenme</x:v>
      </x:c>
      <x:c r="K2808" s="14" t="str"/>
      <x:c r="L2808" s="14" t="str">
        <x:v>Eve geliş + kısa dinlenme.</x:v>
      </x:c>
      <x:c r="M2808" s="14" t="str"/>
      <x:c r="N2808" s="14" t="str"/>
      <x:c r="O2808" s="14" t="n">
        <x:v>0</x:v>
      </x:c>
      <x:c r="P2808" s="14" t="str">
        <x:v>Hayır</x:v>
      </x:c>
      <x:c r="Q2808" s="14" t="str">
        <x:v>Hayır</x:v>
      </x:c>
      <x:c r="R2808" s="14" t="str">
        <x:v>Planlandı</x:v>
      </x:c>
      <x:c r="S2808" s="15" t="str"/>
      <x:c r="T2808" s="14" t="str"/>
    </x:row>
    <x:row r="2809">
      <x:c r="A2809" s="14" t="n">
        <x:v>2808</x:v>
      </x:c>
      <x:c r="B2809" s="15" t="n">
        <x:v>46535</x:v>
      </x:c>
      <x:c r="C2809" s="14" t="str">
        <x:v>Cuma</x:v>
      </x:c>
      <x:c r="D2809" s="14" t="str">
        <x:v>Okul Günü</x:v>
      </x:c>
      <x:c r="E2809" s="14" t="str">
        <x:v>16:00 sonrası</x:v>
      </x:c>
      <x:c r="F2809" s="14" t="str">
        <x:v>F4 - 60 Gün / 60 Tam Deneme</x:v>
      </x:c>
      <x:c r="G2809" s="14" t="str">
        <x:v>16:30</x:v>
      </x:c>
      <x:c r="H2809" s="14" t="str">
        <x:v>17:45</x:v>
      </x:c>
      <x:c r="I2809" s="14" t="str">
        <x:v>Deneme</x:v>
      </x:c>
      <x:c r="J2809" s="14" t="str">
        <x:v>Tam LGS Denemesi - Sözel</x:v>
      </x:c>
      <x:c r="K2809" s="14" t="str">
        <x:v>Deneme 45</x:v>
      </x:c>
      <x:c r="L2809" s="14" t="str">
        <x:v>Deneme 45/60 — Sözel oturum: Türkçe 20 + İnkılap 10 + Din 10 + İngilizce 10. 75 dakika.</x:v>
      </x:c>
      <x:c r="M2809" s="14" t="str">
        <x:v>Tam LGS Denemesi</x:v>
      </x:c>
      <x:c r="N2809" s="14" t="str"/>
      <x:c r="O2809" s="14" t="n">
        <x:v>50</x:v>
      </x:c>
      <x:c r="P2809" s="14" t="str">
        <x:v>75 dk</x:v>
      </x:c>
      <x:c r="Q2809" s="14" t="str">
        <x:v>Evet</x:v>
      </x:c>
      <x:c r="R2809" s="14" t="str">
        <x:v>Planlandı</x:v>
      </x:c>
      <x:c r="S2809" s="15" t="str"/>
      <x:c r="T2809" s="14" t="str">
        <x:v>2026 LGS formatı çalışma referansıdır; 2027 kılavuzu yayımlanırsa güncellenir.</x:v>
      </x:c>
    </x:row>
    <x:row r="2810">
      <x:c r="A2810" s="14" t="n">
        <x:v>2809</x:v>
      </x:c>
      <x:c r="B2810" s="15" t="n">
        <x:v>46535</x:v>
      </x:c>
      <x:c r="C2810" s="14" t="str">
        <x:v>Cuma</x:v>
      </x:c>
      <x:c r="D2810" s="14" t="str">
        <x:v>Okul Günü</x:v>
      </x:c>
      <x:c r="E2810" s="14" t="str">
        <x:v>16:00 sonrası</x:v>
      </x:c>
      <x:c r="F2810" s="14" t="str">
        <x:v>F4 - 60 Gün / 60 Tam Deneme</x:v>
      </x:c>
      <x:c r="G2810" s="14" t="str">
        <x:v>17:45</x:v>
      </x:c>
      <x:c r="H2810" s="14" t="str">
        <x:v>18:30</x:v>
      </x:c>
      <x:c r="I2810" s="14" t="str">
        <x:v>Genel</x:v>
      </x:c>
      <x:c r="J2810" s="14" t="str">
        <x:v>Deneme Arası</x:v>
      </x:c>
      <x:c r="K2810" s="14" t="str"/>
      <x:c r="L2810" s="14" t="str">
        <x:v>45 dakika gerçek sınav arası simülasyonu: yemek/su/tuvalet; soru analizi yapma.</x:v>
      </x:c>
      <x:c r="M2810" s="14" t="str"/>
      <x:c r="N2810" s="14" t="str"/>
      <x:c r="O2810" s="14" t="n">
        <x:v>0</x:v>
      </x:c>
      <x:c r="P2810" s="14" t="str">
        <x:v>Hayır</x:v>
      </x:c>
      <x:c r="Q2810" s="14" t="str">
        <x:v>Evet</x:v>
      </x:c>
      <x:c r="R2810" s="14" t="str">
        <x:v>Planlandı</x:v>
      </x:c>
      <x:c r="S2810" s="15" t="str"/>
      <x:c r="T2810" s="14" t="str"/>
    </x:row>
    <x:row r="2811">
      <x:c r="A2811" s="14" t="n">
        <x:v>2810</x:v>
      </x:c>
      <x:c r="B2811" s="15" t="n">
        <x:v>46535</x:v>
      </x:c>
      <x:c r="C2811" s="14" t="str">
        <x:v>Cuma</x:v>
      </x:c>
      <x:c r="D2811" s="14" t="str">
        <x:v>Okul Günü</x:v>
      </x:c>
      <x:c r="E2811" s="14" t="str">
        <x:v>16:00 sonrası</x:v>
      </x:c>
      <x:c r="F2811" s="14" t="str">
        <x:v>F4 - 60 Gün / 60 Tam Deneme</x:v>
      </x:c>
      <x:c r="G2811" s="14" t="str">
        <x:v>18:30</x:v>
      </x:c>
      <x:c r="H2811" s="14" t="str">
        <x:v>19:50</x:v>
      </x:c>
      <x:c r="I2811" s="14" t="str">
        <x:v>Deneme</x:v>
      </x:c>
      <x:c r="J2811" s="14" t="str">
        <x:v>Tam LGS Denemesi - Sayısal</x:v>
      </x:c>
      <x:c r="K2811" s="14" t="str">
        <x:v>Deneme 45</x:v>
      </x:c>
      <x:c r="L2811" s="14" t="str">
        <x:v>Deneme 45/60 — Sayısal oturum: Matematik 20 + Fen 20. 80 dakika.</x:v>
      </x:c>
      <x:c r="M2811" s="14" t="str">
        <x:v>Tam LGS Denemesi</x:v>
      </x:c>
      <x:c r="N2811" s="14" t="str"/>
      <x:c r="O2811" s="14" t="n">
        <x:v>40</x:v>
      </x:c>
      <x:c r="P2811" s="14" t="str">
        <x:v>80 dk</x:v>
      </x:c>
      <x:c r="Q2811" s="14" t="str">
        <x:v>Evet</x:v>
      </x:c>
      <x:c r="R2811" s="14" t="str">
        <x:v>Planlandı</x:v>
      </x:c>
      <x:c r="S2811" s="15" t="str"/>
      <x:c r="T2811" s="14" t="str"/>
    </x:row>
    <x:row r="2812">
      <x:c r="A2812" s="14" t="n">
        <x:v>2811</x:v>
      </x:c>
      <x:c r="B2812" s="15" t="n">
        <x:v>46535</x:v>
      </x:c>
      <x:c r="C2812" s="14" t="str">
        <x:v>Cuma</x:v>
      </x:c>
      <x:c r="D2812" s="14" t="str">
        <x:v>Okul Günü</x:v>
      </x:c>
      <x:c r="E2812" s="14" t="str">
        <x:v>16:00 sonrası</x:v>
      </x:c>
      <x:c r="F2812" s="14" t="str">
        <x:v>F4 - 60 Gün / 60 Tam Deneme</x:v>
      </x:c>
      <x:c r="G2812" s="14" t="str">
        <x:v>20:00</x:v>
      </x:c>
      <x:c r="H2812" s="14" t="str">
        <x:v>20:45</x:v>
      </x:c>
      <x:c r="I2812" s="14" t="str">
        <x:v>Deneme</x:v>
      </x:c>
      <x:c r="J2812" s="14" t="str">
        <x:v>Deneme Analizi</x:v>
      </x:c>
      <x:c r="K2812" s="14" t="str">
        <x:v>Deneme 45</x:v>
      </x:c>
      <x:c r="L2812" s="14" t="str">
        <x:v>Tüm yanlış/boşları nedenleriyle analiz et; bilgi eksikliği, işlem, dikkat, yanlış okuma veya yorumlama olarak sınıflandır.</x:v>
      </x:c>
      <x:c r="M2812" s="14" t="str">
        <x:v>Deneme Takibi</x:v>
      </x:c>
      <x:c r="N2812" s="14" t="str"/>
      <x:c r="O2812" s="14" t="n">
        <x:v>0</x:v>
      </x:c>
      <x:c r="P2812" s="14" t="str">
        <x:v>Hayır</x:v>
      </x:c>
      <x:c r="Q2812" s="14" t="str">
        <x:v>Evet</x:v>
      </x:c>
      <x:c r="R2812" s="14" t="str">
        <x:v>Planlandı</x:v>
      </x:c>
      <x:c r="S2812" s="15" t="str"/>
      <x:c r="T2812" s="14" t="str">
        <x:v>Deneme çözülüp analiz edilmediyse gün tamamlanmış sayılmaz.</x:v>
      </x:c>
    </x:row>
    <x:row r="2813">
      <x:c r="A2813" s="14" t="n">
        <x:v>2812</x:v>
      </x:c>
      <x:c r="B2813" s="15" t="n">
        <x:v>46535</x:v>
      </x:c>
      <x:c r="C2813" s="14" t="str">
        <x:v>Cuma</x:v>
      </x:c>
      <x:c r="D2813" s="14" t="str">
        <x:v>Okul Günü</x:v>
      </x:c>
      <x:c r="E2813" s="14" t="str">
        <x:v>16:00 sonrası</x:v>
      </x:c>
      <x:c r="F2813" s="14" t="str">
        <x:v>F4 - 60 Gün / 60 Tam Deneme</x:v>
      </x:c>
      <x:c r="G2813" s="14" t="str">
        <x:v>20:50</x:v>
      </x:c>
      <x:c r="H2813" s="14" t="str">
        <x:v>21:25</x:v>
      </x:c>
      <x:c r="I2813" s="14" t="str">
        <x:v>Genel</x:v>
      </x:c>
      <x:c r="J2813" s="14" t="str">
        <x:v>Hedefli Eksik Giderme</x:v>
      </x:c>
      <x:c r="K2813" s="14" t="str">
        <x:v>Denemeden Gelen Eksikler</x:v>
      </x:c>
      <x:c r="L2813" s="14" t="str">
        <x:v>Denemenin gösterdiği en kritik 1-3 eksiği gider: gerekirse ilgili playlist videosuna kısa dönüş + hedefli soru çözümü.</x:v>
      </x:c>
      <x:c r="M2813" s="14" t="str">
        <x:v>Playlist + Soru Kitabı + MEB</x:v>
      </x:c>
      <x:c r="N2813" s="14" t="str"/>
      <x:c r="O2813" s="14" t="n">
        <x:v>0</x:v>
      </x:c>
      <x:c r="P2813" s="14" t="str">
        <x:v>Hayır</x:v>
      </x:c>
      <x:c r="Q2813" s="14" t="str">
        <x:v>Evet</x:v>
      </x:c>
      <x:c r="R2813" s="14" t="str">
        <x:v>Planlandı</x:v>
      </x:c>
      <x:c r="S2813" s="15" t="str"/>
      <x:c r="T2813" s="14" t="str">
        <x:v>Yeni konu açılmaz; yalnız denemenin kanıtladığı eksiğe müdahale edilir.</x:v>
      </x:c>
    </x:row>
    <x:row r="2814">
      <x:c r="A2814" s="14" t="n">
        <x:v>2813</x:v>
      </x:c>
      <x:c r="B2814" s="15" t="n">
        <x:v>46535</x:v>
      </x:c>
      <x:c r="C2814" s="14" t="str">
        <x:v>Cuma</x:v>
      </x:c>
      <x:c r="D2814" s="14" t="str">
        <x:v>Okul Günü</x:v>
      </x:c>
      <x:c r="E2814" s="14" t="str">
        <x:v>16:00 sonrası</x:v>
      </x:c>
      <x:c r="F2814" s="14" t="str">
        <x:v>F4 - 60 Gün / 60 Tam Deneme</x:v>
      </x:c>
      <x:c r="G2814" s="14" t="str">
        <x:v>21:25</x:v>
      </x:c>
      <x:c r="H2814" s="14" t="str">
        <x:v>21:40</x:v>
      </x:c>
      <x:c r="I2814" s="14" t="str">
        <x:v>Genel</x:v>
      </x:c>
      <x:c r="J2814" s="14" t="str">
        <x:v>Aralıklı Hata Tekrarı</x:v>
      </x:c>
      <x:c r="K2814" s="14" t="str">
        <x:v>+1 / +7 / +21</x:v>
      </x:c>
      <x:c r="L2814" s="14" t="str">
        <x:v>Bugün vadesi gelen eski yanlışları tekrar çöz ve bugünkü yanlışları Yanlış Defteri'ne ekle.</x:v>
      </x:c>
      <x:c r="M2814" s="14" t="str">
        <x:v>Yanlış Defteri</x:v>
      </x:c>
      <x:c r="N2814" s="14" t="str"/>
      <x:c r="O2814" s="14" t="n">
        <x:v>0</x:v>
      </x:c>
      <x:c r="P2814" s="14" t="str">
        <x:v>Hayır</x:v>
      </x:c>
      <x:c r="Q2814" s="14" t="str">
        <x:v>Evet</x:v>
      </x:c>
      <x:c r="R2814" s="14" t="str">
        <x:v>Planlandı</x:v>
      </x:c>
      <x:c r="S2814" s="15" t="str"/>
      <x:c r="T2814" s="14" t="str"/>
    </x:row>
    <x:row r="2815">
      <x:c r="A2815" s="14" t="n">
        <x:v>2814</x:v>
      </x:c>
      <x:c r="B2815" s="15" t="n">
        <x:v>46535</x:v>
      </x:c>
      <x:c r="C2815" s="14" t="str">
        <x:v>Cuma</x:v>
      </x:c>
      <x:c r="D2815" s="14" t="str">
        <x:v>Okul Günü</x:v>
      </x:c>
      <x:c r="E2815" s="14" t="str">
        <x:v>16:00 sonrası</x:v>
      </x:c>
      <x:c r="F2815" s="14" t="str">
        <x:v>F4 - 60 Gün / 60 Tam Deneme</x:v>
      </x:c>
      <x:c r="G2815" s="14" t="str">
        <x:v>21:40</x:v>
      </x:c>
      <x:c r="H2815" s="14" t="str">
        <x:v>21:50</x:v>
      </x:c>
      <x:c r="I2815" s="14" t="str">
        <x:v>Okuma</x:v>
      </x:c>
      <x:c r="J2815" s="14" t="str">
        <x:v>İsteğe Bağlı</x:v>
      </x:c>
      <x:c r="K2815" s="14" t="str">
        <x:v>Serbest Kitap</x:v>
      </x:c>
      <x:c r="L2815" s="14" t="str">
        <x:v>Enerji uygunsa kısa isteğe bağlı okuma.</x:v>
      </x:c>
      <x:c r="M2815" s="14" t="str">
        <x:v>Serbest Kitap</x:v>
      </x:c>
      <x:c r="N2815" s="14" t="str"/>
      <x:c r="O2815" s="14" t="n">
        <x:v>0</x:v>
      </x:c>
      <x:c r="P2815" s="14" t="str">
        <x:v>İsteğe Bağlı</x:v>
      </x:c>
      <x:c r="Q2815" s="14" t="str">
        <x:v>Hayır</x:v>
      </x:c>
      <x:c r="R2815" s="14" t="str">
        <x:v>Planlandı</x:v>
      </x:c>
      <x:c r="S2815" s="15" t="str"/>
      <x:c r="T2815" s="14" t="str"/>
    </x:row>
    <x:row r="2816">
      <x:c r="A2816" s="14" t="n">
        <x:v>2815</x:v>
      </x:c>
      <x:c r="B2816" s="15" t="n">
        <x:v>46535</x:v>
      </x:c>
      <x:c r="C2816" s="14" t="str">
        <x:v>Cuma</x:v>
      </x:c>
      <x:c r="D2816" s="14" t="str">
        <x:v>Okul Günü</x:v>
      </x:c>
      <x:c r="E2816" s="14" t="str">
        <x:v>16:00 sonrası</x:v>
      </x:c>
      <x:c r="F2816" s="14" t="str">
        <x:v>F4 - 60 Gün / 60 Tam Deneme</x:v>
      </x:c>
      <x:c r="G2816" s="14" t="str">
        <x:v>21:50</x:v>
      </x:c>
      <x:c r="H2816" s="14" t="str">
        <x:v>22:00</x:v>
      </x:c>
      <x:c r="I2816" s="14" t="str">
        <x:v>Genel</x:v>
      </x:c>
      <x:c r="J2816" s="14" t="str">
        <x:v>Uyku Hazırlığı</x:v>
      </x:c>
      <x:c r="K2816" s="14" t="str"/>
      <x:c r="L2816" s="14" t="str">
        <x:v>22:00'de yatakta ve uyku.</x:v>
      </x:c>
      <x:c r="M2816" s="14" t="str"/>
      <x:c r="N2816" s="14" t="str"/>
      <x:c r="O2816" s="14" t="n">
        <x:v>0</x:v>
      </x:c>
      <x:c r="P2816" s="14" t="str">
        <x:v>Hayır</x:v>
      </x:c>
      <x:c r="Q2816" s="14" t="str">
        <x:v>Hayır</x:v>
      </x:c>
      <x:c r="R2816" s="14" t="str">
        <x:v>Planlandı</x:v>
      </x:c>
      <x:c r="S2816" s="15" t="str"/>
      <x:c r="T2816" s="14" t="str"/>
    </x:row>
    <x:row r="2817">
      <x:c r="A2817" s="14" t="n">
        <x:v>2816</x:v>
      </x:c>
      <x:c r="B2817" s="15" t="n">
        <x:v>46536</x:v>
      </x:c>
      <x:c r="C2817" s="14" t="str">
        <x:v>Cumartesi</x:v>
      </x:c>
      <x:c r="D2817" s="14" t="str">
        <x:v>Hafta Sonu</x:v>
      </x:c>
      <x:c r="E2817" s="14" t="str">
        <x:v>Tam gün</x:v>
      </x:c>
      <x:c r="F2817" s="14" t="str">
        <x:v>F4 - 60 Gün / 60 Tam Deneme</x:v>
      </x:c>
      <x:c r="G2817" s="14" t="str">
        <x:v>09:30</x:v>
      </x:c>
      <x:c r="H2817" s="14" t="str">
        <x:v>10:45</x:v>
      </x:c>
      <x:c r="I2817" s="14" t="str">
        <x:v>Deneme</x:v>
      </x:c>
      <x:c r="J2817" s="14" t="str">
        <x:v>Tam LGS Denemesi - Sözel</x:v>
      </x:c>
      <x:c r="K2817" s="14" t="str">
        <x:v>Deneme 46</x:v>
      </x:c>
      <x:c r="L2817" s="14" t="str">
        <x:v>Deneme 46/60 — Sözel oturum: Türkçe 20 + İnkılap 10 + Din 10 + İngilizce 10. 75 dakika.</x:v>
      </x:c>
      <x:c r="M2817" s="14" t="str">
        <x:v>Tam LGS Denemesi</x:v>
      </x:c>
      <x:c r="N2817" s="14" t="str"/>
      <x:c r="O2817" s="14" t="n">
        <x:v>50</x:v>
      </x:c>
      <x:c r="P2817" s="14" t="str">
        <x:v>75 dk</x:v>
      </x:c>
      <x:c r="Q2817" s="14" t="str">
        <x:v>Evet</x:v>
      </x:c>
      <x:c r="R2817" s="14" t="str">
        <x:v>Planlandı</x:v>
      </x:c>
      <x:c r="S2817" s="15" t="str"/>
      <x:c r="T2817" s="14" t="str">
        <x:v>2026 LGS formatı çalışma referansıdır; 2027 kılavuzu yayımlanırsa güncellenir.</x:v>
      </x:c>
    </x:row>
    <x:row r="2818">
      <x:c r="A2818" s="14" t="n">
        <x:v>2817</x:v>
      </x:c>
      <x:c r="B2818" s="15" t="n">
        <x:v>46536</x:v>
      </x:c>
      <x:c r="C2818" s="14" t="str">
        <x:v>Cumartesi</x:v>
      </x:c>
      <x:c r="D2818" s="14" t="str">
        <x:v>Hafta Sonu</x:v>
      </x:c>
      <x:c r="E2818" s="14" t="str">
        <x:v>Tam gün</x:v>
      </x:c>
      <x:c r="F2818" s="14" t="str">
        <x:v>F4 - 60 Gün / 60 Tam Deneme</x:v>
      </x:c>
      <x:c r="G2818" s="14" t="str">
        <x:v>10:45</x:v>
      </x:c>
      <x:c r="H2818" s="14" t="str">
        <x:v>11:30</x:v>
      </x:c>
      <x:c r="I2818" s="14" t="str">
        <x:v>Genel</x:v>
      </x:c>
      <x:c r="J2818" s="14" t="str">
        <x:v>Deneme Arası</x:v>
      </x:c>
      <x:c r="K2818" s="14" t="str"/>
      <x:c r="L2818" s="14" t="str">
        <x:v>45 dakika gerçek sınav arası simülasyonu: yemek/su/tuvalet; soru analizi yapma.</x:v>
      </x:c>
      <x:c r="M2818" s="14" t="str"/>
      <x:c r="N2818" s="14" t="str"/>
      <x:c r="O2818" s="14" t="n">
        <x:v>0</x:v>
      </x:c>
      <x:c r="P2818" s="14" t="str">
        <x:v>Hayır</x:v>
      </x:c>
      <x:c r="Q2818" s="14" t="str">
        <x:v>Evet</x:v>
      </x:c>
      <x:c r="R2818" s="14" t="str">
        <x:v>Planlandı</x:v>
      </x:c>
      <x:c r="S2818" s="15" t="str"/>
      <x:c r="T2818" s="14" t="str"/>
    </x:row>
    <x:row r="2819">
      <x:c r="A2819" s="14" t="n">
        <x:v>2818</x:v>
      </x:c>
      <x:c r="B2819" s="15" t="n">
        <x:v>46536</x:v>
      </x:c>
      <x:c r="C2819" s="14" t="str">
        <x:v>Cumartesi</x:v>
      </x:c>
      <x:c r="D2819" s="14" t="str">
        <x:v>Hafta Sonu</x:v>
      </x:c>
      <x:c r="E2819" s="14" t="str">
        <x:v>Tam gün</x:v>
      </x:c>
      <x:c r="F2819" s="14" t="str">
        <x:v>F4 - 60 Gün / 60 Tam Deneme</x:v>
      </x:c>
      <x:c r="G2819" s="14" t="str">
        <x:v>11:30</x:v>
      </x:c>
      <x:c r="H2819" s="14" t="str">
        <x:v>12:50</x:v>
      </x:c>
      <x:c r="I2819" s="14" t="str">
        <x:v>Deneme</x:v>
      </x:c>
      <x:c r="J2819" s="14" t="str">
        <x:v>Tam LGS Denemesi - Sayısal</x:v>
      </x:c>
      <x:c r="K2819" s="14" t="str">
        <x:v>Deneme 46</x:v>
      </x:c>
      <x:c r="L2819" s="14" t="str">
        <x:v>Deneme 46/60 — Sayısal oturum: Matematik 20 + Fen 20. 80 dakika.</x:v>
      </x:c>
      <x:c r="M2819" s="14" t="str">
        <x:v>Tam LGS Denemesi</x:v>
      </x:c>
      <x:c r="N2819" s="14" t="str"/>
      <x:c r="O2819" s="14" t="n">
        <x:v>40</x:v>
      </x:c>
      <x:c r="P2819" s="14" t="str">
        <x:v>80 dk</x:v>
      </x:c>
      <x:c r="Q2819" s="14" t="str">
        <x:v>Evet</x:v>
      </x:c>
      <x:c r="R2819" s="14" t="str">
        <x:v>Planlandı</x:v>
      </x:c>
      <x:c r="S2819" s="15" t="str"/>
      <x:c r="T2819" s="14" t="str"/>
    </x:row>
    <x:row r="2820">
      <x:c r="A2820" s="14" t="n">
        <x:v>2819</x:v>
      </x:c>
      <x:c r="B2820" s="15" t="n">
        <x:v>46536</x:v>
      </x:c>
      <x:c r="C2820" s="14" t="str">
        <x:v>Cumartesi</x:v>
      </x:c>
      <x:c r="D2820" s="14" t="str">
        <x:v>Hafta Sonu</x:v>
      </x:c>
      <x:c r="E2820" s="14" t="str">
        <x:v>Tam gün</x:v>
      </x:c>
      <x:c r="F2820" s="14" t="str">
        <x:v>F4 - 60 Gün / 60 Tam Deneme</x:v>
      </x:c>
      <x:c r="G2820" s="14" t="str">
        <x:v>14:30</x:v>
      </x:c>
      <x:c r="H2820" s="14" t="str">
        <x:v>15:15</x:v>
      </x:c>
      <x:c r="I2820" s="14" t="str">
        <x:v>Deneme</x:v>
      </x:c>
      <x:c r="J2820" s="14" t="str">
        <x:v>Deneme Analizi</x:v>
      </x:c>
      <x:c r="K2820" s="14" t="str">
        <x:v>Deneme 46</x:v>
      </x:c>
      <x:c r="L2820" s="14" t="str">
        <x:v>Tüm yanlış/boşları nedenleriyle analiz et; bilgi eksikliği, işlem, dikkat, yanlış okuma veya yorumlama olarak sınıflandır.</x:v>
      </x:c>
      <x:c r="M2820" s="14" t="str">
        <x:v>Deneme Takibi</x:v>
      </x:c>
      <x:c r="N2820" s="14" t="str"/>
      <x:c r="O2820" s="14" t="n">
        <x:v>0</x:v>
      </x:c>
      <x:c r="P2820" s="14" t="str">
        <x:v>Hayır</x:v>
      </x:c>
      <x:c r="Q2820" s="14" t="str">
        <x:v>Evet</x:v>
      </x:c>
      <x:c r="R2820" s="14" t="str">
        <x:v>Planlandı</x:v>
      </x:c>
      <x:c r="S2820" s="15" t="str"/>
      <x:c r="T2820" s="14" t="str">
        <x:v>Deneme çözülüp analiz edilmediyse gün tamamlanmış sayılmaz.</x:v>
      </x:c>
    </x:row>
    <x:row r="2821">
      <x:c r="A2821" s="14" t="n">
        <x:v>2820</x:v>
      </x:c>
      <x:c r="B2821" s="15" t="n">
        <x:v>46536</x:v>
      </x:c>
      <x:c r="C2821" s="14" t="str">
        <x:v>Cumartesi</x:v>
      </x:c>
      <x:c r="D2821" s="14" t="str">
        <x:v>Hafta Sonu</x:v>
      </x:c>
      <x:c r="E2821" s="14" t="str">
        <x:v>Tam gün</x:v>
      </x:c>
      <x:c r="F2821" s="14" t="str">
        <x:v>F4 - 60 Gün / 60 Tam Deneme</x:v>
      </x:c>
      <x:c r="G2821" s="14" t="str">
        <x:v>15:25</x:v>
      </x:c>
      <x:c r="H2821" s="14" t="str">
        <x:v>16:10</x:v>
      </x:c>
      <x:c r="I2821" s="14" t="str">
        <x:v>Genel</x:v>
      </x:c>
      <x:c r="J2821" s="14" t="str">
        <x:v>Hedefli Eksik Giderme</x:v>
      </x:c>
      <x:c r="K2821" s="14" t="str">
        <x:v>Denemeden Gelen Eksikler</x:v>
      </x:c>
      <x:c r="L2821" s="14" t="str">
        <x:v>Denemenin gösterdiği en kritik 1-3 eksiği gider: gerekirse ilgili playlist videosuna kısa dönüş + hedefli soru çözümü.</x:v>
      </x:c>
      <x:c r="M2821" s="14" t="str">
        <x:v>Playlist + Soru Kitabı + MEB</x:v>
      </x:c>
      <x:c r="N2821" s="14" t="str"/>
      <x:c r="O2821" s="14" t="n">
        <x:v>0</x:v>
      </x:c>
      <x:c r="P2821" s="14" t="str">
        <x:v>Hayır</x:v>
      </x:c>
      <x:c r="Q2821" s="14" t="str">
        <x:v>Evet</x:v>
      </x:c>
      <x:c r="R2821" s="14" t="str">
        <x:v>Planlandı</x:v>
      </x:c>
      <x:c r="S2821" s="15" t="str"/>
      <x:c r="T2821" s="14" t="str">
        <x:v>Yeni konu açılmaz; yalnız denemenin kanıtladığı eksiğe müdahale edilir.</x:v>
      </x:c>
    </x:row>
    <x:row r="2822">
      <x:c r="A2822" s="14" t="n">
        <x:v>2821</x:v>
      </x:c>
      <x:c r="B2822" s="15" t="n">
        <x:v>46536</x:v>
      </x:c>
      <x:c r="C2822" s="14" t="str">
        <x:v>Cumartesi</x:v>
      </x:c>
      <x:c r="D2822" s="14" t="str">
        <x:v>Hafta Sonu</x:v>
      </x:c>
      <x:c r="E2822" s="14" t="str">
        <x:v>Tam gün</x:v>
      </x:c>
      <x:c r="F2822" s="14" t="str">
        <x:v>F4 - 60 Gün / 60 Tam Deneme</x:v>
      </x:c>
      <x:c r="G2822" s="14" t="str">
        <x:v>16:20</x:v>
      </x:c>
      <x:c r="H2822" s="14" t="str">
        <x:v>16:40</x:v>
      </x:c>
      <x:c r="I2822" s="14" t="str">
        <x:v>Genel</x:v>
      </x:c>
      <x:c r="J2822" s="14" t="str">
        <x:v>Aralıklı Hata Tekrarı</x:v>
      </x:c>
      <x:c r="K2822" s="14" t="str">
        <x:v>+1 / +7 / +21</x:v>
      </x:c>
      <x:c r="L2822" s="14" t="str">
        <x:v>Bugün vadesi gelen eski yanlışları tekrar çöz ve bugünkü yanlışları Yanlış Defteri'ne ekle.</x:v>
      </x:c>
      <x:c r="M2822" s="14" t="str">
        <x:v>Yanlış Defteri</x:v>
      </x:c>
      <x:c r="N2822" s="14" t="str"/>
      <x:c r="O2822" s="14" t="n">
        <x:v>0</x:v>
      </x:c>
      <x:c r="P2822" s="14" t="str">
        <x:v>Hayır</x:v>
      </x:c>
      <x:c r="Q2822" s="14" t="str">
        <x:v>Evet</x:v>
      </x:c>
      <x:c r="R2822" s="14" t="str">
        <x:v>Planlandı</x:v>
      </x:c>
      <x:c r="S2822" s="15" t="str"/>
      <x:c r="T2822" s="14" t="str"/>
    </x:row>
    <x:row r="2823">
      <x:c r="A2823" s="14" t="n">
        <x:v>2822</x:v>
      </x:c>
      <x:c r="B2823" s="15" t="n">
        <x:v>46536</x:v>
      </x:c>
      <x:c r="C2823" s="14" t="str">
        <x:v>Cumartesi</x:v>
      </x:c>
      <x:c r="D2823" s="14" t="str">
        <x:v>Hafta Sonu</x:v>
      </x:c>
      <x:c r="E2823" s="14" t="str">
        <x:v>Tam gün</x:v>
      </x:c>
      <x:c r="F2823" s="14" t="str">
        <x:v>F4 - 60 Gün / 60 Tam Deneme</x:v>
      </x:c>
      <x:c r="G2823" s="14" t="str">
        <x:v>20:00</x:v>
      </x:c>
      <x:c r="H2823" s="14" t="str">
        <x:v>20:30</x:v>
      </x:c>
      <x:c r="I2823" s="14" t="str">
        <x:v>Okuma</x:v>
      </x:c>
      <x:c r="J2823" s="14" t="str">
        <x:v>İsteğe Bağlı</x:v>
      </x:c>
      <x:c r="K2823" s="14" t="str">
        <x:v>Serbest Kitap</x:v>
      </x:c>
      <x:c r="L2823" s="14" t="str">
        <x:v>Enerji uygunsa kısa isteğe bağlı okuma.</x:v>
      </x:c>
      <x:c r="M2823" s="14" t="str">
        <x:v>Serbest Kitap</x:v>
      </x:c>
      <x:c r="N2823" s="14" t="str"/>
      <x:c r="O2823" s="14" t="n">
        <x:v>0</x:v>
      </x:c>
      <x:c r="P2823" s="14" t="str">
        <x:v>İsteğe Bağlı</x:v>
      </x:c>
      <x:c r="Q2823" s="14" t="str">
        <x:v>Hayır</x:v>
      </x:c>
      <x:c r="R2823" s="14" t="str">
        <x:v>Planlandı</x:v>
      </x:c>
      <x:c r="S2823" s="15" t="str"/>
      <x:c r="T2823" s="14" t="str"/>
    </x:row>
    <x:row r="2824">
      <x:c r="A2824" s="14" t="n">
        <x:v>2823</x:v>
      </x:c>
      <x:c r="B2824" s="15" t="n">
        <x:v>46536</x:v>
      </x:c>
      <x:c r="C2824" s="14" t="str">
        <x:v>Cumartesi</x:v>
      </x:c>
      <x:c r="D2824" s="14" t="str">
        <x:v>Hafta Sonu</x:v>
      </x:c>
      <x:c r="E2824" s="14" t="str">
        <x:v>Tam gün</x:v>
      </x:c>
      <x:c r="F2824" s="14" t="str">
        <x:v>F4 - 60 Gün / 60 Tam Deneme</x:v>
      </x:c>
      <x:c r="G2824" s="14" t="str">
        <x:v>21:50</x:v>
      </x:c>
      <x:c r="H2824" s="14" t="str">
        <x:v>22:00</x:v>
      </x:c>
      <x:c r="I2824" s="14" t="str">
        <x:v>Genel</x:v>
      </x:c>
      <x:c r="J2824" s="14" t="str">
        <x:v>Uyku Hazırlığı</x:v>
      </x:c>
      <x:c r="K2824" s="14" t="str"/>
      <x:c r="L2824" s="14" t="str">
        <x:v>22:00'de yatakta ve uyku.</x:v>
      </x:c>
      <x:c r="M2824" s="14" t="str"/>
      <x:c r="N2824" s="14" t="str"/>
      <x:c r="O2824" s="14" t="n">
        <x:v>0</x:v>
      </x:c>
      <x:c r="P2824" s="14" t="str">
        <x:v>Hayır</x:v>
      </x:c>
      <x:c r="Q2824" s="14" t="str">
        <x:v>Hayır</x:v>
      </x:c>
      <x:c r="R2824" s="14" t="str">
        <x:v>Planlandı</x:v>
      </x:c>
      <x:c r="S2824" s="15" t="str"/>
      <x:c r="T2824" s="14" t="str"/>
    </x:row>
    <x:row r="2825">
      <x:c r="A2825" s="14" t="n">
        <x:v>2824</x:v>
      </x:c>
      <x:c r="B2825" s="15" t="n">
        <x:v>46537</x:v>
      </x:c>
      <x:c r="C2825" s="14" t="str">
        <x:v>Pazar</x:v>
      </x:c>
      <x:c r="D2825" s="14" t="str">
        <x:v>Hafta Sonu</x:v>
      </x:c>
      <x:c r="E2825" s="14" t="str">
        <x:v>Tam gün</x:v>
      </x:c>
      <x:c r="F2825" s="14" t="str">
        <x:v>F4 - 60 Gün / 60 Tam Deneme</x:v>
      </x:c>
      <x:c r="G2825" s="14" t="str">
        <x:v>09:30</x:v>
      </x:c>
      <x:c r="H2825" s="14" t="str">
        <x:v>10:45</x:v>
      </x:c>
      <x:c r="I2825" s="14" t="str">
        <x:v>Deneme</x:v>
      </x:c>
      <x:c r="J2825" s="14" t="str">
        <x:v>Tam LGS Denemesi - Sözel</x:v>
      </x:c>
      <x:c r="K2825" s="14" t="str">
        <x:v>Deneme 47</x:v>
      </x:c>
      <x:c r="L2825" s="14" t="str">
        <x:v>Deneme 47/60 — Sözel oturum: Türkçe 20 + İnkılap 10 + Din 10 + İngilizce 10. 75 dakika.</x:v>
      </x:c>
      <x:c r="M2825" s="14" t="str">
        <x:v>Tam LGS Denemesi</x:v>
      </x:c>
      <x:c r="N2825" s="14" t="str"/>
      <x:c r="O2825" s="14" t="n">
        <x:v>50</x:v>
      </x:c>
      <x:c r="P2825" s="14" t="str">
        <x:v>75 dk</x:v>
      </x:c>
      <x:c r="Q2825" s="14" t="str">
        <x:v>Evet</x:v>
      </x:c>
      <x:c r="R2825" s="14" t="str">
        <x:v>Planlandı</x:v>
      </x:c>
      <x:c r="S2825" s="15" t="str"/>
      <x:c r="T2825" s="14" t="str">
        <x:v>2026 LGS formatı çalışma referansıdır; 2027 kılavuzu yayımlanırsa güncellenir.</x:v>
      </x:c>
    </x:row>
    <x:row r="2826">
      <x:c r="A2826" s="14" t="n">
        <x:v>2825</x:v>
      </x:c>
      <x:c r="B2826" s="15" t="n">
        <x:v>46537</x:v>
      </x:c>
      <x:c r="C2826" s="14" t="str">
        <x:v>Pazar</x:v>
      </x:c>
      <x:c r="D2826" s="14" t="str">
        <x:v>Hafta Sonu</x:v>
      </x:c>
      <x:c r="E2826" s="14" t="str">
        <x:v>Tam gün</x:v>
      </x:c>
      <x:c r="F2826" s="14" t="str">
        <x:v>F4 - 60 Gün / 60 Tam Deneme</x:v>
      </x:c>
      <x:c r="G2826" s="14" t="str">
        <x:v>10:45</x:v>
      </x:c>
      <x:c r="H2826" s="14" t="str">
        <x:v>11:30</x:v>
      </x:c>
      <x:c r="I2826" s="14" t="str">
        <x:v>Genel</x:v>
      </x:c>
      <x:c r="J2826" s="14" t="str">
        <x:v>Deneme Arası</x:v>
      </x:c>
      <x:c r="K2826" s="14" t="str"/>
      <x:c r="L2826" s="14" t="str">
        <x:v>45 dakika gerçek sınav arası simülasyonu: yemek/su/tuvalet; soru analizi yapma.</x:v>
      </x:c>
      <x:c r="M2826" s="14" t="str"/>
      <x:c r="N2826" s="14" t="str"/>
      <x:c r="O2826" s="14" t="n">
        <x:v>0</x:v>
      </x:c>
      <x:c r="P2826" s="14" t="str">
        <x:v>Hayır</x:v>
      </x:c>
      <x:c r="Q2826" s="14" t="str">
        <x:v>Evet</x:v>
      </x:c>
      <x:c r="R2826" s="14" t="str">
        <x:v>Planlandı</x:v>
      </x:c>
      <x:c r="S2826" s="15" t="str"/>
      <x:c r="T2826" s="14" t="str"/>
    </x:row>
    <x:row r="2827">
      <x:c r="A2827" s="14" t="n">
        <x:v>2826</x:v>
      </x:c>
      <x:c r="B2827" s="15" t="n">
        <x:v>46537</x:v>
      </x:c>
      <x:c r="C2827" s="14" t="str">
        <x:v>Pazar</x:v>
      </x:c>
      <x:c r="D2827" s="14" t="str">
        <x:v>Hafta Sonu</x:v>
      </x:c>
      <x:c r="E2827" s="14" t="str">
        <x:v>Tam gün</x:v>
      </x:c>
      <x:c r="F2827" s="14" t="str">
        <x:v>F4 - 60 Gün / 60 Tam Deneme</x:v>
      </x:c>
      <x:c r="G2827" s="14" t="str">
        <x:v>11:30</x:v>
      </x:c>
      <x:c r="H2827" s="14" t="str">
        <x:v>12:50</x:v>
      </x:c>
      <x:c r="I2827" s="14" t="str">
        <x:v>Deneme</x:v>
      </x:c>
      <x:c r="J2827" s="14" t="str">
        <x:v>Tam LGS Denemesi - Sayısal</x:v>
      </x:c>
      <x:c r="K2827" s="14" t="str">
        <x:v>Deneme 47</x:v>
      </x:c>
      <x:c r="L2827" s="14" t="str">
        <x:v>Deneme 47/60 — Sayısal oturum: Matematik 20 + Fen 20. 80 dakika.</x:v>
      </x:c>
      <x:c r="M2827" s="14" t="str">
        <x:v>Tam LGS Denemesi</x:v>
      </x:c>
      <x:c r="N2827" s="14" t="str"/>
      <x:c r="O2827" s="14" t="n">
        <x:v>40</x:v>
      </x:c>
      <x:c r="P2827" s="14" t="str">
        <x:v>80 dk</x:v>
      </x:c>
      <x:c r="Q2827" s="14" t="str">
        <x:v>Evet</x:v>
      </x:c>
      <x:c r="R2827" s="14" t="str">
        <x:v>Planlandı</x:v>
      </x:c>
      <x:c r="S2827" s="15" t="str"/>
      <x:c r="T2827" s="14" t="str"/>
    </x:row>
    <x:row r="2828">
      <x:c r="A2828" s="14" t="n">
        <x:v>2827</x:v>
      </x:c>
      <x:c r="B2828" s="15" t="n">
        <x:v>46537</x:v>
      </x:c>
      <x:c r="C2828" s="14" t="str">
        <x:v>Pazar</x:v>
      </x:c>
      <x:c r="D2828" s="14" t="str">
        <x:v>Hafta Sonu</x:v>
      </x:c>
      <x:c r="E2828" s="14" t="str">
        <x:v>Tam gün</x:v>
      </x:c>
      <x:c r="F2828" s="14" t="str">
        <x:v>F4 - 60 Gün / 60 Tam Deneme</x:v>
      </x:c>
      <x:c r="G2828" s="14" t="str">
        <x:v>14:30</x:v>
      </x:c>
      <x:c r="H2828" s="14" t="str">
        <x:v>15:15</x:v>
      </x:c>
      <x:c r="I2828" s="14" t="str">
        <x:v>Deneme</x:v>
      </x:c>
      <x:c r="J2828" s="14" t="str">
        <x:v>Deneme Analizi</x:v>
      </x:c>
      <x:c r="K2828" s="14" t="str">
        <x:v>Deneme 47</x:v>
      </x:c>
      <x:c r="L2828" s="14" t="str">
        <x:v>Tüm yanlış/boşları nedenleriyle analiz et; bilgi eksikliği, işlem, dikkat, yanlış okuma veya yorumlama olarak sınıflandır.</x:v>
      </x:c>
      <x:c r="M2828" s="14" t="str">
        <x:v>Deneme Takibi</x:v>
      </x:c>
      <x:c r="N2828" s="14" t="str"/>
      <x:c r="O2828" s="14" t="n">
        <x:v>0</x:v>
      </x:c>
      <x:c r="P2828" s="14" t="str">
        <x:v>Hayır</x:v>
      </x:c>
      <x:c r="Q2828" s="14" t="str">
        <x:v>Evet</x:v>
      </x:c>
      <x:c r="R2828" s="14" t="str">
        <x:v>Planlandı</x:v>
      </x:c>
      <x:c r="S2828" s="15" t="str"/>
      <x:c r="T2828" s="14" t="str">
        <x:v>Deneme çözülüp analiz edilmediyse gün tamamlanmış sayılmaz.</x:v>
      </x:c>
    </x:row>
    <x:row r="2829">
      <x:c r="A2829" s="14" t="n">
        <x:v>2828</x:v>
      </x:c>
      <x:c r="B2829" s="15" t="n">
        <x:v>46537</x:v>
      </x:c>
      <x:c r="C2829" s="14" t="str">
        <x:v>Pazar</x:v>
      </x:c>
      <x:c r="D2829" s="14" t="str">
        <x:v>Hafta Sonu</x:v>
      </x:c>
      <x:c r="E2829" s="14" t="str">
        <x:v>Tam gün</x:v>
      </x:c>
      <x:c r="F2829" s="14" t="str">
        <x:v>F4 - 60 Gün / 60 Tam Deneme</x:v>
      </x:c>
      <x:c r="G2829" s="14" t="str">
        <x:v>15:25</x:v>
      </x:c>
      <x:c r="H2829" s="14" t="str">
        <x:v>16:10</x:v>
      </x:c>
      <x:c r="I2829" s="14" t="str">
        <x:v>Genel</x:v>
      </x:c>
      <x:c r="J2829" s="14" t="str">
        <x:v>Hedefli Eksik Giderme</x:v>
      </x:c>
      <x:c r="K2829" s="14" t="str">
        <x:v>Denemeden Gelen Eksikler</x:v>
      </x:c>
      <x:c r="L2829" s="14" t="str">
        <x:v>Denemenin gösterdiği en kritik 1-3 eksiği gider: gerekirse ilgili playlist videosuna kısa dönüş + hedefli soru çözümü.</x:v>
      </x:c>
      <x:c r="M2829" s="14" t="str">
        <x:v>Playlist + Soru Kitabı + MEB</x:v>
      </x:c>
      <x:c r="N2829" s="14" t="str"/>
      <x:c r="O2829" s="14" t="n">
        <x:v>0</x:v>
      </x:c>
      <x:c r="P2829" s="14" t="str">
        <x:v>Hayır</x:v>
      </x:c>
      <x:c r="Q2829" s="14" t="str">
        <x:v>Evet</x:v>
      </x:c>
      <x:c r="R2829" s="14" t="str">
        <x:v>Planlandı</x:v>
      </x:c>
      <x:c r="S2829" s="15" t="str"/>
      <x:c r="T2829" s="14" t="str">
        <x:v>Yeni konu açılmaz; yalnız denemenin kanıtladığı eksiğe müdahale edilir.</x:v>
      </x:c>
    </x:row>
    <x:row r="2830">
      <x:c r="A2830" s="14" t="n">
        <x:v>2829</x:v>
      </x:c>
      <x:c r="B2830" s="15" t="n">
        <x:v>46537</x:v>
      </x:c>
      <x:c r="C2830" s="14" t="str">
        <x:v>Pazar</x:v>
      </x:c>
      <x:c r="D2830" s="14" t="str">
        <x:v>Hafta Sonu</x:v>
      </x:c>
      <x:c r="E2830" s="14" t="str">
        <x:v>Tam gün</x:v>
      </x:c>
      <x:c r="F2830" s="14" t="str">
        <x:v>F4 - 60 Gün / 60 Tam Deneme</x:v>
      </x:c>
      <x:c r="G2830" s="14" t="str">
        <x:v>16:20</x:v>
      </x:c>
      <x:c r="H2830" s="14" t="str">
        <x:v>16:40</x:v>
      </x:c>
      <x:c r="I2830" s="14" t="str">
        <x:v>Genel</x:v>
      </x:c>
      <x:c r="J2830" s="14" t="str">
        <x:v>Aralıklı Hata Tekrarı</x:v>
      </x:c>
      <x:c r="K2830" s="14" t="str">
        <x:v>+1 / +7 / +21</x:v>
      </x:c>
      <x:c r="L2830" s="14" t="str">
        <x:v>Bugün vadesi gelen eski yanlışları tekrar çöz ve bugünkü yanlışları Yanlış Defteri'ne ekle.</x:v>
      </x:c>
      <x:c r="M2830" s="14" t="str">
        <x:v>Yanlış Defteri</x:v>
      </x:c>
      <x:c r="N2830" s="14" t="str"/>
      <x:c r="O2830" s="14" t="n">
        <x:v>0</x:v>
      </x:c>
      <x:c r="P2830" s="14" t="str">
        <x:v>Hayır</x:v>
      </x:c>
      <x:c r="Q2830" s="14" t="str">
        <x:v>Evet</x:v>
      </x:c>
      <x:c r="R2830" s="14" t="str">
        <x:v>Planlandı</x:v>
      </x:c>
      <x:c r="S2830" s="15" t="str"/>
      <x:c r="T2830" s="14" t="str"/>
    </x:row>
    <x:row r="2831">
      <x:c r="A2831" s="14" t="n">
        <x:v>2830</x:v>
      </x:c>
      <x:c r="B2831" s="15" t="n">
        <x:v>46537</x:v>
      </x:c>
      <x:c r="C2831" s="14" t="str">
        <x:v>Pazar</x:v>
      </x:c>
      <x:c r="D2831" s="14" t="str">
        <x:v>Hafta Sonu</x:v>
      </x:c>
      <x:c r="E2831" s="14" t="str">
        <x:v>Tam gün</x:v>
      </x:c>
      <x:c r="F2831" s="14" t="str">
        <x:v>F4 - 60 Gün / 60 Tam Deneme</x:v>
      </x:c>
      <x:c r="G2831" s="14" t="str">
        <x:v>20:00</x:v>
      </x:c>
      <x:c r="H2831" s="14" t="str">
        <x:v>20:30</x:v>
      </x:c>
      <x:c r="I2831" s="14" t="str">
        <x:v>Okuma</x:v>
      </x:c>
      <x:c r="J2831" s="14" t="str">
        <x:v>İsteğe Bağlı</x:v>
      </x:c>
      <x:c r="K2831" s="14" t="str">
        <x:v>Serbest Kitap</x:v>
      </x:c>
      <x:c r="L2831" s="14" t="str">
        <x:v>Enerji uygunsa kısa isteğe bağlı okuma.</x:v>
      </x:c>
      <x:c r="M2831" s="14" t="str">
        <x:v>Serbest Kitap</x:v>
      </x:c>
      <x:c r="N2831" s="14" t="str"/>
      <x:c r="O2831" s="14" t="n">
        <x:v>0</x:v>
      </x:c>
      <x:c r="P2831" s="14" t="str">
        <x:v>İsteğe Bağlı</x:v>
      </x:c>
      <x:c r="Q2831" s="14" t="str">
        <x:v>Hayır</x:v>
      </x:c>
      <x:c r="R2831" s="14" t="str">
        <x:v>Planlandı</x:v>
      </x:c>
      <x:c r="S2831" s="15" t="str"/>
      <x:c r="T2831" s="14" t="str"/>
    </x:row>
    <x:row r="2832">
      <x:c r="A2832" s="14" t="n">
        <x:v>2831</x:v>
      </x:c>
      <x:c r="B2832" s="15" t="n">
        <x:v>46537</x:v>
      </x:c>
      <x:c r="C2832" s="14" t="str">
        <x:v>Pazar</x:v>
      </x:c>
      <x:c r="D2832" s="14" t="str">
        <x:v>Hafta Sonu</x:v>
      </x:c>
      <x:c r="E2832" s="14" t="str">
        <x:v>Tam gün</x:v>
      </x:c>
      <x:c r="F2832" s="14" t="str">
        <x:v>F4 - 60 Gün / 60 Tam Deneme</x:v>
      </x:c>
      <x:c r="G2832" s="14" t="str">
        <x:v>21:50</x:v>
      </x:c>
      <x:c r="H2832" s="14" t="str">
        <x:v>22:00</x:v>
      </x:c>
      <x:c r="I2832" s="14" t="str">
        <x:v>Genel</x:v>
      </x:c>
      <x:c r="J2832" s="14" t="str">
        <x:v>Uyku Hazırlığı</x:v>
      </x:c>
      <x:c r="K2832" s="14" t="str"/>
      <x:c r="L2832" s="14" t="str">
        <x:v>22:00'de yatakta ve uyku.</x:v>
      </x:c>
      <x:c r="M2832" s="14" t="str"/>
      <x:c r="N2832" s="14" t="str"/>
      <x:c r="O2832" s="14" t="n">
        <x:v>0</x:v>
      </x:c>
      <x:c r="P2832" s="14" t="str">
        <x:v>Hayır</x:v>
      </x:c>
      <x:c r="Q2832" s="14" t="str">
        <x:v>Hayır</x:v>
      </x:c>
      <x:c r="R2832" s="14" t="str">
        <x:v>Planlandı</x:v>
      </x:c>
      <x:c r="S2832" s="15" t="str"/>
      <x:c r="T2832" s="14" t="str"/>
    </x:row>
    <x:row r="2833">
      <x:c r="A2833" s="14" t="n">
        <x:v>2832</x:v>
      </x:c>
      <x:c r="B2833" s="15" t="n">
        <x:v>46538</x:v>
      </x:c>
      <x:c r="C2833" s="14" t="str">
        <x:v>Pazartesi</x:v>
      </x:c>
      <x:c r="D2833" s="14" t="str">
        <x:v>Okul Günü</x:v>
      </x:c>
      <x:c r="E2833" s="14" t="str">
        <x:v>16:00 sonrası</x:v>
      </x:c>
      <x:c r="F2833" s="14" t="str">
        <x:v>F4 - 60 Gün / 60 Tam Deneme</x:v>
      </x:c>
      <x:c r="G2833" s="14" t="str">
        <x:v>16:00</x:v>
      </x:c>
      <x:c r="H2833" s="14" t="str">
        <x:v>16:25</x:v>
      </x:c>
      <x:c r="I2833" s="14" t="str">
        <x:v>Genel</x:v>
      </x:c>
      <x:c r="J2833" s="14" t="str">
        <x:v>Dinlenme</x:v>
      </x:c>
      <x:c r="K2833" s="14" t="str"/>
      <x:c r="L2833" s="14" t="str">
        <x:v>Eve geliş + kısa dinlenme.</x:v>
      </x:c>
      <x:c r="M2833" s="14" t="str"/>
      <x:c r="N2833" s="14" t="str"/>
      <x:c r="O2833" s="14" t="n">
        <x:v>0</x:v>
      </x:c>
      <x:c r="P2833" s="14" t="str">
        <x:v>Hayır</x:v>
      </x:c>
      <x:c r="Q2833" s="14" t="str">
        <x:v>Hayır</x:v>
      </x:c>
      <x:c r="R2833" s="14" t="str">
        <x:v>Planlandı</x:v>
      </x:c>
      <x:c r="S2833" s="15" t="str"/>
      <x:c r="T2833" s="14" t="str"/>
    </x:row>
    <x:row r="2834">
      <x:c r="A2834" s="14" t="n">
        <x:v>2833</x:v>
      </x:c>
      <x:c r="B2834" s="15" t="n">
        <x:v>46538</x:v>
      </x:c>
      <x:c r="C2834" s="14" t="str">
        <x:v>Pazartesi</x:v>
      </x:c>
      <x:c r="D2834" s="14" t="str">
        <x:v>Okul Günü</x:v>
      </x:c>
      <x:c r="E2834" s="14" t="str">
        <x:v>16:00 sonrası</x:v>
      </x:c>
      <x:c r="F2834" s="14" t="str">
        <x:v>F4 - 60 Gün / 60 Tam Deneme</x:v>
      </x:c>
      <x:c r="G2834" s="14" t="str">
        <x:v>16:30</x:v>
      </x:c>
      <x:c r="H2834" s="14" t="str">
        <x:v>17:45</x:v>
      </x:c>
      <x:c r="I2834" s="14" t="str">
        <x:v>Deneme</x:v>
      </x:c>
      <x:c r="J2834" s="14" t="str">
        <x:v>Tam LGS Denemesi - Sözel</x:v>
      </x:c>
      <x:c r="K2834" s="14" t="str">
        <x:v>Deneme 48</x:v>
      </x:c>
      <x:c r="L2834" s="14" t="str">
        <x:v>Deneme 48/60 — Sözel oturum: Türkçe 20 + İnkılap 10 + Din 10 + İngilizce 10. 75 dakika.</x:v>
      </x:c>
      <x:c r="M2834" s="14" t="str">
        <x:v>Tam LGS Denemesi</x:v>
      </x:c>
      <x:c r="N2834" s="14" t="str"/>
      <x:c r="O2834" s="14" t="n">
        <x:v>50</x:v>
      </x:c>
      <x:c r="P2834" s="14" t="str">
        <x:v>75 dk</x:v>
      </x:c>
      <x:c r="Q2834" s="14" t="str">
        <x:v>Evet</x:v>
      </x:c>
      <x:c r="R2834" s="14" t="str">
        <x:v>Planlandı</x:v>
      </x:c>
      <x:c r="S2834" s="15" t="str"/>
      <x:c r="T2834" s="14" t="str">
        <x:v>2026 LGS formatı çalışma referansıdır; 2027 kılavuzu yayımlanırsa güncellenir.</x:v>
      </x:c>
    </x:row>
    <x:row r="2835">
      <x:c r="A2835" s="14" t="n">
        <x:v>2834</x:v>
      </x:c>
      <x:c r="B2835" s="15" t="n">
        <x:v>46538</x:v>
      </x:c>
      <x:c r="C2835" s="14" t="str">
        <x:v>Pazartesi</x:v>
      </x:c>
      <x:c r="D2835" s="14" t="str">
        <x:v>Okul Günü</x:v>
      </x:c>
      <x:c r="E2835" s="14" t="str">
        <x:v>16:00 sonrası</x:v>
      </x:c>
      <x:c r="F2835" s="14" t="str">
        <x:v>F4 - 60 Gün / 60 Tam Deneme</x:v>
      </x:c>
      <x:c r="G2835" s="14" t="str">
        <x:v>17:45</x:v>
      </x:c>
      <x:c r="H2835" s="14" t="str">
        <x:v>18:30</x:v>
      </x:c>
      <x:c r="I2835" s="14" t="str">
        <x:v>Genel</x:v>
      </x:c>
      <x:c r="J2835" s="14" t="str">
        <x:v>Deneme Arası</x:v>
      </x:c>
      <x:c r="K2835" s="14" t="str"/>
      <x:c r="L2835" s="14" t="str">
        <x:v>45 dakika gerçek sınav arası simülasyonu: yemek/su/tuvalet; soru analizi yapma.</x:v>
      </x:c>
      <x:c r="M2835" s="14" t="str"/>
      <x:c r="N2835" s="14" t="str"/>
      <x:c r="O2835" s="14" t="n">
        <x:v>0</x:v>
      </x:c>
      <x:c r="P2835" s="14" t="str">
        <x:v>Hayır</x:v>
      </x:c>
      <x:c r="Q2835" s="14" t="str">
        <x:v>Evet</x:v>
      </x:c>
      <x:c r="R2835" s="14" t="str">
        <x:v>Planlandı</x:v>
      </x:c>
      <x:c r="S2835" s="15" t="str"/>
      <x:c r="T2835" s="14" t="str"/>
    </x:row>
    <x:row r="2836">
      <x:c r="A2836" s="14" t="n">
        <x:v>2835</x:v>
      </x:c>
      <x:c r="B2836" s="15" t="n">
        <x:v>46538</x:v>
      </x:c>
      <x:c r="C2836" s="14" t="str">
        <x:v>Pazartesi</x:v>
      </x:c>
      <x:c r="D2836" s="14" t="str">
        <x:v>Okul Günü</x:v>
      </x:c>
      <x:c r="E2836" s="14" t="str">
        <x:v>16:00 sonrası</x:v>
      </x:c>
      <x:c r="F2836" s="14" t="str">
        <x:v>F4 - 60 Gün / 60 Tam Deneme</x:v>
      </x:c>
      <x:c r="G2836" s="14" t="str">
        <x:v>18:30</x:v>
      </x:c>
      <x:c r="H2836" s="14" t="str">
        <x:v>19:50</x:v>
      </x:c>
      <x:c r="I2836" s="14" t="str">
        <x:v>Deneme</x:v>
      </x:c>
      <x:c r="J2836" s="14" t="str">
        <x:v>Tam LGS Denemesi - Sayısal</x:v>
      </x:c>
      <x:c r="K2836" s="14" t="str">
        <x:v>Deneme 48</x:v>
      </x:c>
      <x:c r="L2836" s="14" t="str">
        <x:v>Deneme 48/60 — Sayısal oturum: Matematik 20 + Fen 20. 80 dakika.</x:v>
      </x:c>
      <x:c r="M2836" s="14" t="str">
        <x:v>Tam LGS Denemesi</x:v>
      </x:c>
      <x:c r="N2836" s="14" t="str"/>
      <x:c r="O2836" s="14" t="n">
        <x:v>40</x:v>
      </x:c>
      <x:c r="P2836" s="14" t="str">
        <x:v>80 dk</x:v>
      </x:c>
      <x:c r="Q2836" s="14" t="str">
        <x:v>Evet</x:v>
      </x:c>
      <x:c r="R2836" s="14" t="str">
        <x:v>Planlandı</x:v>
      </x:c>
      <x:c r="S2836" s="15" t="str"/>
      <x:c r="T2836" s="14" t="str"/>
    </x:row>
    <x:row r="2837">
      <x:c r="A2837" s="14" t="n">
        <x:v>2836</x:v>
      </x:c>
      <x:c r="B2837" s="15" t="n">
        <x:v>46538</x:v>
      </x:c>
      <x:c r="C2837" s="14" t="str">
        <x:v>Pazartesi</x:v>
      </x:c>
      <x:c r="D2837" s="14" t="str">
        <x:v>Okul Günü</x:v>
      </x:c>
      <x:c r="E2837" s="14" t="str">
        <x:v>16:00 sonrası</x:v>
      </x:c>
      <x:c r="F2837" s="14" t="str">
        <x:v>F4 - 60 Gün / 60 Tam Deneme</x:v>
      </x:c>
      <x:c r="G2837" s="14" t="str">
        <x:v>20:00</x:v>
      </x:c>
      <x:c r="H2837" s="14" t="str">
        <x:v>20:45</x:v>
      </x:c>
      <x:c r="I2837" s="14" t="str">
        <x:v>Deneme</x:v>
      </x:c>
      <x:c r="J2837" s="14" t="str">
        <x:v>Deneme Analizi</x:v>
      </x:c>
      <x:c r="K2837" s="14" t="str">
        <x:v>Deneme 48</x:v>
      </x:c>
      <x:c r="L2837" s="14" t="str">
        <x:v>Tüm yanlış/boşları nedenleriyle analiz et; bilgi eksikliği, işlem, dikkat, yanlış okuma veya yorumlama olarak sınıflandır.</x:v>
      </x:c>
      <x:c r="M2837" s="14" t="str">
        <x:v>Deneme Takibi</x:v>
      </x:c>
      <x:c r="N2837" s="14" t="str"/>
      <x:c r="O2837" s="14" t="n">
        <x:v>0</x:v>
      </x:c>
      <x:c r="P2837" s="14" t="str">
        <x:v>Hayır</x:v>
      </x:c>
      <x:c r="Q2837" s="14" t="str">
        <x:v>Evet</x:v>
      </x:c>
      <x:c r="R2837" s="14" t="str">
        <x:v>Planlandı</x:v>
      </x:c>
      <x:c r="S2837" s="15" t="str"/>
      <x:c r="T2837" s="14" t="str">
        <x:v>Deneme çözülüp analiz edilmediyse gün tamamlanmış sayılmaz.</x:v>
      </x:c>
    </x:row>
    <x:row r="2838">
      <x:c r="A2838" s="14" t="n">
        <x:v>2837</x:v>
      </x:c>
      <x:c r="B2838" s="15" t="n">
        <x:v>46538</x:v>
      </x:c>
      <x:c r="C2838" s="14" t="str">
        <x:v>Pazartesi</x:v>
      </x:c>
      <x:c r="D2838" s="14" t="str">
        <x:v>Okul Günü</x:v>
      </x:c>
      <x:c r="E2838" s="14" t="str">
        <x:v>16:00 sonrası</x:v>
      </x:c>
      <x:c r="F2838" s="14" t="str">
        <x:v>F4 - 60 Gün / 60 Tam Deneme</x:v>
      </x:c>
      <x:c r="G2838" s="14" t="str">
        <x:v>20:50</x:v>
      </x:c>
      <x:c r="H2838" s="14" t="str">
        <x:v>21:25</x:v>
      </x:c>
      <x:c r="I2838" s="14" t="str">
        <x:v>Genel</x:v>
      </x:c>
      <x:c r="J2838" s="14" t="str">
        <x:v>Hedefli Eksik Giderme</x:v>
      </x:c>
      <x:c r="K2838" s="14" t="str">
        <x:v>Denemeden Gelen Eksikler</x:v>
      </x:c>
      <x:c r="L2838" s="14" t="str">
        <x:v>Denemenin gösterdiği en kritik 1-3 eksiği gider: gerekirse ilgili playlist videosuna kısa dönüş + hedefli soru çözümü.</x:v>
      </x:c>
      <x:c r="M2838" s="14" t="str">
        <x:v>Playlist + Soru Kitabı + MEB</x:v>
      </x:c>
      <x:c r="N2838" s="14" t="str"/>
      <x:c r="O2838" s="14" t="n">
        <x:v>0</x:v>
      </x:c>
      <x:c r="P2838" s="14" t="str">
        <x:v>Hayır</x:v>
      </x:c>
      <x:c r="Q2838" s="14" t="str">
        <x:v>Evet</x:v>
      </x:c>
      <x:c r="R2838" s="14" t="str">
        <x:v>Planlandı</x:v>
      </x:c>
      <x:c r="S2838" s="15" t="str"/>
      <x:c r="T2838" s="14" t="str">
        <x:v>Yeni konu açılmaz; yalnız denemenin kanıtladığı eksiğe müdahale edilir.</x:v>
      </x:c>
    </x:row>
    <x:row r="2839">
      <x:c r="A2839" s="14" t="n">
        <x:v>2838</x:v>
      </x:c>
      <x:c r="B2839" s="15" t="n">
        <x:v>46538</x:v>
      </x:c>
      <x:c r="C2839" s="14" t="str">
        <x:v>Pazartesi</x:v>
      </x:c>
      <x:c r="D2839" s="14" t="str">
        <x:v>Okul Günü</x:v>
      </x:c>
      <x:c r="E2839" s="14" t="str">
        <x:v>16:00 sonrası</x:v>
      </x:c>
      <x:c r="F2839" s="14" t="str">
        <x:v>F4 - 60 Gün / 60 Tam Deneme</x:v>
      </x:c>
      <x:c r="G2839" s="14" t="str">
        <x:v>21:25</x:v>
      </x:c>
      <x:c r="H2839" s="14" t="str">
        <x:v>21:40</x:v>
      </x:c>
      <x:c r="I2839" s="14" t="str">
        <x:v>Genel</x:v>
      </x:c>
      <x:c r="J2839" s="14" t="str">
        <x:v>Aralıklı Hata Tekrarı</x:v>
      </x:c>
      <x:c r="K2839" s="14" t="str">
        <x:v>+1 / +7 / +21</x:v>
      </x:c>
      <x:c r="L2839" s="14" t="str">
        <x:v>Bugün vadesi gelen eski yanlışları tekrar çöz ve bugünkü yanlışları Yanlış Defteri'ne ekle.</x:v>
      </x:c>
      <x:c r="M2839" s="14" t="str">
        <x:v>Yanlış Defteri</x:v>
      </x:c>
      <x:c r="N2839" s="14" t="str"/>
      <x:c r="O2839" s="14" t="n">
        <x:v>0</x:v>
      </x:c>
      <x:c r="P2839" s="14" t="str">
        <x:v>Hayır</x:v>
      </x:c>
      <x:c r="Q2839" s="14" t="str">
        <x:v>Evet</x:v>
      </x:c>
      <x:c r="R2839" s="14" t="str">
        <x:v>Planlandı</x:v>
      </x:c>
      <x:c r="S2839" s="15" t="str"/>
      <x:c r="T2839" s="14" t="str"/>
    </x:row>
    <x:row r="2840">
      <x:c r="A2840" s="14" t="n">
        <x:v>2839</x:v>
      </x:c>
      <x:c r="B2840" s="15" t="n">
        <x:v>46538</x:v>
      </x:c>
      <x:c r="C2840" s="14" t="str">
        <x:v>Pazartesi</x:v>
      </x:c>
      <x:c r="D2840" s="14" t="str">
        <x:v>Okul Günü</x:v>
      </x:c>
      <x:c r="E2840" s="14" t="str">
        <x:v>16:00 sonrası</x:v>
      </x:c>
      <x:c r="F2840" s="14" t="str">
        <x:v>F4 - 60 Gün / 60 Tam Deneme</x:v>
      </x:c>
      <x:c r="G2840" s="14" t="str">
        <x:v>21:40</x:v>
      </x:c>
      <x:c r="H2840" s="14" t="str">
        <x:v>21:50</x:v>
      </x:c>
      <x:c r="I2840" s="14" t="str">
        <x:v>Okuma</x:v>
      </x:c>
      <x:c r="J2840" s="14" t="str">
        <x:v>İsteğe Bağlı</x:v>
      </x:c>
      <x:c r="K2840" s="14" t="str">
        <x:v>Serbest Kitap</x:v>
      </x:c>
      <x:c r="L2840" s="14" t="str">
        <x:v>Enerji uygunsa kısa isteğe bağlı okuma.</x:v>
      </x:c>
      <x:c r="M2840" s="14" t="str">
        <x:v>Serbest Kitap</x:v>
      </x:c>
      <x:c r="N2840" s="14" t="str"/>
      <x:c r="O2840" s="14" t="n">
        <x:v>0</x:v>
      </x:c>
      <x:c r="P2840" s="14" t="str">
        <x:v>İsteğe Bağlı</x:v>
      </x:c>
      <x:c r="Q2840" s="14" t="str">
        <x:v>Hayır</x:v>
      </x:c>
      <x:c r="R2840" s="14" t="str">
        <x:v>Planlandı</x:v>
      </x:c>
      <x:c r="S2840" s="15" t="str"/>
      <x:c r="T2840" s="14" t="str"/>
    </x:row>
    <x:row r="2841">
      <x:c r="A2841" s="14" t="n">
        <x:v>2840</x:v>
      </x:c>
      <x:c r="B2841" s="15" t="n">
        <x:v>46538</x:v>
      </x:c>
      <x:c r="C2841" s="14" t="str">
        <x:v>Pazartesi</x:v>
      </x:c>
      <x:c r="D2841" s="14" t="str">
        <x:v>Okul Günü</x:v>
      </x:c>
      <x:c r="E2841" s="14" t="str">
        <x:v>16:00 sonrası</x:v>
      </x:c>
      <x:c r="F2841" s="14" t="str">
        <x:v>F4 - 60 Gün / 60 Tam Deneme</x:v>
      </x:c>
      <x:c r="G2841" s="14" t="str">
        <x:v>21:50</x:v>
      </x:c>
      <x:c r="H2841" s="14" t="str">
        <x:v>22:00</x:v>
      </x:c>
      <x:c r="I2841" s="14" t="str">
        <x:v>Genel</x:v>
      </x:c>
      <x:c r="J2841" s="14" t="str">
        <x:v>Uyku Hazırlığı</x:v>
      </x:c>
      <x:c r="K2841" s="14" t="str"/>
      <x:c r="L2841" s="14" t="str">
        <x:v>22:00'de yatakta ve uyku.</x:v>
      </x:c>
      <x:c r="M2841" s="14" t="str"/>
      <x:c r="N2841" s="14" t="str"/>
      <x:c r="O2841" s="14" t="n">
        <x:v>0</x:v>
      </x:c>
      <x:c r="P2841" s="14" t="str">
        <x:v>Hayır</x:v>
      </x:c>
      <x:c r="Q2841" s="14" t="str">
        <x:v>Hayır</x:v>
      </x:c>
      <x:c r="R2841" s="14" t="str">
        <x:v>Planlandı</x:v>
      </x:c>
      <x:c r="S2841" s="15" t="str"/>
      <x:c r="T2841" s="14" t="str"/>
    </x:row>
    <x:row r="2842">
      <x:c r="A2842" s="14" t="n">
        <x:v>2841</x:v>
      </x:c>
      <x:c r="B2842" s="15" t="n">
        <x:v>46539</x:v>
      </x:c>
      <x:c r="C2842" s="14" t="str">
        <x:v>Salı</x:v>
      </x:c>
      <x:c r="D2842" s="14" t="str">
        <x:v>Okul Günü</x:v>
      </x:c>
      <x:c r="E2842" s="14" t="str">
        <x:v>16:00 sonrası</x:v>
      </x:c>
      <x:c r="F2842" s="14" t="str">
        <x:v>F4 - 60 Gün / 60 Tam Deneme</x:v>
      </x:c>
      <x:c r="G2842" s="14" t="str">
        <x:v>16:00</x:v>
      </x:c>
      <x:c r="H2842" s="14" t="str">
        <x:v>16:25</x:v>
      </x:c>
      <x:c r="I2842" s="14" t="str">
        <x:v>Genel</x:v>
      </x:c>
      <x:c r="J2842" s="14" t="str">
        <x:v>Dinlenme</x:v>
      </x:c>
      <x:c r="K2842" s="14" t="str"/>
      <x:c r="L2842" s="14" t="str">
        <x:v>Eve geliş + kısa dinlenme.</x:v>
      </x:c>
      <x:c r="M2842" s="14" t="str"/>
      <x:c r="N2842" s="14" t="str"/>
      <x:c r="O2842" s="14" t="n">
        <x:v>0</x:v>
      </x:c>
      <x:c r="P2842" s="14" t="str">
        <x:v>Hayır</x:v>
      </x:c>
      <x:c r="Q2842" s="14" t="str">
        <x:v>Hayır</x:v>
      </x:c>
      <x:c r="R2842" s="14" t="str">
        <x:v>Planlandı</x:v>
      </x:c>
      <x:c r="S2842" s="15" t="str"/>
      <x:c r="T2842" s="14" t="str"/>
    </x:row>
    <x:row r="2843">
      <x:c r="A2843" s="14" t="n">
        <x:v>2842</x:v>
      </x:c>
      <x:c r="B2843" s="15" t="n">
        <x:v>46539</x:v>
      </x:c>
      <x:c r="C2843" s="14" t="str">
        <x:v>Salı</x:v>
      </x:c>
      <x:c r="D2843" s="14" t="str">
        <x:v>Okul Günü</x:v>
      </x:c>
      <x:c r="E2843" s="14" t="str">
        <x:v>16:00 sonrası</x:v>
      </x:c>
      <x:c r="F2843" s="14" t="str">
        <x:v>F4 - 60 Gün / 60 Tam Deneme</x:v>
      </x:c>
      <x:c r="G2843" s="14" t="str">
        <x:v>16:30</x:v>
      </x:c>
      <x:c r="H2843" s="14" t="str">
        <x:v>17:45</x:v>
      </x:c>
      <x:c r="I2843" s="14" t="str">
        <x:v>Deneme</x:v>
      </x:c>
      <x:c r="J2843" s="14" t="str">
        <x:v>Tam LGS Denemesi - Sözel</x:v>
      </x:c>
      <x:c r="K2843" s="14" t="str">
        <x:v>Deneme 49</x:v>
      </x:c>
      <x:c r="L2843" s="14" t="str">
        <x:v>Deneme 49/60 — Sözel oturum: Türkçe 20 + İnkılap 10 + Din 10 + İngilizce 10. 75 dakika.</x:v>
      </x:c>
      <x:c r="M2843" s="14" t="str">
        <x:v>Tam LGS Denemesi</x:v>
      </x:c>
      <x:c r="N2843" s="14" t="str"/>
      <x:c r="O2843" s="14" t="n">
        <x:v>50</x:v>
      </x:c>
      <x:c r="P2843" s="14" t="str">
        <x:v>75 dk</x:v>
      </x:c>
      <x:c r="Q2843" s="14" t="str">
        <x:v>Evet</x:v>
      </x:c>
      <x:c r="R2843" s="14" t="str">
        <x:v>Planlandı</x:v>
      </x:c>
      <x:c r="S2843" s="15" t="str"/>
      <x:c r="T2843" s="14" t="str">
        <x:v>2026 LGS formatı çalışma referansıdır; 2027 kılavuzu yayımlanırsa güncellenir.</x:v>
      </x:c>
    </x:row>
    <x:row r="2844">
      <x:c r="A2844" s="14" t="n">
        <x:v>2843</x:v>
      </x:c>
      <x:c r="B2844" s="15" t="n">
        <x:v>46539</x:v>
      </x:c>
      <x:c r="C2844" s="14" t="str">
        <x:v>Salı</x:v>
      </x:c>
      <x:c r="D2844" s="14" t="str">
        <x:v>Okul Günü</x:v>
      </x:c>
      <x:c r="E2844" s="14" t="str">
        <x:v>16:00 sonrası</x:v>
      </x:c>
      <x:c r="F2844" s="14" t="str">
        <x:v>F4 - 60 Gün / 60 Tam Deneme</x:v>
      </x:c>
      <x:c r="G2844" s="14" t="str">
        <x:v>17:45</x:v>
      </x:c>
      <x:c r="H2844" s="14" t="str">
        <x:v>18:30</x:v>
      </x:c>
      <x:c r="I2844" s="14" t="str">
        <x:v>Genel</x:v>
      </x:c>
      <x:c r="J2844" s="14" t="str">
        <x:v>Deneme Arası</x:v>
      </x:c>
      <x:c r="K2844" s="14" t="str"/>
      <x:c r="L2844" s="14" t="str">
        <x:v>45 dakika gerçek sınav arası simülasyonu: yemek/su/tuvalet; soru analizi yapma.</x:v>
      </x:c>
      <x:c r="M2844" s="14" t="str"/>
      <x:c r="N2844" s="14" t="str"/>
      <x:c r="O2844" s="14" t="n">
        <x:v>0</x:v>
      </x:c>
      <x:c r="P2844" s="14" t="str">
        <x:v>Hayır</x:v>
      </x:c>
      <x:c r="Q2844" s="14" t="str">
        <x:v>Evet</x:v>
      </x:c>
      <x:c r="R2844" s="14" t="str">
        <x:v>Planlandı</x:v>
      </x:c>
      <x:c r="S2844" s="15" t="str"/>
      <x:c r="T2844" s="14" t="str"/>
    </x:row>
    <x:row r="2845">
      <x:c r="A2845" s="14" t="n">
        <x:v>2844</x:v>
      </x:c>
      <x:c r="B2845" s="15" t="n">
        <x:v>46539</x:v>
      </x:c>
      <x:c r="C2845" s="14" t="str">
        <x:v>Salı</x:v>
      </x:c>
      <x:c r="D2845" s="14" t="str">
        <x:v>Okul Günü</x:v>
      </x:c>
      <x:c r="E2845" s="14" t="str">
        <x:v>16:00 sonrası</x:v>
      </x:c>
      <x:c r="F2845" s="14" t="str">
        <x:v>F4 - 60 Gün / 60 Tam Deneme</x:v>
      </x:c>
      <x:c r="G2845" s="14" t="str">
        <x:v>18:30</x:v>
      </x:c>
      <x:c r="H2845" s="14" t="str">
        <x:v>19:50</x:v>
      </x:c>
      <x:c r="I2845" s="14" t="str">
        <x:v>Deneme</x:v>
      </x:c>
      <x:c r="J2845" s="14" t="str">
        <x:v>Tam LGS Denemesi - Sayısal</x:v>
      </x:c>
      <x:c r="K2845" s="14" t="str">
        <x:v>Deneme 49</x:v>
      </x:c>
      <x:c r="L2845" s="14" t="str">
        <x:v>Deneme 49/60 — Sayısal oturum: Matematik 20 + Fen 20. 80 dakika.</x:v>
      </x:c>
      <x:c r="M2845" s="14" t="str">
        <x:v>Tam LGS Denemesi</x:v>
      </x:c>
      <x:c r="N2845" s="14" t="str"/>
      <x:c r="O2845" s="14" t="n">
        <x:v>40</x:v>
      </x:c>
      <x:c r="P2845" s="14" t="str">
        <x:v>80 dk</x:v>
      </x:c>
      <x:c r="Q2845" s="14" t="str">
        <x:v>Evet</x:v>
      </x:c>
      <x:c r="R2845" s="14" t="str">
        <x:v>Planlandı</x:v>
      </x:c>
      <x:c r="S2845" s="15" t="str"/>
      <x:c r="T2845" s="14" t="str"/>
    </x:row>
    <x:row r="2846">
      <x:c r="A2846" s="14" t="n">
        <x:v>2845</x:v>
      </x:c>
      <x:c r="B2846" s="15" t="n">
        <x:v>46539</x:v>
      </x:c>
      <x:c r="C2846" s="14" t="str">
        <x:v>Salı</x:v>
      </x:c>
      <x:c r="D2846" s="14" t="str">
        <x:v>Okul Günü</x:v>
      </x:c>
      <x:c r="E2846" s="14" t="str">
        <x:v>16:00 sonrası</x:v>
      </x:c>
      <x:c r="F2846" s="14" t="str">
        <x:v>F4 - 60 Gün / 60 Tam Deneme</x:v>
      </x:c>
      <x:c r="G2846" s="14" t="str">
        <x:v>20:00</x:v>
      </x:c>
      <x:c r="H2846" s="14" t="str">
        <x:v>20:45</x:v>
      </x:c>
      <x:c r="I2846" s="14" t="str">
        <x:v>Deneme</x:v>
      </x:c>
      <x:c r="J2846" s="14" t="str">
        <x:v>Deneme Analizi</x:v>
      </x:c>
      <x:c r="K2846" s="14" t="str">
        <x:v>Deneme 49</x:v>
      </x:c>
      <x:c r="L2846" s="14" t="str">
        <x:v>Tüm yanlış/boşları nedenleriyle analiz et; bilgi eksikliği, işlem, dikkat, yanlış okuma veya yorumlama olarak sınıflandır.</x:v>
      </x:c>
      <x:c r="M2846" s="14" t="str">
        <x:v>Deneme Takibi</x:v>
      </x:c>
      <x:c r="N2846" s="14" t="str"/>
      <x:c r="O2846" s="14" t="n">
        <x:v>0</x:v>
      </x:c>
      <x:c r="P2846" s="14" t="str">
        <x:v>Hayır</x:v>
      </x:c>
      <x:c r="Q2846" s="14" t="str">
        <x:v>Evet</x:v>
      </x:c>
      <x:c r="R2846" s="14" t="str">
        <x:v>Planlandı</x:v>
      </x:c>
      <x:c r="S2846" s="15" t="str"/>
      <x:c r="T2846" s="14" t="str">
        <x:v>Deneme çözülüp analiz edilmediyse gün tamamlanmış sayılmaz.</x:v>
      </x:c>
    </x:row>
    <x:row r="2847">
      <x:c r="A2847" s="14" t="n">
        <x:v>2846</x:v>
      </x:c>
      <x:c r="B2847" s="15" t="n">
        <x:v>46539</x:v>
      </x:c>
      <x:c r="C2847" s="14" t="str">
        <x:v>Salı</x:v>
      </x:c>
      <x:c r="D2847" s="14" t="str">
        <x:v>Okul Günü</x:v>
      </x:c>
      <x:c r="E2847" s="14" t="str">
        <x:v>16:00 sonrası</x:v>
      </x:c>
      <x:c r="F2847" s="14" t="str">
        <x:v>F4 - 60 Gün / 60 Tam Deneme</x:v>
      </x:c>
      <x:c r="G2847" s="14" t="str">
        <x:v>20:50</x:v>
      </x:c>
      <x:c r="H2847" s="14" t="str">
        <x:v>21:25</x:v>
      </x:c>
      <x:c r="I2847" s="14" t="str">
        <x:v>Genel</x:v>
      </x:c>
      <x:c r="J2847" s="14" t="str">
        <x:v>Hedefli Eksik Giderme</x:v>
      </x:c>
      <x:c r="K2847" s="14" t="str">
        <x:v>Denemeden Gelen Eksikler</x:v>
      </x:c>
      <x:c r="L2847" s="14" t="str">
        <x:v>Denemenin gösterdiği en kritik 1-3 eksiği gider: gerekirse ilgili playlist videosuna kısa dönüş + hedefli soru çözümü.</x:v>
      </x:c>
      <x:c r="M2847" s="14" t="str">
        <x:v>Playlist + Soru Kitabı + MEB</x:v>
      </x:c>
      <x:c r="N2847" s="14" t="str"/>
      <x:c r="O2847" s="14" t="n">
        <x:v>0</x:v>
      </x:c>
      <x:c r="P2847" s="14" t="str">
        <x:v>Hayır</x:v>
      </x:c>
      <x:c r="Q2847" s="14" t="str">
        <x:v>Evet</x:v>
      </x:c>
      <x:c r="R2847" s="14" t="str">
        <x:v>Planlandı</x:v>
      </x:c>
      <x:c r="S2847" s="15" t="str"/>
      <x:c r="T2847" s="14" t="str">
        <x:v>Yeni konu açılmaz; yalnız denemenin kanıtladığı eksiğe müdahale edilir.</x:v>
      </x:c>
    </x:row>
    <x:row r="2848">
      <x:c r="A2848" s="14" t="n">
        <x:v>2847</x:v>
      </x:c>
      <x:c r="B2848" s="15" t="n">
        <x:v>46539</x:v>
      </x:c>
      <x:c r="C2848" s="14" t="str">
        <x:v>Salı</x:v>
      </x:c>
      <x:c r="D2848" s="14" t="str">
        <x:v>Okul Günü</x:v>
      </x:c>
      <x:c r="E2848" s="14" t="str">
        <x:v>16:00 sonrası</x:v>
      </x:c>
      <x:c r="F2848" s="14" t="str">
        <x:v>F4 - 60 Gün / 60 Tam Deneme</x:v>
      </x:c>
      <x:c r="G2848" s="14" t="str">
        <x:v>21:25</x:v>
      </x:c>
      <x:c r="H2848" s="14" t="str">
        <x:v>21:40</x:v>
      </x:c>
      <x:c r="I2848" s="14" t="str">
        <x:v>Genel</x:v>
      </x:c>
      <x:c r="J2848" s="14" t="str">
        <x:v>Aralıklı Hata Tekrarı</x:v>
      </x:c>
      <x:c r="K2848" s="14" t="str">
        <x:v>+1 / +7 / +21</x:v>
      </x:c>
      <x:c r="L2848" s="14" t="str">
        <x:v>Bugün vadesi gelen eski yanlışları tekrar çöz ve bugünkü yanlışları Yanlış Defteri'ne ekle.</x:v>
      </x:c>
      <x:c r="M2848" s="14" t="str">
        <x:v>Yanlış Defteri</x:v>
      </x:c>
      <x:c r="N2848" s="14" t="str"/>
      <x:c r="O2848" s="14" t="n">
        <x:v>0</x:v>
      </x:c>
      <x:c r="P2848" s="14" t="str">
        <x:v>Hayır</x:v>
      </x:c>
      <x:c r="Q2848" s="14" t="str">
        <x:v>Evet</x:v>
      </x:c>
      <x:c r="R2848" s="14" t="str">
        <x:v>Planlandı</x:v>
      </x:c>
      <x:c r="S2848" s="15" t="str"/>
      <x:c r="T2848" s="14" t="str"/>
    </x:row>
    <x:row r="2849">
      <x:c r="A2849" s="14" t="n">
        <x:v>2848</x:v>
      </x:c>
      <x:c r="B2849" s="15" t="n">
        <x:v>46539</x:v>
      </x:c>
      <x:c r="C2849" s="14" t="str">
        <x:v>Salı</x:v>
      </x:c>
      <x:c r="D2849" s="14" t="str">
        <x:v>Okul Günü</x:v>
      </x:c>
      <x:c r="E2849" s="14" t="str">
        <x:v>16:00 sonrası</x:v>
      </x:c>
      <x:c r="F2849" s="14" t="str">
        <x:v>F4 - 60 Gün / 60 Tam Deneme</x:v>
      </x:c>
      <x:c r="G2849" s="14" t="str">
        <x:v>21:40</x:v>
      </x:c>
      <x:c r="H2849" s="14" t="str">
        <x:v>21:50</x:v>
      </x:c>
      <x:c r="I2849" s="14" t="str">
        <x:v>Okuma</x:v>
      </x:c>
      <x:c r="J2849" s="14" t="str">
        <x:v>İsteğe Bağlı</x:v>
      </x:c>
      <x:c r="K2849" s="14" t="str">
        <x:v>Serbest Kitap</x:v>
      </x:c>
      <x:c r="L2849" s="14" t="str">
        <x:v>Enerji uygunsa kısa isteğe bağlı okuma.</x:v>
      </x:c>
      <x:c r="M2849" s="14" t="str">
        <x:v>Serbest Kitap</x:v>
      </x:c>
      <x:c r="N2849" s="14" t="str"/>
      <x:c r="O2849" s="14" t="n">
        <x:v>0</x:v>
      </x:c>
      <x:c r="P2849" s="14" t="str">
        <x:v>İsteğe Bağlı</x:v>
      </x:c>
      <x:c r="Q2849" s="14" t="str">
        <x:v>Hayır</x:v>
      </x:c>
      <x:c r="R2849" s="14" t="str">
        <x:v>Planlandı</x:v>
      </x:c>
      <x:c r="S2849" s="15" t="str"/>
      <x:c r="T2849" s="14" t="str"/>
    </x:row>
    <x:row r="2850">
      <x:c r="A2850" s="14" t="n">
        <x:v>2849</x:v>
      </x:c>
      <x:c r="B2850" s="15" t="n">
        <x:v>46539</x:v>
      </x:c>
      <x:c r="C2850" s="14" t="str">
        <x:v>Salı</x:v>
      </x:c>
      <x:c r="D2850" s="14" t="str">
        <x:v>Okul Günü</x:v>
      </x:c>
      <x:c r="E2850" s="14" t="str">
        <x:v>16:00 sonrası</x:v>
      </x:c>
      <x:c r="F2850" s="14" t="str">
        <x:v>F4 - 60 Gün / 60 Tam Deneme</x:v>
      </x:c>
      <x:c r="G2850" s="14" t="str">
        <x:v>21:50</x:v>
      </x:c>
      <x:c r="H2850" s="14" t="str">
        <x:v>22:00</x:v>
      </x:c>
      <x:c r="I2850" s="14" t="str">
        <x:v>Genel</x:v>
      </x:c>
      <x:c r="J2850" s="14" t="str">
        <x:v>Uyku Hazırlığı</x:v>
      </x:c>
      <x:c r="K2850" s="14" t="str"/>
      <x:c r="L2850" s="14" t="str">
        <x:v>22:00'de yatakta ve uyku.</x:v>
      </x:c>
      <x:c r="M2850" s="14" t="str"/>
      <x:c r="N2850" s="14" t="str"/>
      <x:c r="O2850" s="14" t="n">
        <x:v>0</x:v>
      </x:c>
      <x:c r="P2850" s="14" t="str">
        <x:v>Hayır</x:v>
      </x:c>
      <x:c r="Q2850" s="14" t="str">
        <x:v>Hayır</x:v>
      </x:c>
      <x:c r="R2850" s="14" t="str">
        <x:v>Planlandı</x:v>
      </x:c>
      <x:c r="S2850" s="15" t="str"/>
      <x:c r="T2850" s="14" t="str"/>
    </x:row>
    <x:row r="2851">
      <x:c r="A2851" s="14" t="n">
        <x:v>2850</x:v>
      </x:c>
      <x:c r="B2851" s="15" t="n">
        <x:v>46540</x:v>
      </x:c>
      <x:c r="C2851" s="14" t="str">
        <x:v>Çarşamba</x:v>
      </x:c>
      <x:c r="D2851" s="14" t="str">
        <x:v>Okul Günü</x:v>
      </x:c>
      <x:c r="E2851" s="14" t="str">
        <x:v>16:00 sonrası</x:v>
      </x:c>
      <x:c r="F2851" s="14" t="str">
        <x:v>F4 - 60 Gün / 60 Tam Deneme</x:v>
      </x:c>
      <x:c r="G2851" s="14" t="str">
        <x:v>16:00</x:v>
      </x:c>
      <x:c r="H2851" s="14" t="str">
        <x:v>16:25</x:v>
      </x:c>
      <x:c r="I2851" s="14" t="str">
        <x:v>Genel</x:v>
      </x:c>
      <x:c r="J2851" s="14" t="str">
        <x:v>Dinlenme</x:v>
      </x:c>
      <x:c r="K2851" s="14" t="str"/>
      <x:c r="L2851" s="14" t="str">
        <x:v>Eve geliş + kısa dinlenme.</x:v>
      </x:c>
      <x:c r="M2851" s="14" t="str"/>
      <x:c r="N2851" s="14" t="str"/>
      <x:c r="O2851" s="14" t="n">
        <x:v>0</x:v>
      </x:c>
      <x:c r="P2851" s="14" t="str">
        <x:v>Hayır</x:v>
      </x:c>
      <x:c r="Q2851" s="14" t="str">
        <x:v>Hayır</x:v>
      </x:c>
      <x:c r="R2851" s="14" t="str">
        <x:v>Planlandı</x:v>
      </x:c>
      <x:c r="S2851" s="15" t="str"/>
      <x:c r="T2851" s="14" t="str"/>
    </x:row>
    <x:row r="2852">
      <x:c r="A2852" s="14" t="n">
        <x:v>2851</x:v>
      </x:c>
      <x:c r="B2852" s="15" t="n">
        <x:v>46540</x:v>
      </x:c>
      <x:c r="C2852" s="14" t="str">
        <x:v>Çarşamba</x:v>
      </x:c>
      <x:c r="D2852" s="14" t="str">
        <x:v>Okul Günü</x:v>
      </x:c>
      <x:c r="E2852" s="14" t="str">
        <x:v>16:00 sonrası</x:v>
      </x:c>
      <x:c r="F2852" s="14" t="str">
        <x:v>F4 - 60 Gün / 60 Tam Deneme</x:v>
      </x:c>
      <x:c r="G2852" s="14" t="str">
        <x:v>16:30</x:v>
      </x:c>
      <x:c r="H2852" s="14" t="str">
        <x:v>17:45</x:v>
      </x:c>
      <x:c r="I2852" s="14" t="str">
        <x:v>Deneme</x:v>
      </x:c>
      <x:c r="J2852" s="14" t="str">
        <x:v>Tam LGS Denemesi - Sözel</x:v>
      </x:c>
      <x:c r="K2852" s="14" t="str">
        <x:v>Deneme 50</x:v>
      </x:c>
      <x:c r="L2852" s="14" t="str">
        <x:v>Deneme 50/60 — Sözel oturum: Türkçe 20 + İnkılap 10 + Din 10 + İngilizce 10. 75 dakika.</x:v>
      </x:c>
      <x:c r="M2852" s="14" t="str">
        <x:v>Tam LGS Denemesi</x:v>
      </x:c>
      <x:c r="N2852" s="14" t="str"/>
      <x:c r="O2852" s="14" t="n">
        <x:v>50</x:v>
      </x:c>
      <x:c r="P2852" s="14" t="str">
        <x:v>75 dk</x:v>
      </x:c>
      <x:c r="Q2852" s="14" t="str">
        <x:v>Evet</x:v>
      </x:c>
      <x:c r="R2852" s="14" t="str">
        <x:v>Planlandı</x:v>
      </x:c>
      <x:c r="S2852" s="15" t="str"/>
      <x:c r="T2852" s="14" t="str">
        <x:v>2026 LGS formatı çalışma referansıdır; 2027 kılavuzu yayımlanırsa güncellenir.</x:v>
      </x:c>
    </x:row>
    <x:row r="2853">
      <x:c r="A2853" s="14" t="n">
        <x:v>2852</x:v>
      </x:c>
      <x:c r="B2853" s="15" t="n">
        <x:v>46540</x:v>
      </x:c>
      <x:c r="C2853" s="14" t="str">
        <x:v>Çarşamba</x:v>
      </x:c>
      <x:c r="D2853" s="14" t="str">
        <x:v>Okul Günü</x:v>
      </x:c>
      <x:c r="E2853" s="14" t="str">
        <x:v>16:00 sonrası</x:v>
      </x:c>
      <x:c r="F2853" s="14" t="str">
        <x:v>F4 - 60 Gün / 60 Tam Deneme</x:v>
      </x:c>
      <x:c r="G2853" s="14" t="str">
        <x:v>17:45</x:v>
      </x:c>
      <x:c r="H2853" s="14" t="str">
        <x:v>18:30</x:v>
      </x:c>
      <x:c r="I2853" s="14" t="str">
        <x:v>Genel</x:v>
      </x:c>
      <x:c r="J2853" s="14" t="str">
        <x:v>Deneme Arası</x:v>
      </x:c>
      <x:c r="K2853" s="14" t="str"/>
      <x:c r="L2853" s="14" t="str">
        <x:v>45 dakika gerçek sınav arası simülasyonu: yemek/su/tuvalet; soru analizi yapma.</x:v>
      </x:c>
      <x:c r="M2853" s="14" t="str"/>
      <x:c r="N2853" s="14" t="str"/>
      <x:c r="O2853" s="14" t="n">
        <x:v>0</x:v>
      </x:c>
      <x:c r="P2853" s="14" t="str">
        <x:v>Hayır</x:v>
      </x:c>
      <x:c r="Q2853" s="14" t="str">
        <x:v>Evet</x:v>
      </x:c>
      <x:c r="R2853" s="14" t="str">
        <x:v>Planlandı</x:v>
      </x:c>
      <x:c r="S2853" s="15" t="str"/>
      <x:c r="T2853" s="14" t="str"/>
    </x:row>
    <x:row r="2854">
      <x:c r="A2854" s="14" t="n">
        <x:v>2853</x:v>
      </x:c>
      <x:c r="B2854" s="15" t="n">
        <x:v>46540</x:v>
      </x:c>
      <x:c r="C2854" s="14" t="str">
        <x:v>Çarşamba</x:v>
      </x:c>
      <x:c r="D2854" s="14" t="str">
        <x:v>Okul Günü</x:v>
      </x:c>
      <x:c r="E2854" s="14" t="str">
        <x:v>16:00 sonrası</x:v>
      </x:c>
      <x:c r="F2854" s="14" t="str">
        <x:v>F4 - 60 Gün / 60 Tam Deneme</x:v>
      </x:c>
      <x:c r="G2854" s="14" t="str">
        <x:v>18:30</x:v>
      </x:c>
      <x:c r="H2854" s="14" t="str">
        <x:v>19:50</x:v>
      </x:c>
      <x:c r="I2854" s="14" t="str">
        <x:v>Deneme</x:v>
      </x:c>
      <x:c r="J2854" s="14" t="str">
        <x:v>Tam LGS Denemesi - Sayısal</x:v>
      </x:c>
      <x:c r="K2854" s="14" t="str">
        <x:v>Deneme 50</x:v>
      </x:c>
      <x:c r="L2854" s="14" t="str">
        <x:v>Deneme 50/60 — Sayısal oturum: Matematik 20 + Fen 20. 80 dakika.</x:v>
      </x:c>
      <x:c r="M2854" s="14" t="str">
        <x:v>Tam LGS Denemesi</x:v>
      </x:c>
      <x:c r="N2854" s="14" t="str"/>
      <x:c r="O2854" s="14" t="n">
        <x:v>40</x:v>
      </x:c>
      <x:c r="P2854" s="14" t="str">
        <x:v>80 dk</x:v>
      </x:c>
      <x:c r="Q2854" s="14" t="str">
        <x:v>Evet</x:v>
      </x:c>
      <x:c r="R2854" s="14" t="str">
        <x:v>Planlandı</x:v>
      </x:c>
      <x:c r="S2854" s="15" t="str"/>
      <x:c r="T2854" s="14" t="str"/>
    </x:row>
    <x:row r="2855">
      <x:c r="A2855" s="14" t="n">
        <x:v>2854</x:v>
      </x:c>
      <x:c r="B2855" s="15" t="n">
        <x:v>46540</x:v>
      </x:c>
      <x:c r="C2855" s="14" t="str">
        <x:v>Çarşamba</x:v>
      </x:c>
      <x:c r="D2855" s="14" t="str">
        <x:v>Okul Günü</x:v>
      </x:c>
      <x:c r="E2855" s="14" t="str">
        <x:v>16:00 sonrası</x:v>
      </x:c>
      <x:c r="F2855" s="14" t="str">
        <x:v>F4 - 60 Gün / 60 Tam Deneme</x:v>
      </x:c>
      <x:c r="G2855" s="14" t="str">
        <x:v>20:00</x:v>
      </x:c>
      <x:c r="H2855" s="14" t="str">
        <x:v>20:45</x:v>
      </x:c>
      <x:c r="I2855" s="14" t="str">
        <x:v>Deneme</x:v>
      </x:c>
      <x:c r="J2855" s="14" t="str">
        <x:v>Deneme Analizi</x:v>
      </x:c>
      <x:c r="K2855" s="14" t="str">
        <x:v>Deneme 50</x:v>
      </x:c>
      <x:c r="L2855" s="14" t="str">
        <x:v>Tüm yanlış/boşları nedenleriyle analiz et; bilgi eksikliği, işlem, dikkat, yanlış okuma veya yorumlama olarak sınıflandır.</x:v>
      </x:c>
      <x:c r="M2855" s="14" t="str">
        <x:v>Deneme Takibi</x:v>
      </x:c>
      <x:c r="N2855" s="14" t="str"/>
      <x:c r="O2855" s="14" t="n">
        <x:v>0</x:v>
      </x:c>
      <x:c r="P2855" s="14" t="str">
        <x:v>Hayır</x:v>
      </x:c>
      <x:c r="Q2855" s="14" t="str">
        <x:v>Evet</x:v>
      </x:c>
      <x:c r="R2855" s="14" t="str">
        <x:v>Planlandı</x:v>
      </x:c>
      <x:c r="S2855" s="15" t="str"/>
      <x:c r="T2855" s="14" t="str">
        <x:v>Deneme çözülüp analiz edilmediyse gün tamamlanmış sayılmaz.</x:v>
      </x:c>
    </x:row>
    <x:row r="2856">
      <x:c r="A2856" s="14" t="n">
        <x:v>2855</x:v>
      </x:c>
      <x:c r="B2856" s="15" t="n">
        <x:v>46540</x:v>
      </x:c>
      <x:c r="C2856" s="14" t="str">
        <x:v>Çarşamba</x:v>
      </x:c>
      <x:c r="D2856" s="14" t="str">
        <x:v>Okul Günü</x:v>
      </x:c>
      <x:c r="E2856" s="14" t="str">
        <x:v>16:00 sonrası</x:v>
      </x:c>
      <x:c r="F2856" s="14" t="str">
        <x:v>F4 - 60 Gün / 60 Tam Deneme</x:v>
      </x:c>
      <x:c r="G2856" s="14" t="str">
        <x:v>20:50</x:v>
      </x:c>
      <x:c r="H2856" s="14" t="str">
        <x:v>21:25</x:v>
      </x:c>
      <x:c r="I2856" s="14" t="str">
        <x:v>Genel</x:v>
      </x:c>
      <x:c r="J2856" s="14" t="str">
        <x:v>Hedefli Eksik Giderme</x:v>
      </x:c>
      <x:c r="K2856" s="14" t="str">
        <x:v>Denemeden Gelen Eksikler</x:v>
      </x:c>
      <x:c r="L2856" s="14" t="str">
        <x:v>Denemenin gösterdiği en kritik 1-3 eksiği gider: gerekirse ilgili playlist videosuna kısa dönüş + hedefli soru çözümü.</x:v>
      </x:c>
      <x:c r="M2856" s="14" t="str">
        <x:v>Playlist + Soru Kitabı + MEB</x:v>
      </x:c>
      <x:c r="N2856" s="14" t="str"/>
      <x:c r="O2856" s="14" t="n">
        <x:v>0</x:v>
      </x:c>
      <x:c r="P2856" s="14" t="str">
        <x:v>Hayır</x:v>
      </x:c>
      <x:c r="Q2856" s="14" t="str">
        <x:v>Evet</x:v>
      </x:c>
      <x:c r="R2856" s="14" t="str">
        <x:v>Planlandı</x:v>
      </x:c>
      <x:c r="S2856" s="15" t="str"/>
      <x:c r="T2856" s="14" t="str">
        <x:v>Yeni konu açılmaz; yalnız denemenin kanıtladığı eksiğe müdahale edilir.</x:v>
      </x:c>
    </x:row>
    <x:row r="2857">
      <x:c r="A2857" s="14" t="n">
        <x:v>2856</x:v>
      </x:c>
      <x:c r="B2857" s="15" t="n">
        <x:v>46540</x:v>
      </x:c>
      <x:c r="C2857" s="14" t="str">
        <x:v>Çarşamba</x:v>
      </x:c>
      <x:c r="D2857" s="14" t="str">
        <x:v>Okul Günü</x:v>
      </x:c>
      <x:c r="E2857" s="14" t="str">
        <x:v>16:00 sonrası</x:v>
      </x:c>
      <x:c r="F2857" s="14" t="str">
        <x:v>F4 - 60 Gün / 60 Tam Deneme</x:v>
      </x:c>
      <x:c r="G2857" s="14" t="str">
        <x:v>21:25</x:v>
      </x:c>
      <x:c r="H2857" s="14" t="str">
        <x:v>21:40</x:v>
      </x:c>
      <x:c r="I2857" s="14" t="str">
        <x:v>Genel</x:v>
      </x:c>
      <x:c r="J2857" s="14" t="str">
        <x:v>Aralıklı Hata Tekrarı</x:v>
      </x:c>
      <x:c r="K2857" s="14" t="str">
        <x:v>+1 / +7 / +21</x:v>
      </x:c>
      <x:c r="L2857" s="14" t="str">
        <x:v>Bugün vadesi gelen eski yanlışları tekrar çöz ve bugünkü yanlışları Yanlış Defteri'ne ekle.</x:v>
      </x:c>
      <x:c r="M2857" s="14" t="str">
        <x:v>Yanlış Defteri</x:v>
      </x:c>
      <x:c r="N2857" s="14" t="str"/>
      <x:c r="O2857" s="14" t="n">
        <x:v>0</x:v>
      </x:c>
      <x:c r="P2857" s="14" t="str">
        <x:v>Hayır</x:v>
      </x:c>
      <x:c r="Q2857" s="14" t="str">
        <x:v>Evet</x:v>
      </x:c>
      <x:c r="R2857" s="14" t="str">
        <x:v>Planlandı</x:v>
      </x:c>
      <x:c r="S2857" s="15" t="str"/>
      <x:c r="T2857" s="14" t="str"/>
    </x:row>
    <x:row r="2858">
      <x:c r="A2858" s="14" t="n">
        <x:v>2857</x:v>
      </x:c>
      <x:c r="B2858" s="15" t="n">
        <x:v>46540</x:v>
      </x:c>
      <x:c r="C2858" s="14" t="str">
        <x:v>Çarşamba</x:v>
      </x:c>
      <x:c r="D2858" s="14" t="str">
        <x:v>Okul Günü</x:v>
      </x:c>
      <x:c r="E2858" s="14" t="str">
        <x:v>16:00 sonrası</x:v>
      </x:c>
      <x:c r="F2858" s="14" t="str">
        <x:v>F4 - 60 Gün / 60 Tam Deneme</x:v>
      </x:c>
      <x:c r="G2858" s="14" t="str">
        <x:v>21:40</x:v>
      </x:c>
      <x:c r="H2858" s="14" t="str">
        <x:v>21:50</x:v>
      </x:c>
      <x:c r="I2858" s="14" t="str">
        <x:v>Okuma</x:v>
      </x:c>
      <x:c r="J2858" s="14" t="str">
        <x:v>İsteğe Bağlı</x:v>
      </x:c>
      <x:c r="K2858" s="14" t="str">
        <x:v>Serbest Kitap</x:v>
      </x:c>
      <x:c r="L2858" s="14" t="str">
        <x:v>Enerji uygunsa kısa isteğe bağlı okuma.</x:v>
      </x:c>
      <x:c r="M2858" s="14" t="str">
        <x:v>Serbest Kitap</x:v>
      </x:c>
      <x:c r="N2858" s="14" t="str"/>
      <x:c r="O2858" s="14" t="n">
        <x:v>0</x:v>
      </x:c>
      <x:c r="P2858" s="14" t="str">
        <x:v>İsteğe Bağlı</x:v>
      </x:c>
      <x:c r="Q2858" s="14" t="str">
        <x:v>Hayır</x:v>
      </x:c>
      <x:c r="R2858" s="14" t="str">
        <x:v>Planlandı</x:v>
      </x:c>
      <x:c r="S2858" s="15" t="str"/>
      <x:c r="T2858" s="14" t="str"/>
    </x:row>
    <x:row r="2859">
      <x:c r="A2859" s="14" t="n">
        <x:v>2858</x:v>
      </x:c>
      <x:c r="B2859" s="15" t="n">
        <x:v>46540</x:v>
      </x:c>
      <x:c r="C2859" s="14" t="str">
        <x:v>Çarşamba</x:v>
      </x:c>
      <x:c r="D2859" s="14" t="str">
        <x:v>Okul Günü</x:v>
      </x:c>
      <x:c r="E2859" s="14" t="str">
        <x:v>16:00 sonrası</x:v>
      </x:c>
      <x:c r="F2859" s="14" t="str">
        <x:v>F4 - 60 Gün / 60 Tam Deneme</x:v>
      </x:c>
      <x:c r="G2859" s="14" t="str">
        <x:v>21:50</x:v>
      </x:c>
      <x:c r="H2859" s="14" t="str">
        <x:v>22:00</x:v>
      </x:c>
      <x:c r="I2859" s="14" t="str">
        <x:v>Genel</x:v>
      </x:c>
      <x:c r="J2859" s="14" t="str">
        <x:v>Uyku Hazırlığı</x:v>
      </x:c>
      <x:c r="K2859" s="14" t="str"/>
      <x:c r="L2859" s="14" t="str">
        <x:v>22:00'de yatakta ve uyku.</x:v>
      </x:c>
      <x:c r="M2859" s="14" t="str"/>
      <x:c r="N2859" s="14" t="str"/>
      <x:c r="O2859" s="14" t="n">
        <x:v>0</x:v>
      </x:c>
      <x:c r="P2859" s="14" t="str">
        <x:v>Hayır</x:v>
      </x:c>
      <x:c r="Q2859" s="14" t="str">
        <x:v>Hayır</x:v>
      </x:c>
      <x:c r="R2859" s="14" t="str">
        <x:v>Planlandı</x:v>
      </x:c>
      <x:c r="S2859" s="15" t="str"/>
      <x:c r="T2859" s="14" t="str"/>
    </x:row>
    <x:row r="2860">
      <x:c r="A2860" s="14" t="n">
        <x:v>2859</x:v>
      </x:c>
      <x:c r="B2860" s="15" t="n">
        <x:v>46541</x:v>
      </x:c>
      <x:c r="C2860" s="14" t="str">
        <x:v>Perşembe</x:v>
      </x:c>
      <x:c r="D2860" s="14" t="str">
        <x:v>Okul Günü</x:v>
      </x:c>
      <x:c r="E2860" s="14" t="str">
        <x:v>16:00 sonrası</x:v>
      </x:c>
      <x:c r="F2860" s="14" t="str">
        <x:v>F4 - 60 Gün / 60 Tam Deneme</x:v>
      </x:c>
      <x:c r="G2860" s="14" t="str">
        <x:v>16:00</x:v>
      </x:c>
      <x:c r="H2860" s="14" t="str">
        <x:v>16:25</x:v>
      </x:c>
      <x:c r="I2860" s="14" t="str">
        <x:v>Genel</x:v>
      </x:c>
      <x:c r="J2860" s="14" t="str">
        <x:v>Dinlenme</x:v>
      </x:c>
      <x:c r="K2860" s="14" t="str"/>
      <x:c r="L2860" s="14" t="str">
        <x:v>Eve geliş + kısa dinlenme.</x:v>
      </x:c>
      <x:c r="M2860" s="14" t="str"/>
      <x:c r="N2860" s="14" t="str"/>
      <x:c r="O2860" s="14" t="n">
        <x:v>0</x:v>
      </x:c>
      <x:c r="P2860" s="14" t="str">
        <x:v>Hayır</x:v>
      </x:c>
      <x:c r="Q2860" s="14" t="str">
        <x:v>Hayır</x:v>
      </x:c>
      <x:c r="R2860" s="14" t="str">
        <x:v>Planlandı</x:v>
      </x:c>
      <x:c r="S2860" s="15" t="str"/>
      <x:c r="T2860" s="14" t="str"/>
    </x:row>
    <x:row r="2861">
      <x:c r="A2861" s="14" t="n">
        <x:v>2860</x:v>
      </x:c>
      <x:c r="B2861" s="15" t="n">
        <x:v>46541</x:v>
      </x:c>
      <x:c r="C2861" s="14" t="str">
        <x:v>Perşembe</x:v>
      </x:c>
      <x:c r="D2861" s="14" t="str">
        <x:v>Okul Günü</x:v>
      </x:c>
      <x:c r="E2861" s="14" t="str">
        <x:v>16:00 sonrası</x:v>
      </x:c>
      <x:c r="F2861" s="14" t="str">
        <x:v>F4 - 60 Gün / 60 Tam Deneme</x:v>
      </x:c>
      <x:c r="G2861" s="14" t="str">
        <x:v>16:30</x:v>
      </x:c>
      <x:c r="H2861" s="14" t="str">
        <x:v>17:45</x:v>
      </x:c>
      <x:c r="I2861" s="14" t="str">
        <x:v>Deneme</x:v>
      </x:c>
      <x:c r="J2861" s="14" t="str">
        <x:v>Tam LGS Denemesi - Sözel</x:v>
      </x:c>
      <x:c r="K2861" s="14" t="str">
        <x:v>Deneme 51</x:v>
      </x:c>
      <x:c r="L2861" s="14" t="str">
        <x:v>Deneme 51/60 — Sözel oturum: Türkçe 20 + İnkılap 10 + Din 10 + İngilizce 10. 75 dakika.</x:v>
      </x:c>
      <x:c r="M2861" s="14" t="str">
        <x:v>Tam LGS Denemesi</x:v>
      </x:c>
      <x:c r="N2861" s="14" t="str"/>
      <x:c r="O2861" s="14" t="n">
        <x:v>50</x:v>
      </x:c>
      <x:c r="P2861" s="14" t="str">
        <x:v>75 dk</x:v>
      </x:c>
      <x:c r="Q2861" s="14" t="str">
        <x:v>Evet</x:v>
      </x:c>
      <x:c r="R2861" s="14" t="str">
        <x:v>Planlandı</x:v>
      </x:c>
      <x:c r="S2861" s="15" t="str"/>
      <x:c r="T2861" s="14" t="str">
        <x:v>2026 LGS formatı çalışma referansıdır; 2027 kılavuzu yayımlanırsa güncellenir.</x:v>
      </x:c>
    </x:row>
    <x:row r="2862">
      <x:c r="A2862" s="14" t="n">
        <x:v>2861</x:v>
      </x:c>
      <x:c r="B2862" s="15" t="n">
        <x:v>46541</x:v>
      </x:c>
      <x:c r="C2862" s="14" t="str">
        <x:v>Perşembe</x:v>
      </x:c>
      <x:c r="D2862" s="14" t="str">
        <x:v>Okul Günü</x:v>
      </x:c>
      <x:c r="E2862" s="14" t="str">
        <x:v>16:00 sonrası</x:v>
      </x:c>
      <x:c r="F2862" s="14" t="str">
        <x:v>F4 - 60 Gün / 60 Tam Deneme</x:v>
      </x:c>
      <x:c r="G2862" s="14" t="str">
        <x:v>17:45</x:v>
      </x:c>
      <x:c r="H2862" s="14" t="str">
        <x:v>18:30</x:v>
      </x:c>
      <x:c r="I2862" s="14" t="str">
        <x:v>Genel</x:v>
      </x:c>
      <x:c r="J2862" s="14" t="str">
        <x:v>Deneme Arası</x:v>
      </x:c>
      <x:c r="K2862" s="14" t="str"/>
      <x:c r="L2862" s="14" t="str">
        <x:v>45 dakika gerçek sınav arası simülasyonu: yemek/su/tuvalet; soru analizi yapma.</x:v>
      </x:c>
      <x:c r="M2862" s="14" t="str"/>
      <x:c r="N2862" s="14" t="str"/>
      <x:c r="O2862" s="14" t="n">
        <x:v>0</x:v>
      </x:c>
      <x:c r="P2862" s="14" t="str">
        <x:v>Hayır</x:v>
      </x:c>
      <x:c r="Q2862" s="14" t="str">
        <x:v>Evet</x:v>
      </x:c>
      <x:c r="R2862" s="14" t="str">
        <x:v>Planlandı</x:v>
      </x:c>
      <x:c r="S2862" s="15" t="str"/>
      <x:c r="T2862" s="14" t="str"/>
    </x:row>
    <x:row r="2863">
      <x:c r="A2863" s="14" t="n">
        <x:v>2862</x:v>
      </x:c>
      <x:c r="B2863" s="15" t="n">
        <x:v>46541</x:v>
      </x:c>
      <x:c r="C2863" s="14" t="str">
        <x:v>Perşembe</x:v>
      </x:c>
      <x:c r="D2863" s="14" t="str">
        <x:v>Okul Günü</x:v>
      </x:c>
      <x:c r="E2863" s="14" t="str">
        <x:v>16:00 sonrası</x:v>
      </x:c>
      <x:c r="F2863" s="14" t="str">
        <x:v>F4 - 60 Gün / 60 Tam Deneme</x:v>
      </x:c>
      <x:c r="G2863" s="14" t="str">
        <x:v>18:30</x:v>
      </x:c>
      <x:c r="H2863" s="14" t="str">
        <x:v>19:50</x:v>
      </x:c>
      <x:c r="I2863" s="14" t="str">
        <x:v>Deneme</x:v>
      </x:c>
      <x:c r="J2863" s="14" t="str">
        <x:v>Tam LGS Denemesi - Sayısal</x:v>
      </x:c>
      <x:c r="K2863" s="14" t="str">
        <x:v>Deneme 51</x:v>
      </x:c>
      <x:c r="L2863" s="14" t="str">
        <x:v>Deneme 51/60 — Sayısal oturum: Matematik 20 + Fen 20. 80 dakika.</x:v>
      </x:c>
      <x:c r="M2863" s="14" t="str">
        <x:v>Tam LGS Denemesi</x:v>
      </x:c>
      <x:c r="N2863" s="14" t="str"/>
      <x:c r="O2863" s="14" t="n">
        <x:v>40</x:v>
      </x:c>
      <x:c r="P2863" s="14" t="str">
        <x:v>80 dk</x:v>
      </x:c>
      <x:c r="Q2863" s="14" t="str">
        <x:v>Evet</x:v>
      </x:c>
      <x:c r="R2863" s="14" t="str">
        <x:v>Planlandı</x:v>
      </x:c>
      <x:c r="S2863" s="15" t="str"/>
      <x:c r="T2863" s="14" t="str"/>
    </x:row>
    <x:row r="2864">
      <x:c r="A2864" s="14" t="n">
        <x:v>2863</x:v>
      </x:c>
      <x:c r="B2864" s="15" t="n">
        <x:v>46541</x:v>
      </x:c>
      <x:c r="C2864" s="14" t="str">
        <x:v>Perşembe</x:v>
      </x:c>
      <x:c r="D2864" s="14" t="str">
        <x:v>Okul Günü</x:v>
      </x:c>
      <x:c r="E2864" s="14" t="str">
        <x:v>16:00 sonrası</x:v>
      </x:c>
      <x:c r="F2864" s="14" t="str">
        <x:v>F4 - 60 Gün / 60 Tam Deneme</x:v>
      </x:c>
      <x:c r="G2864" s="14" t="str">
        <x:v>20:00</x:v>
      </x:c>
      <x:c r="H2864" s="14" t="str">
        <x:v>20:45</x:v>
      </x:c>
      <x:c r="I2864" s="14" t="str">
        <x:v>Deneme</x:v>
      </x:c>
      <x:c r="J2864" s="14" t="str">
        <x:v>Deneme Analizi</x:v>
      </x:c>
      <x:c r="K2864" s="14" t="str">
        <x:v>Deneme 51</x:v>
      </x:c>
      <x:c r="L2864" s="14" t="str">
        <x:v>Tüm yanlış/boşları nedenleriyle analiz et; bilgi eksikliği, işlem, dikkat, yanlış okuma veya yorumlama olarak sınıflandır.</x:v>
      </x:c>
      <x:c r="M2864" s="14" t="str">
        <x:v>Deneme Takibi</x:v>
      </x:c>
      <x:c r="N2864" s="14" t="str"/>
      <x:c r="O2864" s="14" t="n">
        <x:v>0</x:v>
      </x:c>
      <x:c r="P2864" s="14" t="str">
        <x:v>Hayır</x:v>
      </x:c>
      <x:c r="Q2864" s="14" t="str">
        <x:v>Evet</x:v>
      </x:c>
      <x:c r="R2864" s="14" t="str">
        <x:v>Planlandı</x:v>
      </x:c>
      <x:c r="S2864" s="15" t="str"/>
      <x:c r="T2864" s="14" t="str">
        <x:v>Deneme çözülüp analiz edilmediyse gün tamamlanmış sayılmaz.</x:v>
      </x:c>
    </x:row>
    <x:row r="2865">
      <x:c r="A2865" s="14" t="n">
        <x:v>2864</x:v>
      </x:c>
      <x:c r="B2865" s="15" t="n">
        <x:v>46541</x:v>
      </x:c>
      <x:c r="C2865" s="14" t="str">
        <x:v>Perşembe</x:v>
      </x:c>
      <x:c r="D2865" s="14" t="str">
        <x:v>Okul Günü</x:v>
      </x:c>
      <x:c r="E2865" s="14" t="str">
        <x:v>16:00 sonrası</x:v>
      </x:c>
      <x:c r="F2865" s="14" t="str">
        <x:v>F4 - 60 Gün / 60 Tam Deneme</x:v>
      </x:c>
      <x:c r="G2865" s="14" t="str">
        <x:v>20:50</x:v>
      </x:c>
      <x:c r="H2865" s="14" t="str">
        <x:v>21:25</x:v>
      </x:c>
      <x:c r="I2865" s="14" t="str">
        <x:v>Genel</x:v>
      </x:c>
      <x:c r="J2865" s="14" t="str">
        <x:v>Hedefli Eksik Giderme</x:v>
      </x:c>
      <x:c r="K2865" s="14" t="str">
        <x:v>Denemeden Gelen Eksikler</x:v>
      </x:c>
      <x:c r="L2865" s="14" t="str">
        <x:v>Denemenin gösterdiği en kritik 1-3 eksiği gider: gerekirse ilgili playlist videosuna kısa dönüş + hedefli soru çözümü.</x:v>
      </x:c>
      <x:c r="M2865" s="14" t="str">
        <x:v>Playlist + Soru Kitabı + MEB</x:v>
      </x:c>
      <x:c r="N2865" s="14" t="str"/>
      <x:c r="O2865" s="14" t="n">
        <x:v>0</x:v>
      </x:c>
      <x:c r="P2865" s="14" t="str">
        <x:v>Hayır</x:v>
      </x:c>
      <x:c r="Q2865" s="14" t="str">
        <x:v>Evet</x:v>
      </x:c>
      <x:c r="R2865" s="14" t="str">
        <x:v>Planlandı</x:v>
      </x:c>
      <x:c r="S2865" s="15" t="str"/>
      <x:c r="T2865" s="14" t="str">
        <x:v>Yeni konu açılmaz; yalnız denemenin kanıtladığı eksiğe müdahale edilir.</x:v>
      </x:c>
    </x:row>
    <x:row r="2866">
      <x:c r="A2866" s="14" t="n">
        <x:v>2865</x:v>
      </x:c>
      <x:c r="B2866" s="15" t="n">
        <x:v>46541</x:v>
      </x:c>
      <x:c r="C2866" s="14" t="str">
        <x:v>Perşembe</x:v>
      </x:c>
      <x:c r="D2866" s="14" t="str">
        <x:v>Okul Günü</x:v>
      </x:c>
      <x:c r="E2866" s="14" t="str">
        <x:v>16:00 sonrası</x:v>
      </x:c>
      <x:c r="F2866" s="14" t="str">
        <x:v>F4 - 60 Gün / 60 Tam Deneme</x:v>
      </x:c>
      <x:c r="G2866" s="14" t="str">
        <x:v>21:25</x:v>
      </x:c>
      <x:c r="H2866" s="14" t="str">
        <x:v>21:40</x:v>
      </x:c>
      <x:c r="I2866" s="14" t="str">
        <x:v>Genel</x:v>
      </x:c>
      <x:c r="J2866" s="14" t="str">
        <x:v>Aralıklı Hata Tekrarı</x:v>
      </x:c>
      <x:c r="K2866" s="14" t="str">
        <x:v>+1 / +7 / +21</x:v>
      </x:c>
      <x:c r="L2866" s="14" t="str">
        <x:v>Bugün vadesi gelen eski yanlışları tekrar çöz ve bugünkü yanlışları Yanlış Defteri'ne ekle.</x:v>
      </x:c>
      <x:c r="M2866" s="14" t="str">
        <x:v>Yanlış Defteri</x:v>
      </x:c>
      <x:c r="N2866" s="14" t="str"/>
      <x:c r="O2866" s="14" t="n">
        <x:v>0</x:v>
      </x:c>
      <x:c r="P2866" s="14" t="str">
        <x:v>Hayır</x:v>
      </x:c>
      <x:c r="Q2866" s="14" t="str">
        <x:v>Evet</x:v>
      </x:c>
      <x:c r="R2866" s="14" t="str">
        <x:v>Planlandı</x:v>
      </x:c>
      <x:c r="S2866" s="15" t="str"/>
      <x:c r="T2866" s="14" t="str"/>
    </x:row>
    <x:row r="2867">
      <x:c r="A2867" s="14" t="n">
        <x:v>2866</x:v>
      </x:c>
      <x:c r="B2867" s="15" t="n">
        <x:v>46541</x:v>
      </x:c>
      <x:c r="C2867" s="14" t="str">
        <x:v>Perşembe</x:v>
      </x:c>
      <x:c r="D2867" s="14" t="str">
        <x:v>Okul Günü</x:v>
      </x:c>
      <x:c r="E2867" s="14" t="str">
        <x:v>16:00 sonrası</x:v>
      </x:c>
      <x:c r="F2867" s="14" t="str">
        <x:v>F4 - 60 Gün / 60 Tam Deneme</x:v>
      </x:c>
      <x:c r="G2867" s="14" t="str">
        <x:v>21:40</x:v>
      </x:c>
      <x:c r="H2867" s="14" t="str">
        <x:v>21:50</x:v>
      </x:c>
      <x:c r="I2867" s="14" t="str">
        <x:v>Okuma</x:v>
      </x:c>
      <x:c r="J2867" s="14" t="str">
        <x:v>İsteğe Bağlı</x:v>
      </x:c>
      <x:c r="K2867" s="14" t="str">
        <x:v>Serbest Kitap</x:v>
      </x:c>
      <x:c r="L2867" s="14" t="str">
        <x:v>Enerji uygunsa kısa isteğe bağlı okuma.</x:v>
      </x:c>
      <x:c r="M2867" s="14" t="str">
        <x:v>Serbest Kitap</x:v>
      </x:c>
      <x:c r="N2867" s="14" t="str"/>
      <x:c r="O2867" s="14" t="n">
        <x:v>0</x:v>
      </x:c>
      <x:c r="P2867" s="14" t="str">
        <x:v>İsteğe Bağlı</x:v>
      </x:c>
      <x:c r="Q2867" s="14" t="str">
        <x:v>Hayır</x:v>
      </x:c>
      <x:c r="R2867" s="14" t="str">
        <x:v>Planlandı</x:v>
      </x:c>
      <x:c r="S2867" s="15" t="str"/>
      <x:c r="T2867" s="14" t="str"/>
    </x:row>
    <x:row r="2868">
      <x:c r="A2868" s="14" t="n">
        <x:v>2867</x:v>
      </x:c>
      <x:c r="B2868" s="15" t="n">
        <x:v>46541</x:v>
      </x:c>
      <x:c r="C2868" s="14" t="str">
        <x:v>Perşembe</x:v>
      </x:c>
      <x:c r="D2868" s="14" t="str">
        <x:v>Okul Günü</x:v>
      </x:c>
      <x:c r="E2868" s="14" t="str">
        <x:v>16:00 sonrası</x:v>
      </x:c>
      <x:c r="F2868" s="14" t="str">
        <x:v>F4 - 60 Gün / 60 Tam Deneme</x:v>
      </x:c>
      <x:c r="G2868" s="14" t="str">
        <x:v>21:50</x:v>
      </x:c>
      <x:c r="H2868" s="14" t="str">
        <x:v>22:00</x:v>
      </x:c>
      <x:c r="I2868" s="14" t="str">
        <x:v>Genel</x:v>
      </x:c>
      <x:c r="J2868" s="14" t="str">
        <x:v>Uyku Hazırlığı</x:v>
      </x:c>
      <x:c r="K2868" s="14" t="str"/>
      <x:c r="L2868" s="14" t="str">
        <x:v>22:00'de yatakta ve uyku.</x:v>
      </x:c>
      <x:c r="M2868" s="14" t="str"/>
      <x:c r="N2868" s="14" t="str"/>
      <x:c r="O2868" s="14" t="n">
        <x:v>0</x:v>
      </x:c>
      <x:c r="P2868" s="14" t="str">
        <x:v>Hayır</x:v>
      </x:c>
      <x:c r="Q2868" s="14" t="str">
        <x:v>Hayır</x:v>
      </x:c>
      <x:c r="R2868" s="14" t="str">
        <x:v>Planlandı</x:v>
      </x:c>
      <x:c r="S2868" s="15" t="str"/>
      <x:c r="T2868" s="14" t="str"/>
    </x:row>
    <x:row r="2869">
      <x:c r="A2869" s="14" t="n">
        <x:v>2868</x:v>
      </x:c>
      <x:c r="B2869" s="15" t="n">
        <x:v>46542</x:v>
      </x:c>
      <x:c r="C2869" s="14" t="str">
        <x:v>Cuma</x:v>
      </x:c>
      <x:c r="D2869" s="14" t="str">
        <x:v>Okul Günü</x:v>
      </x:c>
      <x:c r="E2869" s="14" t="str">
        <x:v>16:00 sonrası</x:v>
      </x:c>
      <x:c r="F2869" s="14" t="str">
        <x:v>F4 - 60 Gün / 60 Tam Deneme</x:v>
      </x:c>
      <x:c r="G2869" s="14" t="str">
        <x:v>16:00</x:v>
      </x:c>
      <x:c r="H2869" s="14" t="str">
        <x:v>16:25</x:v>
      </x:c>
      <x:c r="I2869" s="14" t="str">
        <x:v>Genel</x:v>
      </x:c>
      <x:c r="J2869" s="14" t="str">
        <x:v>Dinlenme</x:v>
      </x:c>
      <x:c r="K2869" s="14" t="str"/>
      <x:c r="L2869" s="14" t="str">
        <x:v>Eve geliş + kısa dinlenme.</x:v>
      </x:c>
      <x:c r="M2869" s="14" t="str"/>
      <x:c r="N2869" s="14" t="str"/>
      <x:c r="O2869" s="14" t="n">
        <x:v>0</x:v>
      </x:c>
      <x:c r="P2869" s="14" t="str">
        <x:v>Hayır</x:v>
      </x:c>
      <x:c r="Q2869" s="14" t="str">
        <x:v>Hayır</x:v>
      </x:c>
      <x:c r="R2869" s="14" t="str">
        <x:v>Planlandı</x:v>
      </x:c>
      <x:c r="S2869" s="15" t="str"/>
      <x:c r="T2869" s="14" t="str"/>
    </x:row>
    <x:row r="2870">
      <x:c r="A2870" s="14" t="n">
        <x:v>2869</x:v>
      </x:c>
      <x:c r="B2870" s="15" t="n">
        <x:v>46542</x:v>
      </x:c>
      <x:c r="C2870" s="14" t="str">
        <x:v>Cuma</x:v>
      </x:c>
      <x:c r="D2870" s="14" t="str">
        <x:v>Okul Günü</x:v>
      </x:c>
      <x:c r="E2870" s="14" t="str">
        <x:v>16:00 sonrası</x:v>
      </x:c>
      <x:c r="F2870" s="14" t="str">
        <x:v>F4 - 60 Gün / 60 Tam Deneme</x:v>
      </x:c>
      <x:c r="G2870" s="14" t="str">
        <x:v>16:30</x:v>
      </x:c>
      <x:c r="H2870" s="14" t="str">
        <x:v>17:45</x:v>
      </x:c>
      <x:c r="I2870" s="14" t="str">
        <x:v>Deneme</x:v>
      </x:c>
      <x:c r="J2870" s="14" t="str">
        <x:v>Tam LGS Denemesi - Sözel</x:v>
      </x:c>
      <x:c r="K2870" s="14" t="str">
        <x:v>Deneme 52</x:v>
      </x:c>
      <x:c r="L2870" s="14" t="str">
        <x:v>Deneme 52/60 — Sözel oturum: Türkçe 20 + İnkılap 10 + Din 10 + İngilizce 10. 75 dakika.</x:v>
      </x:c>
      <x:c r="M2870" s="14" t="str">
        <x:v>Tam LGS Denemesi</x:v>
      </x:c>
      <x:c r="N2870" s="14" t="str"/>
      <x:c r="O2870" s="14" t="n">
        <x:v>50</x:v>
      </x:c>
      <x:c r="P2870" s="14" t="str">
        <x:v>75 dk</x:v>
      </x:c>
      <x:c r="Q2870" s="14" t="str">
        <x:v>Evet</x:v>
      </x:c>
      <x:c r="R2870" s="14" t="str">
        <x:v>Planlandı</x:v>
      </x:c>
      <x:c r="S2870" s="15" t="str"/>
      <x:c r="T2870" s="14" t="str">
        <x:v>2026 LGS formatı çalışma referansıdır; 2027 kılavuzu yayımlanırsa güncellenir.</x:v>
      </x:c>
    </x:row>
    <x:row r="2871">
      <x:c r="A2871" s="14" t="n">
        <x:v>2870</x:v>
      </x:c>
      <x:c r="B2871" s="15" t="n">
        <x:v>46542</x:v>
      </x:c>
      <x:c r="C2871" s="14" t="str">
        <x:v>Cuma</x:v>
      </x:c>
      <x:c r="D2871" s="14" t="str">
        <x:v>Okul Günü</x:v>
      </x:c>
      <x:c r="E2871" s="14" t="str">
        <x:v>16:00 sonrası</x:v>
      </x:c>
      <x:c r="F2871" s="14" t="str">
        <x:v>F4 - 60 Gün / 60 Tam Deneme</x:v>
      </x:c>
      <x:c r="G2871" s="14" t="str">
        <x:v>17:45</x:v>
      </x:c>
      <x:c r="H2871" s="14" t="str">
        <x:v>18:30</x:v>
      </x:c>
      <x:c r="I2871" s="14" t="str">
        <x:v>Genel</x:v>
      </x:c>
      <x:c r="J2871" s="14" t="str">
        <x:v>Deneme Arası</x:v>
      </x:c>
      <x:c r="K2871" s="14" t="str"/>
      <x:c r="L2871" s="14" t="str">
        <x:v>45 dakika gerçek sınav arası simülasyonu: yemek/su/tuvalet; soru analizi yapma.</x:v>
      </x:c>
      <x:c r="M2871" s="14" t="str"/>
      <x:c r="N2871" s="14" t="str"/>
      <x:c r="O2871" s="14" t="n">
        <x:v>0</x:v>
      </x:c>
      <x:c r="P2871" s="14" t="str">
        <x:v>Hayır</x:v>
      </x:c>
      <x:c r="Q2871" s="14" t="str">
        <x:v>Evet</x:v>
      </x:c>
      <x:c r="R2871" s="14" t="str">
        <x:v>Planlandı</x:v>
      </x:c>
      <x:c r="S2871" s="15" t="str"/>
      <x:c r="T2871" s="14" t="str"/>
    </x:row>
    <x:row r="2872">
      <x:c r="A2872" s="14" t="n">
        <x:v>2871</x:v>
      </x:c>
      <x:c r="B2872" s="15" t="n">
        <x:v>46542</x:v>
      </x:c>
      <x:c r="C2872" s="14" t="str">
        <x:v>Cuma</x:v>
      </x:c>
      <x:c r="D2872" s="14" t="str">
        <x:v>Okul Günü</x:v>
      </x:c>
      <x:c r="E2872" s="14" t="str">
        <x:v>16:00 sonrası</x:v>
      </x:c>
      <x:c r="F2872" s="14" t="str">
        <x:v>F4 - 60 Gün / 60 Tam Deneme</x:v>
      </x:c>
      <x:c r="G2872" s="14" t="str">
        <x:v>18:30</x:v>
      </x:c>
      <x:c r="H2872" s="14" t="str">
        <x:v>19:50</x:v>
      </x:c>
      <x:c r="I2872" s="14" t="str">
        <x:v>Deneme</x:v>
      </x:c>
      <x:c r="J2872" s="14" t="str">
        <x:v>Tam LGS Denemesi - Sayısal</x:v>
      </x:c>
      <x:c r="K2872" s="14" t="str">
        <x:v>Deneme 52</x:v>
      </x:c>
      <x:c r="L2872" s="14" t="str">
        <x:v>Deneme 52/60 — Sayısal oturum: Matematik 20 + Fen 20. 80 dakika.</x:v>
      </x:c>
      <x:c r="M2872" s="14" t="str">
        <x:v>Tam LGS Denemesi</x:v>
      </x:c>
      <x:c r="N2872" s="14" t="str"/>
      <x:c r="O2872" s="14" t="n">
        <x:v>40</x:v>
      </x:c>
      <x:c r="P2872" s="14" t="str">
        <x:v>80 dk</x:v>
      </x:c>
      <x:c r="Q2872" s="14" t="str">
        <x:v>Evet</x:v>
      </x:c>
      <x:c r="R2872" s="14" t="str">
        <x:v>Planlandı</x:v>
      </x:c>
      <x:c r="S2872" s="15" t="str"/>
      <x:c r="T2872" s="14" t="str"/>
    </x:row>
    <x:row r="2873">
      <x:c r="A2873" s="14" t="n">
        <x:v>2872</x:v>
      </x:c>
      <x:c r="B2873" s="15" t="n">
        <x:v>46542</x:v>
      </x:c>
      <x:c r="C2873" s="14" t="str">
        <x:v>Cuma</x:v>
      </x:c>
      <x:c r="D2873" s="14" t="str">
        <x:v>Okul Günü</x:v>
      </x:c>
      <x:c r="E2873" s="14" t="str">
        <x:v>16:00 sonrası</x:v>
      </x:c>
      <x:c r="F2873" s="14" t="str">
        <x:v>F4 - 60 Gün / 60 Tam Deneme</x:v>
      </x:c>
      <x:c r="G2873" s="14" t="str">
        <x:v>20:00</x:v>
      </x:c>
      <x:c r="H2873" s="14" t="str">
        <x:v>20:45</x:v>
      </x:c>
      <x:c r="I2873" s="14" t="str">
        <x:v>Deneme</x:v>
      </x:c>
      <x:c r="J2873" s="14" t="str">
        <x:v>Deneme Analizi</x:v>
      </x:c>
      <x:c r="K2873" s="14" t="str">
        <x:v>Deneme 52</x:v>
      </x:c>
      <x:c r="L2873" s="14" t="str">
        <x:v>Tüm yanlış/boşları nedenleriyle analiz et; bilgi eksikliği, işlem, dikkat, yanlış okuma veya yorumlama olarak sınıflandır.</x:v>
      </x:c>
      <x:c r="M2873" s="14" t="str">
        <x:v>Deneme Takibi</x:v>
      </x:c>
      <x:c r="N2873" s="14" t="str"/>
      <x:c r="O2873" s="14" t="n">
        <x:v>0</x:v>
      </x:c>
      <x:c r="P2873" s="14" t="str">
        <x:v>Hayır</x:v>
      </x:c>
      <x:c r="Q2873" s="14" t="str">
        <x:v>Evet</x:v>
      </x:c>
      <x:c r="R2873" s="14" t="str">
        <x:v>Planlandı</x:v>
      </x:c>
      <x:c r="S2873" s="15" t="str"/>
      <x:c r="T2873" s="14" t="str">
        <x:v>Deneme çözülüp analiz edilmediyse gün tamamlanmış sayılmaz.</x:v>
      </x:c>
    </x:row>
    <x:row r="2874">
      <x:c r="A2874" s="14" t="n">
        <x:v>2873</x:v>
      </x:c>
      <x:c r="B2874" s="15" t="n">
        <x:v>46542</x:v>
      </x:c>
      <x:c r="C2874" s="14" t="str">
        <x:v>Cuma</x:v>
      </x:c>
      <x:c r="D2874" s="14" t="str">
        <x:v>Okul Günü</x:v>
      </x:c>
      <x:c r="E2874" s="14" t="str">
        <x:v>16:00 sonrası</x:v>
      </x:c>
      <x:c r="F2874" s="14" t="str">
        <x:v>F4 - 60 Gün / 60 Tam Deneme</x:v>
      </x:c>
      <x:c r="G2874" s="14" t="str">
        <x:v>20:50</x:v>
      </x:c>
      <x:c r="H2874" s="14" t="str">
        <x:v>21:25</x:v>
      </x:c>
      <x:c r="I2874" s="14" t="str">
        <x:v>Genel</x:v>
      </x:c>
      <x:c r="J2874" s="14" t="str">
        <x:v>Hedefli Eksik Giderme</x:v>
      </x:c>
      <x:c r="K2874" s="14" t="str">
        <x:v>Denemeden Gelen Eksikler</x:v>
      </x:c>
      <x:c r="L2874" s="14" t="str">
        <x:v>Denemenin gösterdiği en kritik 1-3 eksiği gider: gerekirse ilgili playlist videosuna kısa dönüş + hedefli soru çözümü.</x:v>
      </x:c>
      <x:c r="M2874" s="14" t="str">
        <x:v>Playlist + Soru Kitabı + MEB</x:v>
      </x:c>
      <x:c r="N2874" s="14" t="str"/>
      <x:c r="O2874" s="14" t="n">
        <x:v>0</x:v>
      </x:c>
      <x:c r="P2874" s="14" t="str">
        <x:v>Hayır</x:v>
      </x:c>
      <x:c r="Q2874" s="14" t="str">
        <x:v>Evet</x:v>
      </x:c>
      <x:c r="R2874" s="14" t="str">
        <x:v>Planlandı</x:v>
      </x:c>
      <x:c r="S2874" s="15" t="str"/>
      <x:c r="T2874" s="14" t="str">
        <x:v>Yeni konu açılmaz; yalnız denemenin kanıtladığı eksiğe müdahale edilir.</x:v>
      </x:c>
    </x:row>
    <x:row r="2875">
      <x:c r="A2875" s="14" t="n">
        <x:v>2874</x:v>
      </x:c>
      <x:c r="B2875" s="15" t="n">
        <x:v>46542</x:v>
      </x:c>
      <x:c r="C2875" s="14" t="str">
        <x:v>Cuma</x:v>
      </x:c>
      <x:c r="D2875" s="14" t="str">
        <x:v>Okul Günü</x:v>
      </x:c>
      <x:c r="E2875" s="14" t="str">
        <x:v>16:00 sonrası</x:v>
      </x:c>
      <x:c r="F2875" s="14" t="str">
        <x:v>F4 - 60 Gün / 60 Tam Deneme</x:v>
      </x:c>
      <x:c r="G2875" s="14" t="str">
        <x:v>21:25</x:v>
      </x:c>
      <x:c r="H2875" s="14" t="str">
        <x:v>21:40</x:v>
      </x:c>
      <x:c r="I2875" s="14" t="str">
        <x:v>Genel</x:v>
      </x:c>
      <x:c r="J2875" s="14" t="str">
        <x:v>Aralıklı Hata Tekrarı</x:v>
      </x:c>
      <x:c r="K2875" s="14" t="str">
        <x:v>+1 / +7 / +21</x:v>
      </x:c>
      <x:c r="L2875" s="14" t="str">
        <x:v>Bugün vadesi gelen eski yanlışları tekrar çöz ve bugünkü yanlışları Yanlış Defteri'ne ekle.</x:v>
      </x:c>
      <x:c r="M2875" s="14" t="str">
        <x:v>Yanlış Defteri</x:v>
      </x:c>
      <x:c r="N2875" s="14" t="str"/>
      <x:c r="O2875" s="14" t="n">
        <x:v>0</x:v>
      </x:c>
      <x:c r="P2875" s="14" t="str">
        <x:v>Hayır</x:v>
      </x:c>
      <x:c r="Q2875" s="14" t="str">
        <x:v>Evet</x:v>
      </x:c>
      <x:c r="R2875" s="14" t="str">
        <x:v>Planlandı</x:v>
      </x:c>
      <x:c r="S2875" s="15" t="str"/>
      <x:c r="T2875" s="14" t="str"/>
    </x:row>
    <x:row r="2876">
      <x:c r="A2876" s="14" t="n">
        <x:v>2875</x:v>
      </x:c>
      <x:c r="B2876" s="15" t="n">
        <x:v>46542</x:v>
      </x:c>
      <x:c r="C2876" s="14" t="str">
        <x:v>Cuma</x:v>
      </x:c>
      <x:c r="D2876" s="14" t="str">
        <x:v>Okul Günü</x:v>
      </x:c>
      <x:c r="E2876" s="14" t="str">
        <x:v>16:00 sonrası</x:v>
      </x:c>
      <x:c r="F2876" s="14" t="str">
        <x:v>F4 - 60 Gün / 60 Tam Deneme</x:v>
      </x:c>
      <x:c r="G2876" s="14" t="str">
        <x:v>21:40</x:v>
      </x:c>
      <x:c r="H2876" s="14" t="str">
        <x:v>21:50</x:v>
      </x:c>
      <x:c r="I2876" s="14" t="str">
        <x:v>Okuma</x:v>
      </x:c>
      <x:c r="J2876" s="14" t="str">
        <x:v>İsteğe Bağlı</x:v>
      </x:c>
      <x:c r="K2876" s="14" t="str">
        <x:v>Serbest Kitap</x:v>
      </x:c>
      <x:c r="L2876" s="14" t="str">
        <x:v>Enerji uygunsa kısa isteğe bağlı okuma.</x:v>
      </x:c>
      <x:c r="M2876" s="14" t="str">
        <x:v>Serbest Kitap</x:v>
      </x:c>
      <x:c r="N2876" s="14" t="str"/>
      <x:c r="O2876" s="14" t="n">
        <x:v>0</x:v>
      </x:c>
      <x:c r="P2876" s="14" t="str">
        <x:v>İsteğe Bağlı</x:v>
      </x:c>
      <x:c r="Q2876" s="14" t="str">
        <x:v>Hayır</x:v>
      </x:c>
      <x:c r="R2876" s="14" t="str">
        <x:v>Planlandı</x:v>
      </x:c>
      <x:c r="S2876" s="15" t="str"/>
      <x:c r="T2876" s="14" t="str"/>
    </x:row>
    <x:row r="2877">
      <x:c r="A2877" s="14" t="n">
        <x:v>2876</x:v>
      </x:c>
      <x:c r="B2877" s="15" t="n">
        <x:v>46542</x:v>
      </x:c>
      <x:c r="C2877" s="14" t="str">
        <x:v>Cuma</x:v>
      </x:c>
      <x:c r="D2877" s="14" t="str">
        <x:v>Okul Günü</x:v>
      </x:c>
      <x:c r="E2877" s="14" t="str">
        <x:v>16:00 sonrası</x:v>
      </x:c>
      <x:c r="F2877" s="14" t="str">
        <x:v>F4 - 60 Gün / 60 Tam Deneme</x:v>
      </x:c>
      <x:c r="G2877" s="14" t="str">
        <x:v>21:50</x:v>
      </x:c>
      <x:c r="H2877" s="14" t="str">
        <x:v>22:00</x:v>
      </x:c>
      <x:c r="I2877" s="14" t="str">
        <x:v>Genel</x:v>
      </x:c>
      <x:c r="J2877" s="14" t="str">
        <x:v>Uyku Hazırlığı</x:v>
      </x:c>
      <x:c r="K2877" s="14" t="str"/>
      <x:c r="L2877" s="14" t="str">
        <x:v>22:00'de yatakta ve uyku.</x:v>
      </x:c>
      <x:c r="M2877" s="14" t="str"/>
      <x:c r="N2877" s="14" t="str"/>
      <x:c r="O2877" s="14" t="n">
        <x:v>0</x:v>
      </x:c>
      <x:c r="P2877" s="14" t="str">
        <x:v>Hayır</x:v>
      </x:c>
      <x:c r="Q2877" s="14" t="str">
        <x:v>Hayır</x:v>
      </x:c>
      <x:c r="R2877" s="14" t="str">
        <x:v>Planlandı</x:v>
      </x:c>
      <x:c r="S2877" s="15" t="str"/>
      <x:c r="T2877" s="14" t="str"/>
    </x:row>
    <x:row r="2878">
      <x:c r="A2878" s="14" t="n">
        <x:v>2877</x:v>
      </x:c>
      <x:c r="B2878" s="15" t="n">
        <x:v>46543</x:v>
      </x:c>
      <x:c r="C2878" s="14" t="str">
        <x:v>Cumartesi</x:v>
      </x:c>
      <x:c r="D2878" s="14" t="str">
        <x:v>Hafta Sonu</x:v>
      </x:c>
      <x:c r="E2878" s="14" t="str">
        <x:v>Tam gün</x:v>
      </x:c>
      <x:c r="F2878" s="14" t="str">
        <x:v>F4 - 60 Gün / 60 Tam Deneme</x:v>
      </x:c>
      <x:c r="G2878" s="14" t="str">
        <x:v>09:30</x:v>
      </x:c>
      <x:c r="H2878" s="14" t="str">
        <x:v>10:45</x:v>
      </x:c>
      <x:c r="I2878" s="14" t="str">
        <x:v>Deneme</x:v>
      </x:c>
      <x:c r="J2878" s="14" t="str">
        <x:v>Tam LGS Denemesi - Sözel</x:v>
      </x:c>
      <x:c r="K2878" s="14" t="str">
        <x:v>Deneme 53</x:v>
      </x:c>
      <x:c r="L2878" s="14" t="str">
        <x:v>Deneme 53/60 — Sözel oturum: Türkçe 20 + İnkılap 10 + Din 10 + İngilizce 10. 75 dakika.</x:v>
      </x:c>
      <x:c r="M2878" s="14" t="str">
        <x:v>Tam LGS Denemesi</x:v>
      </x:c>
      <x:c r="N2878" s="14" t="str"/>
      <x:c r="O2878" s="14" t="n">
        <x:v>50</x:v>
      </x:c>
      <x:c r="P2878" s="14" t="str">
        <x:v>75 dk</x:v>
      </x:c>
      <x:c r="Q2878" s="14" t="str">
        <x:v>Evet</x:v>
      </x:c>
      <x:c r="R2878" s="14" t="str">
        <x:v>Planlandı</x:v>
      </x:c>
      <x:c r="S2878" s="15" t="str"/>
      <x:c r="T2878" s="14" t="str">
        <x:v>2026 LGS formatı çalışma referansıdır; 2027 kılavuzu yayımlanırsa güncellenir.</x:v>
      </x:c>
    </x:row>
    <x:row r="2879">
      <x:c r="A2879" s="14" t="n">
        <x:v>2878</x:v>
      </x:c>
      <x:c r="B2879" s="15" t="n">
        <x:v>46543</x:v>
      </x:c>
      <x:c r="C2879" s="14" t="str">
        <x:v>Cumartesi</x:v>
      </x:c>
      <x:c r="D2879" s="14" t="str">
        <x:v>Hafta Sonu</x:v>
      </x:c>
      <x:c r="E2879" s="14" t="str">
        <x:v>Tam gün</x:v>
      </x:c>
      <x:c r="F2879" s="14" t="str">
        <x:v>F4 - 60 Gün / 60 Tam Deneme</x:v>
      </x:c>
      <x:c r="G2879" s="14" t="str">
        <x:v>10:45</x:v>
      </x:c>
      <x:c r="H2879" s="14" t="str">
        <x:v>11:30</x:v>
      </x:c>
      <x:c r="I2879" s="14" t="str">
        <x:v>Genel</x:v>
      </x:c>
      <x:c r="J2879" s="14" t="str">
        <x:v>Deneme Arası</x:v>
      </x:c>
      <x:c r="K2879" s="14" t="str"/>
      <x:c r="L2879" s="14" t="str">
        <x:v>45 dakika gerçek sınav arası simülasyonu: yemek/su/tuvalet; soru analizi yapma.</x:v>
      </x:c>
      <x:c r="M2879" s="14" t="str"/>
      <x:c r="N2879" s="14" t="str"/>
      <x:c r="O2879" s="14" t="n">
        <x:v>0</x:v>
      </x:c>
      <x:c r="P2879" s="14" t="str">
        <x:v>Hayır</x:v>
      </x:c>
      <x:c r="Q2879" s="14" t="str">
        <x:v>Evet</x:v>
      </x:c>
      <x:c r="R2879" s="14" t="str">
        <x:v>Planlandı</x:v>
      </x:c>
      <x:c r="S2879" s="15" t="str"/>
      <x:c r="T2879" s="14" t="str"/>
    </x:row>
    <x:row r="2880">
      <x:c r="A2880" s="14" t="n">
        <x:v>2879</x:v>
      </x:c>
      <x:c r="B2880" s="15" t="n">
        <x:v>46543</x:v>
      </x:c>
      <x:c r="C2880" s="14" t="str">
        <x:v>Cumartesi</x:v>
      </x:c>
      <x:c r="D2880" s="14" t="str">
        <x:v>Hafta Sonu</x:v>
      </x:c>
      <x:c r="E2880" s="14" t="str">
        <x:v>Tam gün</x:v>
      </x:c>
      <x:c r="F2880" s="14" t="str">
        <x:v>F4 - 60 Gün / 60 Tam Deneme</x:v>
      </x:c>
      <x:c r="G2880" s="14" t="str">
        <x:v>11:30</x:v>
      </x:c>
      <x:c r="H2880" s="14" t="str">
        <x:v>12:50</x:v>
      </x:c>
      <x:c r="I2880" s="14" t="str">
        <x:v>Deneme</x:v>
      </x:c>
      <x:c r="J2880" s="14" t="str">
        <x:v>Tam LGS Denemesi - Sayısal</x:v>
      </x:c>
      <x:c r="K2880" s="14" t="str">
        <x:v>Deneme 53</x:v>
      </x:c>
      <x:c r="L2880" s="14" t="str">
        <x:v>Deneme 53/60 — Sayısal oturum: Matematik 20 + Fen 20. 80 dakika.</x:v>
      </x:c>
      <x:c r="M2880" s="14" t="str">
        <x:v>Tam LGS Denemesi</x:v>
      </x:c>
      <x:c r="N2880" s="14" t="str"/>
      <x:c r="O2880" s="14" t="n">
        <x:v>40</x:v>
      </x:c>
      <x:c r="P2880" s="14" t="str">
        <x:v>80 dk</x:v>
      </x:c>
      <x:c r="Q2880" s="14" t="str">
        <x:v>Evet</x:v>
      </x:c>
      <x:c r="R2880" s="14" t="str">
        <x:v>Planlandı</x:v>
      </x:c>
      <x:c r="S2880" s="15" t="str"/>
      <x:c r="T2880" s="14" t="str"/>
    </x:row>
    <x:row r="2881">
      <x:c r="A2881" s="14" t="n">
        <x:v>2880</x:v>
      </x:c>
      <x:c r="B2881" s="15" t="n">
        <x:v>46543</x:v>
      </x:c>
      <x:c r="C2881" s="14" t="str">
        <x:v>Cumartesi</x:v>
      </x:c>
      <x:c r="D2881" s="14" t="str">
        <x:v>Hafta Sonu</x:v>
      </x:c>
      <x:c r="E2881" s="14" t="str">
        <x:v>Tam gün</x:v>
      </x:c>
      <x:c r="F2881" s="14" t="str">
        <x:v>F4 - 60 Gün / 60 Tam Deneme</x:v>
      </x:c>
      <x:c r="G2881" s="14" t="str">
        <x:v>14:30</x:v>
      </x:c>
      <x:c r="H2881" s="14" t="str">
        <x:v>15:15</x:v>
      </x:c>
      <x:c r="I2881" s="14" t="str">
        <x:v>Deneme</x:v>
      </x:c>
      <x:c r="J2881" s="14" t="str">
        <x:v>Deneme Analizi</x:v>
      </x:c>
      <x:c r="K2881" s="14" t="str">
        <x:v>Deneme 53</x:v>
      </x:c>
      <x:c r="L2881" s="14" t="str">
        <x:v>Tüm yanlış/boşları nedenleriyle analiz et; bilgi eksikliği, işlem, dikkat, yanlış okuma veya yorumlama olarak sınıflandır.</x:v>
      </x:c>
      <x:c r="M2881" s="14" t="str">
        <x:v>Deneme Takibi</x:v>
      </x:c>
      <x:c r="N2881" s="14" t="str"/>
      <x:c r="O2881" s="14" t="n">
        <x:v>0</x:v>
      </x:c>
      <x:c r="P2881" s="14" t="str">
        <x:v>Hayır</x:v>
      </x:c>
      <x:c r="Q2881" s="14" t="str">
        <x:v>Evet</x:v>
      </x:c>
      <x:c r="R2881" s="14" t="str">
        <x:v>Planlandı</x:v>
      </x:c>
      <x:c r="S2881" s="15" t="str"/>
      <x:c r="T2881" s="14" t="str">
        <x:v>Deneme çözülüp analiz edilmediyse gün tamamlanmış sayılmaz.</x:v>
      </x:c>
    </x:row>
    <x:row r="2882">
      <x:c r="A2882" s="14" t="n">
        <x:v>2881</x:v>
      </x:c>
      <x:c r="B2882" s="15" t="n">
        <x:v>46543</x:v>
      </x:c>
      <x:c r="C2882" s="14" t="str">
        <x:v>Cumartesi</x:v>
      </x:c>
      <x:c r="D2882" s="14" t="str">
        <x:v>Hafta Sonu</x:v>
      </x:c>
      <x:c r="E2882" s="14" t="str">
        <x:v>Tam gün</x:v>
      </x:c>
      <x:c r="F2882" s="14" t="str">
        <x:v>F4 - 60 Gün / 60 Tam Deneme</x:v>
      </x:c>
      <x:c r="G2882" s="14" t="str">
        <x:v>15:25</x:v>
      </x:c>
      <x:c r="H2882" s="14" t="str">
        <x:v>16:10</x:v>
      </x:c>
      <x:c r="I2882" s="14" t="str">
        <x:v>Genel</x:v>
      </x:c>
      <x:c r="J2882" s="14" t="str">
        <x:v>Hedefli Eksik Giderme</x:v>
      </x:c>
      <x:c r="K2882" s="14" t="str">
        <x:v>Denemeden Gelen Eksikler</x:v>
      </x:c>
      <x:c r="L2882" s="14" t="str">
        <x:v>Denemenin gösterdiği en kritik 1-3 eksiği gider: gerekirse ilgili playlist videosuna kısa dönüş + hedefli soru çözümü.</x:v>
      </x:c>
      <x:c r="M2882" s="14" t="str">
        <x:v>Playlist + Soru Kitabı + MEB</x:v>
      </x:c>
      <x:c r="N2882" s="14" t="str"/>
      <x:c r="O2882" s="14" t="n">
        <x:v>0</x:v>
      </x:c>
      <x:c r="P2882" s="14" t="str">
        <x:v>Hayır</x:v>
      </x:c>
      <x:c r="Q2882" s="14" t="str">
        <x:v>Evet</x:v>
      </x:c>
      <x:c r="R2882" s="14" t="str">
        <x:v>Planlandı</x:v>
      </x:c>
      <x:c r="S2882" s="15" t="str"/>
      <x:c r="T2882" s="14" t="str">
        <x:v>Yeni konu açılmaz; yalnız denemenin kanıtladığı eksiğe müdahale edilir.</x:v>
      </x:c>
    </x:row>
    <x:row r="2883">
      <x:c r="A2883" s="14" t="n">
        <x:v>2882</x:v>
      </x:c>
      <x:c r="B2883" s="15" t="n">
        <x:v>46543</x:v>
      </x:c>
      <x:c r="C2883" s="14" t="str">
        <x:v>Cumartesi</x:v>
      </x:c>
      <x:c r="D2883" s="14" t="str">
        <x:v>Hafta Sonu</x:v>
      </x:c>
      <x:c r="E2883" s="14" t="str">
        <x:v>Tam gün</x:v>
      </x:c>
      <x:c r="F2883" s="14" t="str">
        <x:v>F4 - 60 Gün / 60 Tam Deneme</x:v>
      </x:c>
      <x:c r="G2883" s="14" t="str">
        <x:v>16:20</x:v>
      </x:c>
      <x:c r="H2883" s="14" t="str">
        <x:v>16:40</x:v>
      </x:c>
      <x:c r="I2883" s="14" t="str">
        <x:v>Genel</x:v>
      </x:c>
      <x:c r="J2883" s="14" t="str">
        <x:v>Aralıklı Hata Tekrarı</x:v>
      </x:c>
      <x:c r="K2883" s="14" t="str">
        <x:v>+1 / +7 / +21</x:v>
      </x:c>
      <x:c r="L2883" s="14" t="str">
        <x:v>Bugün vadesi gelen eski yanlışları tekrar çöz ve bugünkü yanlışları Yanlış Defteri'ne ekle.</x:v>
      </x:c>
      <x:c r="M2883" s="14" t="str">
        <x:v>Yanlış Defteri</x:v>
      </x:c>
      <x:c r="N2883" s="14" t="str"/>
      <x:c r="O2883" s="14" t="n">
        <x:v>0</x:v>
      </x:c>
      <x:c r="P2883" s="14" t="str">
        <x:v>Hayır</x:v>
      </x:c>
      <x:c r="Q2883" s="14" t="str">
        <x:v>Evet</x:v>
      </x:c>
      <x:c r="R2883" s="14" t="str">
        <x:v>Planlandı</x:v>
      </x:c>
      <x:c r="S2883" s="15" t="str"/>
      <x:c r="T2883" s="14" t="str"/>
    </x:row>
    <x:row r="2884">
      <x:c r="A2884" s="14" t="n">
        <x:v>2883</x:v>
      </x:c>
      <x:c r="B2884" s="15" t="n">
        <x:v>46543</x:v>
      </x:c>
      <x:c r="C2884" s="14" t="str">
        <x:v>Cumartesi</x:v>
      </x:c>
      <x:c r="D2884" s="14" t="str">
        <x:v>Hafta Sonu</x:v>
      </x:c>
      <x:c r="E2884" s="14" t="str">
        <x:v>Tam gün</x:v>
      </x:c>
      <x:c r="F2884" s="14" t="str">
        <x:v>F4 - 60 Gün / 60 Tam Deneme</x:v>
      </x:c>
      <x:c r="G2884" s="14" t="str">
        <x:v>20:00</x:v>
      </x:c>
      <x:c r="H2884" s="14" t="str">
        <x:v>20:30</x:v>
      </x:c>
      <x:c r="I2884" s="14" t="str">
        <x:v>Okuma</x:v>
      </x:c>
      <x:c r="J2884" s="14" t="str">
        <x:v>İsteğe Bağlı</x:v>
      </x:c>
      <x:c r="K2884" s="14" t="str">
        <x:v>Serbest Kitap</x:v>
      </x:c>
      <x:c r="L2884" s="14" t="str">
        <x:v>Enerji uygunsa kısa isteğe bağlı okuma.</x:v>
      </x:c>
      <x:c r="M2884" s="14" t="str">
        <x:v>Serbest Kitap</x:v>
      </x:c>
      <x:c r="N2884" s="14" t="str"/>
      <x:c r="O2884" s="14" t="n">
        <x:v>0</x:v>
      </x:c>
      <x:c r="P2884" s="14" t="str">
        <x:v>İsteğe Bağlı</x:v>
      </x:c>
      <x:c r="Q2884" s="14" t="str">
        <x:v>Hayır</x:v>
      </x:c>
      <x:c r="R2884" s="14" t="str">
        <x:v>Planlandı</x:v>
      </x:c>
      <x:c r="S2884" s="15" t="str"/>
      <x:c r="T2884" s="14" t="str"/>
    </x:row>
    <x:row r="2885">
      <x:c r="A2885" s="14" t="n">
        <x:v>2884</x:v>
      </x:c>
      <x:c r="B2885" s="15" t="n">
        <x:v>46543</x:v>
      </x:c>
      <x:c r="C2885" s="14" t="str">
        <x:v>Cumartesi</x:v>
      </x:c>
      <x:c r="D2885" s="14" t="str">
        <x:v>Hafta Sonu</x:v>
      </x:c>
      <x:c r="E2885" s="14" t="str">
        <x:v>Tam gün</x:v>
      </x:c>
      <x:c r="F2885" s="14" t="str">
        <x:v>F4 - 60 Gün / 60 Tam Deneme</x:v>
      </x:c>
      <x:c r="G2885" s="14" t="str">
        <x:v>21:50</x:v>
      </x:c>
      <x:c r="H2885" s="14" t="str">
        <x:v>22:00</x:v>
      </x:c>
      <x:c r="I2885" s="14" t="str">
        <x:v>Genel</x:v>
      </x:c>
      <x:c r="J2885" s="14" t="str">
        <x:v>Uyku Hazırlığı</x:v>
      </x:c>
      <x:c r="K2885" s="14" t="str"/>
      <x:c r="L2885" s="14" t="str">
        <x:v>22:00'de yatakta ve uyku.</x:v>
      </x:c>
      <x:c r="M2885" s="14" t="str"/>
      <x:c r="N2885" s="14" t="str"/>
      <x:c r="O2885" s="14" t="n">
        <x:v>0</x:v>
      </x:c>
      <x:c r="P2885" s="14" t="str">
        <x:v>Hayır</x:v>
      </x:c>
      <x:c r="Q2885" s="14" t="str">
        <x:v>Hayır</x:v>
      </x:c>
      <x:c r="R2885" s="14" t="str">
        <x:v>Planlandı</x:v>
      </x:c>
      <x:c r="S2885" s="15" t="str"/>
      <x:c r="T2885" s="14" t="str"/>
    </x:row>
    <x:row r="2886">
      <x:c r="A2886" s="14" t="n">
        <x:v>2885</x:v>
      </x:c>
      <x:c r="B2886" s="15" t="n">
        <x:v>46544</x:v>
      </x:c>
      <x:c r="C2886" s="14" t="str">
        <x:v>Pazar</x:v>
      </x:c>
      <x:c r="D2886" s="14" t="str">
        <x:v>Hafta Sonu</x:v>
      </x:c>
      <x:c r="E2886" s="14" t="str">
        <x:v>Tam gün</x:v>
      </x:c>
      <x:c r="F2886" s="14" t="str">
        <x:v>F4 - 60 Gün / 60 Tam Deneme</x:v>
      </x:c>
      <x:c r="G2886" s="14" t="str">
        <x:v>09:30</x:v>
      </x:c>
      <x:c r="H2886" s="14" t="str">
        <x:v>10:45</x:v>
      </x:c>
      <x:c r="I2886" s="14" t="str">
        <x:v>Deneme</x:v>
      </x:c>
      <x:c r="J2886" s="14" t="str">
        <x:v>Tam LGS Denemesi - Sözel</x:v>
      </x:c>
      <x:c r="K2886" s="14" t="str">
        <x:v>Deneme 54</x:v>
      </x:c>
      <x:c r="L2886" s="14" t="str">
        <x:v>Deneme 54/60 — Sözel oturum: Türkçe 20 + İnkılap 10 + Din 10 + İngilizce 10. 75 dakika.</x:v>
      </x:c>
      <x:c r="M2886" s="14" t="str">
        <x:v>Tam LGS Denemesi</x:v>
      </x:c>
      <x:c r="N2886" s="14" t="str"/>
      <x:c r="O2886" s="14" t="n">
        <x:v>50</x:v>
      </x:c>
      <x:c r="P2886" s="14" t="str">
        <x:v>75 dk</x:v>
      </x:c>
      <x:c r="Q2886" s="14" t="str">
        <x:v>Evet</x:v>
      </x:c>
      <x:c r="R2886" s="14" t="str">
        <x:v>Planlandı</x:v>
      </x:c>
      <x:c r="S2886" s="15" t="str"/>
      <x:c r="T2886" s="14" t="str">
        <x:v>2026 LGS formatı çalışma referansıdır; 2027 kılavuzu yayımlanırsa güncellenir.</x:v>
      </x:c>
    </x:row>
    <x:row r="2887">
      <x:c r="A2887" s="14" t="n">
        <x:v>2886</x:v>
      </x:c>
      <x:c r="B2887" s="15" t="n">
        <x:v>46544</x:v>
      </x:c>
      <x:c r="C2887" s="14" t="str">
        <x:v>Pazar</x:v>
      </x:c>
      <x:c r="D2887" s="14" t="str">
        <x:v>Hafta Sonu</x:v>
      </x:c>
      <x:c r="E2887" s="14" t="str">
        <x:v>Tam gün</x:v>
      </x:c>
      <x:c r="F2887" s="14" t="str">
        <x:v>F4 - 60 Gün / 60 Tam Deneme</x:v>
      </x:c>
      <x:c r="G2887" s="14" t="str">
        <x:v>10:45</x:v>
      </x:c>
      <x:c r="H2887" s="14" t="str">
        <x:v>11:30</x:v>
      </x:c>
      <x:c r="I2887" s="14" t="str">
        <x:v>Genel</x:v>
      </x:c>
      <x:c r="J2887" s="14" t="str">
        <x:v>Deneme Arası</x:v>
      </x:c>
      <x:c r="K2887" s="14" t="str"/>
      <x:c r="L2887" s="14" t="str">
        <x:v>45 dakika gerçek sınav arası simülasyonu: yemek/su/tuvalet; soru analizi yapma.</x:v>
      </x:c>
      <x:c r="M2887" s="14" t="str"/>
      <x:c r="N2887" s="14" t="str"/>
      <x:c r="O2887" s="14" t="n">
        <x:v>0</x:v>
      </x:c>
      <x:c r="P2887" s="14" t="str">
        <x:v>Hayır</x:v>
      </x:c>
      <x:c r="Q2887" s="14" t="str">
        <x:v>Evet</x:v>
      </x:c>
      <x:c r="R2887" s="14" t="str">
        <x:v>Planlandı</x:v>
      </x:c>
      <x:c r="S2887" s="15" t="str"/>
      <x:c r="T2887" s="14" t="str"/>
    </x:row>
    <x:row r="2888">
      <x:c r="A2888" s="14" t="n">
        <x:v>2887</x:v>
      </x:c>
      <x:c r="B2888" s="15" t="n">
        <x:v>46544</x:v>
      </x:c>
      <x:c r="C2888" s="14" t="str">
        <x:v>Pazar</x:v>
      </x:c>
      <x:c r="D2888" s="14" t="str">
        <x:v>Hafta Sonu</x:v>
      </x:c>
      <x:c r="E2888" s="14" t="str">
        <x:v>Tam gün</x:v>
      </x:c>
      <x:c r="F2888" s="14" t="str">
        <x:v>F4 - 60 Gün / 60 Tam Deneme</x:v>
      </x:c>
      <x:c r="G2888" s="14" t="str">
        <x:v>11:30</x:v>
      </x:c>
      <x:c r="H2888" s="14" t="str">
        <x:v>12:50</x:v>
      </x:c>
      <x:c r="I2888" s="14" t="str">
        <x:v>Deneme</x:v>
      </x:c>
      <x:c r="J2888" s="14" t="str">
        <x:v>Tam LGS Denemesi - Sayısal</x:v>
      </x:c>
      <x:c r="K2888" s="14" t="str">
        <x:v>Deneme 54</x:v>
      </x:c>
      <x:c r="L2888" s="14" t="str">
        <x:v>Deneme 54/60 — Sayısal oturum: Matematik 20 + Fen 20. 80 dakika.</x:v>
      </x:c>
      <x:c r="M2888" s="14" t="str">
        <x:v>Tam LGS Denemesi</x:v>
      </x:c>
      <x:c r="N2888" s="14" t="str"/>
      <x:c r="O2888" s="14" t="n">
        <x:v>40</x:v>
      </x:c>
      <x:c r="P2888" s="14" t="str">
        <x:v>80 dk</x:v>
      </x:c>
      <x:c r="Q2888" s="14" t="str">
        <x:v>Evet</x:v>
      </x:c>
      <x:c r="R2888" s="14" t="str">
        <x:v>Planlandı</x:v>
      </x:c>
      <x:c r="S2888" s="15" t="str"/>
      <x:c r="T2888" s="14" t="str"/>
    </x:row>
    <x:row r="2889">
      <x:c r="A2889" s="14" t="n">
        <x:v>2888</x:v>
      </x:c>
      <x:c r="B2889" s="15" t="n">
        <x:v>46544</x:v>
      </x:c>
      <x:c r="C2889" s="14" t="str">
        <x:v>Pazar</x:v>
      </x:c>
      <x:c r="D2889" s="14" t="str">
        <x:v>Hafta Sonu</x:v>
      </x:c>
      <x:c r="E2889" s="14" t="str">
        <x:v>Tam gün</x:v>
      </x:c>
      <x:c r="F2889" s="14" t="str">
        <x:v>F4 - 60 Gün / 60 Tam Deneme</x:v>
      </x:c>
      <x:c r="G2889" s="14" t="str">
        <x:v>14:30</x:v>
      </x:c>
      <x:c r="H2889" s="14" t="str">
        <x:v>15:15</x:v>
      </x:c>
      <x:c r="I2889" s="14" t="str">
        <x:v>Deneme</x:v>
      </x:c>
      <x:c r="J2889" s="14" t="str">
        <x:v>Deneme Analizi</x:v>
      </x:c>
      <x:c r="K2889" s="14" t="str">
        <x:v>Deneme 54</x:v>
      </x:c>
      <x:c r="L2889" s="14" t="str">
        <x:v>Tüm yanlış/boşları nedenleriyle analiz et; bilgi eksikliği, işlem, dikkat, yanlış okuma veya yorumlama olarak sınıflandır.</x:v>
      </x:c>
      <x:c r="M2889" s="14" t="str">
        <x:v>Deneme Takibi</x:v>
      </x:c>
      <x:c r="N2889" s="14" t="str"/>
      <x:c r="O2889" s="14" t="n">
        <x:v>0</x:v>
      </x:c>
      <x:c r="P2889" s="14" t="str">
        <x:v>Hayır</x:v>
      </x:c>
      <x:c r="Q2889" s="14" t="str">
        <x:v>Evet</x:v>
      </x:c>
      <x:c r="R2889" s="14" t="str">
        <x:v>Planlandı</x:v>
      </x:c>
      <x:c r="S2889" s="15" t="str"/>
      <x:c r="T2889" s="14" t="str">
        <x:v>Deneme çözülüp analiz edilmediyse gün tamamlanmış sayılmaz.</x:v>
      </x:c>
    </x:row>
    <x:row r="2890">
      <x:c r="A2890" s="14" t="n">
        <x:v>2889</x:v>
      </x:c>
      <x:c r="B2890" s="15" t="n">
        <x:v>46544</x:v>
      </x:c>
      <x:c r="C2890" s="14" t="str">
        <x:v>Pazar</x:v>
      </x:c>
      <x:c r="D2890" s="14" t="str">
        <x:v>Hafta Sonu</x:v>
      </x:c>
      <x:c r="E2890" s="14" t="str">
        <x:v>Tam gün</x:v>
      </x:c>
      <x:c r="F2890" s="14" t="str">
        <x:v>F4 - 60 Gün / 60 Tam Deneme</x:v>
      </x:c>
      <x:c r="G2890" s="14" t="str">
        <x:v>15:25</x:v>
      </x:c>
      <x:c r="H2890" s="14" t="str">
        <x:v>16:10</x:v>
      </x:c>
      <x:c r="I2890" s="14" t="str">
        <x:v>Genel</x:v>
      </x:c>
      <x:c r="J2890" s="14" t="str">
        <x:v>Hedefli Eksik Giderme</x:v>
      </x:c>
      <x:c r="K2890" s="14" t="str">
        <x:v>Denemeden Gelen Eksikler</x:v>
      </x:c>
      <x:c r="L2890" s="14" t="str">
        <x:v>Denemenin gösterdiği en kritik 1-3 eksiği gider: gerekirse ilgili playlist videosuna kısa dönüş + hedefli soru çözümü.</x:v>
      </x:c>
      <x:c r="M2890" s="14" t="str">
        <x:v>Playlist + Soru Kitabı + MEB</x:v>
      </x:c>
      <x:c r="N2890" s="14" t="str"/>
      <x:c r="O2890" s="14" t="n">
        <x:v>0</x:v>
      </x:c>
      <x:c r="P2890" s="14" t="str">
        <x:v>Hayır</x:v>
      </x:c>
      <x:c r="Q2890" s="14" t="str">
        <x:v>Evet</x:v>
      </x:c>
      <x:c r="R2890" s="14" t="str">
        <x:v>Planlandı</x:v>
      </x:c>
      <x:c r="S2890" s="15" t="str"/>
      <x:c r="T2890" s="14" t="str">
        <x:v>Yeni konu açılmaz; yalnız denemenin kanıtladığı eksiğe müdahale edilir.</x:v>
      </x:c>
    </x:row>
    <x:row r="2891">
      <x:c r="A2891" s="14" t="n">
        <x:v>2890</x:v>
      </x:c>
      <x:c r="B2891" s="15" t="n">
        <x:v>46544</x:v>
      </x:c>
      <x:c r="C2891" s="14" t="str">
        <x:v>Pazar</x:v>
      </x:c>
      <x:c r="D2891" s="14" t="str">
        <x:v>Hafta Sonu</x:v>
      </x:c>
      <x:c r="E2891" s="14" t="str">
        <x:v>Tam gün</x:v>
      </x:c>
      <x:c r="F2891" s="14" t="str">
        <x:v>F4 - 60 Gün / 60 Tam Deneme</x:v>
      </x:c>
      <x:c r="G2891" s="14" t="str">
        <x:v>16:20</x:v>
      </x:c>
      <x:c r="H2891" s="14" t="str">
        <x:v>16:40</x:v>
      </x:c>
      <x:c r="I2891" s="14" t="str">
        <x:v>Genel</x:v>
      </x:c>
      <x:c r="J2891" s="14" t="str">
        <x:v>Aralıklı Hata Tekrarı</x:v>
      </x:c>
      <x:c r="K2891" s="14" t="str">
        <x:v>+1 / +7 / +21</x:v>
      </x:c>
      <x:c r="L2891" s="14" t="str">
        <x:v>Bugün vadesi gelen eski yanlışları tekrar çöz ve bugünkü yanlışları Yanlış Defteri'ne ekle.</x:v>
      </x:c>
      <x:c r="M2891" s="14" t="str">
        <x:v>Yanlış Defteri</x:v>
      </x:c>
      <x:c r="N2891" s="14" t="str"/>
      <x:c r="O2891" s="14" t="n">
        <x:v>0</x:v>
      </x:c>
      <x:c r="P2891" s="14" t="str">
        <x:v>Hayır</x:v>
      </x:c>
      <x:c r="Q2891" s="14" t="str">
        <x:v>Evet</x:v>
      </x:c>
      <x:c r="R2891" s="14" t="str">
        <x:v>Planlandı</x:v>
      </x:c>
      <x:c r="S2891" s="15" t="str"/>
      <x:c r="T2891" s="14" t="str"/>
    </x:row>
    <x:row r="2892">
      <x:c r="A2892" s="14" t="n">
        <x:v>2891</x:v>
      </x:c>
      <x:c r="B2892" s="15" t="n">
        <x:v>46544</x:v>
      </x:c>
      <x:c r="C2892" s="14" t="str">
        <x:v>Pazar</x:v>
      </x:c>
      <x:c r="D2892" s="14" t="str">
        <x:v>Hafta Sonu</x:v>
      </x:c>
      <x:c r="E2892" s="14" t="str">
        <x:v>Tam gün</x:v>
      </x:c>
      <x:c r="F2892" s="14" t="str">
        <x:v>F4 - 60 Gün / 60 Tam Deneme</x:v>
      </x:c>
      <x:c r="G2892" s="14" t="str">
        <x:v>20:00</x:v>
      </x:c>
      <x:c r="H2892" s="14" t="str">
        <x:v>20:30</x:v>
      </x:c>
      <x:c r="I2892" s="14" t="str">
        <x:v>Okuma</x:v>
      </x:c>
      <x:c r="J2892" s="14" t="str">
        <x:v>İsteğe Bağlı</x:v>
      </x:c>
      <x:c r="K2892" s="14" t="str">
        <x:v>Serbest Kitap</x:v>
      </x:c>
      <x:c r="L2892" s="14" t="str">
        <x:v>Enerji uygunsa kısa isteğe bağlı okuma.</x:v>
      </x:c>
      <x:c r="M2892" s="14" t="str">
        <x:v>Serbest Kitap</x:v>
      </x:c>
      <x:c r="N2892" s="14" t="str"/>
      <x:c r="O2892" s="14" t="n">
        <x:v>0</x:v>
      </x:c>
      <x:c r="P2892" s="14" t="str">
        <x:v>İsteğe Bağlı</x:v>
      </x:c>
      <x:c r="Q2892" s="14" t="str">
        <x:v>Hayır</x:v>
      </x:c>
      <x:c r="R2892" s="14" t="str">
        <x:v>Planlandı</x:v>
      </x:c>
      <x:c r="S2892" s="15" t="str"/>
      <x:c r="T2892" s="14" t="str"/>
    </x:row>
    <x:row r="2893">
      <x:c r="A2893" s="14" t="n">
        <x:v>2892</x:v>
      </x:c>
      <x:c r="B2893" s="15" t="n">
        <x:v>46544</x:v>
      </x:c>
      <x:c r="C2893" s="14" t="str">
        <x:v>Pazar</x:v>
      </x:c>
      <x:c r="D2893" s="14" t="str">
        <x:v>Hafta Sonu</x:v>
      </x:c>
      <x:c r="E2893" s="14" t="str">
        <x:v>Tam gün</x:v>
      </x:c>
      <x:c r="F2893" s="14" t="str">
        <x:v>F4 - 60 Gün / 60 Tam Deneme</x:v>
      </x:c>
      <x:c r="G2893" s="14" t="str">
        <x:v>21:50</x:v>
      </x:c>
      <x:c r="H2893" s="14" t="str">
        <x:v>22:00</x:v>
      </x:c>
      <x:c r="I2893" s="14" t="str">
        <x:v>Genel</x:v>
      </x:c>
      <x:c r="J2893" s="14" t="str">
        <x:v>Uyku Hazırlığı</x:v>
      </x:c>
      <x:c r="K2893" s="14" t="str"/>
      <x:c r="L2893" s="14" t="str">
        <x:v>22:00'de yatakta ve uyku.</x:v>
      </x:c>
      <x:c r="M2893" s="14" t="str"/>
      <x:c r="N2893" s="14" t="str"/>
      <x:c r="O2893" s="14" t="n">
        <x:v>0</x:v>
      </x:c>
      <x:c r="P2893" s="14" t="str">
        <x:v>Hayır</x:v>
      </x:c>
      <x:c r="Q2893" s="14" t="str">
        <x:v>Hayır</x:v>
      </x:c>
      <x:c r="R2893" s="14" t="str">
        <x:v>Planlandı</x:v>
      </x:c>
      <x:c r="S2893" s="15" t="str"/>
      <x:c r="T2893" s="14" t="str"/>
    </x:row>
    <x:row r="2894">
      <x:c r="A2894" s="14" t="n">
        <x:v>2893</x:v>
      </x:c>
      <x:c r="B2894" s="15" t="n">
        <x:v>46545</x:v>
      </x:c>
      <x:c r="C2894" s="14" t="str">
        <x:v>Pazartesi</x:v>
      </x:c>
      <x:c r="D2894" s="14" t="str">
        <x:v>Okul Günü</x:v>
      </x:c>
      <x:c r="E2894" s="14" t="str">
        <x:v>16:00 sonrası</x:v>
      </x:c>
      <x:c r="F2894" s="14" t="str">
        <x:v>F4 - 60 Gün / 60 Tam Deneme</x:v>
      </x:c>
      <x:c r="G2894" s="14" t="str">
        <x:v>16:00</x:v>
      </x:c>
      <x:c r="H2894" s="14" t="str">
        <x:v>16:25</x:v>
      </x:c>
      <x:c r="I2894" s="14" t="str">
        <x:v>Genel</x:v>
      </x:c>
      <x:c r="J2894" s="14" t="str">
        <x:v>Dinlenme</x:v>
      </x:c>
      <x:c r="K2894" s="14" t="str"/>
      <x:c r="L2894" s="14" t="str">
        <x:v>Eve geliş + kısa dinlenme.</x:v>
      </x:c>
      <x:c r="M2894" s="14" t="str"/>
      <x:c r="N2894" s="14" t="str"/>
      <x:c r="O2894" s="14" t="n">
        <x:v>0</x:v>
      </x:c>
      <x:c r="P2894" s="14" t="str">
        <x:v>Hayır</x:v>
      </x:c>
      <x:c r="Q2894" s="14" t="str">
        <x:v>Hayır</x:v>
      </x:c>
      <x:c r="R2894" s="14" t="str">
        <x:v>Planlandı</x:v>
      </x:c>
      <x:c r="S2894" s="15" t="str"/>
      <x:c r="T2894" s="14" t="str"/>
    </x:row>
    <x:row r="2895">
      <x:c r="A2895" s="14" t="n">
        <x:v>2894</x:v>
      </x:c>
      <x:c r="B2895" s="15" t="n">
        <x:v>46545</x:v>
      </x:c>
      <x:c r="C2895" s="14" t="str">
        <x:v>Pazartesi</x:v>
      </x:c>
      <x:c r="D2895" s="14" t="str">
        <x:v>Okul Günü</x:v>
      </x:c>
      <x:c r="E2895" s="14" t="str">
        <x:v>16:00 sonrası</x:v>
      </x:c>
      <x:c r="F2895" s="14" t="str">
        <x:v>F4 - 60 Gün / 60 Tam Deneme</x:v>
      </x:c>
      <x:c r="G2895" s="14" t="str">
        <x:v>16:30</x:v>
      </x:c>
      <x:c r="H2895" s="14" t="str">
        <x:v>17:45</x:v>
      </x:c>
      <x:c r="I2895" s="14" t="str">
        <x:v>Deneme</x:v>
      </x:c>
      <x:c r="J2895" s="14" t="str">
        <x:v>Tam LGS Denemesi - Sözel</x:v>
      </x:c>
      <x:c r="K2895" s="14" t="str">
        <x:v>Deneme 55</x:v>
      </x:c>
      <x:c r="L2895" s="14" t="str">
        <x:v>Deneme 55/60 — Sözel oturum: Türkçe 20 + İnkılap 10 + Din 10 + İngilizce 10. 75 dakika.</x:v>
      </x:c>
      <x:c r="M2895" s="14" t="str">
        <x:v>Tam LGS Denemesi</x:v>
      </x:c>
      <x:c r="N2895" s="14" t="str"/>
      <x:c r="O2895" s="14" t="n">
        <x:v>50</x:v>
      </x:c>
      <x:c r="P2895" s="14" t="str">
        <x:v>75 dk</x:v>
      </x:c>
      <x:c r="Q2895" s="14" t="str">
        <x:v>Evet</x:v>
      </x:c>
      <x:c r="R2895" s="14" t="str">
        <x:v>Planlandı</x:v>
      </x:c>
      <x:c r="S2895" s="15" t="str"/>
      <x:c r="T2895" s="14" t="str">
        <x:v>2026 LGS formatı çalışma referansıdır; 2027 kılavuzu yayımlanırsa güncellenir.</x:v>
      </x:c>
    </x:row>
    <x:row r="2896">
      <x:c r="A2896" s="14" t="n">
        <x:v>2895</x:v>
      </x:c>
      <x:c r="B2896" s="15" t="n">
        <x:v>46545</x:v>
      </x:c>
      <x:c r="C2896" s="14" t="str">
        <x:v>Pazartesi</x:v>
      </x:c>
      <x:c r="D2896" s="14" t="str">
        <x:v>Okul Günü</x:v>
      </x:c>
      <x:c r="E2896" s="14" t="str">
        <x:v>16:00 sonrası</x:v>
      </x:c>
      <x:c r="F2896" s="14" t="str">
        <x:v>F4 - 60 Gün / 60 Tam Deneme</x:v>
      </x:c>
      <x:c r="G2896" s="14" t="str">
        <x:v>17:45</x:v>
      </x:c>
      <x:c r="H2896" s="14" t="str">
        <x:v>18:30</x:v>
      </x:c>
      <x:c r="I2896" s="14" t="str">
        <x:v>Genel</x:v>
      </x:c>
      <x:c r="J2896" s="14" t="str">
        <x:v>Deneme Arası</x:v>
      </x:c>
      <x:c r="K2896" s="14" t="str"/>
      <x:c r="L2896" s="14" t="str">
        <x:v>45 dakika gerçek sınav arası simülasyonu: yemek/su/tuvalet; soru analizi yapma.</x:v>
      </x:c>
      <x:c r="M2896" s="14" t="str"/>
      <x:c r="N2896" s="14" t="str"/>
      <x:c r="O2896" s="14" t="n">
        <x:v>0</x:v>
      </x:c>
      <x:c r="P2896" s="14" t="str">
        <x:v>Hayır</x:v>
      </x:c>
      <x:c r="Q2896" s="14" t="str">
        <x:v>Evet</x:v>
      </x:c>
      <x:c r="R2896" s="14" t="str">
        <x:v>Planlandı</x:v>
      </x:c>
      <x:c r="S2896" s="15" t="str"/>
      <x:c r="T2896" s="14" t="str"/>
    </x:row>
    <x:row r="2897">
      <x:c r="A2897" s="14" t="n">
        <x:v>2896</x:v>
      </x:c>
      <x:c r="B2897" s="15" t="n">
        <x:v>46545</x:v>
      </x:c>
      <x:c r="C2897" s="14" t="str">
        <x:v>Pazartesi</x:v>
      </x:c>
      <x:c r="D2897" s="14" t="str">
        <x:v>Okul Günü</x:v>
      </x:c>
      <x:c r="E2897" s="14" t="str">
        <x:v>16:00 sonrası</x:v>
      </x:c>
      <x:c r="F2897" s="14" t="str">
        <x:v>F4 - 60 Gün / 60 Tam Deneme</x:v>
      </x:c>
      <x:c r="G2897" s="14" t="str">
        <x:v>18:30</x:v>
      </x:c>
      <x:c r="H2897" s="14" t="str">
        <x:v>19:50</x:v>
      </x:c>
      <x:c r="I2897" s="14" t="str">
        <x:v>Deneme</x:v>
      </x:c>
      <x:c r="J2897" s="14" t="str">
        <x:v>Tam LGS Denemesi - Sayısal</x:v>
      </x:c>
      <x:c r="K2897" s="14" t="str">
        <x:v>Deneme 55</x:v>
      </x:c>
      <x:c r="L2897" s="14" t="str">
        <x:v>Deneme 55/60 — Sayısal oturum: Matematik 20 + Fen 20. 80 dakika.</x:v>
      </x:c>
      <x:c r="M2897" s="14" t="str">
        <x:v>Tam LGS Denemesi</x:v>
      </x:c>
      <x:c r="N2897" s="14" t="str"/>
      <x:c r="O2897" s="14" t="n">
        <x:v>40</x:v>
      </x:c>
      <x:c r="P2897" s="14" t="str">
        <x:v>80 dk</x:v>
      </x:c>
      <x:c r="Q2897" s="14" t="str">
        <x:v>Evet</x:v>
      </x:c>
      <x:c r="R2897" s="14" t="str">
        <x:v>Planlandı</x:v>
      </x:c>
      <x:c r="S2897" s="15" t="str"/>
      <x:c r="T2897" s="14" t="str"/>
    </x:row>
    <x:row r="2898">
      <x:c r="A2898" s="14" t="n">
        <x:v>2897</x:v>
      </x:c>
      <x:c r="B2898" s="15" t="n">
        <x:v>46545</x:v>
      </x:c>
      <x:c r="C2898" s="14" t="str">
        <x:v>Pazartesi</x:v>
      </x:c>
      <x:c r="D2898" s="14" t="str">
        <x:v>Okul Günü</x:v>
      </x:c>
      <x:c r="E2898" s="14" t="str">
        <x:v>16:00 sonrası</x:v>
      </x:c>
      <x:c r="F2898" s="14" t="str">
        <x:v>F4 - 60 Gün / 60 Tam Deneme</x:v>
      </x:c>
      <x:c r="G2898" s="14" t="str">
        <x:v>20:00</x:v>
      </x:c>
      <x:c r="H2898" s="14" t="str">
        <x:v>20:45</x:v>
      </x:c>
      <x:c r="I2898" s="14" t="str">
        <x:v>Deneme</x:v>
      </x:c>
      <x:c r="J2898" s="14" t="str">
        <x:v>Deneme Analizi</x:v>
      </x:c>
      <x:c r="K2898" s="14" t="str">
        <x:v>Deneme 55</x:v>
      </x:c>
      <x:c r="L2898" s="14" t="str">
        <x:v>Tüm yanlış/boşları nedenleriyle analiz et; bilgi eksikliği, işlem, dikkat, yanlış okuma veya yorumlama olarak sınıflandır.</x:v>
      </x:c>
      <x:c r="M2898" s="14" t="str">
        <x:v>Deneme Takibi</x:v>
      </x:c>
      <x:c r="N2898" s="14" t="str"/>
      <x:c r="O2898" s="14" t="n">
        <x:v>0</x:v>
      </x:c>
      <x:c r="P2898" s="14" t="str">
        <x:v>Hayır</x:v>
      </x:c>
      <x:c r="Q2898" s="14" t="str">
        <x:v>Evet</x:v>
      </x:c>
      <x:c r="R2898" s="14" t="str">
        <x:v>Planlandı</x:v>
      </x:c>
      <x:c r="S2898" s="15" t="str"/>
      <x:c r="T2898" s="14" t="str">
        <x:v>Deneme çözülüp analiz edilmediyse gün tamamlanmış sayılmaz.</x:v>
      </x:c>
    </x:row>
    <x:row r="2899">
      <x:c r="A2899" s="14" t="n">
        <x:v>2898</x:v>
      </x:c>
      <x:c r="B2899" s="15" t="n">
        <x:v>46545</x:v>
      </x:c>
      <x:c r="C2899" s="14" t="str">
        <x:v>Pazartesi</x:v>
      </x:c>
      <x:c r="D2899" s="14" t="str">
        <x:v>Okul Günü</x:v>
      </x:c>
      <x:c r="E2899" s="14" t="str">
        <x:v>16:00 sonrası</x:v>
      </x:c>
      <x:c r="F2899" s="14" t="str">
        <x:v>F4 - 60 Gün / 60 Tam Deneme</x:v>
      </x:c>
      <x:c r="G2899" s="14" t="str">
        <x:v>20:50</x:v>
      </x:c>
      <x:c r="H2899" s="14" t="str">
        <x:v>21:25</x:v>
      </x:c>
      <x:c r="I2899" s="14" t="str">
        <x:v>Genel</x:v>
      </x:c>
      <x:c r="J2899" s="14" t="str">
        <x:v>Hedefli Eksik Giderme</x:v>
      </x:c>
      <x:c r="K2899" s="14" t="str">
        <x:v>Denemeden Gelen Eksikler</x:v>
      </x:c>
      <x:c r="L2899" s="14" t="str">
        <x:v>Denemenin gösterdiği en kritik 1-3 eksiği gider: gerekirse ilgili playlist videosuna kısa dönüş + hedefli soru çözümü.</x:v>
      </x:c>
      <x:c r="M2899" s="14" t="str">
        <x:v>Playlist + Soru Kitabı + MEB</x:v>
      </x:c>
      <x:c r="N2899" s="14" t="str"/>
      <x:c r="O2899" s="14" t="n">
        <x:v>0</x:v>
      </x:c>
      <x:c r="P2899" s="14" t="str">
        <x:v>Hayır</x:v>
      </x:c>
      <x:c r="Q2899" s="14" t="str">
        <x:v>Evet</x:v>
      </x:c>
      <x:c r="R2899" s="14" t="str">
        <x:v>Planlandı</x:v>
      </x:c>
      <x:c r="S2899" s="15" t="str"/>
      <x:c r="T2899" s="14" t="str">
        <x:v>Yeni konu açılmaz; yalnız denemenin kanıtladığı eksiğe müdahale edilir.</x:v>
      </x:c>
    </x:row>
    <x:row r="2900">
      <x:c r="A2900" s="14" t="n">
        <x:v>2899</x:v>
      </x:c>
      <x:c r="B2900" s="15" t="n">
        <x:v>46545</x:v>
      </x:c>
      <x:c r="C2900" s="14" t="str">
        <x:v>Pazartesi</x:v>
      </x:c>
      <x:c r="D2900" s="14" t="str">
        <x:v>Okul Günü</x:v>
      </x:c>
      <x:c r="E2900" s="14" t="str">
        <x:v>16:00 sonrası</x:v>
      </x:c>
      <x:c r="F2900" s="14" t="str">
        <x:v>F4 - 60 Gün / 60 Tam Deneme</x:v>
      </x:c>
      <x:c r="G2900" s="14" t="str">
        <x:v>21:25</x:v>
      </x:c>
      <x:c r="H2900" s="14" t="str">
        <x:v>21:40</x:v>
      </x:c>
      <x:c r="I2900" s="14" t="str">
        <x:v>Genel</x:v>
      </x:c>
      <x:c r="J2900" s="14" t="str">
        <x:v>Aralıklı Hata Tekrarı</x:v>
      </x:c>
      <x:c r="K2900" s="14" t="str">
        <x:v>+1 / +7 / +21</x:v>
      </x:c>
      <x:c r="L2900" s="14" t="str">
        <x:v>Bugün vadesi gelen eski yanlışları tekrar çöz ve bugünkü yanlışları Yanlış Defteri'ne ekle.</x:v>
      </x:c>
      <x:c r="M2900" s="14" t="str">
        <x:v>Yanlış Defteri</x:v>
      </x:c>
      <x:c r="N2900" s="14" t="str"/>
      <x:c r="O2900" s="14" t="n">
        <x:v>0</x:v>
      </x:c>
      <x:c r="P2900" s="14" t="str">
        <x:v>Hayır</x:v>
      </x:c>
      <x:c r="Q2900" s="14" t="str">
        <x:v>Evet</x:v>
      </x:c>
      <x:c r="R2900" s="14" t="str">
        <x:v>Planlandı</x:v>
      </x:c>
      <x:c r="S2900" s="15" t="str"/>
      <x:c r="T2900" s="14" t="str"/>
    </x:row>
    <x:row r="2901">
      <x:c r="A2901" s="14" t="n">
        <x:v>2900</x:v>
      </x:c>
      <x:c r="B2901" s="15" t="n">
        <x:v>46545</x:v>
      </x:c>
      <x:c r="C2901" s="14" t="str">
        <x:v>Pazartesi</x:v>
      </x:c>
      <x:c r="D2901" s="14" t="str">
        <x:v>Okul Günü</x:v>
      </x:c>
      <x:c r="E2901" s="14" t="str">
        <x:v>16:00 sonrası</x:v>
      </x:c>
      <x:c r="F2901" s="14" t="str">
        <x:v>F4 - 60 Gün / 60 Tam Deneme</x:v>
      </x:c>
      <x:c r="G2901" s="14" t="str">
        <x:v>21:40</x:v>
      </x:c>
      <x:c r="H2901" s="14" t="str">
        <x:v>21:50</x:v>
      </x:c>
      <x:c r="I2901" s="14" t="str">
        <x:v>Okuma</x:v>
      </x:c>
      <x:c r="J2901" s="14" t="str">
        <x:v>İsteğe Bağlı</x:v>
      </x:c>
      <x:c r="K2901" s="14" t="str">
        <x:v>Serbest Kitap</x:v>
      </x:c>
      <x:c r="L2901" s="14" t="str">
        <x:v>Enerji uygunsa kısa isteğe bağlı okuma.</x:v>
      </x:c>
      <x:c r="M2901" s="14" t="str">
        <x:v>Serbest Kitap</x:v>
      </x:c>
      <x:c r="N2901" s="14" t="str"/>
      <x:c r="O2901" s="14" t="n">
        <x:v>0</x:v>
      </x:c>
      <x:c r="P2901" s="14" t="str">
        <x:v>İsteğe Bağlı</x:v>
      </x:c>
      <x:c r="Q2901" s="14" t="str">
        <x:v>Hayır</x:v>
      </x:c>
      <x:c r="R2901" s="14" t="str">
        <x:v>Planlandı</x:v>
      </x:c>
      <x:c r="S2901" s="15" t="str"/>
      <x:c r="T2901" s="14" t="str"/>
    </x:row>
    <x:row r="2902">
      <x:c r="A2902" s="14" t="n">
        <x:v>2901</x:v>
      </x:c>
      <x:c r="B2902" s="15" t="n">
        <x:v>46545</x:v>
      </x:c>
      <x:c r="C2902" s="14" t="str">
        <x:v>Pazartesi</x:v>
      </x:c>
      <x:c r="D2902" s="14" t="str">
        <x:v>Okul Günü</x:v>
      </x:c>
      <x:c r="E2902" s="14" t="str">
        <x:v>16:00 sonrası</x:v>
      </x:c>
      <x:c r="F2902" s="14" t="str">
        <x:v>F4 - 60 Gün / 60 Tam Deneme</x:v>
      </x:c>
      <x:c r="G2902" s="14" t="str">
        <x:v>21:50</x:v>
      </x:c>
      <x:c r="H2902" s="14" t="str">
        <x:v>22:00</x:v>
      </x:c>
      <x:c r="I2902" s="14" t="str">
        <x:v>Genel</x:v>
      </x:c>
      <x:c r="J2902" s="14" t="str">
        <x:v>Uyku Hazırlığı</x:v>
      </x:c>
      <x:c r="K2902" s="14" t="str"/>
      <x:c r="L2902" s="14" t="str">
        <x:v>22:00'de yatakta ve uyku.</x:v>
      </x:c>
      <x:c r="M2902" s="14" t="str"/>
      <x:c r="N2902" s="14" t="str"/>
      <x:c r="O2902" s="14" t="n">
        <x:v>0</x:v>
      </x:c>
      <x:c r="P2902" s="14" t="str">
        <x:v>Hayır</x:v>
      </x:c>
      <x:c r="Q2902" s="14" t="str">
        <x:v>Hayır</x:v>
      </x:c>
      <x:c r="R2902" s="14" t="str">
        <x:v>Planlandı</x:v>
      </x:c>
      <x:c r="S2902" s="15" t="str"/>
      <x:c r="T2902" s="14" t="str"/>
    </x:row>
    <x:row r="2903">
      <x:c r="A2903" s="14" t="n">
        <x:v>2902</x:v>
      </x:c>
      <x:c r="B2903" s="15" t="n">
        <x:v>46546</x:v>
      </x:c>
      <x:c r="C2903" s="14" t="str">
        <x:v>Salı</x:v>
      </x:c>
      <x:c r="D2903" s="14" t="str">
        <x:v>Okul Günü</x:v>
      </x:c>
      <x:c r="E2903" s="14" t="str">
        <x:v>16:00 sonrası</x:v>
      </x:c>
      <x:c r="F2903" s="14" t="str">
        <x:v>F4 - 60 Gün / 60 Tam Deneme</x:v>
      </x:c>
      <x:c r="G2903" s="14" t="str">
        <x:v>16:00</x:v>
      </x:c>
      <x:c r="H2903" s="14" t="str">
        <x:v>16:25</x:v>
      </x:c>
      <x:c r="I2903" s="14" t="str">
        <x:v>Genel</x:v>
      </x:c>
      <x:c r="J2903" s="14" t="str">
        <x:v>Dinlenme</x:v>
      </x:c>
      <x:c r="K2903" s="14" t="str"/>
      <x:c r="L2903" s="14" t="str">
        <x:v>Eve geliş + kısa dinlenme.</x:v>
      </x:c>
      <x:c r="M2903" s="14" t="str"/>
      <x:c r="N2903" s="14" t="str"/>
      <x:c r="O2903" s="14" t="n">
        <x:v>0</x:v>
      </x:c>
      <x:c r="P2903" s="14" t="str">
        <x:v>Hayır</x:v>
      </x:c>
      <x:c r="Q2903" s="14" t="str">
        <x:v>Hayır</x:v>
      </x:c>
      <x:c r="R2903" s="14" t="str">
        <x:v>Planlandı</x:v>
      </x:c>
      <x:c r="S2903" s="15" t="str"/>
      <x:c r="T2903" s="14" t="str"/>
    </x:row>
    <x:row r="2904">
      <x:c r="A2904" s="14" t="n">
        <x:v>2903</x:v>
      </x:c>
      <x:c r="B2904" s="15" t="n">
        <x:v>46546</x:v>
      </x:c>
      <x:c r="C2904" s="14" t="str">
        <x:v>Salı</x:v>
      </x:c>
      <x:c r="D2904" s="14" t="str">
        <x:v>Okul Günü</x:v>
      </x:c>
      <x:c r="E2904" s="14" t="str">
        <x:v>16:00 sonrası</x:v>
      </x:c>
      <x:c r="F2904" s="14" t="str">
        <x:v>F4 - 60 Gün / 60 Tam Deneme</x:v>
      </x:c>
      <x:c r="G2904" s="14" t="str">
        <x:v>16:30</x:v>
      </x:c>
      <x:c r="H2904" s="14" t="str">
        <x:v>17:45</x:v>
      </x:c>
      <x:c r="I2904" s="14" t="str">
        <x:v>Deneme</x:v>
      </x:c>
      <x:c r="J2904" s="14" t="str">
        <x:v>Tam LGS Denemesi - Sözel</x:v>
      </x:c>
      <x:c r="K2904" s="14" t="str">
        <x:v>Deneme 56</x:v>
      </x:c>
      <x:c r="L2904" s="14" t="str">
        <x:v>Deneme 56/60 — Sözel oturum: Türkçe 20 + İnkılap 10 + Din 10 + İngilizce 10. 75 dakika.</x:v>
      </x:c>
      <x:c r="M2904" s="14" t="str">
        <x:v>Tam LGS Denemesi</x:v>
      </x:c>
      <x:c r="N2904" s="14" t="str"/>
      <x:c r="O2904" s="14" t="n">
        <x:v>50</x:v>
      </x:c>
      <x:c r="P2904" s="14" t="str">
        <x:v>75 dk</x:v>
      </x:c>
      <x:c r="Q2904" s="14" t="str">
        <x:v>Evet</x:v>
      </x:c>
      <x:c r="R2904" s="14" t="str">
        <x:v>Planlandı</x:v>
      </x:c>
      <x:c r="S2904" s="15" t="str"/>
      <x:c r="T2904" s="14" t="str">
        <x:v>2026 LGS formatı çalışma referansıdır; 2027 kılavuzu yayımlanırsa güncellenir.</x:v>
      </x:c>
    </x:row>
    <x:row r="2905">
      <x:c r="A2905" s="14" t="n">
        <x:v>2904</x:v>
      </x:c>
      <x:c r="B2905" s="15" t="n">
        <x:v>46546</x:v>
      </x:c>
      <x:c r="C2905" s="14" t="str">
        <x:v>Salı</x:v>
      </x:c>
      <x:c r="D2905" s="14" t="str">
        <x:v>Okul Günü</x:v>
      </x:c>
      <x:c r="E2905" s="14" t="str">
        <x:v>16:00 sonrası</x:v>
      </x:c>
      <x:c r="F2905" s="14" t="str">
        <x:v>F4 - 60 Gün / 60 Tam Deneme</x:v>
      </x:c>
      <x:c r="G2905" s="14" t="str">
        <x:v>17:45</x:v>
      </x:c>
      <x:c r="H2905" s="14" t="str">
        <x:v>18:30</x:v>
      </x:c>
      <x:c r="I2905" s="14" t="str">
        <x:v>Genel</x:v>
      </x:c>
      <x:c r="J2905" s="14" t="str">
        <x:v>Deneme Arası</x:v>
      </x:c>
      <x:c r="K2905" s="14" t="str"/>
      <x:c r="L2905" s="14" t="str">
        <x:v>45 dakika gerçek sınav arası simülasyonu: yemek/su/tuvalet; soru analizi yapma.</x:v>
      </x:c>
      <x:c r="M2905" s="14" t="str"/>
      <x:c r="N2905" s="14" t="str"/>
      <x:c r="O2905" s="14" t="n">
        <x:v>0</x:v>
      </x:c>
      <x:c r="P2905" s="14" t="str">
        <x:v>Hayır</x:v>
      </x:c>
      <x:c r="Q2905" s="14" t="str">
        <x:v>Evet</x:v>
      </x:c>
      <x:c r="R2905" s="14" t="str">
        <x:v>Planlandı</x:v>
      </x:c>
      <x:c r="S2905" s="15" t="str"/>
      <x:c r="T2905" s="14" t="str"/>
    </x:row>
    <x:row r="2906">
      <x:c r="A2906" s="14" t="n">
        <x:v>2905</x:v>
      </x:c>
      <x:c r="B2906" s="15" t="n">
        <x:v>46546</x:v>
      </x:c>
      <x:c r="C2906" s="14" t="str">
        <x:v>Salı</x:v>
      </x:c>
      <x:c r="D2906" s="14" t="str">
        <x:v>Okul Günü</x:v>
      </x:c>
      <x:c r="E2906" s="14" t="str">
        <x:v>16:00 sonrası</x:v>
      </x:c>
      <x:c r="F2906" s="14" t="str">
        <x:v>F4 - 60 Gün / 60 Tam Deneme</x:v>
      </x:c>
      <x:c r="G2906" s="14" t="str">
        <x:v>18:30</x:v>
      </x:c>
      <x:c r="H2906" s="14" t="str">
        <x:v>19:50</x:v>
      </x:c>
      <x:c r="I2906" s="14" t="str">
        <x:v>Deneme</x:v>
      </x:c>
      <x:c r="J2906" s="14" t="str">
        <x:v>Tam LGS Denemesi - Sayısal</x:v>
      </x:c>
      <x:c r="K2906" s="14" t="str">
        <x:v>Deneme 56</x:v>
      </x:c>
      <x:c r="L2906" s="14" t="str">
        <x:v>Deneme 56/60 — Sayısal oturum: Matematik 20 + Fen 20. 80 dakika.</x:v>
      </x:c>
      <x:c r="M2906" s="14" t="str">
        <x:v>Tam LGS Denemesi</x:v>
      </x:c>
      <x:c r="N2906" s="14" t="str"/>
      <x:c r="O2906" s="14" t="n">
        <x:v>40</x:v>
      </x:c>
      <x:c r="P2906" s="14" t="str">
        <x:v>80 dk</x:v>
      </x:c>
      <x:c r="Q2906" s="14" t="str">
        <x:v>Evet</x:v>
      </x:c>
      <x:c r="R2906" s="14" t="str">
        <x:v>Planlandı</x:v>
      </x:c>
      <x:c r="S2906" s="15" t="str"/>
      <x:c r="T2906" s="14" t="str"/>
    </x:row>
    <x:row r="2907">
      <x:c r="A2907" s="14" t="n">
        <x:v>2906</x:v>
      </x:c>
      <x:c r="B2907" s="15" t="n">
        <x:v>46546</x:v>
      </x:c>
      <x:c r="C2907" s="14" t="str">
        <x:v>Salı</x:v>
      </x:c>
      <x:c r="D2907" s="14" t="str">
        <x:v>Okul Günü</x:v>
      </x:c>
      <x:c r="E2907" s="14" t="str">
        <x:v>16:00 sonrası</x:v>
      </x:c>
      <x:c r="F2907" s="14" t="str">
        <x:v>F4 - 60 Gün / 60 Tam Deneme</x:v>
      </x:c>
      <x:c r="G2907" s="14" t="str">
        <x:v>20:00</x:v>
      </x:c>
      <x:c r="H2907" s="14" t="str">
        <x:v>20:45</x:v>
      </x:c>
      <x:c r="I2907" s="14" t="str">
        <x:v>Deneme</x:v>
      </x:c>
      <x:c r="J2907" s="14" t="str">
        <x:v>Deneme Analizi</x:v>
      </x:c>
      <x:c r="K2907" s="14" t="str">
        <x:v>Deneme 56</x:v>
      </x:c>
      <x:c r="L2907" s="14" t="str">
        <x:v>Tüm yanlış/boşları nedenleriyle analiz et; bilgi eksikliği, işlem, dikkat, yanlış okuma veya yorumlama olarak sınıflandır.</x:v>
      </x:c>
      <x:c r="M2907" s="14" t="str">
        <x:v>Deneme Takibi</x:v>
      </x:c>
      <x:c r="N2907" s="14" t="str"/>
      <x:c r="O2907" s="14" t="n">
        <x:v>0</x:v>
      </x:c>
      <x:c r="P2907" s="14" t="str">
        <x:v>Hayır</x:v>
      </x:c>
      <x:c r="Q2907" s="14" t="str">
        <x:v>Evet</x:v>
      </x:c>
      <x:c r="R2907" s="14" t="str">
        <x:v>Planlandı</x:v>
      </x:c>
      <x:c r="S2907" s="15" t="str"/>
      <x:c r="T2907" s="14" t="str">
        <x:v>Deneme çözülüp analiz edilmediyse gün tamamlanmış sayılmaz.</x:v>
      </x:c>
    </x:row>
    <x:row r="2908">
      <x:c r="A2908" s="14" t="n">
        <x:v>2907</x:v>
      </x:c>
      <x:c r="B2908" s="15" t="n">
        <x:v>46546</x:v>
      </x:c>
      <x:c r="C2908" s="14" t="str">
        <x:v>Salı</x:v>
      </x:c>
      <x:c r="D2908" s="14" t="str">
        <x:v>Okul Günü</x:v>
      </x:c>
      <x:c r="E2908" s="14" t="str">
        <x:v>16:00 sonrası</x:v>
      </x:c>
      <x:c r="F2908" s="14" t="str">
        <x:v>F4 - 60 Gün / 60 Tam Deneme</x:v>
      </x:c>
      <x:c r="G2908" s="14" t="str">
        <x:v>20:50</x:v>
      </x:c>
      <x:c r="H2908" s="14" t="str">
        <x:v>21:25</x:v>
      </x:c>
      <x:c r="I2908" s="14" t="str">
        <x:v>Genel</x:v>
      </x:c>
      <x:c r="J2908" s="14" t="str">
        <x:v>Hedefli Eksik Giderme</x:v>
      </x:c>
      <x:c r="K2908" s="14" t="str">
        <x:v>Denemeden Gelen Eksikler</x:v>
      </x:c>
      <x:c r="L2908" s="14" t="str">
        <x:v>Denemenin gösterdiği en kritik 1-3 eksiği gider: gerekirse ilgili playlist videosuna kısa dönüş + hedefli soru çözümü.</x:v>
      </x:c>
      <x:c r="M2908" s="14" t="str">
        <x:v>Playlist + Soru Kitabı + MEB</x:v>
      </x:c>
      <x:c r="N2908" s="14" t="str"/>
      <x:c r="O2908" s="14" t="n">
        <x:v>0</x:v>
      </x:c>
      <x:c r="P2908" s="14" t="str">
        <x:v>Hayır</x:v>
      </x:c>
      <x:c r="Q2908" s="14" t="str">
        <x:v>Evet</x:v>
      </x:c>
      <x:c r="R2908" s="14" t="str">
        <x:v>Planlandı</x:v>
      </x:c>
      <x:c r="S2908" s="15" t="str"/>
      <x:c r="T2908" s="14" t="str">
        <x:v>Yeni konu açılmaz; yalnız denemenin kanıtladığı eksiğe müdahale edilir.</x:v>
      </x:c>
    </x:row>
    <x:row r="2909">
      <x:c r="A2909" s="14" t="n">
        <x:v>2908</x:v>
      </x:c>
      <x:c r="B2909" s="15" t="n">
        <x:v>46546</x:v>
      </x:c>
      <x:c r="C2909" s="14" t="str">
        <x:v>Salı</x:v>
      </x:c>
      <x:c r="D2909" s="14" t="str">
        <x:v>Okul Günü</x:v>
      </x:c>
      <x:c r="E2909" s="14" t="str">
        <x:v>16:00 sonrası</x:v>
      </x:c>
      <x:c r="F2909" s="14" t="str">
        <x:v>F4 - 60 Gün / 60 Tam Deneme</x:v>
      </x:c>
      <x:c r="G2909" s="14" t="str">
        <x:v>21:25</x:v>
      </x:c>
      <x:c r="H2909" s="14" t="str">
        <x:v>21:40</x:v>
      </x:c>
      <x:c r="I2909" s="14" t="str">
        <x:v>Genel</x:v>
      </x:c>
      <x:c r="J2909" s="14" t="str">
        <x:v>Aralıklı Hata Tekrarı</x:v>
      </x:c>
      <x:c r="K2909" s="14" t="str">
        <x:v>+1 / +7 / +21</x:v>
      </x:c>
      <x:c r="L2909" s="14" t="str">
        <x:v>Bugün vadesi gelen eski yanlışları tekrar çöz ve bugünkü yanlışları Yanlış Defteri'ne ekle.</x:v>
      </x:c>
      <x:c r="M2909" s="14" t="str">
        <x:v>Yanlış Defteri</x:v>
      </x:c>
      <x:c r="N2909" s="14" t="str"/>
      <x:c r="O2909" s="14" t="n">
        <x:v>0</x:v>
      </x:c>
      <x:c r="P2909" s="14" t="str">
        <x:v>Hayır</x:v>
      </x:c>
      <x:c r="Q2909" s="14" t="str">
        <x:v>Evet</x:v>
      </x:c>
      <x:c r="R2909" s="14" t="str">
        <x:v>Planlandı</x:v>
      </x:c>
      <x:c r="S2909" s="15" t="str"/>
      <x:c r="T2909" s="14" t="str"/>
    </x:row>
    <x:row r="2910">
      <x:c r="A2910" s="14" t="n">
        <x:v>2909</x:v>
      </x:c>
      <x:c r="B2910" s="15" t="n">
        <x:v>46546</x:v>
      </x:c>
      <x:c r="C2910" s="14" t="str">
        <x:v>Salı</x:v>
      </x:c>
      <x:c r="D2910" s="14" t="str">
        <x:v>Okul Günü</x:v>
      </x:c>
      <x:c r="E2910" s="14" t="str">
        <x:v>16:00 sonrası</x:v>
      </x:c>
      <x:c r="F2910" s="14" t="str">
        <x:v>F4 - 60 Gün / 60 Tam Deneme</x:v>
      </x:c>
      <x:c r="G2910" s="14" t="str">
        <x:v>21:40</x:v>
      </x:c>
      <x:c r="H2910" s="14" t="str">
        <x:v>21:50</x:v>
      </x:c>
      <x:c r="I2910" s="14" t="str">
        <x:v>Okuma</x:v>
      </x:c>
      <x:c r="J2910" s="14" t="str">
        <x:v>İsteğe Bağlı</x:v>
      </x:c>
      <x:c r="K2910" s="14" t="str">
        <x:v>Serbest Kitap</x:v>
      </x:c>
      <x:c r="L2910" s="14" t="str">
        <x:v>Enerji uygunsa kısa isteğe bağlı okuma.</x:v>
      </x:c>
      <x:c r="M2910" s="14" t="str">
        <x:v>Serbest Kitap</x:v>
      </x:c>
      <x:c r="N2910" s="14" t="str"/>
      <x:c r="O2910" s="14" t="n">
        <x:v>0</x:v>
      </x:c>
      <x:c r="P2910" s="14" t="str">
        <x:v>İsteğe Bağlı</x:v>
      </x:c>
      <x:c r="Q2910" s="14" t="str">
        <x:v>Hayır</x:v>
      </x:c>
      <x:c r="R2910" s="14" t="str">
        <x:v>Planlandı</x:v>
      </x:c>
      <x:c r="S2910" s="15" t="str"/>
      <x:c r="T2910" s="14" t="str"/>
    </x:row>
    <x:row r="2911">
      <x:c r="A2911" s="14" t="n">
        <x:v>2910</x:v>
      </x:c>
      <x:c r="B2911" s="15" t="n">
        <x:v>46546</x:v>
      </x:c>
      <x:c r="C2911" s="14" t="str">
        <x:v>Salı</x:v>
      </x:c>
      <x:c r="D2911" s="14" t="str">
        <x:v>Okul Günü</x:v>
      </x:c>
      <x:c r="E2911" s="14" t="str">
        <x:v>16:00 sonrası</x:v>
      </x:c>
      <x:c r="F2911" s="14" t="str">
        <x:v>F4 - 60 Gün / 60 Tam Deneme</x:v>
      </x:c>
      <x:c r="G2911" s="14" t="str">
        <x:v>21:50</x:v>
      </x:c>
      <x:c r="H2911" s="14" t="str">
        <x:v>22:00</x:v>
      </x:c>
      <x:c r="I2911" s="14" t="str">
        <x:v>Genel</x:v>
      </x:c>
      <x:c r="J2911" s="14" t="str">
        <x:v>Uyku Hazırlığı</x:v>
      </x:c>
      <x:c r="K2911" s="14" t="str"/>
      <x:c r="L2911" s="14" t="str">
        <x:v>22:00'de yatakta ve uyku.</x:v>
      </x:c>
      <x:c r="M2911" s="14" t="str"/>
      <x:c r="N2911" s="14" t="str"/>
      <x:c r="O2911" s="14" t="n">
        <x:v>0</x:v>
      </x:c>
      <x:c r="P2911" s="14" t="str">
        <x:v>Hayır</x:v>
      </x:c>
      <x:c r="Q2911" s="14" t="str">
        <x:v>Hayır</x:v>
      </x:c>
      <x:c r="R2911" s="14" t="str">
        <x:v>Planlandı</x:v>
      </x:c>
      <x:c r="S2911" s="15" t="str"/>
      <x:c r="T2911" s="14" t="str"/>
    </x:row>
    <x:row r="2912">
      <x:c r="A2912" s="14" t="n">
        <x:v>2911</x:v>
      </x:c>
      <x:c r="B2912" s="15" t="n">
        <x:v>46547</x:v>
      </x:c>
      <x:c r="C2912" s="14" t="str">
        <x:v>Çarşamba</x:v>
      </x:c>
      <x:c r="D2912" s="14" t="str">
        <x:v>Okul Günü</x:v>
      </x:c>
      <x:c r="E2912" s="14" t="str">
        <x:v>16:00 sonrası</x:v>
      </x:c>
      <x:c r="F2912" s="14" t="str">
        <x:v>F4 - 60 Gün / 60 Tam Deneme</x:v>
      </x:c>
      <x:c r="G2912" s="14" t="str">
        <x:v>16:00</x:v>
      </x:c>
      <x:c r="H2912" s="14" t="str">
        <x:v>16:25</x:v>
      </x:c>
      <x:c r="I2912" s="14" t="str">
        <x:v>Genel</x:v>
      </x:c>
      <x:c r="J2912" s="14" t="str">
        <x:v>Dinlenme</x:v>
      </x:c>
      <x:c r="K2912" s="14" t="str"/>
      <x:c r="L2912" s="14" t="str">
        <x:v>Eve geliş + kısa dinlenme.</x:v>
      </x:c>
      <x:c r="M2912" s="14" t="str"/>
      <x:c r="N2912" s="14" t="str"/>
      <x:c r="O2912" s="14" t="n">
        <x:v>0</x:v>
      </x:c>
      <x:c r="P2912" s="14" t="str">
        <x:v>Hayır</x:v>
      </x:c>
      <x:c r="Q2912" s="14" t="str">
        <x:v>Hayır</x:v>
      </x:c>
      <x:c r="R2912" s="14" t="str">
        <x:v>Planlandı</x:v>
      </x:c>
      <x:c r="S2912" s="15" t="str"/>
      <x:c r="T2912" s="14" t="str"/>
    </x:row>
    <x:row r="2913">
      <x:c r="A2913" s="14" t="n">
        <x:v>2912</x:v>
      </x:c>
      <x:c r="B2913" s="15" t="n">
        <x:v>46547</x:v>
      </x:c>
      <x:c r="C2913" s="14" t="str">
        <x:v>Çarşamba</x:v>
      </x:c>
      <x:c r="D2913" s="14" t="str">
        <x:v>Okul Günü</x:v>
      </x:c>
      <x:c r="E2913" s="14" t="str">
        <x:v>16:00 sonrası</x:v>
      </x:c>
      <x:c r="F2913" s="14" t="str">
        <x:v>F4 - 60 Gün / 60 Tam Deneme</x:v>
      </x:c>
      <x:c r="G2913" s="14" t="str">
        <x:v>16:30</x:v>
      </x:c>
      <x:c r="H2913" s="14" t="str">
        <x:v>17:45</x:v>
      </x:c>
      <x:c r="I2913" s="14" t="str">
        <x:v>Deneme</x:v>
      </x:c>
      <x:c r="J2913" s="14" t="str">
        <x:v>Tam LGS Denemesi - Sözel</x:v>
      </x:c>
      <x:c r="K2913" s="14" t="str">
        <x:v>Deneme 57</x:v>
      </x:c>
      <x:c r="L2913" s="14" t="str">
        <x:v>Deneme 57/60 — Sözel oturum: Türkçe 20 + İnkılap 10 + Din 10 + İngilizce 10. 75 dakika.</x:v>
      </x:c>
      <x:c r="M2913" s="14" t="str">
        <x:v>Tam LGS Denemesi</x:v>
      </x:c>
      <x:c r="N2913" s="14" t="str"/>
      <x:c r="O2913" s="14" t="n">
        <x:v>50</x:v>
      </x:c>
      <x:c r="P2913" s="14" t="str">
        <x:v>75 dk</x:v>
      </x:c>
      <x:c r="Q2913" s="14" t="str">
        <x:v>Evet</x:v>
      </x:c>
      <x:c r="R2913" s="14" t="str">
        <x:v>Planlandı</x:v>
      </x:c>
      <x:c r="S2913" s="15" t="str"/>
      <x:c r="T2913" s="14" t="str">
        <x:v>2026 LGS formatı çalışma referansıdır; 2027 kılavuzu yayımlanırsa güncellenir.</x:v>
      </x:c>
    </x:row>
    <x:row r="2914">
      <x:c r="A2914" s="14" t="n">
        <x:v>2913</x:v>
      </x:c>
      <x:c r="B2914" s="15" t="n">
        <x:v>46547</x:v>
      </x:c>
      <x:c r="C2914" s="14" t="str">
        <x:v>Çarşamba</x:v>
      </x:c>
      <x:c r="D2914" s="14" t="str">
        <x:v>Okul Günü</x:v>
      </x:c>
      <x:c r="E2914" s="14" t="str">
        <x:v>16:00 sonrası</x:v>
      </x:c>
      <x:c r="F2914" s="14" t="str">
        <x:v>F4 - 60 Gün / 60 Tam Deneme</x:v>
      </x:c>
      <x:c r="G2914" s="14" t="str">
        <x:v>17:45</x:v>
      </x:c>
      <x:c r="H2914" s="14" t="str">
        <x:v>18:30</x:v>
      </x:c>
      <x:c r="I2914" s="14" t="str">
        <x:v>Genel</x:v>
      </x:c>
      <x:c r="J2914" s="14" t="str">
        <x:v>Deneme Arası</x:v>
      </x:c>
      <x:c r="K2914" s="14" t="str"/>
      <x:c r="L2914" s="14" t="str">
        <x:v>45 dakika gerçek sınav arası simülasyonu: yemek/su/tuvalet; soru analizi yapma.</x:v>
      </x:c>
      <x:c r="M2914" s="14" t="str"/>
      <x:c r="N2914" s="14" t="str"/>
      <x:c r="O2914" s="14" t="n">
        <x:v>0</x:v>
      </x:c>
      <x:c r="P2914" s="14" t="str">
        <x:v>Hayır</x:v>
      </x:c>
      <x:c r="Q2914" s="14" t="str">
        <x:v>Evet</x:v>
      </x:c>
      <x:c r="R2914" s="14" t="str">
        <x:v>Planlandı</x:v>
      </x:c>
      <x:c r="S2914" s="15" t="str"/>
      <x:c r="T2914" s="14" t="str"/>
    </x:row>
    <x:row r="2915">
      <x:c r="A2915" s="14" t="n">
        <x:v>2914</x:v>
      </x:c>
      <x:c r="B2915" s="15" t="n">
        <x:v>46547</x:v>
      </x:c>
      <x:c r="C2915" s="14" t="str">
        <x:v>Çarşamba</x:v>
      </x:c>
      <x:c r="D2915" s="14" t="str">
        <x:v>Okul Günü</x:v>
      </x:c>
      <x:c r="E2915" s="14" t="str">
        <x:v>16:00 sonrası</x:v>
      </x:c>
      <x:c r="F2915" s="14" t="str">
        <x:v>F4 - 60 Gün / 60 Tam Deneme</x:v>
      </x:c>
      <x:c r="G2915" s="14" t="str">
        <x:v>18:30</x:v>
      </x:c>
      <x:c r="H2915" s="14" t="str">
        <x:v>19:50</x:v>
      </x:c>
      <x:c r="I2915" s="14" t="str">
        <x:v>Deneme</x:v>
      </x:c>
      <x:c r="J2915" s="14" t="str">
        <x:v>Tam LGS Denemesi - Sayısal</x:v>
      </x:c>
      <x:c r="K2915" s="14" t="str">
        <x:v>Deneme 57</x:v>
      </x:c>
      <x:c r="L2915" s="14" t="str">
        <x:v>Deneme 57/60 — Sayısal oturum: Matematik 20 + Fen 20. 80 dakika.</x:v>
      </x:c>
      <x:c r="M2915" s="14" t="str">
        <x:v>Tam LGS Denemesi</x:v>
      </x:c>
      <x:c r="N2915" s="14" t="str"/>
      <x:c r="O2915" s="14" t="n">
        <x:v>40</x:v>
      </x:c>
      <x:c r="P2915" s="14" t="str">
        <x:v>80 dk</x:v>
      </x:c>
      <x:c r="Q2915" s="14" t="str">
        <x:v>Evet</x:v>
      </x:c>
      <x:c r="R2915" s="14" t="str">
        <x:v>Planlandı</x:v>
      </x:c>
      <x:c r="S2915" s="15" t="str"/>
      <x:c r="T2915" s="14" t="str"/>
    </x:row>
    <x:row r="2916">
      <x:c r="A2916" s="14" t="n">
        <x:v>2915</x:v>
      </x:c>
      <x:c r="B2916" s="15" t="n">
        <x:v>46547</x:v>
      </x:c>
      <x:c r="C2916" s="14" t="str">
        <x:v>Çarşamba</x:v>
      </x:c>
      <x:c r="D2916" s="14" t="str">
        <x:v>Okul Günü</x:v>
      </x:c>
      <x:c r="E2916" s="14" t="str">
        <x:v>16:00 sonrası</x:v>
      </x:c>
      <x:c r="F2916" s="14" t="str">
        <x:v>F4 - 60 Gün / 60 Tam Deneme</x:v>
      </x:c>
      <x:c r="G2916" s="14" t="str">
        <x:v>20:00</x:v>
      </x:c>
      <x:c r="H2916" s="14" t="str">
        <x:v>20:45</x:v>
      </x:c>
      <x:c r="I2916" s="14" t="str">
        <x:v>Deneme</x:v>
      </x:c>
      <x:c r="J2916" s="14" t="str">
        <x:v>Deneme Analizi</x:v>
      </x:c>
      <x:c r="K2916" s="14" t="str">
        <x:v>Deneme 57</x:v>
      </x:c>
      <x:c r="L2916" s="14" t="str">
        <x:v>Tüm yanlış/boşları nedenleriyle analiz et; bilgi eksikliği, işlem, dikkat, yanlış okuma veya yorumlama olarak sınıflandır.</x:v>
      </x:c>
      <x:c r="M2916" s="14" t="str">
        <x:v>Deneme Takibi</x:v>
      </x:c>
      <x:c r="N2916" s="14" t="str"/>
      <x:c r="O2916" s="14" t="n">
        <x:v>0</x:v>
      </x:c>
      <x:c r="P2916" s="14" t="str">
        <x:v>Hayır</x:v>
      </x:c>
      <x:c r="Q2916" s="14" t="str">
        <x:v>Evet</x:v>
      </x:c>
      <x:c r="R2916" s="14" t="str">
        <x:v>Planlandı</x:v>
      </x:c>
      <x:c r="S2916" s="15" t="str"/>
      <x:c r="T2916" s="14" t="str">
        <x:v>Deneme çözülüp analiz edilmediyse gün tamamlanmış sayılmaz.</x:v>
      </x:c>
    </x:row>
    <x:row r="2917">
      <x:c r="A2917" s="14" t="n">
        <x:v>2916</x:v>
      </x:c>
      <x:c r="B2917" s="15" t="n">
        <x:v>46547</x:v>
      </x:c>
      <x:c r="C2917" s="14" t="str">
        <x:v>Çarşamba</x:v>
      </x:c>
      <x:c r="D2917" s="14" t="str">
        <x:v>Okul Günü</x:v>
      </x:c>
      <x:c r="E2917" s="14" t="str">
        <x:v>16:00 sonrası</x:v>
      </x:c>
      <x:c r="F2917" s="14" t="str">
        <x:v>F4 - 60 Gün / 60 Tam Deneme</x:v>
      </x:c>
      <x:c r="G2917" s="14" t="str">
        <x:v>20:50</x:v>
      </x:c>
      <x:c r="H2917" s="14" t="str">
        <x:v>21:25</x:v>
      </x:c>
      <x:c r="I2917" s="14" t="str">
        <x:v>Genel</x:v>
      </x:c>
      <x:c r="J2917" s="14" t="str">
        <x:v>Hedefli Eksik Giderme</x:v>
      </x:c>
      <x:c r="K2917" s="14" t="str">
        <x:v>Denemeden Gelen Eksikler</x:v>
      </x:c>
      <x:c r="L2917" s="14" t="str">
        <x:v>Denemenin gösterdiği en kritik 1-3 eksiği gider: gerekirse ilgili playlist videosuna kısa dönüş + hedefli soru çözümü.</x:v>
      </x:c>
      <x:c r="M2917" s="14" t="str">
        <x:v>Playlist + Soru Kitabı + MEB</x:v>
      </x:c>
      <x:c r="N2917" s="14" t="str"/>
      <x:c r="O2917" s="14" t="n">
        <x:v>0</x:v>
      </x:c>
      <x:c r="P2917" s="14" t="str">
        <x:v>Hayır</x:v>
      </x:c>
      <x:c r="Q2917" s="14" t="str">
        <x:v>Evet</x:v>
      </x:c>
      <x:c r="R2917" s="14" t="str">
        <x:v>Planlandı</x:v>
      </x:c>
      <x:c r="S2917" s="15" t="str"/>
      <x:c r="T2917" s="14" t="str">
        <x:v>Yeni konu açılmaz; yalnız denemenin kanıtladığı eksiğe müdahale edilir.</x:v>
      </x:c>
    </x:row>
    <x:row r="2918">
      <x:c r="A2918" s="14" t="n">
        <x:v>2917</x:v>
      </x:c>
      <x:c r="B2918" s="15" t="n">
        <x:v>46547</x:v>
      </x:c>
      <x:c r="C2918" s="14" t="str">
        <x:v>Çarşamba</x:v>
      </x:c>
      <x:c r="D2918" s="14" t="str">
        <x:v>Okul Günü</x:v>
      </x:c>
      <x:c r="E2918" s="14" t="str">
        <x:v>16:00 sonrası</x:v>
      </x:c>
      <x:c r="F2918" s="14" t="str">
        <x:v>F4 - 60 Gün / 60 Tam Deneme</x:v>
      </x:c>
      <x:c r="G2918" s="14" t="str">
        <x:v>21:25</x:v>
      </x:c>
      <x:c r="H2918" s="14" t="str">
        <x:v>21:40</x:v>
      </x:c>
      <x:c r="I2918" s="14" t="str">
        <x:v>Genel</x:v>
      </x:c>
      <x:c r="J2918" s="14" t="str">
        <x:v>Aralıklı Hata Tekrarı</x:v>
      </x:c>
      <x:c r="K2918" s="14" t="str">
        <x:v>+1 / +7 / +21</x:v>
      </x:c>
      <x:c r="L2918" s="14" t="str">
        <x:v>Bugün vadesi gelen eski yanlışları tekrar çöz ve bugünkü yanlışları Yanlış Defteri'ne ekle.</x:v>
      </x:c>
      <x:c r="M2918" s="14" t="str">
        <x:v>Yanlış Defteri</x:v>
      </x:c>
      <x:c r="N2918" s="14" t="str"/>
      <x:c r="O2918" s="14" t="n">
        <x:v>0</x:v>
      </x:c>
      <x:c r="P2918" s="14" t="str">
        <x:v>Hayır</x:v>
      </x:c>
      <x:c r="Q2918" s="14" t="str">
        <x:v>Evet</x:v>
      </x:c>
      <x:c r="R2918" s="14" t="str">
        <x:v>Planlandı</x:v>
      </x:c>
      <x:c r="S2918" s="15" t="str"/>
      <x:c r="T2918" s="14" t="str"/>
    </x:row>
    <x:row r="2919">
      <x:c r="A2919" s="14" t="n">
        <x:v>2918</x:v>
      </x:c>
      <x:c r="B2919" s="15" t="n">
        <x:v>46547</x:v>
      </x:c>
      <x:c r="C2919" s="14" t="str">
        <x:v>Çarşamba</x:v>
      </x:c>
      <x:c r="D2919" s="14" t="str">
        <x:v>Okul Günü</x:v>
      </x:c>
      <x:c r="E2919" s="14" t="str">
        <x:v>16:00 sonrası</x:v>
      </x:c>
      <x:c r="F2919" s="14" t="str">
        <x:v>F4 - 60 Gün / 60 Tam Deneme</x:v>
      </x:c>
      <x:c r="G2919" s="14" t="str">
        <x:v>21:40</x:v>
      </x:c>
      <x:c r="H2919" s="14" t="str">
        <x:v>21:50</x:v>
      </x:c>
      <x:c r="I2919" s="14" t="str">
        <x:v>Okuma</x:v>
      </x:c>
      <x:c r="J2919" s="14" t="str">
        <x:v>İsteğe Bağlı</x:v>
      </x:c>
      <x:c r="K2919" s="14" t="str">
        <x:v>Serbest Kitap</x:v>
      </x:c>
      <x:c r="L2919" s="14" t="str">
        <x:v>Enerji uygunsa kısa isteğe bağlı okuma.</x:v>
      </x:c>
      <x:c r="M2919" s="14" t="str">
        <x:v>Serbest Kitap</x:v>
      </x:c>
      <x:c r="N2919" s="14" t="str"/>
      <x:c r="O2919" s="14" t="n">
        <x:v>0</x:v>
      </x:c>
      <x:c r="P2919" s="14" t="str">
        <x:v>İsteğe Bağlı</x:v>
      </x:c>
      <x:c r="Q2919" s="14" t="str">
        <x:v>Hayır</x:v>
      </x:c>
      <x:c r="R2919" s="14" t="str">
        <x:v>Planlandı</x:v>
      </x:c>
      <x:c r="S2919" s="15" t="str"/>
      <x:c r="T2919" s="14" t="str"/>
    </x:row>
    <x:row r="2920">
      <x:c r="A2920" s="14" t="n">
        <x:v>2919</x:v>
      </x:c>
      <x:c r="B2920" s="15" t="n">
        <x:v>46547</x:v>
      </x:c>
      <x:c r="C2920" s="14" t="str">
        <x:v>Çarşamba</x:v>
      </x:c>
      <x:c r="D2920" s="14" t="str">
        <x:v>Okul Günü</x:v>
      </x:c>
      <x:c r="E2920" s="14" t="str">
        <x:v>16:00 sonrası</x:v>
      </x:c>
      <x:c r="F2920" s="14" t="str">
        <x:v>F4 - 60 Gün / 60 Tam Deneme</x:v>
      </x:c>
      <x:c r="G2920" s="14" t="str">
        <x:v>21:50</x:v>
      </x:c>
      <x:c r="H2920" s="14" t="str">
        <x:v>22:00</x:v>
      </x:c>
      <x:c r="I2920" s="14" t="str">
        <x:v>Genel</x:v>
      </x:c>
      <x:c r="J2920" s="14" t="str">
        <x:v>Uyku Hazırlığı</x:v>
      </x:c>
      <x:c r="K2920" s="14" t="str"/>
      <x:c r="L2920" s="14" t="str">
        <x:v>22:00'de yatakta ve uyku.</x:v>
      </x:c>
      <x:c r="M2920" s="14" t="str"/>
      <x:c r="N2920" s="14" t="str"/>
      <x:c r="O2920" s="14" t="n">
        <x:v>0</x:v>
      </x:c>
      <x:c r="P2920" s="14" t="str">
        <x:v>Hayır</x:v>
      </x:c>
      <x:c r="Q2920" s="14" t="str">
        <x:v>Hayır</x:v>
      </x:c>
      <x:c r="R2920" s="14" t="str">
        <x:v>Planlandı</x:v>
      </x:c>
      <x:c r="S2920" s="15" t="str"/>
      <x:c r="T2920" s="14" t="str"/>
    </x:row>
    <x:row r="2921">
      <x:c r="A2921" s="14" t="n">
        <x:v>2920</x:v>
      </x:c>
      <x:c r="B2921" s="15" t="n">
        <x:v>46548</x:v>
      </x:c>
      <x:c r="C2921" s="14" t="str">
        <x:v>Perşembe</x:v>
      </x:c>
      <x:c r="D2921" s="14" t="str">
        <x:v>Okul Günü</x:v>
      </x:c>
      <x:c r="E2921" s="14" t="str">
        <x:v>16:00 sonrası</x:v>
      </x:c>
      <x:c r="F2921" s="14" t="str">
        <x:v>F4 - 60 Gün / 60 Tam Deneme</x:v>
      </x:c>
      <x:c r="G2921" s="14" t="str">
        <x:v>16:00</x:v>
      </x:c>
      <x:c r="H2921" s="14" t="str">
        <x:v>16:25</x:v>
      </x:c>
      <x:c r="I2921" s="14" t="str">
        <x:v>Genel</x:v>
      </x:c>
      <x:c r="J2921" s="14" t="str">
        <x:v>Dinlenme</x:v>
      </x:c>
      <x:c r="K2921" s="14" t="str"/>
      <x:c r="L2921" s="14" t="str">
        <x:v>Eve geliş + kısa dinlenme.</x:v>
      </x:c>
      <x:c r="M2921" s="14" t="str"/>
      <x:c r="N2921" s="14" t="str"/>
      <x:c r="O2921" s="14" t="n">
        <x:v>0</x:v>
      </x:c>
      <x:c r="P2921" s="14" t="str">
        <x:v>Hayır</x:v>
      </x:c>
      <x:c r="Q2921" s="14" t="str">
        <x:v>Hayır</x:v>
      </x:c>
      <x:c r="R2921" s="14" t="str">
        <x:v>Planlandı</x:v>
      </x:c>
      <x:c r="S2921" s="15" t="str"/>
      <x:c r="T2921" s="14" t="str"/>
    </x:row>
    <x:row r="2922">
      <x:c r="A2922" s="14" t="n">
        <x:v>2921</x:v>
      </x:c>
      <x:c r="B2922" s="15" t="n">
        <x:v>46548</x:v>
      </x:c>
      <x:c r="C2922" s="14" t="str">
        <x:v>Perşembe</x:v>
      </x:c>
      <x:c r="D2922" s="14" t="str">
        <x:v>Okul Günü</x:v>
      </x:c>
      <x:c r="E2922" s="14" t="str">
        <x:v>16:00 sonrası</x:v>
      </x:c>
      <x:c r="F2922" s="14" t="str">
        <x:v>F4 - 60 Gün / 60 Tam Deneme</x:v>
      </x:c>
      <x:c r="G2922" s="14" t="str">
        <x:v>16:30</x:v>
      </x:c>
      <x:c r="H2922" s="14" t="str">
        <x:v>17:45</x:v>
      </x:c>
      <x:c r="I2922" s="14" t="str">
        <x:v>Deneme</x:v>
      </x:c>
      <x:c r="J2922" s="14" t="str">
        <x:v>Tam LGS Denemesi - Sözel</x:v>
      </x:c>
      <x:c r="K2922" s="14" t="str">
        <x:v>Deneme 58</x:v>
      </x:c>
      <x:c r="L2922" s="14" t="str">
        <x:v>Deneme 58/60 — Sözel oturum: Türkçe 20 + İnkılap 10 + Din 10 + İngilizce 10. 75 dakika.</x:v>
      </x:c>
      <x:c r="M2922" s="14" t="str">
        <x:v>Tam LGS Denemesi</x:v>
      </x:c>
      <x:c r="N2922" s="14" t="str"/>
      <x:c r="O2922" s="14" t="n">
        <x:v>50</x:v>
      </x:c>
      <x:c r="P2922" s="14" t="str">
        <x:v>75 dk</x:v>
      </x:c>
      <x:c r="Q2922" s="14" t="str">
        <x:v>Evet</x:v>
      </x:c>
      <x:c r="R2922" s="14" t="str">
        <x:v>Planlandı</x:v>
      </x:c>
      <x:c r="S2922" s="15" t="str"/>
      <x:c r="T2922" s="14" t="str">
        <x:v>2026 LGS formatı çalışma referansıdır; 2027 kılavuzu yayımlanırsa güncellenir.</x:v>
      </x:c>
    </x:row>
    <x:row r="2923">
      <x:c r="A2923" s="14" t="n">
        <x:v>2922</x:v>
      </x:c>
      <x:c r="B2923" s="15" t="n">
        <x:v>46548</x:v>
      </x:c>
      <x:c r="C2923" s="14" t="str">
        <x:v>Perşembe</x:v>
      </x:c>
      <x:c r="D2923" s="14" t="str">
        <x:v>Okul Günü</x:v>
      </x:c>
      <x:c r="E2923" s="14" t="str">
        <x:v>16:00 sonrası</x:v>
      </x:c>
      <x:c r="F2923" s="14" t="str">
        <x:v>F4 - 60 Gün / 60 Tam Deneme</x:v>
      </x:c>
      <x:c r="G2923" s="14" t="str">
        <x:v>17:45</x:v>
      </x:c>
      <x:c r="H2923" s="14" t="str">
        <x:v>18:30</x:v>
      </x:c>
      <x:c r="I2923" s="14" t="str">
        <x:v>Genel</x:v>
      </x:c>
      <x:c r="J2923" s="14" t="str">
        <x:v>Deneme Arası</x:v>
      </x:c>
      <x:c r="K2923" s="14" t="str"/>
      <x:c r="L2923" s="14" t="str">
        <x:v>45 dakika gerçek sınav arası simülasyonu: yemek/su/tuvalet; soru analizi yapma.</x:v>
      </x:c>
      <x:c r="M2923" s="14" t="str"/>
      <x:c r="N2923" s="14" t="str"/>
      <x:c r="O2923" s="14" t="n">
        <x:v>0</x:v>
      </x:c>
      <x:c r="P2923" s="14" t="str">
        <x:v>Hayır</x:v>
      </x:c>
      <x:c r="Q2923" s="14" t="str">
        <x:v>Evet</x:v>
      </x:c>
      <x:c r="R2923" s="14" t="str">
        <x:v>Planlandı</x:v>
      </x:c>
      <x:c r="S2923" s="15" t="str"/>
      <x:c r="T2923" s="14" t="str"/>
    </x:row>
    <x:row r="2924">
      <x:c r="A2924" s="14" t="n">
        <x:v>2923</x:v>
      </x:c>
      <x:c r="B2924" s="15" t="n">
        <x:v>46548</x:v>
      </x:c>
      <x:c r="C2924" s="14" t="str">
        <x:v>Perşembe</x:v>
      </x:c>
      <x:c r="D2924" s="14" t="str">
        <x:v>Okul Günü</x:v>
      </x:c>
      <x:c r="E2924" s="14" t="str">
        <x:v>16:00 sonrası</x:v>
      </x:c>
      <x:c r="F2924" s="14" t="str">
        <x:v>F4 - 60 Gün / 60 Tam Deneme</x:v>
      </x:c>
      <x:c r="G2924" s="14" t="str">
        <x:v>18:30</x:v>
      </x:c>
      <x:c r="H2924" s="14" t="str">
        <x:v>19:50</x:v>
      </x:c>
      <x:c r="I2924" s="14" t="str">
        <x:v>Deneme</x:v>
      </x:c>
      <x:c r="J2924" s="14" t="str">
        <x:v>Tam LGS Denemesi - Sayısal</x:v>
      </x:c>
      <x:c r="K2924" s="14" t="str">
        <x:v>Deneme 58</x:v>
      </x:c>
      <x:c r="L2924" s="14" t="str">
        <x:v>Deneme 58/60 — Sayısal oturum: Matematik 20 + Fen 20. 80 dakika.</x:v>
      </x:c>
      <x:c r="M2924" s="14" t="str">
        <x:v>Tam LGS Denemesi</x:v>
      </x:c>
      <x:c r="N2924" s="14" t="str"/>
      <x:c r="O2924" s="14" t="n">
        <x:v>40</x:v>
      </x:c>
      <x:c r="P2924" s="14" t="str">
        <x:v>80 dk</x:v>
      </x:c>
      <x:c r="Q2924" s="14" t="str">
        <x:v>Evet</x:v>
      </x:c>
      <x:c r="R2924" s="14" t="str">
        <x:v>Planlandı</x:v>
      </x:c>
      <x:c r="S2924" s="15" t="str"/>
      <x:c r="T2924" s="14" t="str"/>
    </x:row>
    <x:row r="2925">
      <x:c r="A2925" s="14" t="n">
        <x:v>2924</x:v>
      </x:c>
      <x:c r="B2925" s="15" t="n">
        <x:v>46548</x:v>
      </x:c>
      <x:c r="C2925" s="14" t="str">
        <x:v>Perşembe</x:v>
      </x:c>
      <x:c r="D2925" s="14" t="str">
        <x:v>Okul Günü</x:v>
      </x:c>
      <x:c r="E2925" s="14" t="str">
        <x:v>16:00 sonrası</x:v>
      </x:c>
      <x:c r="F2925" s="14" t="str">
        <x:v>F4 - 60 Gün / 60 Tam Deneme</x:v>
      </x:c>
      <x:c r="G2925" s="14" t="str">
        <x:v>20:00</x:v>
      </x:c>
      <x:c r="H2925" s="14" t="str">
        <x:v>20:45</x:v>
      </x:c>
      <x:c r="I2925" s="14" t="str">
        <x:v>Deneme</x:v>
      </x:c>
      <x:c r="J2925" s="14" t="str">
        <x:v>Deneme Analizi</x:v>
      </x:c>
      <x:c r="K2925" s="14" t="str">
        <x:v>Deneme 58</x:v>
      </x:c>
      <x:c r="L2925" s="14" t="str">
        <x:v>Tüm yanlış/boşları nedenleriyle analiz et; bilgi eksikliği, işlem, dikkat, yanlış okuma veya yorumlama olarak sınıflandır.</x:v>
      </x:c>
      <x:c r="M2925" s="14" t="str">
        <x:v>Deneme Takibi</x:v>
      </x:c>
      <x:c r="N2925" s="14" t="str"/>
      <x:c r="O2925" s="14" t="n">
        <x:v>0</x:v>
      </x:c>
      <x:c r="P2925" s="14" t="str">
        <x:v>Hayır</x:v>
      </x:c>
      <x:c r="Q2925" s="14" t="str">
        <x:v>Evet</x:v>
      </x:c>
      <x:c r="R2925" s="14" t="str">
        <x:v>Planlandı</x:v>
      </x:c>
      <x:c r="S2925" s="15" t="str"/>
      <x:c r="T2925" s="14" t="str">
        <x:v>Deneme çözülüp analiz edilmediyse gün tamamlanmış sayılmaz.</x:v>
      </x:c>
    </x:row>
    <x:row r="2926">
      <x:c r="A2926" s="14" t="n">
        <x:v>2925</x:v>
      </x:c>
      <x:c r="B2926" s="15" t="n">
        <x:v>46548</x:v>
      </x:c>
      <x:c r="C2926" s="14" t="str">
        <x:v>Perşembe</x:v>
      </x:c>
      <x:c r="D2926" s="14" t="str">
        <x:v>Okul Günü</x:v>
      </x:c>
      <x:c r="E2926" s="14" t="str">
        <x:v>16:00 sonrası</x:v>
      </x:c>
      <x:c r="F2926" s="14" t="str">
        <x:v>F4 - 60 Gün / 60 Tam Deneme</x:v>
      </x:c>
      <x:c r="G2926" s="14" t="str">
        <x:v>20:50</x:v>
      </x:c>
      <x:c r="H2926" s="14" t="str">
        <x:v>21:25</x:v>
      </x:c>
      <x:c r="I2926" s="14" t="str">
        <x:v>Genel</x:v>
      </x:c>
      <x:c r="J2926" s="14" t="str">
        <x:v>Hedefli Eksik Giderme</x:v>
      </x:c>
      <x:c r="K2926" s="14" t="str">
        <x:v>Denemeden Gelen Eksikler</x:v>
      </x:c>
      <x:c r="L2926" s="14" t="str">
        <x:v>Denemenin gösterdiği en kritik 1-3 eksiği gider: gerekirse ilgili playlist videosuna kısa dönüş + hedefli soru çözümü.</x:v>
      </x:c>
      <x:c r="M2926" s="14" t="str">
        <x:v>Playlist + Soru Kitabı + MEB</x:v>
      </x:c>
      <x:c r="N2926" s="14" t="str"/>
      <x:c r="O2926" s="14" t="n">
        <x:v>0</x:v>
      </x:c>
      <x:c r="P2926" s="14" t="str">
        <x:v>Hayır</x:v>
      </x:c>
      <x:c r="Q2926" s="14" t="str">
        <x:v>Evet</x:v>
      </x:c>
      <x:c r="R2926" s="14" t="str">
        <x:v>Planlandı</x:v>
      </x:c>
      <x:c r="S2926" s="15" t="str"/>
      <x:c r="T2926" s="14" t="str">
        <x:v>Yeni konu açılmaz; yalnız denemenin kanıtladığı eksiğe müdahale edilir.</x:v>
      </x:c>
    </x:row>
    <x:row r="2927">
      <x:c r="A2927" s="14" t="n">
        <x:v>2926</x:v>
      </x:c>
      <x:c r="B2927" s="15" t="n">
        <x:v>46548</x:v>
      </x:c>
      <x:c r="C2927" s="14" t="str">
        <x:v>Perşembe</x:v>
      </x:c>
      <x:c r="D2927" s="14" t="str">
        <x:v>Okul Günü</x:v>
      </x:c>
      <x:c r="E2927" s="14" t="str">
        <x:v>16:00 sonrası</x:v>
      </x:c>
      <x:c r="F2927" s="14" t="str">
        <x:v>F4 - 60 Gün / 60 Tam Deneme</x:v>
      </x:c>
      <x:c r="G2927" s="14" t="str">
        <x:v>21:25</x:v>
      </x:c>
      <x:c r="H2927" s="14" t="str">
        <x:v>21:40</x:v>
      </x:c>
      <x:c r="I2927" s="14" t="str">
        <x:v>Genel</x:v>
      </x:c>
      <x:c r="J2927" s="14" t="str">
        <x:v>Aralıklı Hata Tekrarı</x:v>
      </x:c>
      <x:c r="K2927" s="14" t="str">
        <x:v>+1 / +7 / +21</x:v>
      </x:c>
      <x:c r="L2927" s="14" t="str">
        <x:v>Bugün vadesi gelen eski yanlışları tekrar çöz ve bugünkü yanlışları Yanlış Defteri'ne ekle.</x:v>
      </x:c>
      <x:c r="M2927" s="14" t="str">
        <x:v>Yanlış Defteri</x:v>
      </x:c>
      <x:c r="N2927" s="14" t="str"/>
      <x:c r="O2927" s="14" t="n">
        <x:v>0</x:v>
      </x:c>
      <x:c r="P2927" s="14" t="str">
        <x:v>Hayır</x:v>
      </x:c>
      <x:c r="Q2927" s="14" t="str">
        <x:v>Evet</x:v>
      </x:c>
      <x:c r="R2927" s="14" t="str">
        <x:v>Planlandı</x:v>
      </x:c>
      <x:c r="S2927" s="15" t="str"/>
      <x:c r="T2927" s="14" t="str"/>
    </x:row>
    <x:row r="2928">
      <x:c r="A2928" s="14" t="n">
        <x:v>2927</x:v>
      </x:c>
      <x:c r="B2928" s="15" t="n">
        <x:v>46548</x:v>
      </x:c>
      <x:c r="C2928" s="14" t="str">
        <x:v>Perşembe</x:v>
      </x:c>
      <x:c r="D2928" s="14" t="str">
        <x:v>Okul Günü</x:v>
      </x:c>
      <x:c r="E2928" s="14" t="str">
        <x:v>16:00 sonrası</x:v>
      </x:c>
      <x:c r="F2928" s="14" t="str">
        <x:v>F4 - 60 Gün / 60 Tam Deneme</x:v>
      </x:c>
      <x:c r="G2928" s="14" t="str">
        <x:v>21:40</x:v>
      </x:c>
      <x:c r="H2928" s="14" t="str">
        <x:v>21:50</x:v>
      </x:c>
      <x:c r="I2928" s="14" t="str">
        <x:v>Okuma</x:v>
      </x:c>
      <x:c r="J2928" s="14" t="str">
        <x:v>İsteğe Bağlı</x:v>
      </x:c>
      <x:c r="K2928" s="14" t="str">
        <x:v>Serbest Kitap</x:v>
      </x:c>
      <x:c r="L2928" s="14" t="str">
        <x:v>Enerji uygunsa kısa isteğe bağlı okuma.</x:v>
      </x:c>
      <x:c r="M2928" s="14" t="str">
        <x:v>Serbest Kitap</x:v>
      </x:c>
      <x:c r="N2928" s="14" t="str"/>
      <x:c r="O2928" s="14" t="n">
        <x:v>0</x:v>
      </x:c>
      <x:c r="P2928" s="14" t="str">
        <x:v>İsteğe Bağlı</x:v>
      </x:c>
      <x:c r="Q2928" s="14" t="str">
        <x:v>Hayır</x:v>
      </x:c>
      <x:c r="R2928" s="14" t="str">
        <x:v>Planlandı</x:v>
      </x:c>
      <x:c r="S2928" s="15" t="str"/>
      <x:c r="T2928" s="14" t="str"/>
    </x:row>
    <x:row r="2929">
      <x:c r="A2929" s="14" t="n">
        <x:v>2928</x:v>
      </x:c>
      <x:c r="B2929" s="15" t="n">
        <x:v>46548</x:v>
      </x:c>
      <x:c r="C2929" s="14" t="str">
        <x:v>Perşembe</x:v>
      </x:c>
      <x:c r="D2929" s="14" t="str">
        <x:v>Okul Günü</x:v>
      </x:c>
      <x:c r="E2929" s="14" t="str">
        <x:v>16:00 sonrası</x:v>
      </x:c>
      <x:c r="F2929" s="14" t="str">
        <x:v>F4 - 60 Gün / 60 Tam Deneme</x:v>
      </x:c>
      <x:c r="G2929" s="14" t="str">
        <x:v>21:50</x:v>
      </x:c>
      <x:c r="H2929" s="14" t="str">
        <x:v>22:00</x:v>
      </x:c>
      <x:c r="I2929" s="14" t="str">
        <x:v>Genel</x:v>
      </x:c>
      <x:c r="J2929" s="14" t="str">
        <x:v>Uyku Hazırlığı</x:v>
      </x:c>
      <x:c r="K2929" s="14" t="str"/>
      <x:c r="L2929" s="14" t="str">
        <x:v>22:00'de yatakta ve uyku.</x:v>
      </x:c>
      <x:c r="M2929" s="14" t="str"/>
      <x:c r="N2929" s="14" t="str"/>
      <x:c r="O2929" s="14" t="n">
        <x:v>0</x:v>
      </x:c>
      <x:c r="P2929" s="14" t="str">
        <x:v>Hayır</x:v>
      </x:c>
      <x:c r="Q2929" s="14" t="str">
        <x:v>Hayır</x:v>
      </x:c>
      <x:c r="R2929" s="14" t="str">
        <x:v>Planlandı</x:v>
      </x:c>
      <x:c r="S2929" s="15" t="str"/>
      <x:c r="T2929" s="14" t="str"/>
    </x:row>
    <x:row r="2930">
      <x:c r="A2930" s="14" t="n">
        <x:v>2929</x:v>
      </x:c>
      <x:c r="B2930" s="15" t="n">
        <x:v>46549</x:v>
      </x:c>
      <x:c r="C2930" s="14" t="str">
        <x:v>Cuma</x:v>
      </x:c>
      <x:c r="D2930" s="14" t="str">
        <x:v>Okul Günü</x:v>
      </x:c>
      <x:c r="E2930" s="14" t="str">
        <x:v>16:00 sonrası</x:v>
      </x:c>
      <x:c r="F2930" s="14" t="str">
        <x:v>F4 - 60 Gün / 60 Tam Deneme</x:v>
      </x:c>
      <x:c r="G2930" s="14" t="str">
        <x:v>16:00</x:v>
      </x:c>
      <x:c r="H2930" s="14" t="str">
        <x:v>16:25</x:v>
      </x:c>
      <x:c r="I2930" s="14" t="str">
        <x:v>Genel</x:v>
      </x:c>
      <x:c r="J2930" s="14" t="str">
        <x:v>Dinlenme</x:v>
      </x:c>
      <x:c r="K2930" s="14" t="str"/>
      <x:c r="L2930" s="14" t="str">
        <x:v>Eve geliş + kısa dinlenme.</x:v>
      </x:c>
      <x:c r="M2930" s="14" t="str"/>
      <x:c r="N2930" s="14" t="str"/>
      <x:c r="O2930" s="14" t="n">
        <x:v>0</x:v>
      </x:c>
      <x:c r="P2930" s="14" t="str">
        <x:v>Hayır</x:v>
      </x:c>
      <x:c r="Q2930" s="14" t="str">
        <x:v>Hayır</x:v>
      </x:c>
      <x:c r="R2930" s="14" t="str">
        <x:v>Planlandı</x:v>
      </x:c>
      <x:c r="S2930" s="15" t="str"/>
      <x:c r="T2930" s="14" t="str"/>
    </x:row>
    <x:row r="2931">
      <x:c r="A2931" s="14" t="n">
        <x:v>2930</x:v>
      </x:c>
      <x:c r="B2931" s="15" t="n">
        <x:v>46549</x:v>
      </x:c>
      <x:c r="C2931" s="14" t="str">
        <x:v>Cuma</x:v>
      </x:c>
      <x:c r="D2931" s="14" t="str">
        <x:v>Okul Günü</x:v>
      </x:c>
      <x:c r="E2931" s="14" t="str">
        <x:v>16:00 sonrası</x:v>
      </x:c>
      <x:c r="F2931" s="14" t="str">
        <x:v>F4 - 60 Gün / 60 Tam Deneme</x:v>
      </x:c>
      <x:c r="G2931" s="14" t="str">
        <x:v>16:30</x:v>
      </x:c>
      <x:c r="H2931" s="14" t="str">
        <x:v>17:45</x:v>
      </x:c>
      <x:c r="I2931" s="14" t="str">
        <x:v>Deneme</x:v>
      </x:c>
      <x:c r="J2931" s="14" t="str">
        <x:v>Tam LGS Denemesi - Sözel</x:v>
      </x:c>
      <x:c r="K2931" s="14" t="str">
        <x:v>Deneme 59</x:v>
      </x:c>
      <x:c r="L2931" s="14" t="str">
        <x:v>Deneme 59/60 — Sözel oturum: Türkçe 20 + İnkılap 10 + Din 10 + İngilizce 10. 75 dakika.</x:v>
      </x:c>
      <x:c r="M2931" s="14" t="str">
        <x:v>Tam LGS Denemesi</x:v>
      </x:c>
      <x:c r="N2931" s="14" t="str"/>
      <x:c r="O2931" s="14" t="n">
        <x:v>50</x:v>
      </x:c>
      <x:c r="P2931" s="14" t="str">
        <x:v>75 dk</x:v>
      </x:c>
      <x:c r="Q2931" s="14" t="str">
        <x:v>Evet</x:v>
      </x:c>
      <x:c r="R2931" s="14" t="str">
        <x:v>Planlandı</x:v>
      </x:c>
      <x:c r="S2931" s="15" t="str"/>
      <x:c r="T2931" s="14" t="str">
        <x:v>2026 LGS formatı çalışma referansıdır; 2027 kılavuzu yayımlanırsa güncellenir.</x:v>
      </x:c>
    </x:row>
    <x:row r="2932">
      <x:c r="A2932" s="14" t="n">
        <x:v>2931</x:v>
      </x:c>
      <x:c r="B2932" s="15" t="n">
        <x:v>46549</x:v>
      </x:c>
      <x:c r="C2932" s="14" t="str">
        <x:v>Cuma</x:v>
      </x:c>
      <x:c r="D2932" s="14" t="str">
        <x:v>Okul Günü</x:v>
      </x:c>
      <x:c r="E2932" s="14" t="str">
        <x:v>16:00 sonrası</x:v>
      </x:c>
      <x:c r="F2932" s="14" t="str">
        <x:v>F4 - 60 Gün / 60 Tam Deneme</x:v>
      </x:c>
      <x:c r="G2932" s="14" t="str">
        <x:v>17:45</x:v>
      </x:c>
      <x:c r="H2932" s="14" t="str">
        <x:v>18:30</x:v>
      </x:c>
      <x:c r="I2932" s="14" t="str">
        <x:v>Genel</x:v>
      </x:c>
      <x:c r="J2932" s="14" t="str">
        <x:v>Deneme Arası</x:v>
      </x:c>
      <x:c r="K2932" s="14" t="str"/>
      <x:c r="L2932" s="14" t="str">
        <x:v>45 dakika gerçek sınav arası simülasyonu: yemek/su/tuvalet; soru analizi yapma.</x:v>
      </x:c>
      <x:c r="M2932" s="14" t="str"/>
      <x:c r="N2932" s="14" t="str"/>
      <x:c r="O2932" s="14" t="n">
        <x:v>0</x:v>
      </x:c>
      <x:c r="P2932" s="14" t="str">
        <x:v>Hayır</x:v>
      </x:c>
      <x:c r="Q2932" s="14" t="str">
        <x:v>Evet</x:v>
      </x:c>
      <x:c r="R2932" s="14" t="str">
        <x:v>Planlandı</x:v>
      </x:c>
      <x:c r="S2932" s="15" t="str"/>
      <x:c r="T2932" s="14" t="str"/>
    </x:row>
    <x:row r="2933">
      <x:c r="A2933" s="14" t="n">
        <x:v>2932</x:v>
      </x:c>
      <x:c r="B2933" s="15" t="n">
        <x:v>46549</x:v>
      </x:c>
      <x:c r="C2933" s="14" t="str">
        <x:v>Cuma</x:v>
      </x:c>
      <x:c r="D2933" s="14" t="str">
        <x:v>Okul Günü</x:v>
      </x:c>
      <x:c r="E2933" s="14" t="str">
        <x:v>16:00 sonrası</x:v>
      </x:c>
      <x:c r="F2933" s="14" t="str">
        <x:v>F4 - 60 Gün / 60 Tam Deneme</x:v>
      </x:c>
      <x:c r="G2933" s="14" t="str">
        <x:v>18:30</x:v>
      </x:c>
      <x:c r="H2933" s="14" t="str">
        <x:v>19:50</x:v>
      </x:c>
      <x:c r="I2933" s="14" t="str">
        <x:v>Deneme</x:v>
      </x:c>
      <x:c r="J2933" s="14" t="str">
        <x:v>Tam LGS Denemesi - Sayısal</x:v>
      </x:c>
      <x:c r="K2933" s="14" t="str">
        <x:v>Deneme 59</x:v>
      </x:c>
      <x:c r="L2933" s="14" t="str">
        <x:v>Deneme 59/60 — Sayısal oturum: Matematik 20 + Fen 20. 80 dakika.</x:v>
      </x:c>
      <x:c r="M2933" s="14" t="str">
        <x:v>Tam LGS Denemesi</x:v>
      </x:c>
      <x:c r="N2933" s="14" t="str"/>
      <x:c r="O2933" s="14" t="n">
        <x:v>40</x:v>
      </x:c>
      <x:c r="P2933" s="14" t="str">
        <x:v>80 dk</x:v>
      </x:c>
      <x:c r="Q2933" s="14" t="str">
        <x:v>Evet</x:v>
      </x:c>
      <x:c r="R2933" s="14" t="str">
        <x:v>Planlandı</x:v>
      </x:c>
      <x:c r="S2933" s="15" t="str"/>
      <x:c r="T2933" s="14" t="str"/>
    </x:row>
    <x:row r="2934">
      <x:c r="A2934" s="14" t="n">
        <x:v>2933</x:v>
      </x:c>
      <x:c r="B2934" s="15" t="n">
        <x:v>46549</x:v>
      </x:c>
      <x:c r="C2934" s="14" t="str">
        <x:v>Cuma</x:v>
      </x:c>
      <x:c r="D2934" s="14" t="str">
        <x:v>Okul Günü</x:v>
      </x:c>
      <x:c r="E2934" s="14" t="str">
        <x:v>16:00 sonrası</x:v>
      </x:c>
      <x:c r="F2934" s="14" t="str">
        <x:v>F4 - 60 Gün / 60 Tam Deneme</x:v>
      </x:c>
      <x:c r="G2934" s="14" t="str">
        <x:v>20:00</x:v>
      </x:c>
      <x:c r="H2934" s="14" t="str">
        <x:v>20:45</x:v>
      </x:c>
      <x:c r="I2934" s="14" t="str">
        <x:v>Deneme</x:v>
      </x:c>
      <x:c r="J2934" s="14" t="str">
        <x:v>Deneme Analizi</x:v>
      </x:c>
      <x:c r="K2934" s="14" t="str">
        <x:v>Deneme 59</x:v>
      </x:c>
      <x:c r="L2934" s="14" t="str">
        <x:v>Tüm yanlış/boşları nedenleriyle analiz et; bilgi eksikliği, işlem, dikkat, yanlış okuma veya yorumlama olarak sınıflandır.</x:v>
      </x:c>
      <x:c r="M2934" s="14" t="str">
        <x:v>Deneme Takibi</x:v>
      </x:c>
      <x:c r="N2934" s="14" t="str"/>
      <x:c r="O2934" s="14" t="n">
        <x:v>0</x:v>
      </x:c>
      <x:c r="P2934" s="14" t="str">
        <x:v>Hayır</x:v>
      </x:c>
      <x:c r="Q2934" s="14" t="str">
        <x:v>Evet</x:v>
      </x:c>
      <x:c r="R2934" s="14" t="str">
        <x:v>Planlandı</x:v>
      </x:c>
      <x:c r="S2934" s="15" t="str"/>
      <x:c r="T2934" s="14" t="str">
        <x:v>Deneme çözülüp analiz edilmediyse gün tamamlanmış sayılmaz.</x:v>
      </x:c>
    </x:row>
    <x:row r="2935">
      <x:c r="A2935" s="14" t="n">
        <x:v>2934</x:v>
      </x:c>
      <x:c r="B2935" s="15" t="n">
        <x:v>46549</x:v>
      </x:c>
      <x:c r="C2935" s="14" t="str">
        <x:v>Cuma</x:v>
      </x:c>
      <x:c r="D2935" s="14" t="str">
        <x:v>Okul Günü</x:v>
      </x:c>
      <x:c r="E2935" s="14" t="str">
        <x:v>16:00 sonrası</x:v>
      </x:c>
      <x:c r="F2935" s="14" t="str">
        <x:v>F4 - 60 Gün / 60 Tam Deneme</x:v>
      </x:c>
      <x:c r="G2935" s="14" t="str">
        <x:v>20:50</x:v>
      </x:c>
      <x:c r="H2935" s="14" t="str">
        <x:v>21:25</x:v>
      </x:c>
      <x:c r="I2935" s="14" t="str">
        <x:v>Genel</x:v>
      </x:c>
      <x:c r="J2935" s="14" t="str">
        <x:v>Hedefli Eksik Giderme</x:v>
      </x:c>
      <x:c r="K2935" s="14" t="str">
        <x:v>Denemeden Gelen Eksikler</x:v>
      </x:c>
      <x:c r="L2935" s="14" t="str">
        <x:v>Denemenin gösterdiği en kritik 1-3 eksiği gider: gerekirse ilgili playlist videosuna kısa dönüş + hedefli soru çözümü.</x:v>
      </x:c>
      <x:c r="M2935" s="14" t="str">
        <x:v>Playlist + Soru Kitabı + MEB</x:v>
      </x:c>
      <x:c r="N2935" s="14" t="str"/>
      <x:c r="O2935" s="14" t="n">
        <x:v>0</x:v>
      </x:c>
      <x:c r="P2935" s="14" t="str">
        <x:v>Hayır</x:v>
      </x:c>
      <x:c r="Q2935" s="14" t="str">
        <x:v>Evet</x:v>
      </x:c>
      <x:c r="R2935" s="14" t="str">
        <x:v>Planlandı</x:v>
      </x:c>
      <x:c r="S2935" s="15" t="str"/>
      <x:c r="T2935" s="14" t="str">
        <x:v>Yeni konu açılmaz; yalnız denemenin kanıtladığı eksiğe müdahale edilir.</x:v>
      </x:c>
    </x:row>
    <x:row r="2936">
      <x:c r="A2936" s="14" t="n">
        <x:v>2935</x:v>
      </x:c>
      <x:c r="B2936" s="15" t="n">
        <x:v>46549</x:v>
      </x:c>
      <x:c r="C2936" s="14" t="str">
        <x:v>Cuma</x:v>
      </x:c>
      <x:c r="D2936" s="14" t="str">
        <x:v>Okul Günü</x:v>
      </x:c>
      <x:c r="E2936" s="14" t="str">
        <x:v>16:00 sonrası</x:v>
      </x:c>
      <x:c r="F2936" s="14" t="str">
        <x:v>F4 - 60 Gün / 60 Tam Deneme</x:v>
      </x:c>
      <x:c r="G2936" s="14" t="str">
        <x:v>21:25</x:v>
      </x:c>
      <x:c r="H2936" s="14" t="str">
        <x:v>21:40</x:v>
      </x:c>
      <x:c r="I2936" s="14" t="str">
        <x:v>Genel</x:v>
      </x:c>
      <x:c r="J2936" s="14" t="str">
        <x:v>Aralıklı Hata Tekrarı</x:v>
      </x:c>
      <x:c r="K2936" s="14" t="str">
        <x:v>+1 / +7 / +21</x:v>
      </x:c>
      <x:c r="L2936" s="14" t="str">
        <x:v>Bugün vadesi gelen eski yanlışları tekrar çöz ve bugünkü yanlışları Yanlış Defteri'ne ekle.</x:v>
      </x:c>
      <x:c r="M2936" s="14" t="str">
        <x:v>Yanlış Defteri</x:v>
      </x:c>
      <x:c r="N2936" s="14" t="str"/>
      <x:c r="O2936" s="14" t="n">
        <x:v>0</x:v>
      </x:c>
      <x:c r="P2936" s="14" t="str">
        <x:v>Hayır</x:v>
      </x:c>
      <x:c r="Q2936" s="14" t="str">
        <x:v>Evet</x:v>
      </x:c>
      <x:c r="R2936" s="14" t="str">
        <x:v>Planlandı</x:v>
      </x:c>
      <x:c r="S2936" s="15" t="str"/>
      <x:c r="T2936" s="14" t="str"/>
    </x:row>
    <x:row r="2937">
      <x:c r="A2937" s="14" t="n">
        <x:v>2936</x:v>
      </x:c>
      <x:c r="B2937" s="15" t="n">
        <x:v>46549</x:v>
      </x:c>
      <x:c r="C2937" s="14" t="str">
        <x:v>Cuma</x:v>
      </x:c>
      <x:c r="D2937" s="14" t="str">
        <x:v>Okul Günü</x:v>
      </x:c>
      <x:c r="E2937" s="14" t="str">
        <x:v>16:00 sonrası</x:v>
      </x:c>
      <x:c r="F2937" s="14" t="str">
        <x:v>F4 - 60 Gün / 60 Tam Deneme</x:v>
      </x:c>
      <x:c r="G2937" s="14" t="str">
        <x:v>21:40</x:v>
      </x:c>
      <x:c r="H2937" s="14" t="str">
        <x:v>21:50</x:v>
      </x:c>
      <x:c r="I2937" s="14" t="str">
        <x:v>Okuma</x:v>
      </x:c>
      <x:c r="J2937" s="14" t="str">
        <x:v>İsteğe Bağlı</x:v>
      </x:c>
      <x:c r="K2937" s="14" t="str">
        <x:v>Serbest Kitap</x:v>
      </x:c>
      <x:c r="L2937" s="14" t="str">
        <x:v>Enerji uygunsa kısa isteğe bağlı okuma.</x:v>
      </x:c>
      <x:c r="M2937" s="14" t="str">
        <x:v>Serbest Kitap</x:v>
      </x:c>
      <x:c r="N2937" s="14" t="str"/>
      <x:c r="O2937" s="14" t="n">
        <x:v>0</x:v>
      </x:c>
      <x:c r="P2937" s="14" t="str">
        <x:v>İsteğe Bağlı</x:v>
      </x:c>
      <x:c r="Q2937" s="14" t="str">
        <x:v>Hayır</x:v>
      </x:c>
      <x:c r="R2937" s="14" t="str">
        <x:v>Planlandı</x:v>
      </x:c>
      <x:c r="S2937" s="15" t="str"/>
      <x:c r="T2937" s="14" t="str"/>
    </x:row>
    <x:row r="2938">
      <x:c r="A2938" s="14" t="n">
        <x:v>2937</x:v>
      </x:c>
      <x:c r="B2938" s="15" t="n">
        <x:v>46549</x:v>
      </x:c>
      <x:c r="C2938" s="14" t="str">
        <x:v>Cuma</x:v>
      </x:c>
      <x:c r="D2938" s="14" t="str">
        <x:v>Okul Günü</x:v>
      </x:c>
      <x:c r="E2938" s="14" t="str">
        <x:v>16:00 sonrası</x:v>
      </x:c>
      <x:c r="F2938" s="14" t="str">
        <x:v>F4 - 60 Gün / 60 Tam Deneme</x:v>
      </x:c>
      <x:c r="G2938" s="14" t="str">
        <x:v>21:50</x:v>
      </x:c>
      <x:c r="H2938" s="14" t="str">
        <x:v>22:00</x:v>
      </x:c>
      <x:c r="I2938" s="14" t="str">
        <x:v>Genel</x:v>
      </x:c>
      <x:c r="J2938" s="14" t="str">
        <x:v>Uyku Hazırlığı</x:v>
      </x:c>
      <x:c r="K2938" s="14" t="str"/>
      <x:c r="L2938" s="14" t="str">
        <x:v>22:00'de yatakta ve uyku.</x:v>
      </x:c>
      <x:c r="M2938" s="14" t="str"/>
      <x:c r="N2938" s="14" t="str"/>
      <x:c r="O2938" s="14" t="n">
        <x:v>0</x:v>
      </x:c>
      <x:c r="P2938" s="14" t="str">
        <x:v>Hayır</x:v>
      </x:c>
      <x:c r="Q2938" s="14" t="str">
        <x:v>Hayır</x:v>
      </x:c>
      <x:c r="R2938" s="14" t="str">
        <x:v>Planlandı</x:v>
      </x:c>
      <x:c r="S2938" s="15" t="str"/>
      <x:c r="T2938" s="14" t="str"/>
    </x:row>
    <x:row r="2939">
      <x:c r="A2939" s="14" t="n">
        <x:v>2938</x:v>
      </x:c>
      <x:c r="B2939" s="15" t="n">
        <x:v>46550</x:v>
      </x:c>
      <x:c r="C2939" s="14" t="str">
        <x:v>Cumartesi</x:v>
      </x:c>
      <x:c r="D2939" s="14" t="str">
        <x:v>Hafta Sonu</x:v>
      </x:c>
      <x:c r="E2939" s="14" t="str">
        <x:v>Tam gün</x:v>
      </x:c>
      <x:c r="F2939" s="14" t="str">
        <x:v>F4 - 60 Gün / 60 Tam Deneme</x:v>
      </x:c>
      <x:c r="G2939" s="14" t="str">
        <x:v>09:30</x:v>
      </x:c>
      <x:c r="H2939" s="14" t="str">
        <x:v>10:45</x:v>
      </x:c>
      <x:c r="I2939" s="14" t="str">
        <x:v>Deneme</x:v>
      </x:c>
      <x:c r="J2939" s="14" t="str">
        <x:v>Tam LGS Denemesi - Sözel</x:v>
      </x:c>
      <x:c r="K2939" s="14" t="str">
        <x:v>Deneme 60</x:v>
      </x:c>
      <x:c r="L2939" s="14" t="str">
        <x:v>Deneme 60/60 — Sözel oturum: Türkçe 20 + İnkılap 10 + Din 10 + İngilizce 10. 75 dakika.</x:v>
      </x:c>
      <x:c r="M2939" s="14" t="str">
        <x:v>Tam LGS Denemesi</x:v>
      </x:c>
      <x:c r="N2939" s="14" t="str"/>
      <x:c r="O2939" s="14" t="n">
        <x:v>50</x:v>
      </x:c>
      <x:c r="P2939" s="14" t="str">
        <x:v>75 dk</x:v>
      </x:c>
      <x:c r="Q2939" s="14" t="str">
        <x:v>Evet</x:v>
      </x:c>
      <x:c r="R2939" s="14" t="str">
        <x:v>Planlandı</x:v>
      </x:c>
      <x:c r="S2939" s="15" t="str"/>
      <x:c r="T2939" s="14" t="str">
        <x:v>2026 LGS formatı çalışma referansıdır; 2027 kılavuzu yayımlanırsa güncellenir.</x:v>
      </x:c>
    </x:row>
    <x:row r="2940">
      <x:c r="A2940" s="14" t="n">
        <x:v>2939</x:v>
      </x:c>
      <x:c r="B2940" s="15" t="n">
        <x:v>46550</x:v>
      </x:c>
      <x:c r="C2940" s="14" t="str">
        <x:v>Cumartesi</x:v>
      </x:c>
      <x:c r="D2940" s="14" t="str">
        <x:v>Hafta Sonu</x:v>
      </x:c>
      <x:c r="E2940" s="14" t="str">
        <x:v>Tam gün</x:v>
      </x:c>
      <x:c r="F2940" s="14" t="str">
        <x:v>F4 - 60 Gün / 60 Tam Deneme</x:v>
      </x:c>
      <x:c r="G2940" s="14" t="str">
        <x:v>10:45</x:v>
      </x:c>
      <x:c r="H2940" s="14" t="str">
        <x:v>11:30</x:v>
      </x:c>
      <x:c r="I2940" s="14" t="str">
        <x:v>Genel</x:v>
      </x:c>
      <x:c r="J2940" s="14" t="str">
        <x:v>Deneme Arası</x:v>
      </x:c>
      <x:c r="K2940" s="14" t="str"/>
      <x:c r="L2940" s="14" t="str">
        <x:v>45 dakika gerçek sınav arası simülasyonu: yemek/su/tuvalet; soru analizi yapma.</x:v>
      </x:c>
      <x:c r="M2940" s="14" t="str"/>
      <x:c r="N2940" s="14" t="str"/>
      <x:c r="O2940" s="14" t="n">
        <x:v>0</x:v>
      </x:c>
      <x:c r="P2940" s="14" t="str">
        <x:v>Hayır</x:v>
      </x:c>
      <x:c r="Q2940" s="14" t="str">
        <x:v>Evet</x:v>
      </x:c>
      <x:c r="R2940" s="14" t="str">
        <x:v>Planlandı</x:v>
      </x:c>
      <x:c r="S2940" s="15" t="str"/>
      <x:c r="T2940" s="14" t="str"/>
    </x:row>
    <x:row r="2941">
      <x:c r="A2941" s="14" t="n">
        <x:v>2940</x:v>
      </x:c>
      <x:c r="B2941" s="15" t="n">
        <x:v>46550</x:v>
      </x:c>
      <x:c r="C2941" s="14" t="str">
        <x:v>Cumartesi</x:v>
      </x:c>
      <x:c r="D2941" s="14" t="str">
        <x:v>Hafta Sonu</x:v>
      </x:c>
      <x:c r="E2941" s="14" t="str">
        <x:v>Tam gün</x:v>
      </x:c>
      <x:c r="F2941" s="14" t="str">
        <x:v>F4 - 60 Gün / 60 Tam Deneme</x:v>
      </x:c>
      <x:c r="G2941" s="14" t="str">
        <x:v>11:30</x:v>
      </x:c>
      <x:c r="H2941" s="14" t="str">
        <x:v>12:50</x:v>
      </x:c>
      <x:c r="I2941" s="14" t="str">
        <x:v>Deneme</x:v>
      </x:c>
      <x:c r="J2941" s="14" t="str">
        <x:v>Tam LGS Denemesi - Sayısal</x:v>
      </x:c>
      <x:c r="K2941" s="14" t="str">
        <x:v>Deneme 60</x:v>
      </x:c>
      <x:c r="L2941" s="14" t="str">
        <x:v>Deneme 60/60 — Sayısal oturum: Matematik 20 + Fen 20. 80 dakika.</x:v>
      </x:c>
      <x:c r="M2941" s="14" t="str">
        <x:v>Tam LGS Denemesi</x:v>
      </x:c>
      <x:c r="N2941" s="14" t="str"/>
      <x:c r="O2941" s="14" t="n">
        <x:v>40</x:v>
      </x:c>
      <x:c r="P2941" s="14" t="str">
        <x:v>80 dk</x:v>
      </x:c>
      <x:c r="Q2941" s="14" t="str">
        <x:v>Evet</x:v>
      </x:c>
      <x:c r="R2941" s="14" t="str">
        <x:v>Planlandı</x:v>
      </x:c>
      <x:c r="S2941" s="15" t="str"/>
      <x:c r="T2941" s="14" t="str"/>
    </x:row>
    <x:row r="2942">
      <x:c r="A2942" s="14" t="n">
        <x:v>2941</x:v>
      </x:c>
      <x:c r="B2942" s="15" t="n">
        <x:v>46550</x:v>
      </x:c>
      <x:c r="C2942" s="14" t="str">
        <x:v>Cumartesi</x:v>
      </x:c>
      <x:c r="D2942" s="14" t="str">
        <x:v>Hafta Sonu</x:v>
      </x:c>
      <x:c r="E2942" s="14" t="str">
        <x:v>Tam gün</x:v>
      </x:c>
      <x:c r="F2942" s="14" t="str">
        <x:v>F4 - 60 Gün / 60 Tam Deneme</x:v>
      </x:c>
      <x:c r="G2942" s="14" t="str">
        <x:v>14:30</x:v>
      </x:c>
      <x:c r="H2942" s="14" t="str">
        <x:v>15:15</x:v>
      </x:c>
      <x:c r="I2942" s="14" t="str">
        <x:v>Deneme</x:v>
      </x:c>
      <x:c r="J2942" s="14" t="str">
        <x:v>Deneme Analizi</x:v>
      </x:c>
      <x:c r="K2942" s="14" t="str">
        <x:v>Deneme 60</x:v>
      </x:c>
      <x:c r="L2942" s="14" t="str">
        <x:v>Tüm yanlış/boşları nedenleriyle analiz et; bilgi eksikliği, işlem, dikkat, yanlış okuma veya yorumlama olarak sınıflandır.</x:v>
      </x:c>
      <x:c r="M2942" s="14" t="str">
        <x:v>Deneme Takibi</x:v>
      </x:c>
      <x:c r="N2942" s="14" t="str"/>
      <x:c r="O2942" s="14" t="n">
        <x:v>0</x:v>
      </x:c>
      <x:c r="P2942" s="14" t="str">
        <x:v>Hayır</x:v>
      </x:c>
      <x:c r="Q2942" s="14" t="str">
        <x:v>Evet</x:v>
      </x:c>
      <x:c r="R2942" s="14" t="str">
        <x:v>Planlandı</x:v>
      </x:c>
      <x:c r="S2942" s="15" t="str"/>
      <x:c r="T2942" s="14" t="str">
        <x:v>Deneme çözülüp analiz edilmediyse gün tamamlanmış sayılmaz.</x:v>
      </x:c>
    </x:row>
    <x:row r="2943">
      <x:c r="A2943" s="14" t="n">
        <x:v>2942</x:v>
      </x:c>
      <x:c r="B2943" s="15" t="n">
        <x:v>46550</x:v>
      </x:c>
      <x:c r="C2943" s="14" t="str">
        <x:v>Cumartesi</x:v>
      </x:c>
      <x:c r="D2943" s="14" t="str">
        <x:v>Hafta Sonu</x:v>
      </x:c>
      <x:c r="E2943" s="14" t="str">
        <x:v>Tam gün</x:v>
      </x:c>
      <x:c r="F2943" s="14" t="str">
        <x:v>F4 - 60 Gün / 60 Tam Deneme</x:v>
      </x:c>
      <x:c r="G2943" s="14" t="str">
        <x:v>15:25</x:v>
      </x:c>
      <x:c r="H2943" s="14" t="str">
        <x:v>16:10</x:v>
      </x:c>
      <x:c r="I2943" s="14" t="str">
        <x:v>Genel</x:v>
      </x:c>
      <x:c r="J2943" s="14" t="str">
        <x:v>Hedefli Eksik Giderme</x:v>
      </x:c>
      <x:c r="K2943" s="14" t="str">
        <x:v>Denemeden Gelen Eksikler</x:v>
      </x:c>
      <x:c r="L2943" s="14" t="str">
        <x:v>Denemenin gösterdiği en kritik 1-3 eksiği gider: gerekirse ilgili playlist videosuna kısa dönüş + hedefli soru çözümü.</x:v>
      </x:c>
      <x:c r="M2943" s="14" t="str">
        <x:v>Playlist + Soru Kitabı + MEB</x:v>
      </x:c>
      <x:c r="N2943" s="14" t="str"/>
      <x:c r="O2943" s="14" t="n">
        <x:v>0</x:v>
      </x:c>
      <x:c r="P2943" s="14" t="str">
        <x:v>Hayır</x:v>
      </x:c>
      <x:c r="Q2943" s="14" t="str">
        <x:v>Evet</x:v>
      </x:c>
      <x:c r="R2943" s="14" t="str">
        <x:v>Planlandı</x:v>
      </x:c>
      <x:c r="S2943" s="15" t="str"/>
      <x:c r="T2943" s="14" t="str">
        <x:v>Yeni konu açılmaz; yalnız denemenin kanıtladığı eksiğe müdahale edilir.</x:v>
      </x:c>
    </x:row>
    <x:row r="2944">
      <x:c r="A2944" s="14" t="n">
        <x:v>2943</x:v>
      </x:c>
      <x:c r="B2944" s="15" t="n">
        <x:v>46550</x:v>
      </x:c>
      <x:c r="C2944" s="14" t="str">
        <x:v>Cumartesi</x:v>
      </x:c>
      <x:c r="D2944" s="14" t="str">
        <x:v>Hafta Sonu</x:v>
      </x:c>
      <x:c r="E2944" s="14" t="str">
        <x:v>Tam gün</x:v>
      </x:c>
      <x:c r="F2944" s="14" t="str">
        <x:v>F4 - 60 Gün / 60 Tam Deneme</x:v>
      </x:c>
      <x:c r="G2944" s="14" t="str">
        <x:v>16:20</x:v>
      </x:c>
      <x:c r="H2944" s="14" t="str">
        <x:v>16:40</x:v>
      </x:c>
      <x:c r="I2944" s="14" t="str">
        <x:v>Genel</x:v>
      </x:c>
      <x:c r="J2944" s="14" t="str">
        <x:v>Aralıklı Hata Tekrarı</x:v>
      </x:c>
      <x:c r="K2944" s="14" t="str">
        <x:v>+1 / +7 / +21</x:v>
      </x:c>
      <x:c r="L2944" s="14" t="str">
        <x:v>Bugün vadesi gelen eski yanlışları tekrar çöz ve bugünkü yanlışları Yanlış Defteri'ne ekle.</x:v>
      </x:c>
      <x:c r="M2944" s="14" t="str">
        <x:v>Yanlış Defteri</x:v>
      </x:c>
      <x:c r="N2944" s="14" t="str"/>
      <x:c r="O2944" s="14" t="n">
        <x:v>0</x:v>
      </x:c>
      <x:c r="P2944" s="14" t="str">
        <x:v>Hayır</x:v>
      </x:c>
      <x:c r="Q2944" s="14" t="str">
        <x:v>Evet</x:v>
      </x:c>
      <x:c r="R2944" s="14" t="str">
        <x:v>Planlandı</x:v>
      </x:c>
      <x:c r="S2944" s="15" t="str"/>
      <x:c r="T2944" s="14" t="str"/>
    </x:row>
    <x:row r="2945">
      <x:c r="A2945" s="14" t="n">
        <x:v>2944</x:v>
      </x:c>
      <x:c r="B2945" s="15" t="n">
        <x:v>46550</x:v>
      </x:c>
      <x:c r="C2945" s="14" t="str">
        <x:v>Cumartesi</x:v>
      </x:c>
      <x:c r="D2945" s="14" t="str">
        <x:v>Hafta Sonu</x:v>
      </x:c>
      <x:c r="E2945" s="14" t="str">
        <x:v>Tam gün</x:v>
      </x:c>
      <x:c r="F2945" s="14" t="str">
        <x:v>F4 - 60 Gün / 60 Tam Deneme</x:v>
      </x:c>
      <x:c r="G2945" s="14" t="str">
        <x:v>20:00</x:v>
      </x:c>
      <x:c r="H2945" s="14" t="str">
        <x:v>20:30</x:v>
      </x:c>
      <x:c r="I2945" s="14" t="str">
        <x:v>Okuma</x:v>
      </x:c>
      <x:c r="J2945" s="14" t="str">
        <x:v>İsteğe Bağlı</x:v>
      </x:c>
      <x:c r="K2945" s="14" t="str">
        <x:v>Serbest Kitap</x:v>
      </x:c>
      <x:c r="L2945" s="14" t="str">
        <x:v>Enerji uygunsa kısa isteğe bağlı okuma.</x:v>
      </x:c>
      <x:c r="M2945" s="14" t="str">
        <x:v>Serbest Kitap</x:v>
      </x:c>
      <x:c r="N2945" s="14" t="str"/>
      <x:c r="O2945" s="14" t="n">
        <x:v>0</x:v>
      </x:c>
      <x:c r="P2945" s="14" t="str">
        <x:v>İsteğe Bağlı</x:v>
      </x:c>
      <x:c r="Q2945" s="14" t="str">
        <x:v>Hayır</x:v>
      </x:c>
      <x:c r="R2945" s="14" t="str">
        <x:v>Planlandı</x:v>
      </x:c>
      <x:c r="S2945" s="15" t="str"/>
      <x:c r="T2945" s="14" t="str"/>
    </x:row>
    <x:row r="2946">
      <x:c r="A2946" s="14" t="n">
        <x:v>2945</x:v>
      </x:c>
      <x:c r="B2946" s="15" t="n">
        <x:v>46550</x:v>
      </x:c>
      <x:c r="C2946" s="14" t="str">
        <x:v>Cumartesi</x:v>
      </x:c>
      <x:c r="D2946" s="14" t="str">
        <x:v>Hafta Sonu</x:v>
      </x:c>
      <x:c r="E2946" s="14" t="str">
        <x:v>Tam gün</x:v>
      </x:c>
      <x:c r="F2946" s="14" t="str">
        <x:v>F4 - 60 Gün / 60 Tam Deneme</x:v>
      </x:c>
      <x:c r="G2946" s="14" t="str">
        <x:v>21:50</x:v>
      </x:c>
      <x:c r="H2946" s="14" t="str">
        <x:v>22:00</x:v>
      </x:c>
      <x:c r="I2946" s="14" t="str">
        <x:v>Genel</x:v>
      </x:c>
      <x:c r="J2946" s="14" t="str">
        <x:v>Uyku Hazırlığı</x:v>
      </x:c>
      <x:c r="K2946" s="14" t="str"/>
      <x:c r="L2946" s="14" t="str">
        <x:v>22:00'de yatakta ve uyku.</x:v>
      </x:c>
      <x:c r="M2946" s="14" t="str"/>
      <x:c r="N2946" s="14" t="str"/>
      <x:c r="O2946" s="14" t="n">
        <x:v>0</x:v>
      </x:c>
      <x:c r="P2946" s="14" t="str">
        <x:v>Hayır</x:v>
      </x:c>
      <x:c r="Q2946" s="14" t="str">
        <x:v>Hayır</x:v>
      </x:c>
      <x:c r="R2946" s="14" t="str">
        <x:v>Planlandı</x:v>
      </x:c>
      <x:c r="S2946" s="15" t="str"/>
      <x:c r="T2946" s="14" t="str"/>
    </x:row>
    <x:row r="2947">
      <x:c r="A2947" s="14" t="n">
        <x:v>2946</x:v>
      </x:c>
      <x:c r="B2947" s="15" t="n">
        <x:v>46551</x:v>
      </x:c>
      <x:c r="C2947" s="14" t="str">
        <x:v>Pazar</x:v>
      </x:c>
      <x:c r="D2947" s="14" t="str">
        <x:v>Hafta Sonu</x:v>
      </x:c>
      <x:c r="E2947" s="14" t="str">
        <x:v>Tam gün</x:v>
      </x:c>
      <x:c r="F2947" s="14" t="str">
        <x:v>F5 - Geçici Sınav Günü</x:v>
      </x:c>
      <x:c r="G2947" s="14" t="str">
        <x:v>07:00</x:v>
      </x:c>
      <x:c r="H2947" s="14" t="str">
        <x:v>08:00</x:v>
      </x:c>
      <x:c r="I2947" s="14" t="str">
        <x:v>Genel</x:v>
      </x:c>
      <x:c r="J2947" s="14" t="str">
        <x:v>Sınav Günü Hazırlığı</x:v>
      </x:c>
      <x:c r="K2947" s="14" t="str"/>
      <x:c r="L2947" s="14" t="str">
        <x:v>Kahvaltı, belgeler ve sakin hazırlık. Yeni konu/soru çözümü yok.</x:v>
      </x:c>
      <x:c r="M2947" s="14" t="str"/>
      <x:c r="N2947" s="14" t="str"/>
      <x:c r="O2947" s="14" t="n">
        <x:v>0</x:v>
      </x:c>
      <x:c r="P2947" s="14" t="str">
        <x:v>Hayır</x:v>
      </x:c>
      <x:c r="Q2947" s="14" t="str">
        <x:v>Evet</x:v>
      </x:c>
      <x:c r="R2947" s="14" t="str">
        <x:v>Planlandı</x:v>
      </x:c>
      <x:c r="S2947" s="15" t="str"/>
      <x:c r="T2947" s="14" t="str">
        <x:v>13.06.2027 yalnız 2026 LGS tarihi baz alınarak geçici referanstır; resmî 2027 tarihi açıklanınca güncellenir.</x:v>
      </x:c>
    </x:row>
    <x:row r="2948">
      <x:c r="A2948" s="14" t="n">
        <x:v>2947</x:v>
      </x:c>
      <x:c r="B2948" s="15" t="n">
        <x:v>46551</x:v>
      </x:c>
      <x:c r="C2948" s="14" t="str">
        <x:v>Pazar</x:v>
      </x:c>
      <x:c r="D2948" s="14" t="str">
        <x:v>Hafta Sonu</x:v>
      </x:c>
      <x:c r="E2948" s="14" t="str">
        <x:v>Tam gün</x:v>
      </x:c>
      <x:c r="F2948" s="14" t="str">
        <x:v>F5 - Geçici Sınav Günü</x:v>
      </x:c>
      <x:c r="G2948" s="14" t="str">
        <x:v>21:30</x:v>
      </x:c>
      <x:c r="H2948" s="14" t="str">
        <x:v>22:00</x:v>
      </x:c>
      <x:c r="I2948" s="14" t="str">
        <x:v>Genel</x:v>
      </x:c>
      <x:c r="J2948" s="14" t="str">
        <x:v>Dinlenme</x:v>
      </x:c>
      <x:c r="K2948" s="14" t="str"/>
      <x:c r="L2948" s="14" t="str">
        <x:v>Gün sonrası dinlenme.</x:v>
      </x:c>
      <x:c r="M2948" s="14" t="str"/>
      <x:c r="N2948" s="14" t="str"/>
      <x:c r="O2948" s="14" t="n">
        <x:v>0</x:v>
      </x:c>
      <x:c r="P2948" s="14" t="str">
        <x:v>Hayır</x:v>
      </x:c>
      <x:c r="Q2948" s="14" t="str">
        <x:v>Hayır</x:v>
      </x:c>
      <x:c r="R2948" s="14" t="str">
        <x:v>Planlandı</x:v>
      </x:c>
      <x:c r="S2948" s="15" t="str"/>
      <x:c r="T2948" s="14" t="str"/>
    </x:row>
  </x:sheetData>
  <x:conditionalFormatting sqref="R2:R2948">
    <x:cfRule type="expression" dxfId="0" priority="1">
      <x:formula>R2="Tamamlandı"</x:formula>
    </x:cfRule>
    <x:cfRule type="expression" dxfId="1" priority="2">
      <x:formula>R2="Telafi Bekliyor"</x:formula>
    </x:cfRule>
  </x:conditionalFormatting>
  <x:dataValidations count="2">
    <x:dataValidation type="list" sqref="Q2:Q2948">
      <x:formula1>"Evet,Hayır,Koşullu"</x:formula1>
    </x:dataValidation>
    <x:dataValidation type="list" sqref="R2:R2948">
      <x:formula1>"Planlandı,Tamamlandı,Telafi Bekliyor,Telafi Edildi,Mazeret"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a2df64f914415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1" hidden="0" customWidth="1"/>
    <x:col min="4" max="4" width="13" hidden="0" customWidth="1"/>
    <x:col min="5" max="5" width="20" hidden="0" customWidth="1"/>
    <x:col min="6" max="6" width="32" hidden="0" customWidth="1"/>
    <x:col min="7" max="7" width="38" hidden="0" customWidth="1"/>
    <x:col min="8" max="8" width="20" hidden="0" customWidth="1"/>
    <x:col min="9" max="9" width="38" hidden="0" customWidth="1"/>
    <x:col min="10" max="10" width="20" hidden="0" customWidth="1"/>
    <x:col min="11" max="11" width="14" hidden="0" customWidth="1"/>
    <x:col min="12" max="12" width="42" hidden="0" customWidth="1"/>
    <x:col min="13" max="13" width="20" hidden="0" customWidth="1"/>
    <x:col min="14" max="14" width="28" hidden="0" customWidth="1"/>
    <x:col min="15" max="15" width="52" hidden="0" customWidth="1"/>
  </x:cols>
  <x:sheetData>
    <x:row r="1">
      <x:c r="A1" s="6" t="str">
        <x:v>Tarih</x:v>
      </x:c>
      <x:c r="B1" s="6" t="str">
        <x:v>Gün No</x:v>
      </x:c>
      <x:c r="C1" s="6" t="str">
        <x:v>Gün</x:v>
      </x:c>
      <x:c r="D1" s="6" t="str">
        <x:v>Gün Tipi</x:v>
      </x:c>
      <x:c r="E1" s="6" t="str">
        <x:v>Müsaitlik</x:v>
      </x:c>
      <x:c r="F1" s="6" t="str">
        <x:v>Faz</x:v>
      </x:c>
      <x:c r="G1" s="6" t="str">
        <x:v>Matematik</x:v>
      </x:c>
      <x:c r="H1" s="6" t="str">
        <x:v>Math Modu</x:v>
      </x:c>
      <x:c r="I1" s="6" t="str">
        <x:v>Türkçe</x:v>
      </x:c>
      <x:c r="J1" s="6" t="str">
        <x:v>Türkçe Modu</x:v>
      </x:c>
      <x:c r="K1" s="6" t="str">
        <x:v>3. Ders</x:v>
      </x:c>
      <x:c r="L1" s="6" t="str">
        <x:v>3. Ders Konu</x:v>
      </x:c>
      <x:c r="M1" s="6" t="str">
        <x:v>3. Ders Modu</x:v>
      </x:c>
      <x:c r="N1" s="6" t="str">
        <x:v>Ek Blok</x:v>
      </x:c>
      <x:c r="O1" s="6" t="str">
        <x:v>Ana Hedef</x:v>
      </x:c>
    </x:row>
    <x:row r="2">
      <x:c r="A2" s="15" t="n">
        <x:v>46296</x:v>
      </x:c>
      <x:c r="B2" s="14" t="n">
        <x:v>1</x:v>
      </x:c>
      <x:c r="C2" s="14" t="str">
        <x:v>Perşembe</x:v>
      </x:c>
      <x:c r="D2" s="14" t="str">
        <x:v>Okul Günü</x:v>
      </x:c>
      <x:c r="E2" s="14" t="str">
        <x:v>16:00 sonrası</x:v>
      </x:c>
      <x:c r="F2" s="14" t="str">
        <x:v>F1 - Temel Kurma</x:v>
      </x:c>
      <x:c r="G2" s="14" t="str">
        <x:v>Temel Kavramlar</x:v>
      </x:c>
      <x:c r="H2" s="14" t="str">
        <x:v>Video+Kitap</x:v>
      </x:c>
      <x:c r="I2" s="14" t="str">
        <x:v>Sözcükte Anlam</x:v>
      </x:c>
      <x:c r="J2" s="14" t="str">
        <x:v>Video+Kitap</x:v>
      </x:c>
      <x:c r="K2" s="14" t="str">
        <x:v>Fen</x:v>
      </x:c>
      <x:c r="L2" s="14" t="str">
        <x:v>Mevsimlerin Oluşumu</x:v>
      </x:c>
      <x:c r="M2" s="14" t="str">
        <x:v>Video+Kitap</x:v>
      </x:c>
      <x:c r="N2" s="14" t="str"/>
      <x:c r="O2" s="14" t="str">
        <x:v>13.04.2027: tüm zorunlu konu+kitap+MEB kapanışı</x:v>
      </x:c>
    </x:row>
    <x:row r="3">
      <x:c r="A3" s="15" t="n">
        <x:v>46297</x:v>
      </x:c>
      <x:c r="B3" s="14" t="n">
        <x:v>2</x:v>
      </x:c>
      <x:c r="C3" s="14" t="str">
        <x:v>Cuma</x:v>
      </x:c>
      <x:c r="D3" s="14" t="str">
        <x:v>Okul Günü</x:v>
      </x:c>
      <x:c r="E3" s="14" t="str">
        <x:v>16:00 sonrası</x:v>
      </x:c>
      <x:c r="F3" s="14" t="str">
        <x:v>F1 - Temel Kurma</x:v>
      </x:c>
      <x:c r="G3" s="14" t="str">
        <x:v>Temel Kavramlar</x:v>
      </x:c>
      <x:c r="H3" s="14" t="str">
        <x:v>MEB Gate</x:v>
      </x:c>
      <x:c r="I3" s="14" t="str">
        <x:v>Sözcükte Anlam</x:v>
      </x:c>
      <x:c r="J3" s="14" t="str">
        <x:v>Video+Kitap</x:v>
      </x:c>
      <x:c r="K3" s="14" t="str">
        <x:v>Din</x:v>
      </x:c>
      <x:c r="L3" s="14" t="str">
        <x:v>Kader ve Kaza İnancı</x:v>
      </x:c>
      <x:c r="M3" s="14" t="str">
        <x:v>Video+Kitap</x:v>
      </x:c>
      <x:c r="N3" s="14" t="str"/>
      <x:c r="O3" s="14" t="str">
        <x:v>13.04.2027: tüm zorunlu konu+kitap+MEB kapanışı</x:v>
      </x:c>
    </x:row>
    <x:row r="4">
      <x:c r="A4" s="15" t="n">
        <x:v>46298</x:v>
      </x:c>
      <x:c r="B4" s="14" t="n">
        <x:v>3</x:v>
      </x:c>
      <x:c r="C4" s="14" t="str">
        <x:v>Cumartesi</x:v>
      </x:c>
      <x:c r="D4" s="14" t="str">
        <x:v>Hafta Sonu</x:v>
      </x:c>
      <x:c r="E4" s="14" t="str">
        <x:v>Tam gün</x:v>
      </x:c>
      <x:c r="F4" s="14" t="str">
        <x:v>F1 - Temel Kurma</x:v>
      </x:c>
      <x:c r="G4" s="14" t="str">
        <x:v>Doğal Sayılar</x:v>
      </x:c>
      <x:c r="H4" s="14" t="str">
        <x:v>Video+Kitap</x:v>
      </x:c>
      <x:c r="I4" s="14" t="str">
        <x:v>Sözcükte Anlam</x:v>
      </x:c>
      <x:c r="J4" s="14" t="str">
        <x:v>Video+Kitap</x:v>
      </x:c>
      <x:c r="K4" s="14" t="str">
        <x:v>İnkılap</x:v>
      </x:c>
      <x:c r="L4" s="14" t="str">
        <x:v>Bir Kahraman Doğuyor - Avrupa ve Osmanlı’nın Durumu</x:v>
      </x:c>
      <x:c r="M4" s="14" t="str">
        <x:v>Video+Kitap</x:v>
      </x:c>
      <x:c r="N4" s="14" t="str">
        <x:v>Ek Fen</x:v>
      </x:c>
      <x:c r="O4" s="14" t="str">
        <x:v>13.04.2027: tüm zorunlu konu+kitap+MEB kapanışı</x:v>
      </x:c>
    </x:row>
    <x:row r="5">
      <x:c r="A5" s="15" t="n">
        <x:v>46299</x:v>
      </x:c>
      <x:c r="B5" s="14" t="n">
        <x:v>4</x:v>
      </x:c>
      <x:c r="C5" s="14" t="str">
        <x:v>Pazar</x:v>
      </x:c>
      <x:c r="D5" s="14" t="str">
        <x:v>Hafta Sonu</x:v>
      </x:c>
      <x:c r="E5" s="14" t="str">
        <x:v>Tam gün</x:v>
      </x:c>
      <x:c r="F5" s="14" t="str">
        <x:v>F1 - Temel Kurma</x:v>
      </x:c>
      <x:c r="G5" s="14" t="str">
        <x:v>Doğal Sayılar</x:v>
      </x:c>
      <x:c r="H5" s="14" t="str">
        <x:v>MEB Gate</x:v>
      </x:c>
      <x:c r="I5" s="14" t="str">
        <x:v>Sözcükte Anlam</x:v>
      </x:c>
      <x:c r="J5" s="14" t="str">
        <x:v>Video+Kitap</x:v>
      </x:c>
      <x:c r="K5" s="14" t="str">
        <x:v>İngilizce</x:v>
      </x:c>
      <x:c r="L5" s="14" t="str">
        <x:v>Unit 1 - Friendship</x:v>
      </x:c>
      <x:c r="M5" s="14" t="str">
        <x:v>Video+Kitap</x:v>
      </x:c>
      <x:c r="N5" s="14" t="str">
        <x:v>Kaynak Tamamlama</x:v>
      </x:c>
      <x:c r="O5" s="14" t="str">
        <x:v>13.04.2027: tüm zorunlu konu+kitap+MEB kapanışı</x:v>
      </x:c>
    </x:row>
    <x:row r="6">
      <x:c r="A6" s="15" t="n">
        <x:v>46300</x:v>
      </x:c>
      <x:c r="B6" s="14" t="n">
        <x:v>5</x:v>
      </x:c>
      <x:c r="C6" s="14" t="str">
        <x:v>Pazartesi</x:v>
      </x:c>
      <x:c r="D6" s="14" t="str">
        <x:v>Okul Günü</x:v>
      </x:c>
      <x:c r="E6" s="14" t="str">
        <x:v>16:00 sonrası</x:v>
      </x:c>
      <x:c r="F6" s="14" t="str">
        <x:v>F1 - Temel Kurma</x:v>
      </x:c>
      <x:c r="G6" s="14" t="str">
        <x:v>Tam Sayılar</x:v>
      </x:c>
      <x:c r="H6" s="14" t="str">
        <x:v>Video+Kitap</x:v>
      </x:c>
      <x:c r="I6" s="14" t="str">
        <x:v>Sözcükte Anlam</x:v>
      </x:c>
      <x:c r="J6" s="14" t="str">
        <x:v>MEB Gate</x:v>
      </x:c>
      <x:c r="K6" s="14" t="str">
        <x:v>Fen</x:v>
      </x:c>
      <x:c r="L6" s="14" t="str">
        <x:v>Mevsimlerin Oluşumu</x:v>
      </x:c>
      <x:c r="M6" s="14" t="str">
        <x:v>MEB Gate</x:v>
      </x:c>
      <x:c r="N6" s="14" t="str"/>
      <x:c r="O6" s="14" t="str">
        <x:v>13.04.2027: tüm zorunlu konu+kitap+MEB kapanışı</x:v>
      </x:c>
    </x:row>
    <x:row r="7">
      <x:c r="A7" s="15" t="n">
        <x:v>46301</x:v>
      </x:c>
      <x:c r="B7" s="14" t="n">
        <x:v>6</x:v>
      </x:c>
      <x:c r="C7" s="14" t="str">
        <x:v>Salı</x:v>
      </x:c>
      <x:c r="D7" s="14" t="str">
        <x:v>Okul Günü</x:v>
      </x:c>
      <x:c r="E7" s="14" t="str">
        <x:v>16:00 sonrası</x:v>
      </x:c>
      <x:c r="F7" s="14" t="str">
        <x:v>F1 - Temel Kurma</x:v>
      </x:c>
      <x:c r="G7" s="14" t="str">
        <x:v>Tam Sayılar</x:v>
      </x:c>
      <x:c r="H7" s="14" t="str">
        <x:v>Video+Kitap</x:v>
      </x:c>
      <x:c r="I7" s="14" t="str">
        <x:v>Cümlede Anlam</x:v>
      </x:c>
      <x:c r="J7" s="14" t="str">
        <x:v>Video+Kitap</x:v>
      </x:c>
      <x:c r="K7" s="14" t="str">
        <x:v>Din</x:v>
      </x:c>
      <x:c r="L7" s="14" t="str">
        <x:v>Kader ve Kaza İnancı</x:v>
      </x:c>
      <x:c r="M7" s="14" t="str">
        <x:v>Video+Kitap</x:v>
      </x:c>
      <x:c r="N7" s="14" t="str"/>
      <x:c r="O7" s="14" t="str">
        <x:v>13.04.2027: tüm zorunlu konu+kitap+MEB kapanışı</x:v>
      </x:c>
    </x:row>
    <x:row r="8">
      <x:c r="A8" s="15" t="n">
        <x:v>46302</x:v>
      </x:c>
      <x:c r="B8" s="14" t="n">
        <x:v>7</x:v>
      </x:c>
      <x:c r="C8" s="14" t="str">
        <x:v>Çarşamba</x:v>
      </x:c>
      <x:c r="D8" s="14" t="str">
        <x:v>Okul Günü</x:v>
      </x:c>
      <x:c r="E8" s="14" t="str">
        <x:v>16:00 sonrası</x:v>
      </x:c>
      <x:c r="F8" s="14" t="str">
        <x:v>F1 - Temel Kurma</x:v>
      </x:c>
      <x:c r="G8" s="14" t="str">
        <x:v>Tam Sayılar</x:v>
      </x:c>
      <x:c r="H8" s="14" t="str">
        <x:v>MEB Gate</x:v>
      </x:c>
      <x:c r="I8" s="14" t="str">
        <x:v>Cümlede Anlam</x:v>
      </x:c>
      <x:c r="J8" s="14" t="str">
        <x:v>Video+Kitap</x:v>
      </x:c>
      <x:c r="K8" s="14" t="str">
        <x:v>İnkılap</x:v>
      </x:c>
      <x:c r="L8" s="14" t="str">
        <x:v>Bir Kahraman Doğuyor - Avrupa ve Osmanlı’nın Durumu</x:v>
      </x:c>
      <x:c r="M8" s="14" t="str">
        <x:v>Video+Kitap</x:v>
      </x:c>
      <x:c r="N8" s="14" t="str"/>
      <x:c r="O8" s="14" t="str">
        <x:v>13.04.2027: tüm zorunlu konu+kitap+MEB kapanışı</x:v>
      </x:c>
    </x:row>
    <x:row r="9">
      <x:c r="A9" s="15" t="n">
        <x:v>46303</x:v>
      </x:c>
      <x:c r="B9" s="14" t="n">
        <x:v>8</x:v>
      </x:c>
      <x:c r="C9" s="14" t="str">
        <x:v>Perşembe</x:v>
      </x:c>
      <x:c r="D9" s="14" t="str">
        <x:v>Okul Günü</x:v>
      </x:c>
      <x:c r="E9" s="14" t="str">
        <x:v>16:00 sonrası</x:v>
      </x:c>
      <x:c r="F9" s="14" t="str">
        <x:v>F1 - Temel Kurma</x:v>
      </x:c>
      <x:c r="G9" s="14" t="str">
        <x:v>Rasyonel Sayılar</x:v>
      </x:c>
      <x:c r="H9" s="14" t="str">
        <x:v>Video+Kitap</x:v>
      </x:c>
      <x:c r="I9" s="14" t="str">
        <x:v>Cümlede Anlam</x:v>
      </x:c>
      <x:c r="J9" s="14" t="str">
        <x:v>Video+Kitap</x:v>
      </x:c>
      <x:c r="K9" s="14" t="str">
        <x:v>İngilizce</x:v>
      </x:c>
      <x:c r="L9" s="14" t="str">
        <x:v>Unit 1 - Friendship</x:v>
      </x:c>
      <x:c r="M9" s="14" t="str">
        <x:v>Video+Kitap</x:v>
      </x:c>
      <x:c r="N9" s="14" t="str"/>
      <x:c r="O9" s="14" t="str">
        <x:v>13.04.2027: tüm zorunlu konu+kitap+MEB kapanışı</x:v>
      </x:c>
    </x:row>
    <x:row r="10">
      <x:c r="A10" s="15" t="n">
        <x:v>46304</x:v>
      </x:c>
      <x:c r="B10" s="14" t="n">
        <x:v>9</x:v>
      </x:c>
      <x:c r="C10" s="14" t="str">
        <x:v>Cuma</x:v>
      </x:c>
      <x:c r="D10" s="14" t="str">
        <x:v>Okul Günü</x:v>
      </x:c>
      <x:c r="E10" s="14" t="str">
        <x:v>16:00 sonrası</x:v>
      </x:c>
      <x:c r="F10" s="14" t="str">
        <x:v>F1 - Temel Kurma</x:v>
      </x:c>
      <x:c r="G10" s="14" t="str">
        <x:v>Rasyonel Sayılar</x:v>
      </x:c>
      <x:c r="H10" s="14" t="str">
        <x:v>Video+Kitap</x:v>
      </x:c>
      <x:c r="I10" s="14" t="str">
        <x:v>Cümlede Anlam</x:v>
      </x:c>
      <x:c r="J10" s="14" t="str">
        <x:v>Video+Kitap</x:v>
      </x:c>
      <x:c r="K10" s="14" t="str">
        <x:v>Fen</x:v>
      </x:c>
      <x:c r="L10" s="14" t="str">
        <x:v>İklim ve Hava Hareketleri</x:v>
      </x:c>
      <x:c r="M10" s="14" t="str">
        <x:v>Video+Kitap</x:v>
      </x:c>
      <x:c r="N10" s="14" t="str"/>
      <x:c r="O10" s="14" t="str">
        <x:v>13.04.2027: tüm zorunlu konu+kitap+MEB kapanışı</x:v>
      </x:c>
    </x:row>
    <x:row r="11">
      <x:c r="A11" s="15" t="n">
        <x:v>46305</x:v>
      </x:c>
      <x:c r="B11" s="14" t="n">
        <x:v>10</x:v>
      </x:c>
      <x:c r="C11" s="14" t="str">
        <x:v>Cumartesi</x:v>
      </x:c>
      <x:c r="D11" s="14" t="str">
        <x:v>Hafta Sonu</x:v>
      </x:c>
      <x:c r="E11" s="14" t="str">
        <x:v>Tam gün</x:v>
      </x:c>
      <x:c r="F11" s="14" t="str">
        <x:v>F1 - Temel Kurma</x:v>
      </x:c>
      <x:c r="G11" s="14" t="str">
        <x:v>Rasyonel Sayılar</x:v>
      </x:c>
      <x:c r="H11" s="14" t="str">
        <x:v>Video+Kitap</x:v>
      </x:c>
      <x:c r="I11" s="14" t="str">
        <x:v>Cümlede Anlam</x:v>
      </x:c>
      <x:c r="J11" s="14" t="str">
        <x:v>MEB Gate</x:v>
      </x:c>
      <x:c r="K11" s="14" t="str">
        <x:v>Din</x:v>
      </x:c>
      <x:c r="L11" s="14" t="str">
        <x:v>Kader ve Kaza İnancı</x:v>
      </x:c>
      <x:c r="M11" s="14" t="str">
        <x:v>MEB Gate</x:v>
      </x:c>
      <x:c r="N11" s="14" t="str">
        <x:v>Ek Fen</x:v>
      </x:c>
      <x:c r="O11" s="14" t="str">
        <x:v>13.04.2027: tüm zorunlu konu+kitap+MEB kapanışı</x:v>
      </x:c>
    </x:row>
    <x:row r="12">
      <x:c r="A12" s="15" t="n">
        <x:v>46306</x:v>
      </x:c>
      <x:c r="B12" s="14" t="n">
        <x:v>11</x:v>
      </x:c>
      <x:c r="C12" s="14" t="str">
        <x:v>Pazar</x:v>
      </x:c>
      <x:c r="D12" s="14" t="str">
        <x:v>Hafta Sonu</x:v>
      </x:c>
      <x:c r="E12" s="14" t="str">
        <x:v>Tam gün</x:v>
      </x:c>
      <x:c r="F12" s="14" t="str">
        <x:v>F1 - Temel Kurma</x:v>
      </x:c>
      <x:c r="G12" s="14" t="str">
        <x:v>Rasyonel Sayılar</x:v>
      </x:c>
      <x:c r="H12" s="14" t="str">
        <x:v>Video+Kitap</x:v>
      </x:c>
      <x:c r="I12" s="14" t="str">
        <x:v>Paragrafta Anlam ve Soru Türleri</x:v>
      </x:c>
      <x:c r="J12" s="14" t="str">
        <x:v>Video+Kitap</x:v>
      </x:c>
      <x:c r="K12" s="14" t="str">
        <x:v>İnkılap</x:v>
      </x:c>
      <x:c r="L12" s="14" t="str">
        <x:v>Bir Kahraman Doğuyor - Avrupa ve Osmanlı’nın Durumu</x:v>
      </x:c>
      <x:c r="M12" s="14" t="str">
        <x:v>MEB Gate</x:v>
      </x:c>
      <x:c r="N12" s="14" t="str">
        <x:v>Kaynak Tamamlama</x:v>
      </x:c>
      <x:c r="O12" s="14" t="str">
        <x:v>13.04.2027: tüm zorunlu konu+kitap+MEB kapanışı</x:v>
      </x:c>
    </x:row>
    <x:row r="13">
      <x:c r="A13" s="15" t="n">
        <x:v>46307</x:v>
      </x:c>
      <x:c r="B13" s="14" t="n">
        <x:v>12</x:v>
      </x:c>
      <x:c r="C13" s="14" t="str">
        <x:v>Pazartesi</x:v>
      </x:c>
      <x:c r="D13" s="14" t="str">
        <x:v>Okul Günü</x:v>
      </x:c>
      <x:c r="E13" s="14" t="str">
        <x:v>16:00 sonrası</x:v>
      </x:c>
      <x:c r="F13" s="14" t="str">
        <x:v>F1 - Temel Kurma</x:v>
      </x:c>
      <x:c r="G13" s="14" t="str">
        <x:v>Rasyonel Sayılar</x:v>
      </x:c>
      <x:c r="H13" s="14" t="str">
        <x:v>MEB Gate</x:v>
      </x:c>
      <x:c r="I13" s="14" t="str">
        <x:v>Paragrafta Anlam ve Soru Türleri</x:v>
      </x:c>
      <x:c r="J13" s="14" t="str">
        <x:v>Video+Kitap</x:v>
      </x:c>
      <x:c r="K13" s="14" t="str">
        <x:v>İngilizce</x:v>
      </x:c>
      <x:c r="L13" s="14" t="str">
        <x:v>Unit 1 - Friendship</x:v>
      </x:c>
      <x:c r="M13" s="14" t="str">
        <x:v>Video+Kitap</x:v>
      </x:c>
      <x:c r="N13" s="14" t="str"/>
      <x:c r="O13" s="14" t="str">
        <x:v>13.04.2027: tüm zorunlu konu+kitap+MEB kapanışı</x:v>
      </x:c>
    </x:row>
    <x:row r="14">
      <x:c r="A14" s="15" t="n">
        <x:v>46308</x:v>
      </x:c>
      <x:c r="B14" s="14" t="n">
        <x:v>13</x:v>
      </x:c>
      <x:c r="C14" s="14" t="str">
        <x:v>Salı</x:v>
      </x:c>
      <x:c r="D14" s="14" t="str">
        <x:v>Okul Günü</x:v>
      </x:c>
      <x:c r="E14" s="14" t="str">
        <x:v>16:00 sonrası</x:v>
      </x:c>
      <x:c r="F14" s="14" t="str">
        <x:v>F1 - Temel Kurma</x:v>
      </x:c>
      <x:c r="G14" s="14" t="str">
        <x:v>Ardışık Sayılar</x:v>
      </x:c>
      <x:c r="H14" s="14" t="str">
        <x:v>Video+Kitap</x:v>
      </x:c>
      <x:c r="I14" s="14" t="str">
        <x:v>Paragrafta Anlam ve Soru Türleri</x:v>
      </x:c>
      <x:c r="J14" s="14" t="str">
        <x:v>Video+Kitap</x:v>
      </x:c>
      <x:c r="K14" s="14" t="str">
        <x:v>Fen</x:v>
      </x:c>
      <x:c r="L14" s="14" t="str">
        <x:v>İklim ve Hava Hareketleri</x:v>
      </x:c>
      <x:c r="M14" s="14" t="str">
        <x:v>MEB Gate</x:v>
      </x:c>
      <x:c r="N14" s="14" t="str"/>
      <x:c r="O14" s="14" t="str">
        <x:v>13.04.2027: tüm zorunlu konu+kitap+MEB kapanışı</x:v>
      </x:c>
    </x:row>
    <x:row r="15">
      <x:c r="A15" s="15" t="n">
        <x:v>46309</x:v>
      </x:c>
      <x:c r="B15" s="14" t="n">
        <x:v>14</x:v>
      </x:c>
      <x:c r="C15" s="14" t="str">
        <x:v>Çarşamba</x:v>
      </x:c>
      <x:c r="D15" s="14" t="str">
        <x:v>Okul Günü</x:v>
      </x:c>
      <x:c r="E15" s="14" t="str">
        <x:v>16:00 sonrası</x:v>
      </x:c>
      <x:c r="F15" s="14" t="str">
        <x:v>F1 - Temel Kurma</x:v>
      </x:c>
      <x:c r="G15" s="14" t="str">
        <x:v>Ardışık Sayılar</x:v>
      </x:c>
      <x:c r="H15" s="14" t="str">
        <x:v>Video+Kitap</x:v>
      </x:c>
      <x:c r="I15" s="14" t="str">
        <x:v>Paragrafta Anlam ve Soru Türleri</x:v>
      </x:c>
      <x:c r="J15" s="14" t="str">
        <x:v>Video+Kitap</x:v>
      </x:c>
      <x:c r="K15" s="14" t="str">
        <x:v>Din</x:v>
      </x:c>
      <x:c r="L15" s="14" t="str">
        <x:v>İnsanın İradesi ve Kader / Kaderle İlgili Kavramlar</x:v>
      </x:c>
      <x:c r="M15" s="14" t="str">
        <x:v>Video+Kitap</x:v>
      </x:c>
      <x:c r="N15" s="14" t="str"/>
      <x:c r="O15" s="14" t="str">
        <x:v>13.04.2027: tüm zorunlu konu+kitap+MEB kapanışı</x:v>
      </x:c>
    </x:row>
    <x:row r="16">
      <x:c r="A16" s="15" t="n">
        <x:v>46310</x:v>
      </x:c>
      <x:c r="B16" s="14" t="n">
        <x:v>15</x:v>
      </x:c>
      <x:c r="C16" s="14" t="str">
        <x:v>Perşembe</x:v>
      </x:c>
      <x:c r="D16" s="14" t="str">
        <x:v>Okul Günü</x:v>
      </x:c>
      <x:c r="E16" s="14" t="str">
        <x:v>16:00 sonrası</x:v>
      </x:c>
      <x:c r="F16" s="14" t="str">
        <x:v>F1 - Temel Kurma</x:v>
      </x:c>
      <x:c r="G16" s="14" t="str">
        <x:v>Ardışık Sayılar</x:v>
      </x:c>
      <x:c r="H16" s="14" t="str">
        <x:v>MEB Gate</x:v>
      </x:c>
      <x:c r="I16" s="14" t="str">
        <x:v>Paragrafta Anlam ve Soru Türleri</x:v>
      </x:c>
      <x:c r="J16" s="14" t="str">
        <x:v>MEB Gate</x:v>
      </x:c>
      <x:c r="K16" s="14" t="str">
        <x:v>İnkılap</x:v>
      </x:c>
      <x:c r="L16" s="14" t="str">
        <x:v>Mustafa Kemal’in Çocukluk, Eğitim ve Fikir Hayatı</x:v>
      </x:c>
      <x:c r="M16" s="14" t="str">
        <x:v>Video+Kitap</x:v>
      </x:c>
      <x:c r="N16" s="14" t="str"/>
      <x:c r="O16" s="14" t="str">
        <x:v>13.04.2027: tüm zorunlu konu+kitap+MEB kapanışı</x:v>
      </x:c>
    </x:row>
    <x:row r="17">
      <x:c r="A17" s="15" t="n">
        <x:v>46311</x:v>
      </x:c>
      <x:c r="B17" s="14" t="n">
        <x:v>16</x:v>
      </x:c>
      <x:c r="C17" s="14" t="str">
        <x:v>Cuma</x:v>
      </x:c>
      <x:c r="D17" s="14" t="str">
        <x:v>Okul Günü</x:v>
      </x:c>
      <x:c r="E17" s="14" t="str">
        <x:v>16:00 sonrası</x:v>
      </x:c>
      <x:c r="F17" s="14" t="str">
        <x:v>F1 - Temel Kurma</x:v>
      </x:c>
      <x:c r="G17" s="14" t="str">
        <x:v>Asal Sayılar ve Aralarında Asallık</x:v>
      </x:c>
      <x:c r="H17" s="14" t="str">
        <x:v>Video+Kitap</x:v>
      </x:c>
      <x:c r="I17" s="14" t="str">
        <x:v>Anlatım Biçimleri ve Düşünceyi Geliştirme Yolları</x:v>
      </x:c>
      <x:c r="J17" s="14" t="str">
        <x:v>Video+Kitap</x:v>
      </x:c>
      <x:c r="K17" s="14" t="str">
        <x:v>İngilizce</x:v>
      </x:c>
      <x:c r="L17" s="14" t="str">
        <x:v>Unit 1 - Friendship</x:v>
      </x:c>
      <x:c r="M17" s="14" t="str">
        <x:v>MEB Gate</x:v>
      </x:c>
      <x:c r="N17" s="14" t="str"/>
      <x:c r="O17" s="14" t="str">
        <x:v>13.04.2027: tüm zorunlu konu+kitap+MEB kapanışı</x:v>
      </x:c>
    </x:row>
    <x:row r="18">
      <x:c r="A18" s="15" t="n">
        <x:v>46312</x:v>
      </x:c>
      <x:c r="B18" s="14" t="n">
        <x:v>17</x:v>
      </x:c>
      <x:c r="C18" s="14" t="str">
        <x:v>Cumartesi</x:v>
      </x:c>
      <x:c r="D18" s="14" t="str">
        <x:v>Hafta Sonu</x:v>
      </x:c>
      <x:c r="E18" s="14" t="str">
        <x:v>Tam gün</x:v>
      </x:c>
      <x:c r="F18" s="14" t="str">
        <x:v>F1 - Temel Kurma</x:v>
      </x:c>
      <x:c r="G18" s="14" t="str">
        <x:v>Asal Sayılar ve Aralarında Asallık</x:v>
      </x:c>
      <x:c r="H18" s="14" t="str">
        <x:v>Video+Kitap</x:v>
      </x:c>
      <x:c r="I18" s="14" t="str">
        <x:v>Anlatım Biçimleri ve Düşünceyi Geliştirme Yolları</x:v>
      </x:c>
      <x:c r="J18" s="14" t="str">
        <x:v>Video+Kitap</x:v>
      </x:c>
      <x:c r="K18" s="14" t="str">
        <x:v>Fen</x:v>
      </x:c>
      <x:c r="L18" s="14" t="str">
        <x:v>DNA ve Genetik Kod</x:v>
      </x:c>
      <x:c r="M18" s="14" t="str">
        <x:v>Video+Kitap</x:v>
      </x:c>
      <x:c r="N18" s="14" t="str">
        <x:v>Ek Fen</x:v>
      </x:c>
      <x:c r="O18" s="14" t="str">
        <x:v>13.04.2027: tüm zorunlu konu+kitap+MEB kapanışı</x:v>
      </x:c>
    </x:row>
    <x:row r="19">
      <x:c r="A19" s="15" t="n">
        <x:v>46313</x:v>
      </x:c>
      <x:c r="B19" s="14" t="n">
        <x:v>18</x:v>
      </x:c>
      <x:c r="C19" s="14" t="str">
        <x:v>Pazar</x:v>
      </x:c>
      <x:c r="D19" s="14" t="str">
        <x:v>Hafta Sonu</x:v>
      </x:c>
      <x:c r="E19" s="14" t="str">
        <x:v>Tam gün</x:v>
      </x:c>
      <x:c r="F19" s="14" t="str">
        <x:v>F1 - Temel Kurma</x:v>
      </x:c>
      <x:c r="G19" s="14" t="str">
        <x:v>Asal Sayılar ve Aralarında Asallık</x:v>
      </x:c>
      <x:c r="H19" s="14" t="str">
        <x:v>MEB Gate</x:v>
      </x:c>
      <x:c r="I19" s="14" t="str">
        <x:v>Anlatım Biçimleri ve Düşünceyi Geliştirme Yolları</x:v>
      </x:c>
      <x:c r="J19" s="14" t="str">
        <x:v>Video+Kitap</x:v>
      </x:c>
      <x:c r="K19" s="14" t="str">
        <x:v>Din</x:v>
      </x:c>
      <x:c r="L19" s="14" t="str">
        <x:v>İnsanın İradesi ve Kader / Kaderle İlgili Kavramlar</x:v>
      </x:c>
      <x:c r="M19" s="14" t="str">
        <x:v>Video+Kitap</x:v>
      </x:c>
      <x:c r="N19" s="14" t="str">
        <x:v>Kaynak Tamamlama</x:v>
      </x:c>
      <x:c r="O19" s="14" t="str">
        <x:v>13.04.2027: tüm zorunlu konu+kitap+MEB kapanışı</x:v>
      </x:c>
    </x:row>
    <x:row r="20">
      <x:c r="A20" s="15" t="n">
        <x:v>46314</x:v>
      </x:c>
      <x:c r="B20" s="14" t="n">
        <x:v>19</x:v>
      </x:c>
      <x:c r="C20" s="14" t="str">
        <x:v>Pazartesi</x:v>
      </x:c>
      <x:c r="D20" s="14" t="str">
        <x:v>Okul Günü</x:v>
      </x:c>
      <x:c r="E20" s="14" t="str">
        <x:v>16:00 sonrası</x:v>
      </x:c>
      <x:c r="F20" s="14" t="str">
        <x:v>F1 - Temel Kurma</x:v>
      </x:c>
      <x:c r="G20" s="14" t="str">
        <x:v>Sayı Basamakları</x:v>
      </x:c>
      <x:c r="H20" s="14" t="str">
        <x:v>Video+Kitap</x:v>
      </x:c>
      <x:c r="I20" s="14" t="str">
        <x:v>Anlatım Biçimleri ve Düşünceyi Geliştirme Yolları</x:v>
      </x:c>
      <x:c r="J20" s="14" t="str">
        <x:v>MEB Gate</x:v>
      </x:c>
      <x:c r="K20" s="14" t="str">
        <x:v>İnkılap</x:v>
      </x:c>
      <x:c r="L20" s="14" t="str">
        <x:v>Mustafa Kemal’in Çocukluk, Eğitim ve Fikir Hayatı</x:v>
      </x:c>
      <x:c r="M20" s="14" t="str">
        <x:v>Video+Kitap</x:v>
      </x:c>
      <x:c r="N20" s="14" t="str"/>
      <x:c r="O20" s="14" t="str">
        <x:v>13.04.2027: tüm zorunlu konu+kitap+MEB kapanışı</x:v>
      </x:c>
    </x:row>
    <x:row r="21">
      <x:c r="A21" s="15" t="n">
        <x:v>46315</x:v>
      </x:c>
      <x:c r="B21" s="14" t="n">
        <x:v>20</x:v>
      </x:c>
      <x:c r="C21" s="14" t="str">
        <x:v>Salı</x:v>
      </x:c>
      <x:c r="D21" s="14" t="str">
        <x:v>Okul Günü</x:v>
      </x:c>
      <x:c r="E21" s="14" t="str">
        <x:v>16:00 sonrası</x:v>
      </x:c>
      <x:c r="F21" s="14" t="str">
        <x:v>F1 - Temel Kurma</x:v>
      </x:c>
      <x:c r="G21" s="14" t="str">
        <x:v>Sayı Basamakları</x:v>
      </x:c>
      <x:c r="H21" s="14" t="str">
        <x:v>Video+Kitap</x:v>
      </x:c>
      <x:c r="I21" s="14" t="str">
        <x:v>Sözcükte Yapı</x:v>
      </x:c>
      <x:c r="J21" s="14" t="str">
        <x:v>Video+Kitap</x:v>
      </x:c>
      <x:c r="K21" s="14" t="str">
        <x:v>İngilizce</x:v>
      </x:c>
      <x:c r="L21" s="14" t="str">
        <x:v>Unit 2 - Teen Life</x:v>
      </x:c>
      <x:c r="M21" s="14" t="str">
        <x:v>Video+Kitap</x:v>
      </x:c>
      <x:c r="N21" s="14" t="str"/>
      <x:c r="O21" s="14" t="str">
        <x:v>13.04.2027: tüm zorunlu konu+kitap+MEB kapanışı</x:v>
      </x:c>
    </x:row>
    <x:row r="22">
      <x:c r="A22" s="15" t="n">
        <x:v>46316</x:v>
      </x:c>
      <x:c r="B22" s="14" t="n">
        <x:v>21</x:v>
      </x:c>
      <x:c r="C22" s="14" t="str">
        <x:v>Çarşamba</x:v>
      </x:c>
      <x:c r="D22" s="14" t="str">
        <x:v>Okul Günü</x:v>
      </x:c>
      <x:c r="E22" s="14" t="str">
        <x:v>16:00 sonrası</x:v>
      </x:c>
      <x:c r="F22" s="14" t="str">
        <x:v>F1 - Temel Kurma</x:v>
      </x:c>
      <x:c r="G22" s="14" t="str">
        <x:v>Sayı Basamakları</x:v>
      </x:c>
      <x:c r="H22" s="14" t="str">
        <x:v>MEB Gate</x:v>
      </x:c>
      <x:c r="I22" s="14" t="str">
        <x:v>Sözcükte Yapı</x:v>
      </x:c>
      <x:c r="J22" s="14" t="str">
        <x:v>Video+Kitap</x:v>
      </x:c>
      <x:c r="K22" s="14" t="str">
        <x:v>Fen</x:v>
      </x:c>
      <x:c r="L22" s="14" t="str">
        <x:v>DNA ve Genetik Kod</x:v>
      </x:c>
      <x:c r="M22" s="14" t="str">
        <x:v>MEB Gate</x:v>
      </x:c>
      <x:c r="N22" s="14" t="str"/>
      <x:c r="O22" s="14" t="str">
        <x:v>13.04.2027: tüm zorunlu konu+kitap+MEB kapanışı</x:v>
      </x:c>
    </x:row>
    <x:row r="23">
      <x:c r="A23" s="15" t="n">
        <x:v>46317</x:v>
      </x:c>
      <x:c r="B23" s="14" t="n">
        <x:v>22</x:v>
      </x:c>
      <x:c r="C23" s="14" t="str">
        <x:v>Perşembe</x:v>
      </x:c>
      <x:c r="D23" s="14" t="str">
        <x:v>Okul Günü</x:v>
      </x:c>
      <x:c r="E23" s="14" t="str">
        <x:v>16:00 sonrası</x:v>
      </x:c>
      <x:c r="F23" s="14" t="str">
        <x:v>F1 - Temel Kurma</x:v>
      </x:c>
      <x:c r="G23" s="14" t="str">
        <x:v>Bölme ve Bölünebilme</x:v>
      </x:c>
      <x:c r="H23" s="14" t="str">
        <x:v>Video+Kitap</x:v>
      </x:c>
      <x:c r="I23" s="14" t="str">
        <x:v>Sözcükte Yapı</x:v>
      </x:c>
      <x:c r="J23" s="14" t="str">
        <x:v>MEB Gate</x:v>
      </x:c>
      <x:c r="K23" s="14" t="str">
        <x:v>Din</x:v>
      </x:c>
      <x:c r="L23" s="14" t="str">
        <x:v>İnsanın İradesi ve Kader / Kaderle İlgili Kavramlar</x:v>
      </x:c>
      <x:c r="M23" s="14" t="str">
        <x:v>MEB Gate</x:v>
      </x:c>
      <x:c r="N23" s="14" t="str"/>
      <x:c r="O23" s="14" t="str">
        <x:v>13.04.2027: tüm zorunlu konu+kitap+MEB kapanışı</x:v>
      </x:c>
    </x:row>
    <x:row r="24">
      <x:c r="A24" s="15" t="n">
        <x:v>46318</x:v>
      </x:c>
      <x:c r="B24" s="14" t="n">
        <x:v>23</x:v>
      </x:c>
      <x:c r="C24" s="14" t="str">
        <x:v>Cuma</x:v>
      </x:c>
      <x:c r="D24" s="14" t="str">
        <x:v>Okul Günü</x:v>
      </x:c>
      <x:c r="E24" s="14" t="str">
        <x:v>16:00 sonrası</x:v>
      </x:c>
      <x:c r="F24" s="14" t="str">
        <x:v>F1 - Temel Kurma</x:v>
      </x:c>
      <x:c r="G24" s="14" t="str">
        <x:v>Bölme ve Bölünebilme</x:v>
      </x:c>
      <x:c r="H24" s="14" t="str">
        <x:v>Video+Kitap</x:v>
      </x:c>
      <x:c r="I24" s="14" t="str">
        <x:v>Ses Bilgisi</x:v>
      </x:c>
      <x:c r="J24" s="14" t="str">
        <x:v>Video+Kitap</x:v>
      </x:c>
      <x:c r="K24" s="14" t="str">
        <x:v>İnkılap</x:v>
      </x:c>
      <x:c r="L24" s="14" t="str">
        <x:v>Mustafa Kemal’in Çocukluk, Eğitim ve Fikir Hayatı</x:v>
      </x:c>
      <x:c r="M24" s="14" t="str">
        <x:v>MEB Gate</x:v>
      </x:c>
      <x:c r="N24" s="14" t="str"/>
      <x:c r="O24" s="14" t="str">
        <x:v>13.04.2027: tüm zorunlu konu+kitap+MEB kapanışı</x:v>
      </x:c>
    </x:row>
    <x:row r="25">
      <x:c r="A25" s="15" t="n">
        <x:v>46319</x:v>
      </x:c>
      <x:c r="B25" s="14" t="n">
        <x:v>24</x:v>
      </x:c>
      <x:c r="C25" s="14" t="str">
        <x:v>Cumartesi</x:v>
      </x:c>
      <x:c r="D25" s="14" t="str">
        <x:v>Hafta Sonu</x:v>
      </x:c>
      <x:c r="E25" s="14" t="str">
        <x:v>Tam gün</x:v>
      </x:c>
      <x:c r="F25" s="14" t="str">
        <x:v>F1 - Temel Kurma</x:v>
      </x:c>
      <x:c r="G25" s="14" t="str">
        <x:v>Bölme ve Bölünebilme</x:v>
      </x:c>
      <x:c r="H25" s="14" t="str">
        <x:v>Video+Kitap</x:v>
      </x:c>
      <x:c r="I25" s="14" t="str">
        <x:v>Ses Bilgisi</x:v>
      </x:c>
      <x:c r="J25" s="14" t="str">
        <x:v>Video+Kitap</x:v>
      </x:c>
      <x:c r="K25" s="14" t="str">
        <x:v>İngilizce</x:v>
      </x:c>
      <x:c r="L25" s="14" t="str">
        <x:v>Unit 2 - Teen Life</x:v>
      </x:c>
      <x:c r="M25" s="14" t="str">
        <x:v>Video+Kitap</x:v>
      </x:c>
      <x:c r="N25" s="14" t="str">
        <x:v>Ek Fen</x:v>
      </x:c>
      <x:c r="O25" s="14" t="str">
        <x:v>13.04.2027: tüm zorunlu konu+kitap+MEB kapanışı</x:v>
      </x:c>
    </x:row>
    <x:row r="26">
      <x:c r="A26" s="15" t="n">
        <x:v>46320</x:v>
      </x:c>
      <x:c r="B26" s="14" t="n">
        <x:v>25</x:v>
      </x:c>
      <x:c r="C26" s="14" t="str">
        <x:v>Pazar</x:v>
      </x:c>
      <x:c r="D26" s="14" t="str">
        <x:v>Hafta Sonu</x:v>
      </x:c>
      <x:c r="E26" s="14" t="str">
        <x:v>Tam gün</x:v>
      </x:c>
      <x:c r="F26" s="14" t="str">
        <x:v>F1 - Temel Kurma</x:v>
      </x:c>
      <x:c r="G26" s="14" t="str">
        <x:v>Bölme ve Bölünebilme</x:v>
      </x:c>
      <x:c r="H26" s="14" t="str">
        <x:v>Video+Kitap</x:v>
      </x:c>
      <x:c r="I26" s="14" t="str">
        <x:v>Ses Bilgisi</x:v>
      </x:c>
      <x:c r="J26" s="14" t="str">
        <x:v>Video+Kitap</x:v>
      </x:c>
      <x:c r="K26" s="14" t="str">
        <x:v>Fen</x:v>
      </x:c>
      <x:c r="L26" s="14" t="str">
        <x:v>Kalıtım</x:v>
      </x:c>
      <x:c r="M26" s="14" t="str">
        <x:v>Video+Kitap</x:v>
      </x:c>
      <x:c r="N26" s="14" t="str">
        <x:v>Kaynak Tamamlama</x:v>
      </x:c>
      <x:c r="O26" s="14" t="str">
        <x:v>13.04.2027: tüm zorunlu konu+kitap+MEB kapanışı</x:v>
      </x:c>
    </x:row>
    <x:row r="27">
      <x:c r="A27" s="15" t="n">
        <x:v>46321</x:v>
      </x:c>
      <x:c r="B27" s="14" t="n">
        <x:v>26</x:v>
      </x:c>
      <x:c r="C27" s="14" t="str">
        <x:v>Pazartesi</x:v>
      </x:c>
      <x:c r="D27" s="14" t="str">
        <x:v>Okul Günü</x:v>
      </x:c>
      <x:c r="E27" s="14" t="str">
        <x:v>16:00 sonrası</x:v>
      </x:c>
      <x:c r="F27" s="14" t="str">
        <x:v>F1 - Temel Kurma</x:v>
      </x:c>
      <x:c r="G27" s="14" t="str">
        <x:v>Bölme ve Bölünebilme</x:v>
      </x:c>
      <x:c r="H27" s="14" t="str">
        <x:v>Video+Kitap</x:v>
      </x:c>
      <x:c r="I27" s="14" t="str">
        <x:v>Ses Bilgisi</x:v>
      </x:c>
      <x:c r="J27" s="14" t="str">
        <x:v>MEB Gate</x:v>
      </x:c>
      <x:c r="K27" s="14" t="str">
        <x:v>Din</x:v>
      </x:c>
      <x:c r="L27" s="14" t="str">
        <x:v>Hz. Musa ve Ayetel Kürsi</x:v>
      </x:c>
      <x:c r="M27" s="14" t="str">
        <x:v>Video+Kitap</x:v>
      </x:c>
      <x:c r="N27" s="14" t="str"/>
      <x:c r="O27" s="14" t="str">
        <x:v>13.04.2027: tüm zorunlu konu+kitap+MEB kapanışı</x:v>
      </x:c>
    </x:row>
    <x:row r="28">
      <x:c r="A28" s="15" t="n">
        <x:v>46322</x:v>
      </x:c>
      <x:c r="B28" s="14" t="n">
        <x:v>27</x:v>
      </x:c>
      <x:c r="C28" s="14" t="str">
        <x:v>Salı</x:v>
      </x:c>
      <x:c r="D28" s="14" t="str">
        <x:v>Okul Günü</x:v>
      </x:c>
      <x:c r="E28" s="14" t="str">
        <x:v>16:00 sonrası</x:v>
      </x:c>
      <x:c r="F28" s="14" t="str">
        <x:v>F1 - Temel Kurma</x:v>
      </x:c>
      <x:c r="G28" s="14" t="str">
        <x:v>Bölme ve Bölünebilme</x:v>
      </x:c>
      <x:c r="H28" s="14" t="str">
        <x:v>MEB Gate</x:v>
      </x:c>
      <x:c r="I28" s="14" t="str">
        <x:v>Yazım Kuralları</x:v>
      </x:c>
      <x:c r="J28" s="14" t="str">
        <x:v>Video+Kitap</x:v>
      </x:c>
      <x:c r="K28" s="14" t="str">
        <x:v>İnkılap</x:v>
      </x:c>
      <x:c r="L28" s="14" t="str">
        <x:v>Mustafa Kemal’in Askerlik Hayatı</x:v>
      </x:c>
      <x:c r="M28" s="14" t="str">
        <x:v>Video+Kitap</x:v>
      </x:c>
      <x:c r="N28" s="14" t="str"/>
      <x:c r="O28" s="14" t="str">
        <x:v>13.04.2027: tüm zorunlu konu+kitap+MEB kapanışı</x:v>
      </x:c>
    </x:row>
    <x:row r="29">
      <x:c r="A29" s="15" t="n">
        <x:v>46323</x:v>
      </x:c>
      <x:c r="B29" s="14" t="n">
        <x:v>28</x:v>
      </x:c>
      <x:c r="C29" s="14" t="str">
        <x:v>Çarşamba</x:v>
      </x:c>
      <x:c r="D29" s="14" t="str">
        <x:v>Okul Günü</x:v>
      </x:c>
      <x:c r="E29" s="14" t="str">
        <x:v>16:00 sonrası</x:v>
      </x:c>
      <x:c r="F29" s="14" t="str">
        <x:v>F1 - Temel Kurma</x:v>
      </x:c>
      <x:c r="G29" s="14" t="str">
        <x:v>Asal Çarpanlara Ayırma</x:v>
      </x:c>
      <x:c r="H29" s="14" t="str">
        <x:v>Video+Kitap</x:v>
      </x:c>
      <x:c r="I29" s="14" t="str">
        <x:v>Yazım Kuralları</x:v>
      </x:c>
      <x:c r="J29" s="14" t="str">
        <x:v>Video+Kitap</x:v>
      </x:c>
      <x:c r="K29" s="14" t="str">
        <x:v>İngilizce</x:v>
      </x:c>
      <x:c r="L29" s="14" t="str">
        <x:v>Unit 2 - Teen Life</x:v>
      </x:c>
      <x:c r="M29" s="14" t="str">
        <x:v>Video+Kitap</x:v>
      </x:c>
      <x:c r="N29" s="14" t="str"/>
      <x:c r="O29" s="14" t="str">
        <x:v>13.04.2027: tüm zorunlu konu+kitap+MEB kapanışı</x:v>
      </x:c>
    </x:row>
    <x:row r="30">
      <x:c r="A30" s="15" t="n">
        <x:v>46324</x:v>
      </x:c>
      <x:c r="B30" s="14" t="n">
        <x:v>29</x:v>
      </x:c>
      <x:c r="C30" s="14" t="str">
        <x:v>Perşembe</x:v>
      </x:c>
      <x:c r="D30" s="14" t="str">
        <x:v>Resmî Tatil</x:v>
      </x:c>
      <x:c r="E30" s="14" t="str">
        <x:v>Cumhuriyet Bayramı</x:v>
      </x:c>
      <x:c r="F30" s="14" t="str">
        <x:v>F1 - Temel Kurma</x:v>
      </x:c>
      <x:c r="G30" s="14" t="str">
        <x:v>Asal Çarpanlara Ayırma</x:v>
      </x:c>
      <x:c r="H30" s="14" t="str">
        <x:v>Video+Kitap</x:v>
      </x:c>
      <x:c r="I30" s="14" t="str">
        <x:v>Yazım Kuralları</x:v>
      </x:c>
      <x:c r="J30" s="14" t="str">
        <x:v>Video+Kitap</x:v>
      </x:c>
      <x:c r="K30" s="14" t="str">
        <x:v>Fen</x:v>
      </x:c>
      <x:c r="L30" s="14" t="str">
        <x:v>Kalıtım</x:v>
      </x:c>
      <x:c r="M30" s="14" t="str">
        <x:v>MEB Gate</x:v>
      </x:c>
      <x:c r="N30" s="14" t="str"/>
      <x:c r="O30" s="14" t="str">
        <x:v>13.04.2027: tüm zorunlu konu+kitap+MEB kapanışı</x:v>
      </x:c>
    </x:row>
    <x:row r="31">
      <x:c r="A31" s="15" t="n">
        <x:v>46325</x:v>
      </x:c>
      <x:c r="B31" s="14" t="n">
        <x:v>30</x:v>
      </x:c>
      <x:c r="C31" s="14" t="str">
        <x:v>Cuma</x:v>
      </x:c>
      <x:c r="D31" s="14" t="str">
        <x:v>Okul Günü</x:v>
      </x:c>
      <x:c r="E31" s="14" t="str">
        <x:v>16:00 sonrası</x:v>
      </x:c>
      <x:c r="F31" s="14" t="str">
        <x:v>F1 - Temel Kurma</x:v>
      </x:c>
      <x:c r="G31" s="14" t="str">
        <x:v>Asal Çarpanlara Ayırma</x:v>
      </x:c>
      <x:c r="H31" s="14" t="str">
        <x:v>Video+Kitap</x:v>
      </x:c>
      <x:c r="I31" s="14" t="str">
        <x:v>Yazım Kuralları</x:v>
      </x:c>
      <x:c r="J31" s="14" t="str">
        <x:v>Video+Kitap</x:v>
      </x:c>
      <x:c r="K31" s="14" t="str">
        <x:v>Din</x:v>
      </x:c>
      <x:c r="L31" s="14" t="str">
        <x:v>Hz. Musa ve Ayetel Kürsi</x:v>
      </x:c>
      <x:c r="M31" s="14" t="str">
        <x:v>Video+Kitap</x:v>
      </x:c>
      <x:c r="N31" s="14" t="str"/>
      <x:c r="O31" s="14" t="str">
        <x:v>13.04.2027: tüm zorunlu konu+kitap+MEB kapanışı</x:v>
      </x:c>
    </x:row>
    <x:row r="32">
      <x:c r="A32" s="15" t="n">
        <x:v>46326</x:v>
      </x:c>
      <x:c r="B32" s="14" t="n">
        <x:v>31</x:v>
      </x:c>
      <x:c r="C32" s="14" t="str">
        <x:v>Cumartesi</x:v>
      </x:c>
      <x:c r="D32" s="14" t="str">
        <x:v>Hafta Sonu</x:v>
      </x:c>
      <x:c r="E32" s="14" t="str">
        <x:v>Tam gün</x:v>
      </x:c>
      <x:c r="F32" s="14" t="str">
        <x:v>F1 - Temel Kurma</x:v>
      </x:c>
      <x:c r="G32" s="14" t="str">
        <x:v>Asal Çarpanlara Ayırma</x:v>
      </x:c>
      <x:c r="H32" s="14" t="str">
        <x:v>MEB Gate</x:v>
      </x:c>
      <x:c r="I32" s="14" t="str">
        <x:v>Yazım Kuralları</x:v>
      </x:c>
      <x:c r="J32" s="14" t="str">
        <x:v>MEB Gate</x:v>
      </x:c>
      <x:c r="K32" s="14" t="str">
        <x:v>İnkılap</x:v>
      </x:c>
      <x:c r="L32" s="14" t="str">
        <x:v>Mustafa Kemal’in Askerlik Hayatı</x:v>
      </x:c>
      <x:c r="M32" s="14" t="str">
        <x:v>Video+Kitap</x:v>
      </x:c>
      <x:c r="N32" s="14" t="str">
        <x:v>Ek Fen</x:v>
      </x:c>
      <x:c r="O32" s="14" t="str">
        <x:v>13.04.2027: tüm zorunlu konu+kitap+MEB kapanışı</x:v>
      </x:c>
    </x:row>
    <x:row r="33">
      <x:c r="A33" s="15" t="n">
        <x:v>46327</x:v>
      </x:c>
      <x:c r="B33" s="14" t="n">
        <x:v>32</x:v>
      </x:c>
      <x:c r="C33" s="14" t="str">
        <x:v>Pazar</x:v>
      </x:c>
      <x:c r="D33" s="14" t="str">
        <x:v>Hafta Sonu</x:v>
      </x:c>
      <x:c r="E33" s="14" t="str">
        <x:v>Tam gün</x:v>
      </x:c>
      <x:c r="F33" s="14" t="str">
        <x:v>F1 - Temel Kurma</x:v>
      </x:c>
      <x:c r="G33" s="14" t="str">
        <x:v>EBOB - EKOK</x:v>
      </x:c>
      <x:c r="H33" s="14" t="str">
        <x:v>Video+Kitap</x:v>
      </x:c>
      <x:c r="I33" s="14" t="str">
        <x:v>Noktalama İşaretleri</x:v>
      </x:c>
      <x:c r="J33" s="14" t="str">
        <x:v>Video+Kitap</x:v>
      </x:c>
      <x:c r="K33" s="14" t="str">
        <x:v>İngilizce</x:v>
      </x:c>
      <x:c r="L33" s="14" t="str">
        <x:v>Unit 2 - Teen Life</x:v>
      </x:c>
      <x:c r="M33" s="14" t="str">
        <x:v>MEB Gate</x:v>
      </x:c>
      <x:c r="N33" s="14" t="str">
        <x:v>Kaynak Tamamlama</x:v>
      </x:c>
      <x:c r="O33" s="14" t="str">
        <x:v>13.04.2027: tüm zorunlu konu+kitap+MEB kapanışı</x:v>
      </x:c>
    </x:row>
    <x:row r="34">
      <x:c r="A34" s="15" t="n">
        <x:v>46328</x:v>
      </x:c>
      <x:c r="B34" s="14" t="n">
        <x:v>33</x:v>
      </x:c>
      <x:c r="C34" s="14" t="str">
        <x:v>Pazartesi</x:v>
      </x:c>
      <x:c r="D34" s="14" t="str">
        <x:v>Okul Günü</x:v>
      </x:c>
      <x:c r="E34" s="14" t="str">
        <x:v>16:00 sonrası</x:v>
      </x:c>
      <x:c r="F34" s="14" t="str">
        <x:v>F1 - Temel Kurma</x:v>
      </x:c>
      <x:c r="G34" s="14" t="str">
        <x:v>EBOB - EKOK</x:v>
      </x:c>
      <x:c r="H34" s="14" t="str">
        <x:v>Video+Kitap</x:v>
      </x:c>
      <x:c r="I34" s="14" t="str">
        <x:v>Noktalama İşaretleri</x:v>
      </x:c>
      <x:c r="J34" s="14" t="str">
        <x:v>Video+Kitap</x:v>
      </x:c>
      <x:c r="K34" s="14" t="str">
        <x:v>Fen</x:v>
      </x:c>
      <x:c r="L34" s="14" t="str">
        <x:v>Mutasyon - Modifikasyon - Adaptasyon</x:v>
      </x:c>
      <x:c r="M34" s="14" t="str">
        <x:v>Video+Kitap</x:v>
      </x:c>
      <x:c r="N34" s="14" t="str"/>
      <x:c r="O34" s="14" t="str">
        <x:v>13.04.2027: tüm zorunlu konu+kitap+MEB kapanışı</x:v>
      </x:c>
    </x:row>
    <x:row r="35">
      <x:c r="A35" s="15" t="n">
        <x:v>46329</x:v>
      </x:c>
      <x:c r="B35" s="14" t="n">
        <x:v>34</x:v>
      </x:c>
      <x:c r="C35" s="14" t="str">
        <x:v>Salı</x:v>
      </x:c>
      <x:c r="D35" s="14" t="str">
        <x:v>Okul Günü</x:v>
      </x:c>
      <x:c r="E35" s="14" t="str">
        <x:v>16:00 sonrası</x:v>
      </x:c>
      <x:c r="F35" s="14" t="str">
        <x:v>F1 - Temel Kurma</x:v>
      </x:c>
      <x:c r="G35" s="14" t="str">
        <x:v>EBOB - EKOK</x:v>
      </x:c>
      <x:c r="H35" s="14" t="str">
        <x:v>Video+Kitap</x:v>
      </x:c>
      <x:c r="I35" s="14" t="str">
        <x:v>Noktalama İşaretleri</x:v>
      </x:c>
      <x:c r="J35" s="14" t="str">
        <x:v>Video+Kitap</x:v>
      </x:c>
      <x:c r="K35" s="14" t="str">
        <x:v>Din</x:v>
      </x:c>
      <x:c r="L35" s="14" t="str">
        <x:v>Hz. Musa ve Ayetel Kürsi</x:v>
      </x:c>
      <x:c r="M35" s="14" t="str">
        <x:v>MEB Gate</x:v>
      </x:c>
      <x:c r="N35" s="14" t="str"/>
      <x:c r="O35" s="14" t="str">
        <x:v>13.04.2027: tüm zorunlu konu+kitap+MEB kapanışı</x:v>
      </x:c>
    </x:row>
    <x:row r="36">
      <x:c r="A36" s="15" t="n">
        <x:v>46330</x:v>
      </x:c>
      <x:c r="B36" s="14" t="n">
        <x:v>35</x:v>
      </x:c>
      <x:c r="C36" s="14" t="str">
        <x:v>Çarşamba</x:v>
      </x:c>
      <x:c r="D36" s="14" t="str">
        <x:v>Okul Günü</x:v>
      </x:c>
      <x:c r="E36" s="14" t="str">
        <x:v>16:00 sonrası</x:v>
      </x:c>
      <x:c r="F36" s="14" t="str">
        <x:v>F1 - Temel Kurma</x:v>
      </x:c>
      <x:c r="G36" s="14" t="str">
        <x:v>EBOB - EKOK</x:v>
      </x:c>
      <x:c r="H36" s="14" t="str">
        <x:v>MEB Gate</x:v>
      </x:c>
      <x:c r="I36" s="14" t="str">
        <x:v>Noktalama İşaretleri</x:v>
      </x:c>
      <x:c r="J36" s="14" t="str">
        <x:v>MEB Gate</x:v>
      </x:c>
      <x:c r="K36" s="14" t="str">
        <x:v>İnkılap</x:v>
      </x:c>
      <x:c r="L36" s="14" t="str">
        <x:v>Mustafa Kemal’in Askerlik Hayatı</x:v>
      </x:c>
      <x:c r="M36" s="14" t="str">
        <x:v>MEB Gate</x:v>
      </x:c>
      <x:c r="N36" s="14" t="str"/>
      <x:c r="O36" s="14" t="str">
        <x:v>13.04.2027: tüm zorunlu konu+kitap+MEB kapanışı</x:v>
      </x:c>
    </x:row>
    <x:row r="37">
      <x:c r="A37" s="15" t="n">
        <x:v>46331</x:v>
      </x:c>
      <x:c r="B37" s="14" t="n">
        <x:v>36</x:v>
      </x:c>
      <x:c r="C37" s="14" t="str">
        <x:v>Perşembe</x:v>
      </x:c>
      <x:c r="D37" s="14" t="str">
        <x:v>Okul Günü</x:v>
      </x:c>
      <x:c r="E37" s="14" t="str">
        <x:v>16:00 sonrası</x:v>
      </x:c>
      <x:c r="F37" s="14" t="str">
        <x:v>F1 - Temel Kurma</x:v>
      </x:c>
      <x:c r="G37" s="14" t="str">
        <x:v>Sıralama ve Basit Eşitsizlik Altyapısı</x:v>
      </x:c>
      <x:c r="H37" s="14" t="str">
        <x:v>Video+Kitap</x:v>
      </x:c>
      <x:c r="I37" s="14" t="str">
        <x:v>Ad (İsim)</x:v>
      </x:c>
      <x:c r="J37" s="14" t="str">
        <x:v>Video+Kitap</x:v>
      </x:c>
      <x:c r="K37" s="14" t="str">
        <x:v>İngilizce</x:v>
      </x:c>
      <x:c r="L37" s="14" t="str">
        <x:v>Unit 3 - In The Kitchen</x:v>
      </x:c>
      <x:c r="M37" s="14" t="str">
        <x:v>Video+Kitap</x:v>
      </x:c>
      <x:c r="N37" s="14" t="str"/>
      <x:c r="O37" s="14" t="str">
        <x:v>13.04.2027: tüm zorunlu konu+kitap+MEB kapanışı</x:v>
      </x:c>
    </x:row>
    <x:row r="38">
      <x:c r="A38" s="15" t="n">
        <x:v>46332</x:v>
      </x:c>
      <x:c r="B38" s="14" t="n">
        <x:v>37</x:v>
      </x:c>
      <x:c r="C38" s="14" t="str">
        <x:v>Cuma</x:v>
      </x:c>
      <x:c r="D38" s="14" t="str">
        <x:v>Okul Günü</x:v>
      </x:c>
      <x:c r="E38" s="14" t="str">
        <x:v>16:00 sonrası</x:v>
      </x:c>
      <x:c r="F38" s="14" t="str">
        <x:v>F1 - Temel Kurma</x:v>
      </x:c>
      <x:c r="G38" s="14" t="str">
        <x:v>Sıralama ve Basit Eşitsizlik Altyapısı</x:v>
      </x:c>
      <x:c r="H38" s="14" t="str">
        <x:v>Video+Kitap</x:v>
      </x:c>
      <x:c r="I38" s="14" t="str">
        <x:v>Ad (İsim)</x:v>
      </x:c>
      <x:c r="J38" s="14" t="str">
        <x:v>Video+Kitap</x:v>
      </x:c>
      <x:c r="K38" s="14" t="str">
        <x:v>Fen</x:v>
      </x:c>
      <x:c r="L38" s="14" t="str">
        <x:v>Mutasyon - Modifikasyon - Adaptasyon</x:v>
      </x:c>
      <x:c r="M38" s="14" t="str">
        <x:v>MEB Gate</x:v>
      </x:c>
      <x:c r="N38" s="14" t="str"/>
      <x:c r="O38" s="14" t="str">
        <x:v>13.04.2027: tüm zorunlu konu+kitap+MEB kapanışı</x:v>
      </x:c>
    </x:row>
    <x:row r="39">
      <x:c r="A39" s="15" t="n">
        <x:v>46333</x:v>
      </x:c>
      <x:c r="B39" s="14" t="n">
        <x:v>38</x:v>
      </x:c>
      <x:c r="C39" s="14" t="str">
        <x:v>Cumartesi</x:v>
      </x:c>
      <x:c r="D39" s="14" t="str">
        <x:v>Hafta Sonu</x:v>
      </x:c>
      <x:c r="E39" s="14" t="str">
        <x:v>Tam gün</x:v>
      </x:c>
      <x:c r="F39" s="14" t="str">
        <x:v>F1 - Temel Kurma</x:v>
      </x:c>
      <x:c r="G39" s="14" t="str">
        <x:v>Sıralama ve Basit Eşitsizlik Altyapısı</x:v>
      </x:c>
      <x:c r="H39" s="14" t="str">
        <x:v>MEB Gate</x:v>
      </x:c>
      <x:c r="I39" s="14" t="str">
        <x:v>Ad (İsim)</x:v>
      </x:c>
      <x:c r="J39" s="14" t="str">
        <x:v>MEB Gate</x:v>
      </x:c>
      <x:c r="K39" s="14" t="str">
        <x:v>Din</x:v>
      </x:c>
      <x:c r="L39" s="14" t="str">
        <x:v>Zekât ve Sadaka</x:v>
      </x:c>
      <x:c r="M39" s="14" t="str">
        <x:v>Video+Kitap</x:v>
      </x:c>
      <x:c r="N39" s="14" t="str">
        <x:v>Ek Fen</x:v>
      </x:c>
      <x:c r="O39" s="14" t="str">
        <x:v>13.04.2027: tüm zorunlu konu+kitap+MEB kapanışı</x:v>
      </x:c>
    </x:row>
    <x:row r="40">
      <x:c r="A40" s="15" t="n">
        <x:v>46334</x:v>
      </x:c>
      <x:c r="B40" s="14" t="n">
        <x:v>39</x:v>
      </x:c>
      <x:c r="C40" s="14" t="str">
        <x:v>Pazar</x:v>
      </x:c>
      <x:c r="D40" s="14" t="str">
        <x:v>Hafta Sonu</x:v>
      </x:c>
      <x:c r="E40" s="14" t="str">
        <x:v>Tam gün</x:v>
      </x:c>
      <x:c r="F40" s="14" t="str">
        <x:v>F1 - Temel Kurma</x:v>
      </x:c>
      <x:c r="G40" s="14" t="str">
        <x:v>Mutlak Değer ve Sayı Doğrusu</x:v>
      </x:c>
      <x:c r="H40" s="14" t="str">
        <x:v>Video+Kitap</x:v>
      </x:c>
      <x:c r="I40" s="14" t="str">
        <x:v>Ad Tamlamaları</x:v>
      </x:c>
      <x:c r="J40" s="14" t="str">
        <x:v>Video+Kitap</x:v>
      </x:c>
      <x:c r="K40" s="14" t="str">
        <x:v>İnkılap</x:v>
      </x:c>
      <x:c r="L40" s="14" t="str">
        <x:v>I. Dünya Savaşı ve Osmanlı Devleti</x:v>
      </x:c>
      <x:c r="M40" s="14" t="str">
        <x:v>Video+Kitap</x:v>
      </x:c>
      <x:c r="N40" s="14" t="str">
        <x:v>Kaynak Tamamlama</x:v>
      </x:c>
      <x:c r="O40" s="14" t="str">
        <x:v>13.04.2027: tüm zorunlu konu+kitap+MEB kapanışı</x:v>
      </x:c>
    </x:row>
    <x:row r="41">
      <x:c r="A41" s="15" t="n">
        <x:v>46335</x:v>
      </x:c>
      <x:c r="B41" s="14" t="n">
        <x:v>40</x:v>
      </x:c>
      <x:c r="C41" s="14" t="str">
        <x:v>Pazartesi</x:v>
      </x:c>
      <x:c r="D41" s="14" t="str">
        <x:v>Okul Günü</x:v>
      </x:c>
      <x:c r="E41" s="14" t="str">
        <x:v>16:00 sonrası</x:v>
      </x:c>
      <x:c r="F41" s="14" t="str">
        <x:v>F1 - Temel Kurma</x:v>
      </x:c>
      <x:c r="G41" s="14" t="str">
        <x:v>Mutlak Değer ve Sayı Doğrusu</x:v>
      </x:c>
      <x:c r="H41" s="14" t="str">
        <x:v>Video+Kitap</x:v>
      </x:c>
      <x:c r="I41" s="14" t="str">
        <x:v>Ad Tamlamaları</x:v>
      </x:c>
      <x:c r="J41" s="14" t="str">
        <x:v>Video+Kitap</x:v>
      </x:c>
      <x:c r="K41" s="14" t="str">
        <x:v>İngilizce</x:v>
      </x:c>
      <x:c r="L41" s="14" t="str">
        <x:v>Unit 3 - In The Kitchen</x:v>
      </x:c>
      <x:c r="M41" s="14" t="str">
        <x:v>Video+Kitap</x:v>
      </x:c>
      <x:c r="N41" s="14" t="str"/>
      <x:c r="O41" s="14" t="str">
        <x:v>13.04.2027: tüm zorunlu konu+kitap+MEB kapanışı</x:v>
      </x:c>
    </x:row>
    <x:row r="42">
      <x:c r="A42" s="15" t="n">
        <x:v>46336</x:v>
      </x:c>
      <x:c r="B42" s="14" t="n">
        <x:v>41</x:v>
      </x:c>
      <x:c r="C42" s="14" t="str">
        <x:v>Salı</x:v>
      </x:c>
      <x:c r="D42" s="14" t="str">
        <x:v>Okul Günü</x:v>
      </x:c>
      <x:c r="E42" s="14" t="str">
        <x:v>16:00 sonrası</x:v>
      </x:c>
      <x:c r="F42" s="14" t="str">
        <x:v>F1 - Temel Kurma</x:v>
      </x:c>
      <x:c r="G42" s="14" t="str">
        <x:v>Mutlak Değer ve Sayı Doğrusu</x:v>
      </x:c>
      <x:c r="H42" s="14" t="str">
        <x:v>MEB Gate</x:v>
      </x:c>
      <x:c r="I42" s="14" t="str">
        <x:v>Ad Tamlamaları</x:v>
      </x:c>
      <x:c r="J42" s="14" t="str">
        <x:v>Video+Kitap</x:v>
      </x:c>
      <x:c r="K42" s="14" t="str">
        <x:v>Fen</x:v>
      </x:c>
      <x:c r="L42" s="14" t="str">
        <x:v>Biyoteknoloji</x:v>
      </x:c>
      <x:c r="M42" s="14" t="str">
        <x:v>Video+Kitap</x:v>
      </x:c>
      <x:c r="N42" s="14" t="str"/>
      <x:c r="O42" s="14" t="str">
        <x:v>13.04.2027: tüm zorunlu konu+kitap+MEB kapanışı</x:v>
      </x:c>
    </x:row>
    <x:row r="43">
      <x:c r="A43" s="15" t="n">
        <x:v>46337</x:v>
      </x:c>
      <x:c r="B43" s="14" t="n">
        <x:v>42</x:v>
      </x:c>
      <x:c r="C43" s="14" t="str">
        <x:v>Çarşamba</x:v>
      </x:c>
      <x:c r="D43" s="14" t="str">
        <x:v>Okul Günü</x:v>
      </x:c>
      <x:c r="E43" s="14" t="str">
        <x:v>16:00 sonrası</x:v>
      </x:c>
      <x:c r="F43" s="14" t="str">
        <x:v>F1 - Temel Kurma</x:v>
      </x:c>
      <x:c r="G43" s="14" t="str">
        <x:v>Üslü Sayılar ve Bilimsel Gösterim Altyapısı</x:v>
      </x:c>
      <x:c r="H43" s="14" t="str">
        <x:v>Video+Kitap</x:v>
      </x:c>
      <x:c r="I43" s="14" t="str">
        <x:v>Ad Tamlamaları</x:v>
      </x:c>
      <x:c r="J43" s="14" t="str">
        <x:v>MEB Gate</x:v>
      </x:c>
      <x:c r="K43" s="14" t="str">
        <x:v>Din</x:v>
      </x:c>
      <x:c r="L43" s="14" t="str">
        <x:v>Zekât ve Sadaka</x:v>
      </x:c>
      <x:c r="M43" s="14" t="str">
        <x:v>Video+Kitap</x:v>
      </x:c>
      <x:c r="N43" s="14" t="str"/>
      <x:c r="O43" s="14" t="str">
        <x:v>13.04.2027: tüm zorunlu konu+kitap+MEB kapanışı</x:v>
      </x:c>
    </x:row>
    <x:row r="44">
      <x:c r="A44" s="15" t="n">
        <x:v>46338</x:v>
      </x:c>
      <x:c r="B44" s="14" t="n">
        <x:v>43</x:v>
      </x:c>
      <x:c r="C44" s="14" t="str">
        <x:v>Perşembe</x:v>
      </x:c>
      <x:c r="D44" s="14" t="str">
        <x:v>Okul Günü</x:v>
      </x:c>
      <x:c r="E44" s="14" t="str">
        <x:v>16:00 sonrası</x:v>
      </x:c>
      <x:c r="F44" s="14" t="str">
        <x:v>F1 - Temel Kurma</x:v>
      </x:c>
      <x:c r="G44" s="14" t="str">
        <x:v>Üslü Sayılar ve Bilimsel Gösterim Altyapısı</x:v>
      </x:c>
      <x:c r="H44" s="14" t="str">
        <x:v>Video+Kitap</x:v>
      </x:c>
      <x:c r="I44" s="14" t="str">
        <x:v>Zamirler</x:v>
      </x:c>
      <x:c r="J44" s="14" t="str">
        <x:v>Video+Kitap</x:v>
      </x:c>
      <x:c r="K44" s="14" t="str">
        <x:v>İnkılap</x:v>
      </x:c>
      <x:c r="L44" s="14" t="str">
        <x:v>I. Dünya Savaşı ve Osmanlı Devleti</x:v>
      </x:c>
      <x:c r="M44" s="14" t="str">
        <x:v>Video+Kitap</x:v>
      </x:c>
      <x:c r="N44" s="14" t="str"/>
      <x:c r="O44" s="14" t="str">
        <x:v>13.04.2027: tüm zorunlu konu+kitap+MEB kapanışı</x:v>
      </x:c>
    </x:row>
    <x:row r="45">
      <x:c r="A45" s="15" t="n">
        <x:v>46339</x:v>
      </x:c>
      <x:c r="B45" s="14" t="n">
        <x:v>44</x:v>
      </x:c>
      <x:c r="C45" s="14" t="str">
        <x:v>Cuma</x:v>
      </x:c>
      <x:c r="D45" s="14" t="str">
        <x:v>Okul Günü</x:v>
      </x:c>
      <x:c r="E45" s="14" t="str">
        <x:v>16:00 sonrası</x:v>
      </x:c>
      <x:c r="F45" s="14" t="str">
        <x:v>F1 - Temel Kurma</x:v>
      </x:c>
      <x:c r="G45" s="14" t="str">
        <x:v>Üslü Sayılar ve Bilimsel Gösterim Altyapısı</x:v>
      </x:c>
      <x:c r="H45" s="14" t="str">
        <x:v>Video+Kitap</x:v>
      </x:c>
      <x:c r="I45" s="14" t="str">
        <x:v>Zamirler</x:v>
      </x:c>
      <x:c r="J45" s="14" t="str">
        <x:v>Video+Kitap</x:v>
      </x:c>
      <x:c r="K45" s="14" t="str">
        <x:v>İngilizce</x:v>
      </x:c>
      <x:c r="L45" s="14" t="str">
        <x:v>Unit 3 - In The Kitchen</x:v>
      </x:c>
      <x:c r="M45" s="14" t="str">
        <x:v>Video+Kitap</x:v>
      </x:c>
      <x:c r="N45" s="14" t="str"/>
      <x:c r="O45" s="14" t="str">
        <x:v>13.04.2027: tüm zorunlu konu+kitap+MEB kapanışı</x:v>
      </x:c>
    </x:row>
    <x:row r="46">
      <x:c r="A46" s="15" t="n">
        <x:v>46340</x:v>
      </x:c>
      <x:c r="B46" s="14" t="n">
        <x:v>45</x:v>
      </x:c>
      <x:c r="C46" s="14" t="str">
        <x:v>Cumartesi</x:v>
      </x:c>
      <x:c r="D46" s="14" t="str">
        <x:v>Hafta Sonu</x:v>
      </x:c>
      <x:c r="E46" s="14" t="str">
        <x:v>Tam gün</x:v>
      </x:c>
      <x:c r="F46" s="14" t="str">
        <x:v>F1 - Temel Kurma</x:v>
      </x:c>
      <x:c r="G46" s="14" t="str">
        <x:v>Üslü Sayılar ve Bilimsel Gösterim Altyapısı</x:v>
      </x:c>
      <x:c r="H46" s="14" t="str">
        <x:v>Video+Kitap</x:v>
      </x:c>
      <x:c r="I46" s="14" t="str">
        <x:v>Zamirler</x:v>
      </x:c>
      <x:c r="J46" s="14" t="str">
        <x:v>Video+Kitap</x:v>
      </x:c>
      <x:c r="K46" s="14" t="str">
        <x:v>Fen</x:v>
      </x:c>
      <x:c r="L46" s="14" t="str">
        <x:v>Biyoteknoloji</x:v>
      </x:c>
      <x:c r="M46" s="14" t="str">
        <x:v>MEB Gate</x:v>
      </x:c>
      <x:c r="N46" s="14" t="str">
        <x:v>Ek Fen</x:v>
      </x:c>
      <x:c r="O46" s="14" t="str">
        <x:v>13.04.2027: tüm zorunlu konu+kitap+MEB kapanışı</x:v>
      </x:c>
    </x:row>
    <x:row r="47">
      <x:c r="A47" s="15" t="n">
        <x:v>46341</x:v>
      </x:c>
      <x:c r="B47" s="14" t="n">
        <x:v>46</x:v>
      </x:c>
      <x:c r="C47" s="14" t="str">
        <x:v>Pazar</x:v>
      </x:c>
      <x:c r="D47" s="14" t="str">
        <x:v>Hafta Sonu</x:v>
      </x:c>
      <x:c r="E47" s="14" t="str">
        <x:v>Tam gün</x:v>
      </x:c>
      <x:c r="F47" s="14" t="str">
        <x:v>F1 - Temel Kurma</x:v>
      </x:c>
      <x:c r="G47" s="14" t="str">
        <x:v>Üslü Sayılar ve Bilimsel Gösterim Altyapısı</x:v>
      </x:c>
      <x:c r="H47" s="14" t="str">
        <x:v>MEB Gate</x:v>
      </x:c>
      <x:c r="I47" s="14" t="str">
        <x:v>Zamirler</x:v>
      </x:c>
      <x:c r="J47" s="14" t="str">
        <x:v>MEB Gate</x:v>
      </x:c>
      <x:c r="K47" s="14" t="str">
        <x:v>Din</x:v>
      </x:c>
      <x:c r="L47" s="14" t="str">
        <x:v>Zekât ve Sadaka</x:v>
      </x:c>
      <x:c r="M47" s="14" t="str">
        <x:v>MEB Gate</x:v>
      </x:c>
      <x:c r="N47" s="14" t="str">
        <x:v>Kaynak Tamamlama</x:v>
      </x:c>
      <x:c r="O47" s="14" t="str">
        <x:v>13.04.2027: tüm zorunlu konu+kitap+MEB kapanışı</x:v>
      </x:c>
    </x:row>
    <x:row r="48">
      <x:c r="A48" s="15" t="n">
        <x:v>46342</x:v>
      </x:c>
      <x:c r="B48" s="14" t="n">
        <x:v>47</x:v>
      </x:c>
      <x:c r="C48" s="14" t="str">
        <x:v>Pazartesi</x:v>
      </x:c>
      <x:c r="D48" s="14" t="str">
        <x:v>Okul Tatili</x:v>
      </x:c>
      <x:c r="E48" s="14" t="str">
        <x:v>MEB 1. Dönem Ara Tatili</x:v>
      </x:c>
      <x:c r="F48" s="14" t="str">
        <x:v>F1 - Temel Kurma</x:v>
      </x:c>
      <x:c r="G48" s="14" t="str">
        <x:v>Köklü Sayılar Altyapısı</x:v>
      </x:c>
      <x:c r="H48" s="14" t="str">
        <x:v>Video+Kitap</x:v>
      </x:c>
      <x:c r="I48" s="14" t="str">
        <x:v>Sıfatlar</x:v>
      </x:c>
      <x:c r="J48" s="14" t="str">
        <x:v>Video+Kitap</x:v>
      </x:c>
      <x:c r="K48" s="14" t="str">
        <x:v>İnkılap</x:v>
      </x:c>
      <x:c r="L48" s="14" t="str">
        <x:v>I. Dünya Savaşı ve Osmanlı Devleti</x:v>
      </x:c>
      <x:c r="M48" s="14" t="str">
        <x:v>MEB Gate</x:v>
      </x:c>
      <x:c r="N48" s="14" t="str"/>
      <x:c r="O48" s="14" t="str">
        <x:v>13.04.2027: tüm zorunlu konu+kitap+MEB kapanışı</x:v>
      </x:c>
    </x:row>
    <x:row r="49">
      <x:c r="A49" s="15" t="n">
        <x:v>46343</x:v>
      </x:c>
      <x:c r="B49" s="14" t="n">
        <x:v>48</x:v>
      </x:c>
      <x:c r="C49" s="14" t="str">
        <x:v>Salı</x:v>
      </x:c>
      <x:c r="D49" s="14" t="str">
        <x:v>Okul Tatili</x:v>
      </x:c>
      <x:c r="E49" s="14" t="str">
        <x:v>MEB 1. Dönem Ara Tatili</x:v>
      </x:c>
      <x:c r="F49" s="14" t="str">
        <x:v>F1 - Temel Kurma</x:v>
      </x:c>
      <x:c r="G49" s="14" t="str">
        <x:v>Köklü Sayılar Altyapısı</x:v>
      </x:c>
      <x:c r="H49" s="14" t="str">
        <x:v>Video+Kitap</x:v>
      </x:c>
      <x:c r="I49" s="14" t="str">
        <x:v>Sıfatlar</x:v>
      </x:c>
      <x:c r="J49" s="14" t="str">
        <x:v>Video+Kitap</x:v>
      </x:c>
      <x:c r="K49" s="14" t="str">
        <x:v>İngilizce</x:v>
      </x:c>
      <x:c r="L49" s="14" t="str">
        <x:v>Unit 3 - In The Kitchen</x:v>
      </x:c>
      <x:c r="M49" s="14" t="str">
        <x:v>MEB Gate</x:v>
      </x:c>
      <x:c r="N49" s="14" t="str"/>
      <x:c r="O49" s="14" t="str">
        <x:v>13.04.2027: tüm zorunlu konu+kitap+MEB kapanışı</x:v>
      </x:c>
    </x:row>
    <x:row r="50">
      <x:c r="A50" s="15" t="n">
        <x:v>46344</x:v>
      </x:c>
      <x:c r="B50" s="14" t="n">
        <x:v>49</x:v>
      </x:c>
      <x:c r="C50" s="14" t="str">
        <x:v>Çarşamba</x:v>
      </x:c>
      <x:c r="D50" s="14" t="str">
        <x:v>Okul Tatili</x:v>
      </x:c>
      <x:c r="E50" s="14" t="str">
        <x:v>MEB 1. Dönem Ara Tatili</x:v>
      </x:c>
      <x:c r="F50" s="14" t="str">
        <x:v>F1 - Temel Kurma</x:v>
      </x:c>
      <x:c r="G50" s="14" t="str">
        <x:v>Köklü Sayılar Altyapısı</x:v>
      </x:c>
      <x:c r="H50" s="14" t="str">
        <x:v>Video+Kitap</x:v>
      </x:c>
      <x:c r="I50" s="14" t="str">
        <x:v>Sıfatlar</x:v>
      </x:c>
      <x:c r="J50" s="14" t="str">
        <x:v>Video+Kitap</x:v>
      </x:c>
      <x:c r="K50" s="14" t="str">
        <x:v>Fen</x:v>
      </x:c>
      <x:c r="L50" s="14" t="str">
        <x:v>Katı Basıncı</x:v>
      </x:c>
      <x:c r="M50" s="14" t="str">
        <x:v>Video+Kitap</x:v>
      </x:c>
      <x:c r="N50" s="14" t="str"/>
      <x:c r="O50" s="14" t="str">
        <x:v>13.04.2027: tüm zorunlu konu+kitap+MEB kapanışı</x:v>
      </x:c>
    </x:row>
    <x:row r="51">
      <x:c r="A51" s="15" t="n">
        <x:v>46345</x:v>
      </x:c>
      <x:c r="B51" s="14" t="n">
        <x:v>50</x:v>
      </x:c>
      <x:c r="C51" s="14" t="str">
        <x:v>Perşembe</x:v>
      </x:c>
      <x:c r="D51" s="14" t="str">
        <x:v>Okul Tatili</x:v>
      </x:c>
      <x:c r="E51" s="14" t="str">
        <x:v>MEB 1. Dönem Ara Tatili</x:v>
      </x:c>
      <x:c r="F51" s="14" t="str">
        <x:v>F1 - Temel Kurma</x:v>
      </x:c>
      <x:c r="G51" s="14" t="str">
        <x:v>Köklü Sayılar Altyapısı</x:v>
      </x:c>
      <x:c r="H51" s="14" t="str">
        <x:v>Video+Kitap</x:v>
      </x:c>
      <x:c r="I51" s="14" t="str">
        <x:v>Sıfatlar</x:v>
      </x:c>
      <x:c r="J51" s="14" t="str">
        <x:v>MEB Gate</x:v>
      </x:c>
      <x:c r="K51" s="14" t="str">
        <x:v>Din</x:v>
      </x:c>
      <x:c r="L51" s="14" t="str">
        <x:v>Hz. Şuayb ve Maun Suresi</x:v>
      </x:c>
      <x:c r="M51" s="14" t="str">
        <x:v>Video+Kitap</x:v>
      </x:c>
      <x:c r="N51" s="14" t="str"/>
      <x:c r="O51" s="14" t="str">
        <x:v>13.04.2027: tüm zorunlu konu+kitap+MEB kapanışı</x:v>
      </x:c>
    </x:row>
    <x:row r="52">
      <x:c r="A52" s="15" t="n">
        <x:v>46346</x:v>
      </x:c>
      <x:c r="B52" s="14" t="n">
        <x:v>51</x:v>
      </x:c>
      <x:c r="C52" s="14" t="str">
        <x:v>Cuma</x:v>
      </x:c>
      <x:c r="D52" s="14" t="str">
        <x:v>Okul Tatili</x:v>
      </x:c>
      <x:c r="E52" s="14" t="str">
        <x:v>MEB 1. Dönem Ara Tatili</x:v>
      </x:c>
      <x:c r="F52" s="14" t="str">
        <x:v>F1 - Temel Kurma</x:v>
      </x:c>
      <x:c r="G52" s="14" t="str">
        <x:v>Köklü Sayılar Altyapısı</x:v>
      </x:c>
      <x:c r="H52" s="14" t="str">
        <x:v>Video+Kitap</x:v>
      </x:c>
      <x:c r="I52" s="14" t="str">
        <x:v>Zarflar</x:v>
      </x:c>
      <x:c r="J52" s="14" t="str">
        <x:v>Video+Kitap</x:v>
      </x:c>
      <x:c r="K52" s="14" t="str">
        <x:v>İnkılap</x:v>
      </x:c>
      <x:c r="L52" s="14" t="str">
        <x:v>Mondros, İşgaller, Cemiyetler ve Kuvayımilliye</x:v>
      </x:c>
      <x:c r="M52" s="14" t="str">
        <x:v>Video+Kitap</x:v>
      </x:c>
      <x:c r="N52" s="14" t="str"/>
      <x:c r="O52" s="14" t="str">
        <x:v>13.04.2027: tüm zorunlu konu+kitap+MEB kapanışı</x:v>
      </x:c>
    </x:row>
    <x:row r="53">
      <x:c r="A53" s="15" t="n">
        <x:v>46347</x:v>
      </x:c>
      <x:c r="B53" s="14" t="n">
        <x:v>52</x:v>
      </x:c>
      <x:c r="C53" s="14" t="str">
        <x:v>Cumartesi</x:v>
      </x:c>
      <x:c r="D53" s="14" t="str">
        <x:v>Hafta Sonu</x:v>
      </x:c>
      <x:c r="E53" s="14" t="str">
        <x:v>Tam gün</x:v>
      </x:c>
      <x:c r="F53" s="14" t="str">
        <x:v>F1 - Temel Kurma</x:v>
      </x:c>
      <x:c r="G53" s="14" t="str">
        <x:v>Köklü Sayılar Altyapısı</x:v>
      </x:c>
      <x:c r="H53" s="14" t="str">
        <x:v>MEB Gate</x:v>
      </x:c>
      <x:c r="I53" s="14" t="str">
        <x:v>Zarflar</x:v>
      </x:c>
      <x:c r="J53" s="14" t="str">
        <x:v>Video+Kitap</x:v>
      </x:c>
      <x:c r="K53" s="14" t="str">
        <x:v>İngilizce</x:v>
      </x:c>
      <x:c r="L53" s="14" t="str">
        <x:v>Unit 4 - On The Phone</x:v>
      </x:c>
      <x:c r="M53" s="14" t="str">
        <x:v>Video+Kitap</x:v>
      </x:c>
      <x:c r="N53" s="14" t="str">
        <x:v>Ek Fen</x:v>
      </x:c>
      <x:c r="O53" s="14" t="str">
        <x:v>13.04.2027: tüm zorunlu konu+kitap+MEB kapanışı</x:v>
      </x:c>
    </x:row>
    <x:row r="54">
      <x:c r="A54" s="15" t="n">
        <x:v>46348</x:v>
      </x:c>
      <x:c r="B54" s="14" t="n">
        <x:v>53</x:v>
      </x:c>
      <x:c r="C54" s="14" t="str">
        <x:v>Pazar</x:v>
      </x:c>
      <x:c r="D54" s="14" t="str">
        <x:v>Hafta Sonu</x:v>
      </x:c>
      <x:c r="E54" s="14" t="str">
        <x:v>Tam gün</x:v>
      </x:c>
      <x:c r="F54" s="14" t="str">
        <x:v>F1 - Temel Kurma</x:v>
      </x:c>
      <x:c r="G54" s="14" t="str">
        <x:v>Oran - Orantı</x:v>
      </x:c>
      <x:c r="H54" s="14" t="str">
        <x:v>Video+Kitap</x:v>
      </x:c>
      <x:c r="I54" s="14" t="str">
        <x:v>Zarflar</x:v>
      </x:c>
      <x:c r="J54" s="14" t="str">
        <x:v>MEB Gate</x:v>
      </x:c>
      <x:c r="K54" s="14" t="str">
        <x:v>Fen</x:v>
      </x:c>
      <x:c r="L54" s="14" t="str">
        <x:v>Sıvı Basıncı</x:v>
      </x:c>
      <x:c r="M54" s="14" t="str">
        <x:v>Video+Kitap</x:v>
      </x:c>
      <x:c r="N54" s="14" t="str">
        <x:v>Kaynak Tamamlama</x:v>
      </x:c>
      <x:c r="O54" s="14" t="str">
        <x:v>13.04.2027: tüm zorunlu konu+kitap+MEB kapanışı</x:v>
      </x:c>
    </x:row>
    <x:row r="55">
      <x:c r="A55" s="15" t="n">
        <x:v>46349</x:v>
      </x:c>
      <x:c r="B55" s="14" t="n">
        <x:v>54</x:v>
      </x:c>
      <x:c r="C55" s="14" t="str">
        <x:v>Pazartesi</x:v>
      </x:c>
      <x:c r="D55" s="14" t="str">
        <x:v>Okul Günü</x:v>
      </x:c>
      <x:c r="E55" s="14" t="str">
        <x:v>16:00 sonrası</x:v>
      </x:c>
      <x:c r="F55" s="14" t="str">
        <x:v>F1 - Temel Kurma</x:v>
      </x:c>
      <x:c r="G55" s="14" t="str">
        <x:v>Oran - Orantı</x:v>
      </x:c>
      <x:c r="H55" s="14" t="str">
        <x:v>Video+Kitap</x:v>
      </x:c>
      <x:c r="I55" s="14" t="str">
        <x:v>Edat - Bağlaç - Ünlem</x:v>
      </x:c>
      <x:c r="J55" s="14" t="str">
        <x:v>Video+Kitap</x:v>
      </x:c>
      <x:c r="K55" s="14" t="str">
        <x:v>Din</x:v>
      </x:c>
      <x:c r="L55" s="14" t="str">
        <x:v>Hz. Şuayb ve Maun Suresi</x:v>
      </x:c>
      <x:c r="M55" s="14" t="str">
        <x:v>Video+Kitap</x:v>
      </x:c>
      <x:c r="N55" s="14" t="str"/>
      <x:c r="O55" s="14" t="str">
        <x:v>13.04.2027: tüm zorunlu konu+kitap+MEB kapanışı</x:v>
      </x:c>
    </x:row>
    <x:row r="56">
      <x:c r="A56" s="15" t="n">
        <x:v>46350</x:v>
      </x:c>
      <x:c r="B56" s="14" t="n">
        <x:v>55</x:v>
      </x:c>
      <x:c r="C56" s="14" t="str">
        <x:v>Salı</x:v>
      </x:c>
      <x:c r="D56" s="14" t="str">
        <x:v>Okul Günü</x:v>
      </x:c>
      <x:c r="E56" s="14" t="str">
        <x:v>16:00 sonrası</x:v>
      </x:c>
      <x:c r="F56" s="14" t="str">
        <x:v>F1 - Temel Kurma</x:v>
      </x:c>
      <x:c r="G56" s="14" t="str">
        <x:v>Oran - Orantı</x:v>
      </x:c>
      <x:c r="H56" s="14" t="str">
        <x:v>Video+Kitap</x:v>
      </x:c>
      <x:c r="I56" s="14" t="str">
        <x:v>Edat - Bağlaç - Ünlem</x:v>
      </x:c>
      <x:c r="J56" s="14" t="str">
        <x:v>Video+Kitap</x:v>
      </x:c>
      <x:c r="K56" s="14" t="str">
        <x:v>İnkılap</x:v>
      </x:c>
      <x:c r="L56" s="14" t="str">
        <x:v>Mondros, İşgaller, Cemiyetler ve Kuvayımilliye</x:v>
      </x:c>
      <x:c r="M56" s="14" t="str">
        <x:v>Video+Kitap</x:v>
      </x:c>
      <x:c r="N56" s="14" t="str"/>
      <x:c r="O56" s="14" t="str">
        <x:v>13.04.2027: tüm zorunlu konu+kitap+MEB kapanışı</x:v>
      </x:c>
    </x:row>
    <x:row r="57">
      <x:c r="A57" s="15" t="n">
        <x:v>46351</x:v>
      </x:c>
      <x:c r="B57" s="14" t="n">
        <x:v>56</x:v>
      </x:c>
      <x:c r="C57" s="14" t="str">
        <x:v>Çarşamba</x:v>
      </x:c>
      <x:c r="D57" s="14" t="str">
        <x:v>Okul Günü</x:v>
      </x:c>
      <x:c r="E57" s="14" t="str">
        <x:v>16:00 sonrası</x:v>
      </x:c>
      <x:c r="F57" s="14" t="str">
        <x:v>F1 - Temel Kurma</x:v>
      </x:c>
      <x:c r="G57" s="14" t="str">
        <x:v>Oran - Orantı</x:v>
      </x:c>
      <x:c r="H57" s="14" t="str">
        <x:v>Video+Kitap</x:v>
      </x:c>
      <x:c r="I57" s="14" t="str">
        <x:v>Edat - Bağlaç - Ünlem</x:v>
      </x:c>
      <x:c r="J57" s="14" t="str">
        <x:v>Video+Kitap</x:v>
      </x:c>
      <x:c r="K57" s="14" t="str">
        <x:v>İngilizce</x:v>
      </x:c>
      <x:c r="L57" s="14" t="str">
        <x:v>Unit 4 - On The Phone</x:v>
      </x:c>
      <x:c r="M57" s="14" t="str">
        <x:v>Video+Kitap</x:v>
      </x:c>
      <x:c r="N57" s="14" t="str"/>
      <x:c r="O57" s="14" t="str">
        <x:v>13.04.2027: tüm zorunlu konu+kitap+MEB kapanışı</x:v>
      </x:c>
    </x:row>
    <x:row r="58">
      <x:c r="A58" s="15" t="n">
        <x:v>46352</x:v>
      </x:c>
      <x:c r="B58" s="14" t="n">
        <x:v>57</x:v>
      </x:c>
      <x:c r="C58" s="14" t="str">
        <x:v>Perşembe</x:v>
      </x:c>
      <x:c r="D58" s="14" t="str">
        <x:v>Okul Günü</x:v>
      </x:c>
      <x:c r="E58" s="14" t="str">
        <x:v>16:00 sonrası</x:v>
      </x:c>
      <x:c r="F58" s="14" t="str">
        <x:v>F1 - Temel Kurma</x:v>
      </x:c>
      <x:c r="G58" s="14" t="str">
        <x:v>Oran - Orantı</x:v>
      </x:c>
      <x:c r="H58" s="14" t="str">
        <x:v>MEB Gate</x:v>
      </x:c>
      <x:c r="I58" s="14" t="str">
        <x:v>Edat - Bağlaç - Ünlem</x:v>
      </x:c>
      <x:c r="J58" s="14" t="str">
        <x:v>Video+Kitap</x:v>
      </x:c>
      <x:c r="K58" s="14" t="str">
        <x:v>Fen</x:v>
      </x:c>
      <x:c r="L58" s="14" t="str">
        <x:v>Sıvı Basıncı</x:v>
      </x:c>
      <x:c r="M58" s="14" t="str">
        <x:v>Video+Kitap</x:v>
      </x:c>
      <x:c r="N58" s="14" t="str"/>
      <x:c r="O58" s="14" t="str">
        <x:v>13.04.2027: tüm zorunlu konu+kitap+MEB kapanışı</x:v>
      </x:c>
    </x:row>
    <x:row r="59">
      <x:c r="A59" s="15" t="n">
        <x:v>46353</x:v>
      </x:c>
      <x:c r="B59" s="14" t="n">
        <x:v>58</x:v>
      </x:c>
      <x:c r="C59" s="14" t="str">
        <x:v>Cuma</x:v>
      </x:c>
      <x:c r="D59" s="14" t="str">
        <x:v>Okul Günü</x:v>
      </x:c>
      <x:c r="E59" s="14" t="str">
        <x:v>16:00 sonrası</x:v>
      </x:c>
      <x:c r="F59" s="14" t="str">
        <x:v>F1 - Temel Kurma</x:v>
      </x:c>
      <x:c r="G59" s="14" t="str">
        <x:v>Denklem Çözme</x:v>
      </x:c>
      <x:c r="H59" s="14" t="str">
        <x:v>Video+Kitap</x:v>
      </x:c>
      <x:c r="I59" s="14" t="str">
        <x:v>Edat - Bağlaç - Ünlem</x:v>
      </x:c>
      <x:c r="J59" s="14" t="str">
        <x:v>MEB Gate</x:v>
      </x:c>
      <x:c r="K59" s="14" t="str">
        <x:v>Din</x:v>
      </x:c>
      <x:c r="L59" s="14" t="str">
        <x:v>Hz. Şuayb ve Maun Suresi</x:v>
      </x:c>
      <x:c r="M59" s="14" t="str">
        <x:v>MEB Gate</x:v>
      </x:c>
      <x:c r="N59" s="14" t="str"/>
      <x:c r="O59" s="14" t="str">
        <x:v>13.04.2027: tüm zorunlu konu+kitap+MEB kapanışı</x:v>
      </x:c>
    </x:row>
    <x:row r="60">
      <x:c r="A60" s="15" t="n">
        <x:v>46354</x:v>
      </x:c>
      <x:c r="B60" s="14" t="n">
        <x:v>59</x:v>
      </x:c>
      <x:c r="C60" s="14" t="str">
        <x:v>Cumartesi</x:v>
      </x:c>
      <x:c r="D60" s="14" t="str">
        <x:v>Hafta Sonu</x:v>
      </x:c>
      <x:c r="E60" s="14" t="str">
        <x:v>Tam gün</x:v>
      </x:c>
      <x:c r="F60" s="14" t="str">
        <x:v>F1 - Temel Kurma</x:v>
      </x:c>
      <x:c r="G60" s="14" t="str">
        <x:v>Denklem Çözme</x:v>
      </x:c>
      <x:c r="H60" s="14" t="str">
        <x:v>Video+Kitap</x:v>
      </x:c>
      <x:c r="I60" s="14" t="str">
        <x:v>Fiiller</x:v>
      </x:c>
      <x:c r="J60" s="14" t="str">
        <x:v>Video+Kitap</x:v>
      </x:c>
      <x:c r="K60" s="14" t="str">
        <x:v>İnkılap</x:v>
      </x:c>
      <x:c r="L60" s="14" t="str">
        <x:v>Mondros, İşgaller, Cemiyetler ve Kuvayımilliye</x:v>
      </x:c>
      <x:c r="M60" s="14" t="str">
        <x:v>Video+Kitap</x:v>
      </x:c>
      <x:c r="N60" s="14" t="str">
        <x:v>Ek Fen</x:v>
      </x:c>
      <x:c r="O60" s="14" t="str">
        <x:v>13.04.2027: tüm zorunlu konu+kitap+MEB kapanışı</x:v>
      </x:c>
    </x:row>
    <x:row r="61">
      <x:c r="A61" s="15" t="n">
        <x:v>46355</x:v>
      </x:c>
      <x:c r="B61" s="14" t="n">
        <x:v>60</x:v>
      </x:c>
      <x:c r="C61" s="14" t="str">
        <x:v>Pazar</x:v>
      </x:c>
      <x:c r="D61" s="14" t="str">
        <x:v>Hafta Sonu</x:v>
      </x:c>
      <x:c r="E61" s="14" t="str">
        <x:v>Tam gün</x:v>
      </x:c>
      <x:c r="F61" s="14" t="str">
        <x:v>F1 - Temel Kurma</x:v>
      </x:c>
      <x:c r="G61" s="14" t="str">
        <x:v>Denklem Çözme</x:v>
      </x:c>
      <x:c r="H61" s="14" t="str">
        <x:v>MEB Gate</x:v>
      </x:c>
      <x:c r="I61" s="14" t="str">
        <x:v>Fiiller</x:v>
      </x:c>
      <x:c r="J61" s="14" t="str">
        <x:v>Video+Kitap</x:v>
      </x:c>
      <x:c r="K61" s="14" t="str">
        <x:v>İngilizce</x:v>
      </x:c>
      <x:c r="L61" s="14" t="str">
        <x:v>Unit 4 - On The Phone</x:v>
      </x:c>
      <x:c r="M61" s="14" t="str">
        <x:v>Video+Kitap</x:v>
      </x:c>
      <x:c r="N61" s="14" t="str">
        <x:v>Kaynak Tamamlama</x:v>
      </x:c>
      <x:c r="O61" s="14" t="str">
        <x:v>13.04.2027: tüm zorunlu konu+kitap+MEB kapanışı</x:v>
      </x:c>
    </x:row>
    <x:row r="62">
      <x:c r="A62" s="15" t="n">
        <x:v>46356</x:v>
      </x:c>
      <x:c r="B62" s="14" t="n">
        <x:v>61</x:v>
      </x:c>
      <x:c r="C62" s="14" t="str">
        <x:v>Pazartesi</x:v>
      </x:c>
      <x:c r="D62" s="14" t="str">
        <x:v>Okul Günü</x:v>
      </x:c>
      <x:c r="E62" s="14" t="str">
        <x:v>16:00 sonrası</x:v>
      </x:c>
      <x:c r="F62" s="14" t="str">
        <x:v>F1 - Temel Kurma</x:v>
      </x:c>
      <x:c r="G62" s="14" t="str">
        <x:v>Denklem Kurma Problemleri</x:v>
      </x:c>
      <x:c r="H62" s="14" t="str">
        <x:v>Video+Kitap</x:v>
      </x:c>
      <x:c r="I62" s="14" t="str">
        <x:v>Fiiller</x:v>
      </x:c>
      <x:c r="J62" s="14" t="str">
        <x:v>Video+Kitap</x:v>
      </x:c>
      <x:c r="K62" s="14" t="str">
        <x:v>Fen</x:v>
      </x:c>
      <x:c r="L62" s="14" t="str">
        <x:v>Gaz Basıncı</x:v>
      </x:c>
      <x:c r="M62" s="14" t="str">
        <x:v>Video+Kitap</x:v>
      </x:c>
      <x:c r="N62" s="14" t="str"/>
      <x:c r="O62" s="14" t="str">
        <x:v>13.04.2027: tüm zorunlu konu+kitap+MEB kapanışı</x:v>
      </x:c>
    </x:row>
    <x:row r="63">
      <x:c r="A63" s="15" t="n">
        <x:v>46357</x:v>
      </x:c>
      <x:c r="B63" s="14" t="n">
        <x:v>62</x:v>
      </x:c>
      <x:c r="C63" s="14" t="str">
        <x:v>Salı</x:v>
      </x:c>
      <x:c r="D63" s="14" t="str">
        <x:v>Okul Günü</x:v>
      </x:c>
      <x:c r="E63" s="14" t="str">
        <x:v>16:00 sonrası</x:v>
      </x:c>
      <x:c r="F63" s="14" t="str">
        <x:v>F1 - Temel Kurma</x:v>
      </x:c>
      <x:c r="G63" s="14" t="str">
        <x:v>Denklem Kurma Problemleri</x:v>
      </x:c>
      <x:c r="H63" s="14" t="str">
        <x:v>Video+Kitap</x:v>
      </x:c>
      <x:c r="I63" s="14" t="str">
        <x:v>Fiiller</x:v>
      </x:c>
      <x:c r="J63" s="14" t="str">
        <x:v>Video+Kitap</x:v>
      </x:c>
      <x:c r="K63" s="14" t="str">
        <x:v>Din</x:v>
      </x:c>
      <x:c r="L63" s="14" t="str">
        <x:v>Din ve Hayat</x:v>
      </x:c>
      <x:c r="M63" s="14" t="str">
        <x:v>Video+Kitap</x:v>
      </x:c>
      <x:c r="N63" s="14" t="str"/>
      <x:c r="O63" s="14" t="str">
        <x:v>13.04.2027: tüm zorunlu konu+kitap+MEB kapanışı</x:v>
      </x:c>
    </x:row>
    <x:row r="64">
      <x:c r="A64" s="15" t="n">
        <x:v>46358</x:v>
      </x:c>
      <x:c r="B64" s="14" t="n">
        <x:v>63</x:v>
      </x:c>
      <x:c r="C64" s="14" t="str">
        <x:v>Çarşamba</x:v>
      </x:c>
      <x:c r="D64" s="14" t="str">
        <x:v>Okul Günü</x:v>
      </x:c>
      <x:c r="E64" s="14" t="str">
        <x:v>16:00 sonrası</x:v>
      </x:c>
      <x:c r="F64" s="14" t="str">
        <x:v>F1 - Temel Kurma</x:v>
      </x:c>
      <x:c r="G64" s="14" t="str">
        <x:v>Denklem Kurma Problemleri</x:v>
      </x:c>
      <x:c r="H64" s="14" t="str">
        <x:v>Video+Kitap</x:v>
      </x:c>
      <x:c r="I64" s="14" t="str">
        <x:v>Fiiller</x:v>
      </x:c>
      <x:c r="J64" s="14" t="str">
        <x:v>MEB Gate</x:v>
      </x:c>
      <x:c r="K64" s="14" t="str">
        <x:v>İnkılap</x:v>
      </x:c>
      <x:c r="L64" s="14" t="str">
        <x:v>Mondros, İşgaller, Cemiyetler ve Kuvayımilliye</x:v>
      </x:c>
      <x:c r="M64" s="14" t="str">
        <x:v>MEB Gate</x:v>
      </x:c>
      <x:c r="N64" s="14" t="str"/>
      <x:c r="O64" s="14" t="str">
        <x:v>13.04.2027: tüm zorunlu konu+kitap+MEB kapanışı</x:v>
      </x:c>
    </x:row>
    <x:row r="65">
      <x:c r="A65" s="15" t="n">
        <x:v>46359</x:v>
      </x:c>
      <x:c r="B65" s="14" t="n">
        <x:v>64</x:v>
      </x:c>
      <x:c r="C65" s="14" t="str">
        <x:v>Perşembe</x:v>
      </x:c>
      <x:c r="D65" s="14" t="str">
        <x:v>Okul Günü</x:v>
      </x:c>
      <x:c r="E65" s="14" t="str">
        <x:v>16:00 sonrası</x:v>
      </x:c>
      <x:c r="F65" s="14" t="str">
        <x:v>F1 - Temel Kurma</x:v>
      </x:c>
      <x:c r="G65" s="14" t="str">
        <x:v>Denklem Kurma Problemleri</x:v>
      </x:c>
      <x:c r="H65" s="14" t="str">
        <x:v>Video+Kitap</x:v>
      </x:c>
      <x:c r="I65" s="14" t="str">
        <x:v>Ek Fiil</x:v>
      </x:c>
      <x:c r="J65" s="14" t="str">
        <x:v>Video+Kitap</x:v>
      </x:c>
      <x:c r="K65" s="14" t="str">
        <x:v>İngilizce</x:v>
      </x:c>
      <x:c r="L65" s="14" t="str">
        <x:v>Unit 4 - On The Phone</x:v>
      </x:c>
      <x:c r="M65" s="14" t="str">
        <x:v>MEB Gate</x:v>
      </x:c>
      <x:c r="N65" s="14" t="str"/>
      <x:c r="O65" s="14" t="str">
        <x:v>13.04.2027: tüm zorunlu konu+kitap+MEB kapanışı</x:v>
      </x:c>
    </x:row>
    <x:row r="66">
      <x:c r="A66" s="15" t="n">
        <x:v>46360</x:v>
      </x:c>
      <x:c r="B66" s="14" t="n">
        <x:v>65</x:v>
      </x:c>
      <x:c r="C66" s="14" t="str">
        <x:v>Cuma</x:v>
      </x:c>
      <x:c r="D66" s="14" t="str">
        <x:v>Okul Günü</x:v>
      </x:c>
      <x:c r="E66" s="14" t="str">
        <x:v>16:00 sonrası</x:v>
      </x:c>
      <x:c r="F66" s="14" t="str">
        <x:v>F1 - Temel Kurma</x:v>
      </x:c>
      <x:c r="G66" s="14" t="str">
        <x:v>Denklem Kurma Problemleri</x:v>
      </x:c>
      <x:c r="H66" s="14" t="str">
        <x:v>MEB Gate</x:v>
      </x:c>
      <x:c r="I66" s="14" t="str">
        <x:v>Ek Fiil</x:v>
      </x:c>
      <x:c r="J66" s="14" t="str">
        <x:v>Video+Kitap</x:v>
      </x:c>
      <x:c r="K66" s="14" t="str">
        <x:v>Fen</x:v>
      </x:c>
      <x:c r="L66" s="14" t="str">
        <x:v>Gaz Basıncı</x:v>
      </x:c>
      <x:c r="M66" s="14" t="str">
        <x:v>Video+Kitap</x:v>
      </x:c>
      <x:c r="N66" s="14" t="str"/>
      <x:c r="O66" s="14" t="str">
        <x:v>13.04.2027: tüm zorunlu konu+kitap+MEB kapanışı</x:v>
      </x:c>
    </x:row>
    <x:row r="67">
      <x:c r="A67" s="15" t="n">
        <x:v>46361</x:v>
      </x:c>
      <x:c r="B67" s="14" t="n">
        <x:v>66</x:v>
      </x:c>
      <x:c r="C67" s="14" t="str">
        <x:v>Cumartesi</x:v>
      </x:c>
      <x:c r="D67" s="14" t="str">
        <x:v>Hafta Sonu</x:v>
      </x:c>
      <x:c r="E67" s="14" t="str">
        <x:v>Tam gün</x:v>
      </x:c>
      <x:c r="F67" s="14" t="str">
        <x:v>F1 - Temel Kurma</x:v>
      </x:c>
      <x:c r="G67" s="14" t="str">
        <x:v>Yüzde ve Temel Problem Çeşitleri</x:v>
      </x:c>
      <x:c r="H67" s="14" t="str">
        <x:v>Video+Kitap</x:v>
      </x:c>
      <x:c r="I67" s="14" t="str">
        <x:v>Ek Fiil</x:v>
      </x:c>
      <x:c r="J67" s="14" t="str">
        <x:v>MEB Gate</x:v>
      </x:c>
      <x:c r="K67" s="14" t="str">
        <x:v>Din</x:v>
      </x:c>
      <x:c r="L67" s="14" t="str">
        <x:v>Din ve Hayat</x:v>
      </x:c>
      <x:c r="M67" s="14" t="str">
        <x:v>Video+Kitap</x:v>
      </x:c>
      <x:c r="N67" s="14" t="str">
        <x:v>Ek Fen</x:v>
      </x:c>
      <x:c r="O67" s="14" t="str">
        <x:v>13.04.2027: tüm zorunlu konu+kitap+MEB kapanışı</x:v>
      </x:c>
    </x:row>
    <x:row r="68">
      <x:c r="A68" s="15" t="n">
        <x:v>46362</x:v>
      </x:c>
      <x:c r="B68" s="14" t="n">
        <x:v>67</x:v>
      </x:c>
      <x:c r="C68" s="14" t="str">
        <x:v>Pazar</x:v>
      </x:c>
      <x:c r="D68" s="14" t="str">
        <x:v>Hafta Sonu</x:v>
      </x:c>
      <x:c r="E68" s="14" t="str">
        <x:v>Tam gün</x:v>
      </x:c>
      <x:c r="F68" s="14" t="str">
        <x:v>F1 - Temel Kurma</x:v>
      </x:c>
      <x:c r="G68" s="14" t="str">
        <x:v>Yüzde ve Temel Problem Çeşitleri</x:v>
      </x:c>
      <x:c r="H68" s="14" t="str">
        <x:v>Video+Kitap</x:v>
      </x:c>
      <x:c r="I68" s="14" t="str">
        <x:v>Fiilimsiler</x:v>
      </x:c>
      <x:c r="J68" s="14" t="str">
        <x:v>Video+Kitap</x:v>
      </x:c>
      <x:c r="K68" s="14" t="str">
        <x:v>İnkılap</x:v>
      </x:c>
      <x:c r="L68" s="14" t="str">
        <x:v>Genelgeler, Kongreler, Misakımillî ve TBMM</x:v>
      </x:c>
      <x:c r="M68" s="14" t="str">
        <x:v>Video+Kitap</x:v>
      </x:c>
      <x:c r="N68" s="14" t="str">
        <x:v>Kaynak Tamamlama</x:v>
      </x:c>
      <x:c r="O68" s="14" t="str">
        <x:v>13.04.2027: tüm zorunlu konu+kitap+MEB kapanışı</x:v>
      </x:c>
    </x:row>
    <x:row r="69">
      <x:c r="A69" s="15" t="n">
        <x:v>46363</x:v>
      </x:c>
      <x:c r="B69" s="14" t="n">
        <x:v>68</x:v>
      </x:c>
      <x:c r="C69" s="14" t="str">
        <x:v>Pazartesi</x:v>
      </x:c>
      <x:c r="D69" s="14" t="str">
        <x:v>Okul Günü</x:v>
      </x:c>
      <x:c r="E69" s="14" t="str">
        <x:v>16:00 sonrası</x:v>
      </x:c>
      <x:c r="F69" s="14" t="str">
        <x:v>F1 - Temel Kurma</x:v>
      </x:c>
      <x:c r="G69" s="14" t="str">
        <x:v>Yüzde ve Temel Problem Çeşitleri</x:v>
      </x:c>
      <x:c r="H69" s="14" t="str">
        <x:v>Video+Kitap</x:v>
      </x:c>
      <x:c r="I69" s="14" t="str">
        <x:v>Fiilimsiler</x:v>
      </x:c>
      <x:c r="J69" s="14" t="str">
        <x:v>Video+Kitap</x:v>
      </x:c>
      <x:c r="K69" s="14" t="str">
        <x:v>İngilizce</x:v>
      </x:c>
      <x:c r="L69" s="14" t="str">
        <x:v>Unit 5 - The Internet</x:v>
      </x:c>
      <x:c r="M69" s="14" t="str">
        <x:v>Video+Kitap</x:v>
      </x:c>
      <x:c r="N69" s="14" t="str"/>
      <x:c r="O69" s="14" t="str">
        <x:v>13.04.2027: tüm zorunlu konu+kitap+MEB kapanışı</x:v>
      </x:c>
    </x:row>
    <x:row r="70">
      <x:c r="A70" s="15" t="n">
        <x:v>46364</x:v>
      </x:c>
      <x:c r="B70" s="14" t="n">
        <x:v>69</x:v>
      </x:c>
      <x:c r="C70" s="14" t="str">
        <x:v>Salı</x:v>
      </x:c>
      <x:c r="D70" s="14" t="str">
        <x:v>Okul Günü</x:v>
      </x:c>
      <x:c r="E70" s="14" t="str">
        <x:v>16:00 sonrası</x:v>
      </x:c>
      <x:c r="F70" s="14" t="str">
        <x:v>F1 - Temel Kurma</x:v>
      </x:c>
      <x:c r="G70" s="14" t="str">
        <x:v>Yüzde ve Temel Problem Çeşitleri</x:v>
      </x:c>
      <x:c r="H70" s="14" t="str">
        <x:v>Video+Kitap</x:v>
      </x:c>
      <x:c r="I70" s="14" t="str">
        <x:v>Fiilimsiler</x:v>
      </x:c>
      <x:c r="J70" s="14" t="str">
        <x:v>Video+Kitap</x:v>
      </x:c>
      <x:c r="K70" s="14" t="str">
        <x:v>Fen</x:v>
      </x:c>
      <x:c r="L70" s="14" t="str">
        <x:v>Periyodik Sistem</x:v>
      </x:c>
      <x:c r="M70" s="14" t="str">
        <x:v>Video+Kitap</x:v>
      </x:c>
      <x:c r="N70" s="14" t="str"/>
      <x:c r="O70" s="14" t="str">
        <x:v>13.04.2027: tüm zorunlu konu+kitap+MEB kapanışı</x:v>
      </x:c>
    </x:row>
    <x:row r="71">
      <x:c r="A71" s="15" t="n">
        <x:v>46365</x:v>
      </x:c>
      <x:c r="B71" s="14" t="n">
        <x:v>70</x:v>
      </x:c>
      <x:c r="C71" s="14" t="str">
        <x:v>Çarşamba</x:v>
      </x:c>
      <x:c r="D71" s="14" t="str">
        <x:v>Okul Günü</x:v>
      </x:c>
      <x:c r="E71" s="14" t="str">
        <x:v>16:00 sonrası</x:v>
      </x:c>
      <x:c r="F71" s="14" t="str">
        <x:v>F1 - Temel Kurma</x:v>
      </x:c>
      <x:c r="G71" s="14" t="str">
        <x:v>Yüzde ve Temel Problem Çeşitleri</x:v>
      </x:c>
      <x:c r="H71" s="14" t="str">
        <x:v>MEB Gate</x:v>
      </x:c>
      <x:c r="I71" s="14" t="str">
        <x:v>Fiilimsiler</x:v>
      </x:c>
      <x:c r="J71" s="14" t="str">
        <x:v>Video+Kitap</x:v>
      </x:c>
      <x:c r="K71" s="14" t="str">
        <x:v>Din</x:v>
      </x:c>
      <x:c r="L71" s="14" t="str">
        <x:v>Din ve Hayat</x:v>
      </x:c>
      <x:c r="M71" s="14" t="str">
        <x:v>MEB Gate</x:v>
      </x:c>
      <x:c r="N71" s="14" t="str"/>
      <x:c r="O71" s="14" t="str">
        <x:v>13.04.2027: tüm zorunlu konu+kitap+MEB kapanışı</x:v>
      </x:c>
    </x:row>
    <x:row r="72">
      <x:c r="A72" s="15" t="n">
        <x:v>46366</x:v>
      </x:c>
      <x:c r="B72" s="14" t="n">
        <x:v>71</x:v>
      </x:c>
      <x:c r="C72" s="14" t="str">
        <x:v>Perşembe</x:v>
      </x:c>
      <x:c r="D72" s="14" t="str">
        <x:v>Okul Günü</x:v>
      </x:c>
      <x:c r="E72" s="14" t="str">
        <x:v>16:00 sonrası</x:v>
      </x:c>
      <x:c r="F72" s="14" t="str">
        <x:v>F1 - Temel Kurma</x:v>
      </x:c>
      <x:c r="G72" s="14" t="str">
        <x:v>Çarpanlar ve Katlar</x:v>
      </x:c>
      <x:c r="H72" s="14" t="str">
        <x:v>Video+Kitap</x:v>
      </x:c>
      <x:c r="I72" s="14" t="str">
        <x:v>Fiilimsiler</x:v>
      </x:c>
      <x:c r="J72" s="14" t="str">
        <x:v>MEB Gate</x:v>
      </x:c>
      <x:c r="K72" s="14" t="str">
        <x:v>İnkılap</x:v>
      </x:c>
      <x:c r="L72" s="14" t="str">
        <x:v>Genelgeler, Kongreler, Misakımillî ve TBMM</x:v>
      </x:c>
      <x:c r="M72" s="14" t="str">
        <x:v>Video+Kitap</x:v>
      </x:c>
      <x:c r="N72" s="14" t="str"/>
      <x:c r="O72" s="14" t="str">
        <x:v>13.04.2027: tüm zorunlu konu+kitap+MEB kapanışı</x:v>
      </x:c>
    </x:row>
    <x:row r="73">
      <x:c r="A73" s="15" t="n">
        <x:v>46367</x:v>
      </x:c>
      <x:c r="B73" s="14" t="n">
        <x:v>72</x:v>
      </x:c>
      <x:c r="C73" s="14" t="str">
        <x:v>Cuma</x:v>
      </x:c>
      <x:c r="D73" s="14" t="str">
        <x:v>Okul Günü</x:v>
      </x:c>
      <x:c r="E73" s="14" t="str">
        <x:v>16:00 sonrası</x:v>
      </x:c>
      <x:c r="F73" s="14" t="str">
        <x:v>F1 - Temel Kurma</x:v>
      </x:c>
      <x:c r="G73" s="14" t="str">
        <x:v>Çarpanlar ve Katlar</x:v>
      </x:c>
      <x:c r="H73" s="14" t="str">
        <x:v>Video+Kitap</x:v>
      </x:c>
      <x:c r="I73" s="14" t="str">
        <x:v>Cümlenin Ögeleri</x:v>
      </x:c>
      <x:c r="J73" s="14" t="str">
        <x:v>Video+Kitap</x:v>
      </x:c>
      <x:c r="K73" s="14" t="str">
        <x:v>İngilizce</x:v>
      </x:c>
      <x:c r="L73" s="14" t="str">
        <x:v>Unit 5 - The Internet</x:v>
      </x:c>
      <x:c r="M73" s="14" t="str">
        <x:v>Video+Kitap</x:v>
      </x:c>
      <x:c r="N73" s="14" t="str"/>
      <x:c r="O73" s="14" t="str">
        <x:v>13.04.2027: tüm zorunlu konu+kitap+MEB kapanışı</x:v>
      </x:c>
    </x:row>
    <x:row r="74">
      <x:c r="A74" s="15" t="n">
        <x:v>46368</x:v>
      </x:c>
      <x:c r="B74" s="14" t="n">
        <x:v>73</x:v>
      </x:c>
      <x:c r="C74" s="14" t="str">
        <x:v>Cumartesi</x:v>
      </x:c>
      <x:c r="D74" s="14" t="str">
        <x:v>Hafta Sonu</x:v>
      </x:c>
      <x:c r="E74" s="14" t="str">
        <x:v>Tam gün</x:v>
      </x:c>
      <x:c r="F74" s="14" t="str">
        <x:v>F1 - Temel Kurma</x:v>
      </x:c>
      <x:c r="G74" s="14" t="str">
        <x:v>Çarpanlar ve Katlar</x:v>
      </x:c>
      <x:c r="H74" s="14" t="str">
        <x:v>Video+Kitap</x:v>
      </x:c>
      <x:c r="I74" s="14" t="str">
        <x:v>Cümlenin Ögeleri</x:v>
      </x:c>
      <x:c r="J74" s="14" t="str">
        <x:v>Video+Kitap</x:v>
      </x:c>
      <x:c r="K74" s="14" t="str">
        <x:v>Fen</x:v>
      </x:c>
      <x:c r="L74" s="14" t="str">
        <x:v>Periyodik Sistem</x:v>
      </x:c>
      <x:c r="M74" s="14" t="str">
        <x:v>Video+Kitap</x:v>
      </x:c>
      <x:c r="N74" s="14" t="str">
        <x:v>Ek Fen</x:v>
      </x:c>
      <x:c r="O74" s="14" t="str">
        <x:v>13.04.2027: tüm zorunlu konu+kitap+MEB kapanışı</x:v>
      </x:c>
    </x:row>
    <x:row r="75">
      <x:c r="A75" s="15" t="n">
        <x:v>46369</x:v>
      </x:c>
      <x:c r="B75" s="14" t="n">
        <x:v>74</x:v>
      </x:c>
      <x:c r="C75" s="14" t="str">
        <x:v>Pazar</x:v>
      </x:c>
      <x:c r="D75" s="14" t="str">
        <x:v>Hafta Sonu</x:v>
      </x:c>
      <x:c r="E75" s="14" t="str">
        <x:v>Tam gün</x:v>
      </x:c>
      <x:c r="F75" s="14" t="str">
        <x:v>F1 - Temel Kurma</x:v>
      </x:c>
      <x:c r="G75" s="14" t="str">
        <x:v>Çarpanlar ve Katlar</x:v>
      </x:c>
      <x:c r="H75" s="14" t="str">
        <x:v>MEB Gate</x:v>
      </x:c>
      <x:c r="I75" s="14" t="str">
        <x:v>Cümlenin Ögeleri</x:v>
      </x:c>
      <x:c r="J75" s="14" t="str">
        <x:v>Video+Kitap</x:v>
      </x:c>
      <x:c r="K75" s="14" t="str">
        <x:v>Din</x:v>
      </x:c>
      <x:c r="L75" s="14" t="str">
        <x:v>Dinin Temel Gayesi / Hz. Yusuf / Asr Suresi</x:v>
      </x:c>
      <x:c r="M75" s="14" t="str">
        <x:v>Video+Kitap</x:v>
      </x:c>
      <x:c r="N75" s="14" t="str">
        <x:v>Kaynak Tamamlama</x:v>
      </x:c>
      <x:c r="O75" s="14" t="str">
        <x:v>13.04.2027: tüm zorunlu konu+kitap+MEB kapanışı</x:v>
      </x:c>
    </x:row>
    <x:row r="76">
      <x:c r="A76" s="15" t="n">
        <x:v>46370</x:v>
      </x:c>
      <x:c r="B76" s="14" t="n">
        <x:v>75</x:v>
      </x:c>
      <x:c r="C76" s="14" t="str">
        <x:v>Pazartesi</x:v>
      </x:c>
      <x:c r="D76" s="14" t="str">
        <x:v>Okul Günü</x:v>
      </x:c>
      <x:c r="E76" s="14" t="str">
        <x:v>16:00 sonrası</x:v>
      </x:c>
      <x:c r="F76" s="14" t="str">
        <x:v>F1 - Temel Kurma</x:v>
      </x:c>
      <x:c r="G76" s="14" t="str">
        <x:v>Üslü İfadeler</x:v>
      </x:c>
      <x:c r="H76" s="14" t="str">
        <x:v>Video+Kitap</x:v>
      </x:c>
      <x:c r="I76" s="14" t="str">
        <x:v>Cümlenin Ögeleri</x:v>
      </x:c>
      <x:c r="J76" s="14" t="str">
        <x:v>Video+Kitap</x:v>
      </x:c>
      <x:c r="K76" s="14" t="str">
        <x:v>İnkılap</x:v>
      </x:c>
      <x:c r="L76" s="14" t="str">
        <x:v>Genelgeler, Kongreler, Misakımillî ve TBMM</x:v>
      </x:c>
      <x:c r="M76" s="14" t="str">
        <x:v>Video+Kitap</x:v>
      </x:c>
      <x:c r="N76" s="14" t="str"/>
      <x:c r="O76" s="14" t="str">
        <x:v>13.04.2027: tüm zorunlu konu+kitap+MEB kapanışı</x:v>
      </x:c>
    </x:row>
    <x:row r="77">
      <x:c r="A77" s="15" t="n">
        <x:v>46371</x:v>
      </x:c>
      <x:c r="B77" s="14" t="n">
        <x:v>76</x:v>
      </x:c>
      <x:c r="C77" s="14" t="str">
        <x:v>Salı</x:v>
      </x:c>
      <x:c r="D77" s="14" t="str">
        <x:v>Okul Günü</x:v>
      </x:c>
      <x:c r="E77" s="14" t="str">
        <x:v>16:00 sonrası</x:v>
      </x:c>
      <x:c r="F77" s="14" t="str">
        <x:v>F1 - Temel Kurma</x:v>
      </x:c>
      <x:c r="G77" s="14" t="str">
        <x:v>Üslü İfadeler</x:v>
      </x:c>
      <x:c r="H77" s="14" t="str">
        <x:v>Video+Kitap</x:v>
      </x:c>
      <x:c r="I77" s="14" t="str">
        <x:v>Cümlenin Ögeleri</x:v>
      </x:c>
      <x:c r="J77" s="14" t="str">
        <x:v>MEB Gate</x:v>
      </x:c>
      <x:c r="K77" s="14" t="str">
        <x:v>İngilizce</x:v>
      </x:c>
      <x:c r="L77" s="14" t="str">
        <x:v>Unit 5 - The Internet</x:v>
      </x:c>
      <x:c r="M77" s="14" t="str">
        <x:v>Video+Kitap</x:v>
      </x:c>
      <x:c r="N77" s="14" t="str"/>
      <x:c r="O77" s="14" t="str">
        <x:v>13.04.2027: tüm zorunlu konu+kitap+MEB kapanışı</x:v>
      </x:c>
    </x:row>
    <x:row r="78">
      <x:c r="A78" s="15" t="n">
        <x:v>46372</x:v>
      </x:c>
      <x:c r="B78" s="14" t="n">
        <x:v>77</x:v>
      </x:c>
      <x:c r="C78" s="14" t="str">
        <x:v>Çarşamba</x:v>
      </x:c>
      <x:c r="D78" s="14" t="str">
        <x:v>Okul Günü</x:v>
      </x:c>
      <x:c r="E78" s="14" t="str">
        <x:v>16:00 sonrası</x:v>
      </x:c>
      <x:c r="F78" s="14" t="str">
        <x:v>F1 - Temel Kurma</x:v>
      </x:c>
      <x:c r="G78" s="14" t="str">
        <x:v>Üslü İfadeler</x:v>
      </x:c>
      <x:c r="H78" s="14" t="str">
        <x:v>Video+Kitap</x:v>
      </x:c>
      <x:c r="I78" s="14" t="str">
        <x:v>Fiilde Çatı</x:v>
      </x:c>
      <x:c r="J78" s="14" t="str">
        <x:v>Video+Kitap</x:v>
      </x:c>
      <x:c r="K78" s="14" t="str">
        <x:v>Fen</x:v>
      </x:c>
      <x:c r="L78" s="14" t="str">
        <x:v>Fiziksel ve Kimyasal Değişimler / Kimyasal Tepkimeler</x:v>
      </x:c>
      <x:c r="M78" s="14" t="str">
        <x:v>Video+Kitap</x:v>
      </x:c>
      <x:c r="N78" s="14" t="str"/>
      <x:c r="O78" s="14" t="str">
        <x:v>13.04.2027: tüm zorunlu konu+kitap+MEB kapanışı</x:v>
      </x:c>
    </x:row>
    <x:row r="79">
      <x:c r="A79" s="15" t="n">
        <x:v>46373</x:v>
      </x:c>
      <x:c r="B79" s="14" t="n">
        <x:v>78</x:v>
      </x:c>
      <x:c r="C79" s="14" t="str">
        <x:v>Perşembe</x:v>
      </x:c>
      <x:c r="D79" s="14" t="str">
        <x:v>Okul Günü</x:v>
      </x:c>
      <x:c r="E79" s="14" t="str">
        <x:v>16:00 sonrası</x:v>
      </x:c>
      <x:c r="F79" s="14" t="str">
        <x:v>F1 - Temel Kurma</x:v>
      </x:c>
      <x:c r="G79" s="14" t="str">
        <x:v>Üslü İfadeler</x:v>
      </x:c>
      <x:c r="H79" s="14" t="str">
        <x:v>MEB Gate</x:v>
      </x:c>
      <x:c r="I79" s="14" t="str">
        <x:v>Fiilde Çatı</x:v>
      </x:c>
      <x:c r="J79" s="14" t="str">
        <x:v>Video+Kitap</x:v>
      </x:c>
      <x:c r="K79" s="14" t="str">
        <x:v>Din</x:v>
      </x:c>
      <x:c r="L79" s="14" t="str">
        <x:v>Dinin Temel Gayesi / Hz. Yusuf / Asr Suresi</x:v>
      </x:c>
      <x:c r="M79" s="14" t="str">
        <x:v>Video+Kitap</x:v>
      </x:c>
      <x:c r="N79" s="14" t="str"/>
      <x:c r="O79" s="14" t="str">
        <x:v>13.04.2027: tüm zorunlu konu+kitap+MEB kapanışı</x:v>
      </x:c>
    </x:row>
    <x:row r="80">
      <x:c r="A80" s="15" t="n">
        <x:v>46374</x:v>
      </x:c>
      <x:c r="B80" s="14" t="n">
        <x:v>79</x:v>
      </x:c>
      <x:c r="C80" s="14" t="str">
        <x:v>Cuma</x:v>
      </x:c>
      <x:c r="D80" s="14" t="str">
        <x:v>Okul Günü</x:v>
      </x:c>
      <x:c r="E80" s="14" t="str">
        <x:v>16:00 sonrası</x:v>
      </x:c>
      <x:c r="F80" s="14" t="str">
        <x:v>F1 - Temel Kurma</x:v>
      </x:c>
      <x:c r="G80" s="14" t="str">
        <x:v>Kareköklü İfadeler</x:v>
      </x:c>
      <x:c r="H80" s="14" t="str">
        <x:v>Video+Kitap</x:v>
      </x:c>
      <x:c r="I80" s="14" t="str">
        <x:v>Fiilde Çatı</x:v>
      </x:c>
      <x:c r="J80" s="14" t="str">
        <x:v>Video+Kitap</x:v>
      </x:c>
      <x:c r="K80" s="14" t="str">
        <x:v>İnkılap</x:v>
      </x:c>
      <x:c r="L80" s="14" t="str">
        <x:v>Genelgeler, Kongreler, Misakımillî ve TBMM</x:v>
      </x:c>
      <x:c r="M80" s="14" t="str">
        <x:v>MEB Gate</x:v>
      </x:c>
      <x:c r="N80" s="14" t="str"/>
      <x:c r="O80" s="14" t="str">
        <x:v>13.04.2027: tüm zorunlu konu+kitap+MEB kapanışı</x:v>
      </x:c>
    </x:row>
    <x:row r="81">
      <x:c r="A81" s="15" t="n">
        <x:v>46375</x:v>
      </x:c>
      <x:c r="B81" s="14" t="n">
        <x:v>80</x:v>
      </x:c>
      <x:c r="C81" s="14" t="str">
        <x:v>Cumartesi</x:v>
      </x:c>
      <x:c r="D81" s="14" t="str">
        <x:v>Hafta Sonu</x:v>
      </x:c>
      <x:c r="E81" s="14" t="str">
        <x:v>Tam gün</x:v>
      </x:c>
      <x:c r="F81" s="14" t="str">
        <x:v>F1 - Temel Kurma</x:v>
      </x:c>
      <x:c r="G81" s="14" t="str">
        <x:v>Kareköklü İfadeler</x:v>
      </x:c>
      <x:c r="H81" s="14" t="str">
        <x:v>Video+Kitap</x:v>
      </x:c>
      <x:c r="I81" s="14" t="str">
        <x:v>Fiilde Çatı</x:v>
      </x:c>
      <x:c r="J81" s="14" t="str">
        <x:v>MEB Gate</x:v>
      </x:c>
      <x:c r="K81" s="14" t="str">
        <x:v>İngilizce</x:v>
      </x:c>
      <x:c r="L81" s="14" t="str">
        <x:v>Unit 5 - The Internet</x:v>
      </x:c>
      <x:c r="M81" s="14" t="str">
        <x:v>MEB Gate</x:v>
      </x:c>
      <x:c r="N81" s="14" t="str">
        <x:v>Ek Fen</x:v>
      </x:c>
      <x:c r="O81" s="14" t="str">
        <x:v>13.04.2027: tüm zorunlu konu+kitap+MEB kapanışı</x:v>
      </x:c>
    </x:row>
    <x:row r="82">
      <x:c r="A82" s="15" t="n">
        <x:v>46376</x:v>
      </x:c>
      <x:c r="B82" s="14" t="n">
        <x:v>81</x:v>
      </x:c>
      <x:c r="C82" s="14" t="str">
        <x:v>Pazar</x:v>
      </x:c>
      <x:c r="D82" s="14" t="str">
        <x:v>Hafta Sonu</x:v>
      </x:c>
      <x:c r="E82" s="14" t="str">
        <x:v>Tam gün</x:v>
      </x:c>
      <x:c r="F82" s="14" t="str">
        <x:v>F1 - Temel Kurma</x:v>
      </x:c>
      <x:c r="G82" s="14" t="str">
        <x:v>Kareköklü İfadeler</x:v>
      </x:c>
      <x:c r="H82" s="14" t="str">
        <x:v>Video+Kitap</x:v>
      </x:c>
      <x:c r="I82" s="14" t="str">
        <x:v>Cümle Türleri</x:v>
      </x:c>
      <x:c r="J82" s="14" t="str">
        <x:v>Video+Kitap</x:v>
      </x:c>
      <x:c r="K82" s="14" t="str">
        <x:v>Fen</x:v>
      </x:c>
      <x:c r="L82" s="14" t="str">
        <x:v>Fiziksel ve Kimyasal Değişimler / Kimyasal Tepkimeler</x:v>
      </x:c>
      <x:c r="M82" s="14" t="str">
        <x:v>MEB Gate</x:v>
      </x:c>
      <x:c r="N82" s="14" t="str">
        <x:v>Kaynak Tamamlama</x:v>
      </x:c>
      <x:c r="O82" s="14" t="str">
        <x:v>13.04.2027: tüm zorunlu konu+kitap+MEB kapanışı</x:v>
      </x:c>
    </x:row>
    <x:row r="83">
      <x:c r="A83" s="15" t="n">
        <x:v>46377</x:v>
      </x:c>
      <x:c r="B83" s="14" t="n">
        <x:v>82</x:v>
      </x:c>
      <x:c r="C83" s="14" t="str">
        <x:v>Pazartesi</x:v>
      </x:c>
      <x:c r="D83" s="14" t="str">
        <x:v>Okul Günü</x:v>
      </x:c>
      <x:c r="E83" s="14" t="str">
        <x:v>16:00 sonrası</x:v>
      </x:c>
      <x:c r="F83" s="14" t="str">
        <x:v>F1 - Temel Kurma</x:v>
      </x:c>
      <x:c r="G83" s="14" t="str">
        <x:v>Kareköklü İfadeler</x:v>
      </x:c>
      <x:c r="H83" s="14" t="str">
        <x:v>Video+Kitap</x:v>
      </x:c>
      <x:c r="I83" s="14" t="str">
        <x:v>Cümle Türleri</x:v>
      </x:c>
      <x:c r="J83" s="14" t="str">
        <x:v>Video+Kitap</x:v>
      </x:c>
      <x:c r="K83" s="14" t="str">
        <x:v>Din</x:v>
      </x:c>
      <x:c r="L83" s="14" t="str">
        <x:v>Dinin Temel Gayesi / Hz. Yusuf / Asr Suresi</x:v>
      </x:c>
      <x:c r="M83" s="14" t="str">
        <x:v>MEB Gate</x:v>
      </x:c>
      <x:c r="N83" s="14" t="str"/>
      <x:c r="O83" s="14" t="str">
        <x:v>13.04.2027: tüm zorunlu konu+kitap+MEB kapanışı</x:v>
      </x:c>
    </x:row>
    <x:row r="84">
      <x:c r="A84" s="15" t="n">
        <x:v>46378</x:v>
      </x:c>
      <x:c r="B84" s="14" t="n">
        <x:v>83</x:v>
      </x:c>
      <x:c r="C84" s="14" t="str">
        <x:v>Salı</x:v>
      </x:c>
      <x:c r="D84" s="14" t="str">
        <x:v>Okul Günü</x:v>
      </x:c>
      <x:c r="E84" s="14" t="str">
        <x:v>16:00 sonrası</x:v>
      </x:c>
      <x:c r="F84" s="14" t="str">
        <x:v>F1 - Temel Kurma</x:v>
      </x:c>
      <x:c r="G84" s="14" t="str">
        <x:v>Kareköklü İfadeler</x:v>
      </x:c>
      <x:c r="H84" s="14" t="str">
        <x:v>MEB Gate</x:v>
      </x:c>
      <x:c r="I84" s="14" t="str">
        <x:v>Cümle Türleri</x:v>
      </x:c>
      <x:c r="J84" s="14" t="str">
        <x:v>Video+Kitap</x:v>
      </x:c>
      <x:c r="K84" s="14" t="str">
        <x:v>İnkılap</x:v>
      </x:c>
      <x:c r="L84" s="14" t="str">
        <x:v>TBMM’ye Karşı Ayaklanmalar ve Sevr</x:v>
      </x:c>
      <x:c r="M84" s="14" t="str">
        <x:v>Video+Kitap</x:v>
      </x:c>
      <x:c r="N84" s="14" t="str"/>
      <x:c r="O84" s="14" t="str">
        <x:v>13.04.2027: tüm zorunlu konu+kitap+MEB kapanışı</x:v>
      </x:c>
    </x:row>
    <x:row r="85">
      <x:c r="A85" s="15" t="n">
        <x:v>46379</x:v>
      </x:c>
      <x:c r="B85" s="14" t="n">
        <x:v>84</x:v>
      </x:c>
      <x:c r="C85" s="14" t="str">
        <x:v>Çarşamba</x:v>
      </x:c>
      <x:c r="D85" s="14" t="str">
        <x:v>Okul Günü</x:v>
      </x:c>
      <x:c r="E85" s="14" t="str">
        <x:v>16:00 sonrası</x:v>
      </x:c>
      <x:c r="F85" s="14" t="str">
        <x:v>F1 - Temel Kurma</x:v>
      </x:c>
      <x:c r="G85" s="14" t="str">
        <x:v>Veri Analizi</x:v>
      </x:c>
      <x:c r="H85" s="14" t="str">
        <x:v>Video+Kitap</x:v>
      </x:c>
      <x:c r="I85" s="14" t="str">
        <x:v>Cümle Türleri</x:v>
      </x:c>
      <x:c r="J85" s="14" t="str">
        <x:v>MEB Gate</x:v>
      </x:c>
      <x:c r="K85" s="14" t="str">
        <x:v>İngilizce</x:v>
      </x:c>
      <x:c r="L85" s="14" t="str">
        <x:v>Unit 6 - Adventures</x:v>
      </x:c>
      <x:c r="M85" s="14" t="str">
        <x:v>Video+Kitap</x:v>
      </x:c>
      <x:c r="N85" s="14" t="str"/>
      <x:c r="O85" s="14" t="str">
        <x:v>13.04.2027: tüm zorunlu konu+kitap+MEB kapanışı</x:v>
      </x:c>
    </x:row>
    <x:row r="86">
      <x:c r="A86" s="15" t="n">
        <x:v>46380</x:v>
      </x:c>
      <x:c r="B86" s="14" t="n">
        <x:v>85</x:v>
      </x:c>
      <x:c r="C86" s="14" t="str">
        <x:v>Perşembe</x:v>
      </x:c>
      <x:c r="D86" s="14" t="str">
        <x:v>Okul Günü</x:v>
      </x:c>
      <x:c r="E86" s="14" t="str">
        <x:v>16:00 sonrası</x:v>
      </x:c>
      <x:c r="F86" s="14" t="str">
        <x:v>F1 - Temel Kurma</x:v>
      </x:c>
      <x:c r="G86" s="14" t="str">
        <x:v>Veri Analizi</x:v>
      </x:c>
      <x:c r="H86" s="14" t="str">
        <x:v>Video+Kitap</x:v>
      </x:c>
      <x:c r="I86" s="14" t="str">
        <x:v>Anlatım Bozuklukları</x:v>
      </x:c>
      <x:c r="J86" s="14" t="str">
        <x:v>Video+Kitap</x:v>
      </x:c>
      <x:c r="K86" s="14" t="str">
        <x:v>Fen</x:v>
      </x:c>
      <x:c r="L86" s="14" t="str">
        <x:v>Asitler ve Bazlar</x:v>
      </x:c>
      <x:c r="M86" s="14" t="str">
        <x:v>Video+Kitap</x:v>
      </x:c>
      <x:c r="N86" s="14" t="str"/>
      <x:c r="O86" s="14" t="str">
        <x:v>13.04.2027: tüm zorunlu konu+kitap+MEB kapanışı</x:v>
      </x:c>
    </x:row>
    <x:row r="87">
      <x:c r="A87" s="15" t="n">
        <x:v>46381</x:v>
      </x:c>
      <x:c r="B87" s="14" t="n">
        <x:v>86</x:v>
      </x:c>
      <x:c r="C87" s="14" t="str">
        <x:v>Cuma</x:v>
      </x:c>
      <x:c r="D87" s="14" t="str">
        <x:v>Okul Günü</x:v>
      </x:c>
      <x:c r="E87" s="14" t="str">
        <x:v>16:00 sonrası</x:v>
      </x:c>
      <x:c r="F87" s="14" t="str">
        <x:v>F1 - Temel Kurma</x:v>
      </x:c>
      <x:c r="G87" s="14" t="str">
        <x:v>Veri Analizi</x:v>
      </x:c>
      <x:c r="H87" s="14" t="str">
        <x:v>MEB Gate</x:v>
      </x:c>
      <x:c r="I87" s="14" t="str">
        <x:v>Anlatım Bozuklukları</x:v>
      </x:c>
      <x:c r="J87" s="14" t="str">
        <x:v>Video+Kitap</x:v>
      </x:c>
      <x:c r="K87" s="14" t="str">
        <x:v>Din</x:v>
      </x:c>
      <x:c r="L87" s="14" t="str">
        <x:v>Hz. Muhammed’in Örnekliği</x:v>
      </x:c>
      <x:c r="M87" s="14" t="str">
        <x:v>Video+Kitap</x:v>
      </x:c>
      <x:c r="N87" s="14" t="str"/>
      <x:c r="O87" s="14" t="str">
        <x:v>13.04.2027: tüm zorunlu konu+kitap+MEB kapanışı</x:v>
      </x:c>
    </x:row>
    <x:row r="88">
      <x:c r="A88" s="15" t="n">
        <x:v>46382</x:v>
      </x:c>
      <x:c r="B88" s="14" t="n">
        <x:v>87</x:v>
      </x:c>
      <x:c r="C88" s="14" t="str">
        <x:v>Cumartesi</x:v>
      </x:c>
      <x:c r="D88" s="14" t="str">
        <x:v>Hafta Sonu</x:v>
      </x:c>
      <x:c r="E88" s="14" t="str">
        <x:v>Tam gün</x:v>
      </x:c>
      <x:c r="F88" s="14" t="str">
        <x:v>F1 - Temel Kurma</x:v>
      </x:c>
      <x:c r="G88" s="14" t="str">
        <x:v>Basit Olayların Olma Olasılığı</x:v>
      </x:c>
      <x:c r="H88" s="14" t="str">
        <x:v>Video+Kitap</x:v>
      </x:c>
      <x:c r="I88" s="14" t="str">
        <x:v>Anlatım Bozuklukları</x:v>
      </x:c>
      <x:c r="J88" s="14" t="str">
        <x:v>Video+Kitap</x:v>
      </x:c>
      <x:c r="K88" s="14" t="str">
        <x:v>İnkılap</x:v>
      </x:c>
      <x:c r="L88" s="14" t="str">
        <x:v>TBMM’ye Karşı Ayaklanmalar ve Sevr</x:v>
      </x:c>
      <x:c r="M88" s="14" t="str">
        <x:v>Video+Kitap</x:v>
      </x:c>
      <x:c r="N88" s="14" t="str">
        <x:v>Ek Fen</x:v>
      </x:c>
      <x:c r="O88" s="14" t="str">
        <x:v>13.04.2027: tüm zorunlu konu+kitap+MEB kapanışı</x:v>
      </x:c>
    </x:row>
    <x:row r="89">
      <x:c r="A89" s="15" t="n">
        <x:v>46383</x:v>
      </x:c>
      <x:c r="B89" s="14" t="n">
        <x:v>88</x:v>
      </x:c>
      <x:c r="C89" s="14" t="str">
        <x:v>Pazar</x:v>
      </x:c>
      <x:c r="D89" s="14" t="str">
        <x:v>Hafta Sonu</x:v>
      </x:c>
      <x:c r="E89" s="14" t="str">
        <x:v>Tam gün</x:v>
      </x:c>
      <x:c r="F89" s="14" t="str">
        <x:v>F1 - Temel Kurma</x:v>
      </x:c>
      <x:c r="G89" s="14" t="str">
        <x:v>Basit Olayların Olma Olasılığı</x:v>
      </x:c>
      <x:c r="H89" s="14" t="str">
        <x:v>Video+Kitap</x:v>
      </x:c>
      <x:c r="I89" s="14" t="str">
        <x:v>Anlatım Bozuklukları</x:v>
      </x:c>
      <x:c r="J89" s="14" t="str">
        <x:v>MEB Gate</x:v>
      </x:c>
      <x:c r="K89" s="14" t="str">
        <x:v>İngilizce</x:v>
      </x:c>
      <x:c r="L89" s="14" t="str">
        <x:v>Unit 6 - Adventures</x:v>
      </x:c>
      <x:c r="M89" s="14" t="str">
        <x:v>Video+Kitap</x:v>
      </x:c>
      <x:c r="N89" s="14" t="str">
        <x:v>Kaynak Tamamlama</x:v>
      </x:c>
      <x:c r="O89" s="14" t="str">
        <x:v>13.04.2027: tüm zorunlu konu+kitap+MEB kapanışı</x:v>
      </x:c>
    </x:row>
    <x:row r="90">
      <x:c r="A90" s="15" t="n">
        <x:v>46384</x:v>
      </x:c>
      <x:c r="B90" s="14" t="n">
        <x:v>89</x:v>
      </x:c>
      <x:c r="C90" s="14" t="str">
        <x:v>Pazartesi</x:v>
      </x:c>
      <x:c r="D90" s="14" t="str">
        <x:v>Okul Günü</x:v>
      </x:c>
      <x:c r="E90" s="14" t="str">
        <x:v>16:00 sonrası</x:v>
      </x:c>
      <x:c r="F90" s="14" t="str">
        <x:v>F1 - Temel Kurma</x:v>
      </x:c>
      <x:c r="G90" s="14" t="str">
        <x:v>Basit Olayların Olma Olasılığı</x:v>
      </x:c>
      <x:c r="H90" s="14" t="str">
        <x:v>MEB Gate</x:v>
      </x:c>
      <x:c r="I90" s="14" t="str">
        <x:v>Metin Türleri ve Söz Sanatları</x:v>
      </x:c>
      <x:c r="J90" s="14" t="str">
        <x:v>Video+Kitap</x:v>
      </x:c>
      <x:c r="K90" s="14" t="str">
        <x:v>Fen</x:v>
      </x:c>
      <x:c r="L90" s="14" t="str">
        <x:v>Asitler ve Bazlar</x:v>
      </x:c>
      <x:c r="M90" s="14" t="str">
        <x:v>MEB Gate</x:v>
      </x:c>
      <x:c r="N90" s="14" t="str"/>
      <x:c r="O90" s="14" t="str">
        <x:v>13.04.2027: tüm zorunlu konu+kitap+MEB kapanışı</x:v>
      </x:c>
    </x:row>
    <x:row r="91">
      <x:c r="A91" s="15" t="n">
        <x:v>46385</x:v>
      </x:c>
      <x:c r="B91" s="14" t="n">
        <x:v>90</x:v>
      </x:c>
      <x:c r="C91" s="14" t="str">
        <x:v>Salı</x:v>
      </x:c>
      <x:c r="D91" s="14" t="str">
        <x:v>Okul Günü</x:v>
      </x:c>
      <x:c r="E91" s="14" t="str">
        <x:v>16:00 sonrası</x:v>
      </x:c>
      <x:c r="F91" s="14" t="str">
        <x:v>F1 - Temel Kurma</x:v>
      </x:c>
      <x:c r="G91" s="14" t="str">
        <x:v>Cebirsel İfadeler ve Özdeşlikler</x:v>
      </x:c>
      <x:c r="H91" s="14" t="str">
        <x:v>Video+Kitap</x:v>
      </x:c>
      <x:c r="I91" s="14" t="str">
        <x:v>Metin Türleri ve Söz Sanatları</x:v>
      </x:c>
      <x:c r="J91" s="14" t="str">
        <x:v>Video+Kitap</x:v>
      </x:c>
      <x:c r="K91" s="14" t="str">
        <x:v>Din</x:v>
      </x:c>
      <x:c r="L91" s="14" t="str">
        <x:v>Hz. Muhammed’in Örnekliği</x:v>
      </x:c>
      <x:c r="M91" s="14" t="str">
        <x:v>Video+Kitap</x:v>
      </x:c>
      <x:c r="N91" s="14" t="str"/>
      <x:c r="O91" s="14" t="str">
        <x:v>13.04.2027: tüm zorunlu konu+kitap+MEB kapanışı</x:v>
      </x:c>
    </x:row>
    <x:row r="92">
      <x:c r="A92" s="15" t="n">
        <x:v>46386</x:v>
      </x:c>
      <x:c r="B92" s="14" t="n">
        <x:v>91</x:v>
      </x:c>
      <x:c r="C92" s="14" t="str">
        <x:v>Çarşamba</x:v>
      </x:c>
      <x:c r="D92" s="14" t="str">
        <x:v>Okul Günü</x:v>
      </x:c>
      <x:c r="E92" s="14" t="str">
        <x:v>16:00 sonrası</x:v>
      </x:c>
      <x:c r="F92" s="14" t="str">
        <x:v>F1 - Temel Kurma</x:v>
      </x:c>
      <x:c r="G92" s="14" t="str">
        <x:v>Cebirsel İfadeler ve Özdeşlikler</x:v>
      </x:c>
      <x:c r="H92" s="14" t="str">
        <x:v>Video+Kitap</x:v>
      </x:c>
      <x:c r="I92" s="14" t="str">
        <x:v>Metin Türleri ve Söz Sanatları</x:v>
      </x:c>
      <x:c r="J92" s="14" t="str">
        <x:v>MEB Gate</x:v>
      </x:c>
      <x:c r="K92" s="14" t="str">
        <x:v>İnkılap</x:v>
      </x:c>
      <x:c r="L92" s="14" t="str">
        <x:v>TBMM’ye Karşı Ayaklanmalar ve Sevr</x:v>
      </x:c>
      <x:c r="M92" s="14" t="str">
        <x:v>MEB Gate</x:v>
      </x:c>
      <x:c r="N92" s="14" t="str"/>
      <x:c r="O92" s="14" t="str">
        <x:v>13.04.2027: tüm zorunlu konu+kitap+MEB kapanışı</x:v>
      </x:c>
    </x:row>
    <x:row r="93">
      <x:c r="A93" s="15" t="n">
        <x:v>46387</x:v>
      </x:c>
      <x:c r="B93" s="14" t="n">
        <x:v>92</x:v>
      </x:c>
      <x:c r="C93" s="14" t="str">
        <x:v>Perşembe</x:v>
      </x:c>
      <x:c r="D93" s="14" t="str">
        <x:v>Okul Günü</x:v>
      </x:c>
      <x:c r="E93" s="14" t="str">
        <x:v>16:00 sonrası</x:v>
      </x:c>
      <x:c r="F93" s="14" t="str">
        <x:v>F1 - Temel Kurma</x:v>
      </x:c>
      <x:c r="G93" s="14" t="str">
        <x:v>Cebirsel İfadeler ve Özdeşlikler</x:v>
      </x:c>
      <x:c r="H93" s="14" t="str">
        <x:v>Video+Kitap</x:v>
      </x:c>
      <x:c r="I93" s="14" t="str">
        <x:v>Görsel Okuma, Grafik ve Sözel Mantık</x:v>
      </x:c>
      <x:c r="J93" s="14" t="str">
        <x:v>Video+Kitap</x:v>
      </x:c>
      <x:c r="K93" s="14" t="str">
        <x:v>İngilizce</x:v>
      </x:c>
      <x:c r="L93" s="14" t="str">
        <x:v>Unit 6 - Adventures</x:v>
      </x:c>
      <x:c r="M93" s="14" t="str">
        <x:v>Video+Kitap</x:v>
      </x:c>
      <x:c r="N93" s="14" t="str"/>
      <x:c r="O93" s="14" t="str">
        <x:v>13.04.2027: tüm zorunlu konu+kitap+MEB kapanışı</x:v>
      </x:c>
    </x:row>
    <x:row r="94">
      <x:c r="A94" s="15" t="n">
        <x:v>46388</x:v>
      </x:c>
      <x:c r="B94" s="14" t="n">
        <x:v>93</x:v>
      </x:c>
      <x:c r="C94" s="14" t="str">
        <x:v>Cuma</x:v>
      </x:c>
      <x:c r="D94" s="14" t="str">
        <x:v>Resmî Tatil</x:v>
      </x:c>
      <x:c r="E94" s="14" t="str">
        <x:v>Yılbaşı</x:v>
      </x:c>
      <x:c r="F94" s="14" t="str">
        <x:v>F2 - LGS Kapsam + Ustalık</x:v>
      </x:c>
      <x:c r="G94" s="14" t="str">
        <x:v>Cebirsel İfadeler ve Özdeşlikler</x:v>
      </x:c>
      <x:c r="H94" s="14" t="str">
        <x:v>Video+Kitap</x:v>
      </x:c>
      <x:c r="I94" s="14" t="str">
        <x:v>Görsel Okuma, Grafik ve Sözel Mantık</x:v>
      </x:c>
      <x:c r="J94" s="14" t="str">
        <x:v>Video+Kitap</x:v>
      </x:c>
      <x:c r="K94" s="14" t="str">
        <x:v>Fen</x:v>
      </x:c>
      <x:c r="L94" s="14" t="str">
        <x:v>Maddenin Isı ile Etkileşimi</x:v>
      </x:c>
      <x:c r="M94" s="14" t="str">
        <x:v>Video+Kitap</x:v>
      </x:c>
      <x:c r="N94" s="14" t="str"/>
      <x:c r="O94" s="14" t="str">
        <x:v>13.04.2027: tüm zorunlu konu+kitap+MEB kapanışı</x:v>
      </x:c>
    </x:row>
    <x:row r="95">
      <x:c r="A95" s="15" t="n">
        <x:v>46389</x:v>
      </x:c>
      <x:c r="B95" s="14" t="n">
        <x:v>94</x:v>
      </x:c>
      <x:c r="C95" s="14" t="str">
        <x:v>Cumartesi</x:v>
      </x:c>
      <x:c r="D95" s="14" t="str">
        <x:v>Hafta Sonu</x:v>
      </x:c>
      <x:c r="E95" s="14" t="str">
        <x:v>Tam gün</x:v>
      </x:c>
      <x:c r="F95" s="14" t="str">
        <x:v>F2 - LGS Kapsam + Ustalık</x:v>
      </x:c>
      <x:c r="G95" s="14" t="str">
        <x:v>Cebirsel İfadeler ve Özdeşlikler</x:v>
      </x:c>
      <x:c r="H95" s="14" t="str">
        <x:v>MEB Gate</x:v>
      </x:c>
      <x:c r="I95" s="14" t="str">
        <x:v>Görsel Okuma, Grafik ve Sözel Mantık</x:v>
      </x:c>
      <x:c r="J95" s="14" t="str">
        <x:v>Video+Kitap</x:v>
      </x:c>
      <x:c r="K95" s="14" t="str">
        <x:v>Din</x:v>
      </x:c>
      <x:c r="L95" s="14" t="str">
        <x:v>Hz. Muhammed’in Örnekliği</x:v>
      </x:c>
      <x:c r="M95" s="14" t="str">
        <x:v>MEB Gate</x:v>
      </x:c>
      <x:c r="N95" s="14" t="str">
        <x:v>Ek Fen</x:v>
      </x:c>
      <x:c r="O95" s="14" t="str">
        <x:v>13.04.2027: tüm zorunlu konu+kitap+MEB kapanışı</x:v>
      </x:c>
    </x:row>
    <x:row r="96">
      <x:c r="A96" s="15" t="n">
        <x:v>46390</x:v>
      </x:c>
      <x:c r="B96" s="14" t="n">
        <x:v>95</x:v>
      </x:c>
      <x:c r="C96" s="14" t="str">
        <x:v>Pazar</x:v>
      </x:c>
      <x:c r="D96" s="14" t="str">
        <x:v>Hafta Sonu</x:v>
      </x:c>
      <x:c r="E96" s="14" t="str">
        <x:v>Tam gün</x:v>
      </x:c>
      <x:c r="F96" s="14" t="str">
        <x:v>F2 - LGS Kapsam + Ustalık</x:v>
      </x:c>
      <x:c r="G96" s="14" t="str">
        <x:v>Doğrusal Denklemler</x:v>
      </x:c>
      <x:c r="H96" s="14" t="str">
        <x:v>Video+Kitap</x:v>
      </x:c>
      <x:c r="I96" s="14" t="str">
        <x:v>Görsel Okuma, Grafik ve Sözel Mantık</x:v>
      </x:c>
      <x:c r="J96" s="14" t="str">
        <x:v>MEB Gate</x:v>
      </x:c>
      <x:c r="K96" s="14" t="str">
        <x:v>İnkılap</x:v>
      </x:c>
      <x:c r="L96" s="14" t="str">
        <x:v>Millî Mücadele - Cepheler</x:v>
      </x:c>
      <x:c r="M96" s="14" t="str">
        <x:v>Video+Kitap</x:v>
      </x:c>
      <x:c r="N96" s="14" t="str">
        <x:v>Kaynak Tamamlama</x:v>
      </x:c>
      <x:c r="O96" s="14" t="str">
        <x:v>13.04.2027: tüm zorunlu konu+kitap+MEB kapanışı</x:v>
      </x:c>
    </x:row>
    <x:row r="97">
      <x:c r="A97" s="15" t="n">
        <x:v>46391</x:v>
      </x:c>
      <x:c r="B97" s="14" t="n">
        <x:v>96</x:v>
      </x:c>
      <x:c r="C97" s="14" t="str">
        <x:v>Pazartesi</x:v>
      </x:c>
      <x:c r="D97" s="14" t="str">
        <x:v>Okul Günü</x:v>
      </x:c>
      <x:c r="E97" s="14" t="str">
        <x:v>16:00 sonrası</x:v>
      </x:c>
      <x:c r="F97" s="14" t="str">
        <x:v>F2 - LGS Kapsam + Ustalık</x:v>
      </x:c>
      <x:c r="G97" s="14" t="str">
        <x:v>Doğrusal Denklemler</x:v>
      </x:c>
      <x:c r="H97" s="14" t="str">
        <x:v>Video+Kitap</x:v>
      </x:c>
      <x:c r="I97" s="14" t="str">
        <x:v>Kaynak Tamamlama / Zayıf Konu</x:v>
      </x:c>
      <x:c r="J97" s="14" t="str">
        <x:v>Kaynak/Weak</x:v>
      </x:c>
      <x:c r="K97" s="14" t="str">
        <x:v>İngilizce</x:v>
      </x:c>
      <x:c r="L97" s="14" t="str">
        <x:v>Unit 6 - Adventures</x:v>
      </x:c>
      <x:c r="M97" s="14" t="str">
        <x:v>MEB Gate</x:v>
      </x:c>
      <x:c r="N97" s="14" t="str"/>
      <x:c r="O97" s="14" t="str">
        <x:v>13.04.2027: tüm zorunlu konu+kitap+MEB kapanışı</x:v>
      </x:c>
    </x:row>
    <x:row r="98">
      <x:c r="A98" s="15" t="n">
        <x:v>46392</x:v>
      </x:c>
      <x:c r="B98" s="14" t="n">
        <x:v>97</x:v>
      </x:c>
      <x:c r="C98" s="14" t="str">
        <x:v>Salı</x:v>
      </x:c>
      <x:c r="D98" s="14" t="str">
        <x:v>Okul Günü</x:v>
      </x:c>
      <x:c r="E98" s="14" t="str">
        <x:v>16:00 sonrası</x:v>
      </x:c>
      <x:c r="F98" s="14" t="str">
        <x:v>F2 - LGS Kapsam + Ustalık</x:v>
      </x:c>
      <x:c r="G98" s="14" t="str">
        <x:v>Doğrusal Denklemler</x:v>
      </x:c>
      <x:c r="H98" s="14" t="str">
        <x:v>Video+Kitap</x:v>
      </x:c>
      <x:c r="I98" s="14" t="str">
        <x:v>Kaynak Tamamlama / Zayıf Konu</x:v>
      </x:c>
      <x:c r="J98" s="14" t="str">
        <x:v>Kaynak/Weak</x:v>
      </x:c>
      <x:c r="K98" s="14" t="str">
        <x:v>Fen</x:v>
      </x:c>
      <x:c r="L98" s="14" t="str">
        <x:v>Maddenin Isı ile Etkileşimi</x:v>
      </x:c>
      <x:c r="M98" s="14" t="str">
        <x:v>MEB Gate</x:v>
      </x:c>
      <x:c r="N98" s="14" t="str"/>
      <x:c r="O98" s="14" t="str">
        <x:v>13.04.2027: tüm zorunlu konu+kitap+MEB kapanışı</x:v>
      </x:c>
    </x:row>
    <x:row r="99">
      <x:c r="A99" s="15" t="n">
        <x:v>46393</x:v>
      </x:c>
      <x:c r="B99" s="14" t="n">
        <x:v>98</x:v>
      </x:c>
      <x:c r="C99" s="14" t="str">
        <x:v>Çarşamba</x:v>
      </x:c>
      <x:c r="D99" s="14" t="str">
        <x:v>Okul Günü</x:v>
      </x:c>
      <x:c r="E99" s="14" t="str">
        <x:v>16:00 sonrası</x:v>
      </x:c>
      <x:c r="F99" s="14" t="str">
        <x:v>F2 - LGS Kapsam + Ustalık</x:v>
      </x:c>
      <x:c r="G99" s="14" t="str">
        <x:v>Doğrusal Denklemler</x:v>
      </x:c>
      <x:c r="H99" s="14" t="str">
        <x:v>Video+Kitap</x:v>
      </x:c>
      <x:c r="I99" s="14" t="str">
        <x:v>Kaynak Tamamlama / Zayıf Konu</x:v>
      </x:c>
      <x:c r="J99" s="14" t="str">
        <x:v>Kaynak/Weak</x:v>
      </x:c>
      <x:c r="K99" s="14" t="str">
        <x:v>Din</x:v>
      </x:c>
      <x:c r="L99" s="14" t="str">
        <x:v>Kureyş Suresi</x:v>
      </x:c>
      <x:c r="M99" s="14" t="str">
        <x:v>Video+Kitap</x:v>
      </x:c>
      <x:c r="N99" s="14" t="str"/>
      <x:c r="O99" s="14" t="str">
        <x:v>13.04.2027: tüm zorunlu konu+kitap+MEB kapanışı</x:v>
      </x:c>
    </x:row>
    <x:row r="100">
      <x:c r="A100" s="15" t="n">
        <x:v>46394</x:v>
      </x:c>
      <x:c r="B100" s="14" t="n">
        <x:v>99</x:v>
      </x:c>
      <x:c r="C100" s="14" t="str">
        <x:v>Perşembe</x:v>
      </x:c>
      <x:c r="D100" s="14" t="str">
        <x:v>Okul Günü</x:v>
      </x:c>
      <x:c r="E100" s="14" t="str">
        <x:v>16:00 sonrası</x:v>
      </x:c>
      <x:c r="F100" s="14" t="str">
        <x:v>F2 - LGS Kapsam + Ustalık</x:v>
      </x:c>
      <x:c r="G100" s="14" t="str">
        <x:v>Doğrusal Denklemler</x:v>
      </x:c>
      <x:c r="H100" s="14" t="str">
        <x:v>MEB Gate</x:v>
      </x:c>
      <x:c r="I100" s="14" t="str">
        <x:v>Kaynak Tamamlama / Zayıf Konu</x:v>
      </x:c>
      <x:c r="J100" s="14" t="str">
        <x:v>Kaynak/Weak</x:v>
      </x:c>
      <x:c r="K100" s="14" t="str">
        <x:v>İnkılap</x:v>
      </x:c>
      <x:c r="L100" s="14" t="str">
        <x:v>Millî Mücadele - Cepheler</x:v>
      </x:c>
      <x:c r="M100" s="14" t="str">
        <x:v>Video+Kitap</x:v>
      </x:c>
      <x:c r="N100" s="14" t="str"/>
      <x:c r="O100" s="14" t="str">
        <x:v>13.04.2027: tüm zorunlu konu+kitap+MEB kapanışı</x:v>
      </x:c>
    </x:row>
    <x:row r="101">
      <x:c r="A101" s="15" t="n">
        <x:v>46395</x:v>
      </x:c>
      <x:c r="B101" s="14" t="n">
        <x:v>100</x:v>
      </x:c>
      <x:c r="C101" s="14" t="str">
        <x:v>Cuma</x:v>
      </x:c>
      <x:c r="D101" s="14" t="str">
        <x:v>Okul Günü</x:v>
      </x:c>
      <x:c r="E101" s="14" t="str">
        <x:v>16:00 sonrası</x:v>
      </x:c>
      <x:c r="F101" s="14" t="str">
        <x:v>F2 - LGS Kapsam + Ustalık</x:v>
      </x:c>
      <x:c r="G101" s="14" t="str">
        <x:v>Eşitsizlikler</x:v>
      </x:c>
      <x:c r="H101" s="14" t="str">
        <x:v>Video+Kitap</x:v>
      </x:c>
      <x:c r="I101" s="14" t="str">
        <x:v>Kaynak Tamamlama / Zayıf Konu</x:v>
      </x:c>
      <x:c r="J101" s="14" t="str">
        <x:v>Kaynak/Weak</x:v>
      </x:c>
      <x:c r="K101" s="14" t="str">
        <x:v>İngilizce</x:v>
      </x:c>
      <x:c r="L101" s="14" t="str">
        <x:v>Unit 7 - Tourism</x:v>
      </x:c>
      <x:c r="M101" s="14" t="str">
        <x:v>Video+Kitap</x:v>
      </x:c>
      <x:c r="N101" s="14" t="str"/>
      <x:c r="O101" s="14" t="str">
        <x:v>13.04.2027: tüm zorunlu konu+kitap+MEB kapanışı</x:v>
      </x:c>
    </x:row>
    <x:row r="102">
      <x:c r="A102" s="15" t="n">
        <x:v>46396</x:v>
      </x:c>
      <x:c r="B102" s="14" t="n">
        <x:v>101</x:v>
      </x:c>
      <x:c r="C102" s="14" t="str">
        <x:v>Cumartesi</x:v>
      </x:c>
      <x:c r="D102" s="14" t="str">
        <x:v>Hafta Sonu</x:v>
      </x:c>
      <x:c r="E102" s="14" t="str">
        <x:v>Tam gün</x:v>
      </x:c>
      <x:c r="F102" s="14" t="str">
        <x:v>F2 - LGS Kapsam + Ustalık</x:v>
      </x:c>
      <x:c r="G102" s="14" t="str">
        <x:v>Eşitsizlikler</x:v>
      </x:c>
      <x:c r="H102" s="14" t="str">
        <x:v>Video+Kitap</x:v>
      </x:c>
      <x:c r="I102" s="14" t="str">
        <x:v>Kaynak Tamamlama / Zayıf Konu</x:v>
      </x:c>
      <x:c r="J102" s="14" t="str">
        <x:v>Kaynak/Weak</x:v>
      </x:c>
      <x:c r="K102" s="14" t="str">
        <x:v>Fen</x:v>
      </x:c>
      <x:c r="L102" s="14" t="str">
        <x:v>Basit Makineler - Makaralar</x:v>
      </x:c>
      <x:c r="M102" s="14" t="str">
        <x:v>Video+Kitap</x:v>
      </x:c>
      <x:c r="N102" s="14" t="str">
        <x:v>Ek Fen</x:v>
      </x:c>
      <x:c r="O102" s="14" t="str">
        <x:v>13.04.2027: tüm zorunlu konu+kitap+MEB kapanışı</x:v>
      </x:c>
    </x:row>
    <x:row r="103">
      <x:c r="A103" s="15" t="n">
        <x:v>46397</x:v>
      </x:c>
      <x:c r="B103" s="14" t="n">
        <x:v>102</x:v>
      </x:c>
      <x:c r="C103" s="14" t="str">
        <x:v>Pazar</x:v>
      </x:c>
      <x:c r="D103" s="14" t="str">
        <x:v>Hafta Sonu</x:v>
      </x:c>
      <x:c r="E103" s="14" t="str">
        <x:v>Tam gün</x:v>
      </x:c>
      <x:c r="F103" s="14" t="str">
        <x:v>F2 - LGS Kapsam + Ustalık</x:v>
      </x:c>
      <x:c r="G103" s="14" t="str">
        <x:v>Eşitsizlikler</x:v>
      </x:c>
      <x:c r="H103" s="14" t="str">
        <x:v>Video+Kitap</x:v>
      </x:c>
      <x:c r="I103" s="14" t="str">
        <x:v>Kaynak Tamamlama / Zayıf Konu</x:v>
      </x:c>
      <x:c r="J103" s="14" t="str">
        <x:v>Kaynak/Weak</x:v>
      </x:c>
      <x:c r="K103" s="14" t="str">
        <x:v>Din</x:v>
      </x:c>
      <x:c r="L103" s="14" t="str">
        <x:v>Kureyş Suresi</x:v>
      </x:c>
      <x:c r="M103" s="14" t="str">
        <x:v>Video+Kitap</x:v>
      </x:c>
      <x:c r="N103" s="14" t="str">
        <x:v>Kaynak Tamamlama</x:v>
      </x:c>
      <x:c r="O103" s="14" t="str">
        <x:v>13.04.2027: tüm zorunlu konu+kitap+MEB kapanışı</x:v>
      </x:c>
    </x:row>
    <x:row r="104">
      <x:c r="A104" s="15" t="n">
        <x:v>46398</x:v>
      </x:c>
      <x:c r="B104" s="14" t="n">
        <x:v>103</x:v>
      </x:c>
      <x:c r="C104" s="14" t="str">
        <x:v>Pazartesi</x:v>
      </x:c>
      <x:c r="D104" s="14" t="str">
        <x:v>Okul Günü</x:v>
      </x:c>
      <x:c r="E104" s="14" t="str">
        <x:v>16:00 sonrası</x:v>
      </x:c>
      <x:c r="F104" s="14" t="str">
        <x:v>F2 - LGS Kapsam + Ustalık</x:v>
      </x:c>
      <x:c r="G104" s="14" t="str">
        <x:v>Eşitsizlikler</x:v>
      </x:c>
      <x:c r="H104" s="14" t="str">
        <x:v>MEB Gate</x:v>
      </x:c>
      <x:c r="I104" s="14" t="str">
        <x:v>Kaynak Tamamlama / Zayıf Konu</x:v>
      </x:c>
      <x:c r="J104" s="14" t="str">
        <x:v>Kaynak/Weak</x:v>
      </x:c>
      <x:c r="K104" s="14" t="str">
        <x:v>İnkılap</x:v>
      </x:c>
      <x:c r="L104" s="14" t="str">
        <x:v>Millî Mücadele - Cepheler</x:v>
      </x:c>
      <x:c r="M104" s="14" t="str">
        <x:v>Video+Kitap</x:v>
      </x:c>
      <x:c r="N104" s="14" t="str"/>
      <x:c r="O104" s="14" t="str">
        <x:v>13.04.2027: tüm zorunlu konu+kitap+MEB kapanışı</x:v>
      </x:c>
    </x:row>
    <x:row r="105">
      <x:c r="A105" s="15" t="n">
        <x:v>46399</x:v>
      </x:c>
      <x:c r="B105" s="14" t="n">
        <x:v>104</x:v>
      </x:c>
      <x:c r="C105" s="14" t="str">
        <x:v>Salı</x:v>
      </x:c>
      <x:c r="D105" s="14" t="str">
        <x:v>Okul Günü</x:v>
      </x:c>
      <x:c r="E105" s="14" t="str">
        <x:v>16:00 sonrası</x:v>
      </x:c>
      <x:c r="F105" s="14" t="str">
        <x:v>F2 - LGS Kapsam + Ustalık</x:v>
      </x:c>
      <x:c r="G105" s="14" t="str">
        <x:v>Üçgenler</x:v>
      </x:c>
      <x:c r="H105" s="14" t="str">
        <x:v>Video+Kitap</x:v>
      </x:c>
      <x:c r="I105" s="14" t="str">
        <x:v>Kaynak Tamamlama / Zayıf Konu</x:v>
      </x:c>
      <x:c r="J105" s="14" t="str">
        <x:v>Kaynak/Weak</x:v>
      </x:c>
      <x:c r="K105" s="14" t="str">
        <x:v>İngilizce</x:v>
      </x:c>
      <x:c r="L105" s="14" t="str">
        <x:v>Unit 7 - Tourism</x:v>
      </x:c>
      <x:c r="M105" s="14" t="str">
        <x:v>Video+Kitap</x:v>
      </x:c>
      <x:c r="N105" s="14" t="str"/>
      <x:c r="O105" s="14" t="str">
        <x:v>13.04.2027: tüm zorunlu konu+kitap+MEB kapanışı</x:v>
      </x:c>
    </x:row>
    <x:row r="106">
      <x:c r="A106" s="15" t="n">
        <x:v>46400</x:v>
      </x:c>
      <x:c r="B106" s="14" t="n">
        <x:v>105</x:v>
      </x:c>
      <x:c r="C106" s="14" t="str">
        <x:v>Çarşamba</x:v>
      </x:c>
      <x:c r="D106" s="14" t="str">
        <x:v>Okul Günü</x:v>
      </x:c>
      <x:c r="E106" s="14" t="str">
        <x:v>16:00 sonrası</x:v>
      </x:c>
      <x:c r="F106" s="14" t="str">
        <x:v>F2 - LGS Kapsam + Ustalık</x:v>
      </x:c>
      <x:c r="G106" s="14" t="str">
        <x:v>Üçgenler</x:v>
      </x:c>
      <x:c r="H106" s="14" t="str">
        <x:v>Video+Kitap</x:v>
      </x:c>
      <x:c r="I106" s="14" t="str">
        <x:v>Kaynak Tamamlama / Zayıf Konu</x:v>
      </x:c>
      <x:c r="J106" s="14" t="str">
        <x:v>Kaynak/Weak</x:v>
      </x:c>
      <x:c r="K106" s="14" t="str">
        <x:v>Fen</x:v>
      </x:c>
      <x:c r="L106" s="14" t="str">
        <x:v>Basit Makineler - Makaralar</x:v>
      </x:c>
      <x:c r="M106" s="14" t="str">
        <x:v>MEB Gate</x:v>
      </x:c>
      <x:c r="N106" s="14" t="str"/>
      <x:c r="O106" s="14" t="str">
        <x:v>13.04.2027: tüm zorunlu konu+kitap+MEB kapanışı</x:v>
      </x:c>
    </x:row>
    <x:row r="107">
      <x:c r="A107" s="15" t="n">
        <x:v>46401</x:v>
      </x:c>
      <x:c r="B107" s="14" t="n">
        <x:v>106</x:v>
      </x:c>
      <x:c r="C107" s="14" t="str">
        <x:v>Perşembe</x:v>
      </x:c>
      <x:c r="D107" s="14" t="str">
        <x:v>Okul Günü</x:v>
      </x:c>
      <x:c r="E107" s="14" t="str">
        <x:v>16:00 sonrası</x:v>
      </x:c>
      <x:c r="F107" s="14" t="str">
        <x:v>F2 - LGS Kapsam + Ustalık</x:v>
      </x:c>
      <x:c r="G107" s="14" t="str">
        <x:v>Üçgenler</x:v>
      </x:c>
      <x:c r="H107" s="14" t="str">
        <x:v>Video+Kitap</x:v>
      </x:c>
      <x:c r="I107" s="14" t="str">
        <x:v>Kaynak Tamamlama / Zayıf Konu</x:v>
      </x:c>
      <x:c r="J107" s="14" t="str">
        <x:v>Kaynak/Weak</x:v>
      </x:c>
      <x:c r="K107" s="14" t="str">
        <x:v>Din</x:v>
      </x:c>
      <x:c r="L107" s="14" t="str">
        <x:v>Kureyş Suresi</x:v>
      </x:c>
      <x:c r="M107" s="14" t="str">
        <x:v>MEB Gate</x:v>
      </x:c>
      <x:c r="N107" s="14" t="str"/>
      <x:c r="O107" s="14" t="str">
        <x:v>13.04.2027: tüm zorunlu konu+kitap+MEB kapanışı</x:v>
      </x:c>
    </x:row>
    <x:row r="108">
      <x:c r="A108" s="15" t="n">
        <x:v>46402</x:v>
      </x:c>
      <x:c r="B108" s="14" t="n">
        <x:v>107</x:v>
      </x:c>
      <x:c r="C108" s="14" t="str">
        <x:v>Cuma</x:v>
      </x:c>
      <x:c r="D108" s="14" t="str">
        <x:v>Okul Günü</x:v>
      </x:c>
      <x:c r="E108" s="14" t="str">
        <x:v>16:00 sonrası</x:v>
      </x:c>
      <x:c r="F108" s="14" t="str">
        <x:v>F2 - LGS Kapsam + Ustalık</x:v>
      </x:c>
      <x:c r="G108" s="14" t="str">
        <x:v>Üçgenler</x:v>
      </x:c>
      <x:c r="H108" s="14" t="str">
        <x:v>Video+Kitap</x:v>
      </x:c>
      <x:c r="I108" s="14" t="str">
        <x:v>Kaynak Tamamlama / Zayıf Konu</x:v>
      </x:c>
      <x:c r="J108" s="14" t="str">
        <x:v>Kaynak/Weak</x:v>
      </x:c>
      <x:c r="K108" s="14" t="str">
        <x:v>İnkılap</x:v>
      </x:c>
      <x:c r="L108" s="14" t="str">
        <x:v>Millî Mücadele - Cepheler</x:v>
      </x:c>
      <x:c r="M108" s="14" t="str">
        <x:v>MEB Gate</x:v>
      </x:c>
      <x:c r="N108" s="14" t="str"/>
      <x:c r="O108" s="14" t="str">
        <x:v>13.04.2027: tüm zorunlu konu+kitap+MEB kapanışı</x:v>
      </x:c>
    </x:row>
    <x:row r="109">
      <x:c r="A109" s="15" t="n">
        <x:v>46403</x:v>
      </x:c>
      <x:c r="B109" s="14" t="n">
        <x:v>108</x:v>
      </x:c>
      <x:c r="C109" s="14" t="str">
        <x:v>Cumartesi</x:v>
      </x:c>
      <x:c r="D109" s="14" t="str">
        <x:v>Hafta Sonu</x:v>
      </x:c>
      <x:c r="E109" s="14" t="str">
        <x:v>Tam gün</x:v>
      </x:c>
      <x:c r="F109" s="14" t="str">
        <x:v>F2 - LGS Kapsam + Ustalık</x:v>
      </x:c>
      <x:c r="G109" s="14" t="str">
        <x:v>Üçgenler</x:v>
      </x:c>
      <x:c r="H109" s="14" t="str">
        <x:v>MEB Gate</x:v>
      </x:c>
      <x:c r="I109" s="14" t="str">
        <x:v>Kaynak Tamamlama / Zayıf Konu</x:v>
      </x:c>
      <x:c r="J109" s="14" t="str">
        <x:v>Kaynak/Weak</x:v>
      </x:c>
      <x:c r="K109" s="14" t="str">
        <x:v>İngilizce</x:v>
      </x:c>
      <x:c r="L109" s="14" t="str">
        <x:v>Unit 7 - Tourism</x:v>
      </x:c>
      <x:c r="M109" s="14" t="str">
        <x:v>Video+Kitap</x:v>
      </x:c>
      <x:c r="N109" s="14" t="str">
        <x:v>Ek Fen</x:v>
      </x:c>
      <x:c r="O109" s="14" t="str">
        <x:v>13.04.2027: tüm zorunlu konu+kitap+MEB kapanışı</x:v>
      </x:c>
    </x:row>
    <x:row r="110">
      <x:c r="A110" s="15" t="n">
        <x:v>46404</x:v>
      </x:c>
      <x:c r="B110" s="14" t="n">
        <x:v>109</x:v>
      </x:c>
      <x:c r="C110" s="14" t="str">
        <x:v>Pazar</x:v>
      </x:c>
      <x:c r="D110" s="14" t="str">
        <x:v>Hafta Sonu</x:v>
      </x:c>
      <x:c r="E110" s="14" t="str">
        <x:v>Tam gün</x:v>
      </x:c>
      <x:c r="F110" s="14" t="str">
        <x:v>F2 - LGS Kapsam + Ustalık</x:v>
      </x:c>
      <x:c r="G110" s="14" t="str">
        <x:v>Eşlik ve Benzerlik</x:v>
      </x:c>
      <x:c r="H110" s="14" t="str">
        <x:v>Video+Kitap</x:v>
      </x:c>
      <x:c r="I110" s="14" t="str">
        <x:v>Kaynak Tamamlama / Zayıf Konu</x:v>
      </x:c>
      <x:c r="J110" s="14" t="str">
        <x:v>Kaynak/Weak</x:v>
      </x:c>
      <x:c r="K110" s="14" t="str">
        <x:v>Fen</x:v>
      </x:c>
      <x:c r="L110" s="14" t="str">
        <x:v>Basit Makineler - Kaldıraçlar</x:v>
      </x:c>
      <x:c r="M110" s="14" t="str">
        <x:v>Video+Kitap</x:v>
      </x:c>
      <x:c r="N110" s="14" t="str">
        <x:v>Kaynak Tamamlama</x:v>
      </x:c>
      <x:c r="O110" s="14" t="str">
        <x:v>13.04.2027: tüm zorunlu konu+kitap+MEB kapanışı</x:v>
      </x:c>
    </x:row>
    <x:row r="111">
      <x:c r="A111" s="15" t="n">
        <x:v>46405</x:v>
      </x:c>
      <x:c r="B111" s="14" t="n">
        <x:v>110</x:v>
      </x:c>
      <x:c r="C111" s="14" t="str">
        <x:v>Pazartesi</x:v>
      </x:c>
      <x:c r="D111" s="14" t="str">
        <x:v>Okul Günü</x:v>
      </x:c>
      <x:c r="E111" s="14" t="str">
        <x:v>16:00 sonrası</x:v>
      </x:c>
      <x:c r="F111" s="14" t="str">
        <x:v>F2 - LGS Kapsam + Ustalık</x:v>
      </x:c>
      <x:c r="G111" s="14" t="str">
        <x:v>Eşlik ve Benzerlik</x:v>
      </x:c>
      <x:c r="H111" s="14" t="str">
        <x:v>Video+Kitap</x:v>
      </x:c>
      <x:c r="I111" s="14" t="str">
        <x:v>Kaynak Tamamlama / Zayıf Konu</x:v>
      </x:c>
      <x:c r="J111" s="14" t="str">
        <x:v>Kaynak/Weak</x:v>
      </x:c>
      <x:c r="K111" s="14" t="str">
        <x:v>Din</x:v>
      </x:c>
      <x:c r="L111" s="14" t="str">
        <x:v>Kur’an-ı Kerim ve Özellikleri</x:v>
      </x:c>
      <x:c r="M111" s="14" t="str">
        <x:v>Video+Kitap</x:v>
      </x:c>
      <x:c r="N111" s="14" t="str"/>
      <x:c r="O111" s="14" t="str">
        <x:v>13.04.2027: tüm zorunlu konu+kitap+MEB kapanışı</x:v>
      </x:c>
    </x:row>
    <x:row r="112">
      <x:c r="A112" s="15" t="n">
        <x:v>46406</x:v>
      </x:c>
      <x:c r="B112" s="14" t="n">
        <x:v>111</x:v>
      </x:c>
      <x:c r="C112" s="14" t="str">
        <x:v>Salı</x:v>
      </x:c>
      <x:c r="D112" s="14" t="str">
        <x:v>Okul Günü</x:v>
      </x:c>
      <x:c r="E112" s="14" t="str">
        <x:v>16:00 sonrası</x:v>
      </x:c>
      <x:c r="F112" s="14" t="str">
        <x:v>F2 - LGS Kapsam + Ustalık</x:v>
      </x:c>
      <x:c r="G112" s="14" t="str">
        <x:v>Eşlik ve Benzerlik</x:v>
      </x:c>
      <x:c r="H112" s="14" t="str">
        <x:v>Video+Kitap</x:v>
      </x:c>
      <x:c r="I112" s="14" t="str">
        <x:v>Kaynak Tamamlama / Zayıf Konu</x:v>
      </x:c>
      <x:c r="J112" s="14" t="str">
        <x:v>Kaynak/Weak</x:v>
      </x:c>
      <x:c r="K112" s="14" t="str">
        <x:v>İnkılap</x:v>
      </x:c>
      <x:c r="L112" s="14" t="str">
        <x:v>Atatürkçülük ve Çağdaşlaşan Türkiye</x:v>
      </x:c>
      <x:c r="M112" s="14" t="str">
        <x:v>Video+Kitap</x:v>
      </x:c>
      <x:c r="N112" s="14" t="str"/>
      <x:c r="O112" s="14" t="str">
        <x:v>13.04.2027: tüm zorunlu konu+kitap+MEB kapanışı</x:v>
      </x:c>
    </x:row>
    <x:row r="113">
      <x:c r="A113" s="15" t="n">
        <x:v>46407</x:v>
      </x:c>
      <x:c r="B113" s="14" t="n">
        <x:v>112</x:v>
      </x:c>
      <x:c r="C113" s="14" t="str">
        <x:v>Çarşamba</x:v>
      </x:c>
      <x:c r="D113" s="14" t="str">
        <x:v>Okul Günü</x:v>
      </x:c>
      <x:c r="E113" s="14" t="str">
        <x:v>16:00 sonrası</x:v>
      </x:c>
      <x:c r="F113" s="14" t="str">
        <x:v>F2 - LGS Kapsam + Ustalık</x:v>
      </x:c>
      <x:c r="G113" s="14" t="str">
        <x:v>Eşlik ve Benzerlik</x:v>
      </x:c>
      <x:c r="H113" s="14" t="str">
        <x:v>MEB Gate</x:v>
      </x:c>
      <x:c r="I113" s="14" t="str">
        <x:v>Kaynak Tamamlama / Zayıf Konu</x:v>
      </x:c>
      <x:c r="J113" s="14" t="str">
        <x:v>Kaynak/Weak</x:v>
      </x:c>
      <x:c r="K113" s="14" t="str">
        <x:v>İngilizce</x:v>
      </x:c>
      <x:c r="L113" s="14" t="str">
        <x:v>Unit 7 - Tourism</x:v>
      </x:c>
      <x:c r="M113" s="14" t="str">
        <x:v>MEB Gate</x:v>
      </x:c>
      <x:c r="N113" s="14" t="str"/>
      <x:c r="O113" s="14" t="str">
        <x:v>13.04.2027: tüm zorunlu konu+kitap+MEB kapanışı</x:v>
      </x:c>
    </x:row>
    <x:row r="114">
      <x:c r="A114" s="15" t="n">
        <x:v>46408</x:v>
      </x:c>
      <x:c r="B114" s="14" t="n">
        <x:v>113</x:v>
      </x:c>
      <x:c r="C114" s="14" t="str">
        <x:v>Perşembe</x:v>
      </x:c>
      <x:c r="D114" s="14" t="str">
        <x:v>Okul Günü</x:v>
      </x:c>
      <x:c r="E114" s="14" t="str">
        <x:v>16:00 sonrası</x:v>
      </x:c>
      <x:c r="F114" s="14" t="str">
        <x:v>F2 - LGS Kapsam + Ustalık</x:v>
      </x:c>
      <x:c r="G114" s="14" t="str">
        <x:v>Dönüşüm Geometrisi</x:v>
      </x:c>
      <x:c r="H114" s="14" t="str">
        <x:v>Video+Kitap</x:v>
      </x:c>
      <x:c r="I114" s="14" t="str">
        <x:v>Kaynak Tamamlama / Zayıf Konu</x:v>
      </x:c>
      <x:c r="J114" s="14" t="str">
        <x:v>Kaynak/Weak</x:v>
      </x:c>
      <x:c r="K114" s="14" t="str">
        <x:v>Fen</x:v>
      </x:c>
      <x:c r="L114" s="14" t="str">
        <x:v>Basit Makineler - Kaldıraçlar</x:v>
      </x:c>
      <x:c r="M114" s="14" t="str">
        <x:v>MEB Gate</x:v>
      </x:c>
      <x:c r="N114" s="14" t="str"/>
      <x:c r="O114" s="14" t="str">
        <x:v>13.04.2027: tüm zorunlu konu+kitap+MEB kapanışı</x:v>
      </x:c>
    </x:row>
    <x:row r="115">
      <x:c r="A115" s="15" t="n">
        <x:v>46409</x:v>
      </x:c>
      <x:c r="B115" s="14" t="n">
        <x:v>114</x:v>
      </x:c>
      <x:c r="C115" s="14" t="str">
        <x:v>Cuma</x:v>
      </x:c>
      <x:c r="D115" s="14" t="str">
        <x:v>Okul Günü</x:v>
      </x:c>
      <x:c r="E115" s="14" t="str">
        <x:v>16:00 sonrası</x:v>
      </x:c>
      <x:c r="F115" s="14" t="str">
        <x:v>F2 - LGS Kapsam + Ustalık</x:v>
      </x:c>
      <x:c r="G115" s="14" t="str">
        <x:v>Dönüşüm Geometrisi</x:v>
      </x:c>
      <x:c r="H115" s="14" t="str">
        <x:v>Video+Kitap</x:v>
      </x:c>
      <x:c r="I115" s="14" t="str">
        <x:v>Kaynak Tamamlama / Zayıf Konu</x:v>
      </x:c>
      <x:c r="J115" s="14" t="str">
        <x:v>Kaynak/Weak</x:v>
      </x:c>
      <x:c r="K115" s="14" t="str">
        <x:v>Din</x:v>
      </x:c>
      <x:c r="L115" s="14" t="str">
        <x:v>Kur’an-ı Kerim ve Özellikleri</x:v>
      </x:c>
      <x:c r="M115" s="14" t="str">
        <x:v>Video+Kitap</x:v>
      </x:c>
      <x:c r="N115" s="14" t="str"/>
      <x:c r="O115" s="14" t="str">
        <x:v>13.04.2027: tüm zorunlu konu+kitap+MEB kapanışı</x:v>
      </x:c>
    </x:row>
    <x:row r="116">
      <x:c r="A116" s="15" t="n">
        <x:v>46410</x:v>
      </x:c>
      <x:c r="B116" s="14" t="n">
        <x:v>115</x:v>
      </x:c>
      <x:c r="C116" s="14" t="str">
        <x:v>Cumartesi</x:v>
      </x:c>
      <x:c r="D116" s="14" t="str">
        <x:v>Hafta Sonu</x:v>
      </x:c>
      <x:c r="E116" s="14" t="str">
        <x:v>Tam gün</x:v>
      </x:c>
      <x:c r="F116" s="14" t="str">
        <x:v>F2 - LGS Kapsam + Ustalık</x:v>
      </x:c>
      <x:c r="G116" s="14" t="str">
        <x:v>Dönüşüm Geometrisi</x:v>
      </x:c>
      <x:c r="H116" s="14" t="str">
        <x:v>Video+Kitap</x:v>
      </x:c>
      <x:c r="I116" s="14" t="str">
        <x:v>Kaynak Tamamlama / Zayıf Konu</x:v>
      </x:c>
      <x:c r="J116" s="14" t="str">
        <x:v>Kaynak/Weak</x:v>
      </x:c>
      <x:c r="K116" s="14" t="str">
        <x:v>İnkılap</x:v>
      </x:c>
      <x:c r="L116" s="14" t="str">
        <x:v>Atatürkçülük ve Çağdaşlaşan Türkiye</x:v>
      </x:c>
      <x:c r="M116" s="14" t="str">
        <x:v>Video+Kitap</x:v>
      </x:c>
      <x:c r="N116" s="14" t="str">
        <x:v>Ek Fen</x:v>
      </x:c>
      <x:c r="O116" s="14" t="str">
        <x:v>13.04.2027: tüm zorunlu konu+kitap+MEB kapanışı</x:v>
      </x:c>
    </x:row>
    <x:row r="117">
      <x:c r="A117" s="15" t="n">
        <x:v>46411</x:v>
      </x:c>
      <x:c r="B117" s="14" t="n">
        <x:v>116</x:v>
      </x:c>
      <x:c r="C117" s="14" t="str">
        <x:v>Pazar</x:v>
      </x:c>
      <x:c r="D117" s="14" t="str">
        <x:v>Hafta Sonu</x:v>
      </x:c>
      <x:c r="E117" s="14" t="str">
        <x:v>Tam gün</x:v>
      </x:c>
      <x:c r="F117" s="14" t="str">
        <x:v>F2 - LGS Kapsam + Ustalık</x:v>
      </x:c>
      <x:c r="G117" s="14" t="str">
        <x:v>Dönüşüm Geometrisi</x:v>
      </x:c>
      <x:c r="H117" s="14" t="str">
        <x:v>MEB Gate</x:v>
      </x:c>
      <x:c r="I117" s="14" t="str">
        <x:v>Kaynak Tamamlama / Zayıf Konu</x:v>
      </x:c>
      <x:c r="J117" s="14" t="str">
        <x:v>Kaynak/Weak</x:v>
      </x:c>
      <x:c r="K117" s="14" t="str">
        <x:v>İngilizce</x:v>
      </x:c>
      <x:c r="L117" s="14" t="str">
        <x:v>Unit 8 - Chores</x:v>
      </x:c>
      <x:c r="M117" s="14" t="str">
        <x:v>Video+Kitap</x:v>
      </x:c>
      <x:c r="N117" s="14" t="str">
        <x:v>Kaynak Tamamlama</x:v>
      </x:c>
      <x:c r="O117" s="14" t="str">
        <x:v>13.04.2027: tüm zorunlu konu+kitap+MEB kapanışı</x:v>
      </x:c>
    </x:row>
    <x:row r="118">
      <x:c r="A118" s="15" t="n">
        <x:v>46412</x:v>
      </x:c>
      <x:c r="B118" s="14" t="n">
        <x:v>117</x:v>
      </x:c>
      <x:c r="C118" s="14" t="str">
        <x:v>Pazartesi</x:v>
      </x:c>
      <x:c r="D118" s="14" t="str">
        <x:v>Okul Tatili</x:v>
      </x:c>
      <x:c r="E118" s="14" t="str">
        <x:v>MEB Yarıyıl Tatili</x:v>
      </x:c>
      <x:c r="F118" s="14" t="str">
        <x:v>F2 - LGS Kapsam + Ustalık</x:v>
      </x:c>
      <x:c r="G118" s="14" t="str">
        <x:v>Geometrik Cisimler</x:v>
      </x:c>
      <x:c r="H118" s="14" t="str">
        <x:v>Video+Kitap</x:v>
      </x:c>
      <x:c r="I118" s="14" t="str">
        <x:v>Kaynak Tamamlama / Zayıf Konu</x:v>
      </x:c>
      <x:c r="J118" s="14" t="str">
        <x:v>Kaynak/Weak</x:v>
      </x:c>
      <x:c r="K118" s="14" t="str">
        <x:v>Fen</x:v>
      </x:c>
      <x:c r="L118" s="14" t="str">
        <x:v>Basit Makineler - Eğik Düzlem / Çıkrık</x:v>
      </x:c>
      <x:c r="M118" s="14" t="str">
        <x:v>Video+Kitap</x:v>
      </x:c>
      <x:c r="N118" s="14" t="str"/>
      <x:c r="O118" s="14" t="str">
        <x:v>13.04.2027: tüm zorunlu konu+kitap+MEB kapanışı</x:v>
      </x:c>
    </x:row>
    <x:row r="119">
      <x:c r="A119" s="15" t="n">
        <x:v>46413</x:v>
      </x:c>
      <x:c r="B119" s="14" t="n">
        <x:v>118</x:v>
      </x:c>
      <x:c r="C119" s="14" t="str">
        <x:v>Salı</x:v>
      </x:c>
      <x:c r="D119" s="14" t="str">
        <x:v>Okul Tatili</x:v>
      </x:c>
      <x:c r="E119" s="14" t="str">
        <x:v>MEB Yarıyıl Tatili</x:v>
      </x:c>
      <x:c r="F119" s="14" t="str">
        <x:v>F2 - LGS Kapsam + Ustalık</x:v>
      </x:c>
      <x:c r="G119" s="14" t="str">
        <x:v>Geometrik Cisimler</x:v>
      </x:c>
      <x:c r="H119" s="14" t="str">
        <x:v>Video+Kitap</x:v>
      </x:c>
      <x:c r="I119" s="14" t="str">
        <x:v>Kaynak Tamamlama / Zayıf Konu</x:v>
      </x:c>
      <x:c r="J119" s="14" t="str">
        <x:v>Kaynak/Weak</x:v>
      </x:c>
      <x:c r="K119" s="14" t="str">
        <x:v>Din</x:v>
      </x:c>
      <x:c r="L119" s="14" t="str">
        <x:v>Kur’an-ı Kerim ve Özellikleri</x:v>
      </x:c>
      <x:c r="M119" s="14" t="str">
        <x:v>MEB Gate</x:v>
      </x:c>
      <x:c r="N119" s="14" t="str"/>
      <x:c r="O119" s="14" t="str">
        <x:v>13.04.2027: tüm zorunlu konu+kitap+MEB kapanışı</x:v>
      </x:c>
    </x:row>
    <x:row r="120">
      <x:c r="A120" s="15" t="n">
        <x:v>46414</x:v>
      </x:c>
      <x:c r="B120" s="14" t="n">
        <x:v>119</x:v>
      </x:c>
      <x:c r="C120" s="14" t="str">
        <x:v>Çarşamba</x:v>
      </x:c>
      <x:c r="D120" s="14" t="str">
        <x:v>Okul Tatili</x:v>
      </x:c>
      <x:c r="E120" s="14" t="str">
        <x:v>MEB Yarıyıl Tatili</x:v>
      </x:c>
      <x:c r="F120" s="14" t="str">
        <x:v>F2 - LGS Kapsam + Ustalık</x:v>
      </x:c>
      <x:c r="G120" s="14" t="str">
        <x:v>Geometrik Cisimler</x:v>
      </x:c>
      <x:c r="H120" s="14" t="str">
        <x:v>Video+Kitap</x:v>
      </x:c>
      <x:c r="I120" s="14" t="str">
        <x:v>Kaynak Tamamlama / Zayıf Konu</x:v>
      </x:c>
      <x:c r="J120" s="14" t="str">
        <x:v>Kaynak/Weak</x:v>
      </x:c>
      <x:c r="K120" s="14" t="str">
        <x:v>İnkılap</x:v>
      </x:c>
      <x:c r="L120" s="14" t="str">
        <x:v>Atatürkçülük ve Çağdaşlaşan Türkiye</x:v>
      </x:c>
      <x:c r="M120" s="14" t="str">
        <x:v>Video+Kitap</x:v>
      </x:c>
      <x:c r="N120" s="14" t="str"/>
      <x:c r="O120" s="14" t="str">
        <x:v>13.04.2027: tüm zorunlu konu+kitap+MEB kapanışı</x:v>
      </x:c>
    </x:row>
    <x:row r="121">
      <x:c r="A121" s="15" t="n">
        <x:v>46415</x:v>
      </x:c>
      <x:c r="B121" s="14" t="n">
        <x:v>120</x:v>
      </x:c>
      <x:c r="C121" s="14" t="str">
        <x:v>Perşembe</x:v>
      </x:c>
      <x:c r="D121" s="14" t="str">
        <x:v>Okul Tatili</x:v>
      </x:c>
      <x:c r="E121" s="14" t="str">
        <x:v>MEB Yarıyıl Tatili</x:v>
      </x:c>
      <x:c r="F121" s="14" t="str">
        <x:v>F2 - LGS Kapsam + Ustalık</x:v>
      </x:c>
      <x:c r="G121" s="14" t="str">
        <x:v>Geometrik Cisimler</x:v>
      </x:c>
      <x:c r="H121" s="14" t="str">
        <x:v>Video+Kitap</x:v>
      </x:c>
      <x:c r="I121" s="14" t="str">
        <x:v>Kaynak Tamamlama / Zayıf Konu</x:v>
      </x:c>
      <x:c r="J121" s="14" t="str">
        <x:v>Kaynak/Weak</x:v>
      </x:c>
      <x:c r="K121" s="14" t="str">
        <x:v>İngilizce</x:v>
      </x:c>
      <x:c r="L121" s="14" t="str">
        <x:v>Unit 8 - Chores</x:v>
      </x:c>
      <x:c r="M121" s="14" t="str">
        <x:v>Video+Kitap</x:v>
      </x:c>
      <x:c r="N121" s="14" t="str"/>
      <x:c r="O121" s="14" t="str">
        <x:v>13.04.2027: tüm zorunlu konu+kitap+MEB kapanışı</x:v>
      </x:c>
    </x:row>
    <x:row r="122">
      <x:c r="A122" s="15" t="n">
        <x:v>46416</x:v>
      </x:c>
      <x:c r="B122" s="14" t="n">
        <x:v>121</x:v>
      </x:c>
      <x:c r="C122" s="14" t="str">
        <x:v>Cuma</x:v>
      </x:c>
      <x:c r="D122" s="14" t="str">
        <x:v>Okul Tatili</x:v>
      </x:c>
      <x:c r="E122" s="14" t="str">
        <x:v>MEB Yarıyıl Tatili</x:v>
      </x:c>
      <x:c r="F122" s="14" t="str">
        <x:v>F2 - LGS Kapsam + Ustalık</x:v>
      </x:c>
      <x:c r="G122" s="14" t="str">
        <x:v>Geometrik Cisimler</x:v>
      </x:c>
      <x:c r="H122" s="14" t="str">
        <x:v>MEB Gate</x:v>
      </x:c>
      <x:c r="I122" s="14" t="str">
        <x:v>Kaynak Tamamlama / Zayıf Konu</x:v>
      </x:c>
      <x:c r="J122" s="14" t="str">
        <x:v>Kaynak/Weak</x:v>
      </x:c>
      <x:c r="K122" s="14" t="str">
        <x:v>Fen</x:v>
      </x:c>
      <x:c r="L122" s="14" t="str">
        <x:v>Basit Makineler - Eğik Düzlem / Çıkrık</x:v>
      </x:c>
      <x:c r="M122" s="14" t="str">
        <x:v>MEB Gate</x:v>
      </x:c>
      <x:c r="N122" s="14" t="str"/>
      <x:c r="O122" s="14" t="str">
        <x:v>13.04.2027: tüm zorunlu konu+kitap+MEB kapanışı</x:v>
      </x:c>
    </x:row>
    <x:row r="123">
      <x:c r="A123" s="15" t="n">
        <x:v>46417</x:v>
      </x:c>
      <x:c r="B123" s="14" t="n">
        <x:v>122</x:v>
      </x:c>
      <x:c r="C123" s="14" t="str">
        <x:v>Cumartesi</x:v>
      </x:c>
      <x:c r="D123" s="14" t="str">
        <x:v>Hafta Sonu</x:v>
      </x:c>
      <x:c r="E123" s="14" t="str">
        <x:v>Tam gün</x:v>
      </x:c>
      <x:c r="F123" s="14" t="str">
        <x:v>F2 - LGS Kapsam + Ustalık</x:v>
      </x:c>
      <x:c r="G123" s="14" t="str">
        <x:v>Kaynak Tamamlama / Zayıf Konu</x:v>
      </x:c>
      <x:c r="H123" s="14" t="str">
        <x:v>Kaynak/Weak</x:v>
      </x:c>
      <x:c r="I123" s="14" t="str">
        <x:v>Kaynak Tamamlama / Zayıf Konu</x:v>
      </x:c>
      <x:c r="J123" s="14" t="str">
        <x:v>Kaynak/Weak</x:v>
      </x:c>
      <x:c r="K123" s="14" t="str">
        <x:v>Din</x:v>
      </x:c>
      <x:c r="L123" s="14" t="str">
        <x:v>İslam Dininin Temel Kaynakları ve Ana Konular</x:v>
      </x:c>
      <x:c r="M123" s="14" t="str">
        <x:v>Video+Kitap</x:v>
      </x:c>
      <x:c r="N123" s="14" t="str">
        <x:v>Ek Fen</x:v>
      </x:c>
      <x:c r="O123" s="14" t="str">
        <x:v>13.04.2027: tüm zorunlu konu+kitap+MEB kapanışı</x:v>
      </x:c>
    </x:row>
    <x:row r="124">
      <x:c r="A124" s="15" t="n">
        <x:v>46418</x:v>
      </x:c>
      <x:c r="B124" s="14" t="n">
        <x:v>123</x:v>
      </x:c>
      <x:c r="C124" s="14" t="str">
        <x:v>Pazar</x:v>
      </x:c>
      <x:c r="D124" s="14" t="str">
        <x:v>Hafta Sonu</x:v>
      </x:c>
      <x:c r="E124" s="14" t="str">
        <x:v>Tam gün</x:v>
      </x:c>
      <x:c r="F124" s="14" t="str">
        <x:v>F2 - LGS Kapsam + Ustalık</x:v>
      </x:c>
      <x:c r="G124" s="14" t="str">
        <x:v>Kaynak Tamamlama / Zayıf Konu</x:v>
      </x:c>
      <x:c r="H124" s="14" t="str">
        <x:v>Kaynak/Weak</x:v>
      </x:c>
      <x:c r="I124" s="14" t="str">
        <x:v>Kaynak Tamamlama / Zayıf Konu</x:v>
      </x:c>
      <x:c r="J124" s="14" t="str">
        <x:v>Kaynak/Weak</x:v>
      </x:c>
      <x:c r="K124" s="14" t="str">
        <x:v>İnkılap</x:v>
      </x:c>
      <x:c r="L124" s="14" t="str">
        <x:v>Atatürkçülük ve Çağdaşlaşan Türkiye</x:v>
      </x:c>
      <x:c r="M124" s="14" t="str">
        <x:v>MEB Gate</x:v>
      </x:c>
      <x:c r="N124" s="14" t="str">
        <x:v>Kaynak Tamamlama</x:v>
      </x:c>
      <x:c r="O124" s="14" t="str">
        <x:v>13.04.2027: tüm zorunlu konu+kitap+MEB kapanışı</x:v>
      </x:c>
    </x:row>
    <x:row r="125">
      <x:c r="A125" s="15" t="n">
        <x:v>46419</x:v>
      </x:c>
      <x:c r="B125" s="14" t="n">
        <x:v>124</x:v>
      </x:c>
      <x:c r="C125" s="14" t="str">
        <x:v>Pazartesi</x:v>
      </x:c>
      <x:c r="D125" s="14" t="str">
        <x:v>Okul Tatili</x:v>
      </x:c>
      <x:c r="E125" s="14" t="str">
        <x:v>MEB Yarıyıl Tatili</x:v>
      </x:c>
      <x:c r="F125" s="14" t="str">
        <x:v>F2 - LGS Kapsam + Ustalık</x:v>
      </x:c>
      <x:c r="G125" s="14" t="str">
        <x:v>Kaynak Tamamlama / Zayıf Konu</x:v>
      </x:c>
      <x:c r="H125" s="14" t="str">
        <x:v>Kaynak/Weak</x:v>
      </x:c>
      <x:c r="I125" s="14" t="str">
        <x:v>Kaynak Tamamlama / Zayıf Konu</x:v>
      </x:c>
      <x:c r="J125" s="14" t="str">
        <x:v>Kaynak/Weak</x:v>
      </x:c>
      <x:c r="K125" s="14" t="str">
        <x:v>İngilizce</x:v>
      </x:c>
      <x:c r="L125" s="14" t="str">
        <x:v>Unit 8 - Chores</x:v>
      </x:c>
      <x:c r="M125" s="14" t="str">
        <x:v>Video+Kitap</x:v>
      </x:c>
      <x:c r="N125" s="14" t="str"/>
      <x:c r="O125" s="14" t="str">
        <x:v>13.04.2027: tüm zorunlu konu+kitap+MEB kapanışı</x:v>
      </x:c>
    </x:row>
    <x:row r="126">
      <x:c r="A126" s="15" t="n">
        <x:v>46420</x:v>
      </x:c>
      <x:c r="B126" s="14" t="n">
        <x:v>125</x:v>
      </x:c>
      <x:c r="C126" s="14" t="str">
        <x:v>Salı</x:v>
      </x:c>
      <x:c r="D126" s="14" t="str">
        <x:v>Okul Tatili</x:v>
      </x:c>
      <x:c r="E126" s="14" t="str">
        <x:v>MEB Yarıyıl Tatili</x:v>
      </x:c>
      <x:c r="F126" s="14" t="str">
        <x:v>F2 - LGS Kapsam + Ustalık</x:v>
      </x:c>
      <x:c r="G126" s="14" t="str">
        <x:v>Kaynak Tamamlama / Zayıf Konu</x:v>
      </x:c>
      <x:c r="H126" s="14" t="str">
        <x:v>Kaynak/Weak</x:v>
      </x:c>
      <x:c r="I126" s="14" t="str">
        <x:v>Kaynak Tamamlama / Zayıf Konu</x:v>
      </x:c>
      <x:c r="J126" s="14" t="str">
        <x:v>Kaynak/Weak</x:v>
      </x:c>
      <x:c r="K126" s="14" t="str">
        <x:v>Fen</x:v>
      </x:c>
      <x:c r="L126" s="14" t="str">
        <x:v>Besin Zinciri ve Enerji Akışı</x:v>
      </x:c>
      <x:c r="M126" s="14" t="str">
        <x:v>Video+Kitap</x:v>
      </x:c>
      <x:c r="N126" s="14" t="str"/>
      <x:c r="O126" s="14" t="str">
        <x:v>13.04.2027: tüm zorunlu konu+kitap+MEB kapanışı</x:v>
      </x:c>
    </x:row>
    <x:row r="127">
      <x:c r="A127" s="15" t="n">
        <x:v>46421</x:v>
      </x:c>
      <x:c r="B127" s="14" t="n">
        <x:v>126</x:v>
      </x:c>
      <x:c r="C127" s="14" t="str">
        <x:v>Çarşamba</x:v>
      </x:c>
      <x:c r="D127" s="14" t="str">
        <x:v>Okul Tatili</x:v>
      </x:c>
      <x:c r="E127" s="14" t="str">
        <x:v>MEB Yarıyıl Tatili</x:v>
      </x:c>
      <x:c r="F127" s="14" t="str">
        <x:v>F2 - LGS Kapsam + Ustalık</x:v>
      </x:c>
      <x:c r="G127" s="14" t="str">
        <x:v>Kaynak Tamamlama / Zayıf Konu</x:v>
      </x:c>
      <x:c r="H127" s="14" t="str">
        <x:v>Kaynak/Weak</x:v>
      </x:c>
      <x:c r="I127" s="14" t="str">
        <x:v>Kaynak Tamamlama / Zayıf Konu</x:v>
      </x:c>
      <x:c r="J127" s="14" t="str">
        <x:v>Kaynak/Weak</x:v>
      </x:c>
      <x:c r="K127" s="14" t="str">
        <x:v>Din</x:v>
      </x:c>
      <x:c r="L127" s="14" t="str">
        <x:v>İslam Dininin Temel Kaynakları ve Ana Konular</x:v>
      </x:c>
      <x:c r="M127" s="14" t="str">
        <x:v>Video+Kitap</x:v>
      </x:c>
      <x:c r="N127" s="14" t="str"/>
      <x:c r="O127" s="14" t="str">
        <x:v>13.04.2027: tüm zorunlu konu+kitap+MEB kapanışı</x:v>
      </x:c>
    </x:row>
    <x:row r="128">
      <x:c r="A128" s="15" t="n">
        <x:v>46422</x:v>
      </x:c>
      <x:c r="B128" s="14" t="n">
        <x:v>127</x:v>
      </x:c>
      <x:c r="C128" s="14" t="str">
        <x:v>Perşembe</x:v>
      </x:c>
      <x:c r="D128" s="14" t="str">
        <x:v>Okul Tatili</x:v>
      </x:c>
      <x:c r="E128" s="14" t="str">
        <x:v>MEB Yarıyıl Tatili</x:v>
      </x:c>
      <x:c r="F128" s="14" t="str">
        <x:v>F2 - LGS Kapsam + Ustalık</x:v>
      </x:c>
      <x:c r="G128" s="14" t="str">
        <x:v>Kaynak Tamamlama / Zayıf Konu</x:v>
      </x:c>
      <x:c r="H128" s="14" t="str">
        <x:v>Kaynak/Weak</x:v>
      </x:c>
      <x:c r="I128" s="14" t="str">
        <x:v>Kaynak Tamamlama / Zayıf Konu</x:v>
      </x:c>
      <x:c r="J128" s="14" t="str">
        <x:v>Kaynak/Weak</x:v>
      </x:c>
      <x:c r="K128" s="14" t="str">
        <x:v>İnkılap</x:v>
      </x:c>
      <x:c r="L128" s="14" t="str">
        <x:v>Demokratikleşme Çabaları</x:v>
      </x:c>
      <x:c r="M128" s="14" t="str">
        <x:v>Video+Kitap</x:v>
      </x:c>
      <x:c r="N128" s="14" t="str"/>
      <x:c r="O128" s="14" t="str">
        <x:v>13.04.2027: tüm zorunlu konu+kitap+MEB kapanışı</x:v>
      </x:c>
    </x:row>
    <x:row r="129">
      <x:c r="A129" s="15" t="n">
        <x:v>46423</x:v>
      </x:c>
      <x:c r="B129" s="14" t="n">
        <x:v>128</x:v>
      </x:c>
      <x:c r="C129" s="14" t="str">
        <x:v>Cuma</x:v>
      </x:c>
      <x:c r="D129" s="14" t="str">
        <x:v>Okul Tatili</x:v>
      </x:c>
      <x:c r="E129" s="14" t="str">
        <x:v>MEB Yarıyıl Tatili</x:v>
      </x:c>
      <x:c r="F129" s="14" t="str">
        <x:v>F2 - LGS Kapsam + Ustalık</x:v>
      </x:c>
      <x:c r="G129" s="14" t="str">
        <x:v>Kaynak Tamamlama / Zayıf Konu</x:v>
      </x:c>
      <x:c r="H129" s="14" t="str">
        <x:v>Kaynak/Weak</x:v>
      </x:c>
      <x:c r="I129" s="14" t="str">
        <x:v>Kaynak Tamamlama / Zayıf Konu</x:v>
      </x:c>
      <x:c r="J129" s="14" t="str">
        <x:v>Kaynak/Weak</x:v>
      </x:c>
      <x:c r="K129" s="14" t="str">
        <x:v>İngilizce</x:v>
      </x:c>
      <x:c r="L129" s="14" t="str">
        <x:v>Unit 8 - Chores</x:v>
      </x:c>
      <x:c r="M129" s="14" t="str">
        <x:v>MEB Gate</x:v>
      </x:c>
      <x:c r="N129" s="14" t="str"/>
      <x:c r="O129" s="14" t="str">
        <x:v>13.04.2027: tüm zorunlu konu+kitap+MEB kapanışı</x:v>
      </x:c>
    </x:row>
    <x:row r="130">
      <x:c r="A130" s="15" t="n">
        <x:v>46424</x:v>
      </x:c>
      <x:c r="B130" s="14" t="n">
        <x:v>129</x:v>
      </x:c>
      <x:c r="C130" s="14" t="str">
        <x:v>Cumartesi</x:v>
      </x:c>
      <x:c r="D130" s="14" t="str">
        <x:v>Hafta Sonu</x:v>
      </x:c>
      <x:c r="E130" s="14" t="str">
        <x:v>Tam gün</x:v>
      </x:c>
      <x:c r="F130" s="14" t="str">
        <x:v>F2 - LGS Kapsam + Ustalık</x:v>
      </x:c>
      <x:c r="G130" s="14" t="str">
        <x:v>Kaynak Tamamlama / Zayıf Konu</x:v>
      </x:c>
      <x:c r="H130" s="14" t="str">
        <x:v>Kaynak/Weak</x:v>
      </x:c>
      <x:c r="I130" s="14" t="str">
        <x:v>Kaynak Tamamlama / Zayıf Konu</x:v>
      </x:c>
      <x:c r="J130" s="14" t="str">
        <x:v>Kaynak/Weak</x:v>
      </x:c>
      <x:c r="K130" s="14" t="str">
        <x:v>Fen</x:v>
      </x:c>
      <x:c r="L130" s="14" t="str">
        <x:v>Besin Zinciri ve Enerji Akışı</x:v>
      </x:c>
      <x:c r="M130" s="14" t="str">
        <x:v>MEB Gate</x:v>
      </x:c>
      <x:c r="N130" s="14" t="str">
        <x:v>Ek Fen</x:v>
      </x:c>
      <x:c r="O130" s="14" t="str">
        <x:v>13.04.2027: tüm zorunlu konu+kitap+MEB kapanışı</x:v>
      </x:c>
    </x:row>
    <x:row r="131">
      <x:c r="A131" s="15" t="n">
        <x:v>46425</x:v>
      </x:c>
      <x:c r="B131" s="14" t="n">
        <x:v>130</x:v>
      </x:c>
      <x:c r="C131" s="14" t="str">
        <x:v>Pazar</x:v>
      </x:c>
      <x:c r="D131" s="14" t="str">
        <x:v>Hafta Sonu</x:v>
      </x:c>
      <x:c r="E131" s="14" t="str">
        <x:v>Tam gün</x:v>
      </x:c>
      <x:c r="F131" s="14" t="str">
        <x:v>F2 - LGS Kapsam + Ustalık</x:v>
      </x:c>
      <x:c r="G131" s="14" t="str">
        <x:v>Kaynak Tamamlama / Zayıf Konu</x:v>
      </x:c>
      <x:c r="H131" s="14" t="str">
        <x:v>Kaynak/Weak</x:v>
      </x:c>
      <x:c r="I131" s="14" t="str">
        <x:v>Kaynak Tamamlama / Zayıf Konu</x:v>
      </x:c>
      <x:c r="J131" s="14" t="str">
        <x:v>Kaynak/Weak</x:v>
      </x:c>
      <x:c r="K131" s="14" t="str">
        <x:v>Din</x:v>
      </x:c>
      <x:c r="L131" s="14" t="str">
        <x:v>İslam Dininin Temel Kaynakları ve Ana Konular</x:v>
      </x:c>
      <x:c r="M131" s="14" t="str">
        <x:v>MEB Gate</x:v>
      </x:c>
      <x:c r="N131" s="14" t="str">
        <x:v>Kaynak Tamamlama</x:v>
      </x:c>
      <x:c r="O131" s="14" t="str">
        <x:v>13.04.2027: tüm zorunlu konu+kitap+MEB kapanışı</x:v>
      </x:c>
    </x:row>
    <x:row r="132">
      <x:c r="A132" s="15" t="n">
        <x:v>46426</x:v>
      </x:c>
      <x:c r="B132" s="14" t="n">
        <x:v>131</x:v>
      </x:c>
      <x:c r="C132" s="14" t="str">
        <x:v>Pazartesi</x:v>
      </x:c>
      <x:c r="D132" s="14" t="str">
        <x:v>Okul Günü</x:v>
      </x:c>
      <x:c r="E132" s="14" t="str">
        <x:v>16:00 sonrası</x:v>
      </x:c>
      <x:c r="F132" s="14" t="str">
        <x:v>F2 - LGS Kapsam + Ustalık</x:v>
      </x:c>
      <x:c r="G132" s="14" t="str">
        <x:v>Kaynak Tamamlama / Zayıf Konu</x:v>
      </x:c>
      <x:c r="H132" s="14" t="str">
        <x:v>Kaynak/Weak</x:v>
      </x:c>
      <x:c r="I132" s="14" t="str">
        <x:v>Kaynak Tamamlama / Zayıf Konu</x:v>
      </x:c>
      <x:c r="J132" s="14" t="str">
        <x:v>Kaynak/Weak</x:v>
      </x:c>
      <x:c r="K132" s="14" t="str">
        <x:v>İnkılap</x:v>
      </x:c>
      <x:c r="L132" s="14" t="str">
        <x:v>Demokratikleşme Çabaları</x:v>
      </x:c>
      <x:c r="M132" s="14" t="str">
        <x:v>Video+Kitap</x:v>
      </x:c>
      <x:c r="N132" s="14" t="str"/>
      <x:c r="O132" s="14" t="str">
        <x:v>13.04.2027: tüm zorunlu konu+kitap+MEB kapanışı</x:v>
      </x:c>
    </x:row>
    <x:row r="133">
      <x:c r="A133" s="15" t="n">
        <x:v>46427</x:v>
      </x:c>
      <x:c r="B133" s="14" t="n">
        <x:v>132</x:v>
      </x:c>
      <x:c r="C133" s="14" t="str">
        <x:v>Salı</x:v>
      </x:c>
      <x:c r="D133" s="14" t="str">
        <x:v>Okul Günü</x:v>
      </x:c>
      <x:c r="E133" s="14" t="str">
        <x:v>16:00 sonrası</x:v>
      </x:c>
      <x:c r="F133" s="14" t="str">
        <x:v>F2 - LGS Kapsam + Ustalık</x:v>
      </x:c>
      <x:c r="G133" s="14" t="str">
        <x:v>Kaynak Tamamlama / Zayıf Konu</x:v>
      </x:c>
      <x:c r="H133" s="14" t="str">
        <x:v>Kaynak/Weak</x:v>
      </x:c>
      <x:c r="I133" s="14" t="str">
        <x:v>Kaynak Tamamlama / Zayıf Konu</x:v>
      </x:c>
      <x:c r="J133" s="14" t="str">
        <x:v>Kaynak/Weak</x:v>
      </x:c>
      <x:c r="K133" s="14" t="str">
        <x:v>İngilizce</x:v>
      </x:c>
      <x:c r="L133" s="14" t="str">
        <x:v>Unit 9 - Science</x:v>
      </x:c>
      <x:c r="M133" s="14" t="str">
        <x:v>Video+Kitap</x:v>
      </x:c>
      <x:c r="N133" s="14" t="str"/>
      <x:c r="O133" s="14" t="str">
        <x:v>13.04.2027: tüm zorunlu konu+kitap+MEB kapanışı</x:v>
      </x:c>
    </x:row>
    <x:row r="134">
      <x:c r="A134" s="15" t="n">
        <x:v>46428</x:v>
      </x:c>
      <x:c r="B134" s="14" t="n">
        <x:v>133</x:v>
      </x:c>
      <x:c r="C134" s="14" t="str">
        <x:v>Çarşamba</x:v>
      </x:c>
      <x:c r="D134" s="14" t="str">
        <x:v>Okul Günü</x:v>
      </x:c>
      <x:c r="E134" s="14" t="str">
        <x:v>16:00 sonrası</x:v>
      </x:c>
      <x:c r="F134" s="14" t="str">
        <x:v>F2 - LGS Kapsam + Ustalık</x:v>
      </x:c>
      <x:c r="G134" s="14" t="str">
        <x:v>Kaynak Tamamlama / Zayıf Konu</x:v>
      </x:c>
      <x:c r="H134" s="14" t="str">
        <x:v>Kaynak/Weak</x:v>
      </x:c>
      <x:c r="I134" s="14" t="str">
        <x:v>Kaynak Tamamlama / Zayıf Konu</x:v>
      </x:c>
      <x:c r="J134" s="14" t="str">
        <x:v>Kaynak/Weak</x:v>
      </x:c>
      <x:c r="K134" s="14" t="str">
        <x:v>Fen</x:v>
      </x:c>
      <x:c r="L134" s="14" t="str">
        <x:v>Fotosentez</x:v>
      </x:c>
      <x:c r="M134" s="14" t="str">
        <x:v>Video+Kitap</x:v>
      </x:c>
      <x:c r="N134" s="14" t="str"/>
      <x:c r="O134" s="14" t="str">
        <x:v>13.04.2027: tüm zorunlu konu+kitap+MEB kapanışı</x:v>
      </x:c>
    </x:row>
    <x:row r="135">
      <x:c r="A135" s="15" t="n">
        <x:v>46429</x:v>
      </x:c>
      <x:c r="B135" s="14" t="n">
        <x:v>134</x:v>
      </x:c>
      <x:c r="C135" s="14" t="str">
        <x:v>Perşembe</x:v>
      </x:c>
      <x:c r="D135" s="14" t="str">
        <x:v>Okul Günü</x:v>
      </x:c>
      <x:c r="E135" s="14" t="str">
        <x:v>16:00 sonrası</x:v>
      </x:c>
      <x:c r="F135" s="14" t="str">
        <x:v>F2 - LGS Kapsam + Ustalık</x:v>
      </x:c>
      <x:c r="G135" s="14" t="str">
        <x:v>Kaynak Tamamlama / Zayıf Konu</x:v>
      </x:c>
      <x:c r="H135" s="14" t="str">
        <x:v>Kaynak/Weak</x:v>
      </x:c>
      <x:c r="I135" s="14" t="str">
        <x:v>Kaynak Tamamlama / Zayıf Konu</x:v>
      </x:c>
      <x:c r="J135" s="14" t="str">
        <x:v>Kaynak/Weak</x:v>
      </x:c>
      <x:c r="K135" s="14" t="str">
        <x:v>Din</x:v>
      </x:c>
      <x:c r="L135" s="14" t="str">
        <x:v>Kaynak Tamamlama / Zayıf Konu</x:v>
      </x:c>
      <x:c r="M135" s="14" t="str">
        <x:v>Kaynak/Weak</x:v>
      </x:c>
      <x:c r="N135" s="14" t="str"/>
      <x:c r="O135" s="14" t="str">
        <x:v>13.04.2027: tüm zorunlu konu+kitap+MEB kapanışı</x:v>
      </x:c>
    </x:row>
    <x:row r="136">
      <x:c r="A136" s="15" t="n">
        <x:v>46430</x:v>
      </x:c>
      <x:c r="B136" s="14" t="n">
        <x:v>135</x:v>
      </x:c>
      <x:c r="C136" s="14" t="str">
        <x:v>Cuma</x:v>
      </x:c>
      <x:c r="D136" s="14" t="str">
        <x:v>Okul Günü</x:v>
      </x:c>
      <x:c r="E136" s="14" t="str">
        <x:v>16:00 sonrası</x:v>
      </x:c>
      <x:c r="F136" s="14" t="str">
        <x:v>F2 - LGS Kapsam + Ustalık</x:v>
      </x:c>
      <x:c r="G136" s="14" t="str">
        <x:v>Kaynak Tamamlama / Zayıf Konu</x:v>
      </x:c>
      <x:c r="H136" s="14" t="str">
        <x:v>Kaynak/Weak</x:v>
      </x:c>
      <x:c r="I136" s="14" t="str">
        <x:v>Kaynak Tamamlama / Zayıf Konu</x:v>
      </x:c>
      <x:c r="J136" s="14" t="str">
        <x:v>Kaynak/Weak</x:v>
      </x:c>
      <x:c r="K136" s="14" t="str">
        <x:v>İnkılap</x:v>
      </x:c>
      <x:c r="L136" s="14" t="str">
        <x:v>Demokratikleşme Çabaları</x:v>
      </x:c>
      <x:c r="M136" s="14" t="str">
        <x:v>MEB Gate</x:v>
      </x:c>
      <x:c r="N136" s="14" t="str"/>
      <x:c r="O136" s="14" t="str">
        <x:v>13.04.2027: tüm zorunlu konu+kitap+MEB kapanışı</x:v>
      </x:c>
    </x:row>
    <x:row r="137">
      <x:c r="A137" s="15" t="n">
        <x:v>46431</x:v>
      </x:c>
      <x:c r="B137" s="14" t="n">
        <x:v>136</x:v>
      </x:c>
      <x:c r="C137" s="14" t="str">
        <x:v>Cumartesi</x:v>
      </x:c>
      <x:c r="D137" s="14" t="str">
        <x:v>Hafta Sonu</x:v>
      </x:c>
      <x:c r="E137" s="14" t="str">
        <x:v>Tam gün</x:v>
      </x:c>
      <x:c r="F137" s="14" t="str">
        <x:v>F2 - LGS Kapsam + Ustalık</x:v>
      </x:c>
      <x:c r="G137" s="14" t="str">
        <x:v>Kaynak Tamamlama / Zayıf Konu</x:v>
      </x:c>
      <x:c r="H137" s="14" t="str">
        <x:v>Kaynak/Weak</x:v>
      </x:c>
      <x:c r="I137" s="14" t="str">
        <x:v>Kaynak Tamamlama / Zayıf Konu</x:v>
      </x:c>
      <x:c r="J137" s="14" t="str">
        <x:v>Kaynak/Weak</x:v>
      </x:c>
      <x:c r="K137" s="14" t="str">
        <x:v>İngilizce</x:v>
      </x:c>
      <x:c r="L137" s="14" t="str">
        <x:v>Unit 9 - Science</x:v>
      </x:c>
      <x:c r="M137" s="14" t="str">
        <x:v>Video+Kitap</x:v>
      </x:c>
      <x:c r="N137" s="14" t="str">
        <x:v>Ek Fen</x:v>
      </x:c>
      <x:c r="O137" s="14" t="str">
        <x:v>13.04.2027: tüm zorunlu konu+kitap+MEB kapanışı</x:v>
      </x:c>
    </x:row>
    <x:row r="138">
      <x:c r="A138" s="15" t="n">
        <x:v>46432</x:v>
      </x:c>
      <x:c r="B138" s="14" t="n">
        <x:v>137</x:v>
      </x:c>
      <x:c r="C138" s="14" t="str">
        <x:v>Pazar</x:v>
      </x:c>
      <x:c r="D138" s="14" t="str">
        <x:v>Hafta Sonu</x:v>
      </x:c>
      <x:c r="E138" s="14" t="str">
        <x:v>Tam gün</x:v>
      </x:c>
      <x:c r="F138" s="14" t="str">
        <x:v>F2 - LGS Kapsam + Ustalık</x:v>
      </x:c>
      <x:c r="G138" s="14" t="str">
        <x:v>Kaynak Tamamlama / Zayıf Konu</x:v>
      </x:c>
      <x:c r="H138" s="14" t="str">
        <x:v>Kaynak/Weak</x:v>
      </x:c>
      <x:c r="I138" s="14" t="str">
        <x:v>Kaynak Tamamlama / Zayıf Konu</x:v>
      </x:c>
      <x:c r="J138" s="14" t="str">
        <x:v>Kaynak/Weak</x:v>
      </x:c>
      <x:c r="K138" s="14" t="str">
        <x:v>Fen</x:v>
      </x:c>
      <x:c r="L138" s="14" t="str">
        <x:v>Solunum</x:v>
      </x:c>
      <x:c r="M138" s="14" t="str">
        <x:v>Video+Kitap</x:v>
      </x:c>
      <x:c r="N138" s="14" t="str">
        <x:v>Kaynak Tamamlama</x:v>
      </x:c>
      <x:c r="O138" s="14" t="str">
        <x:v>13.04.2027: tüm zorunlu konu+kitap+MEB kapanışı</x:v>
      </x:c>
    </x:row>
    <x:row r="139">
      <x:c r="A139" s="15" t="n">
        <x:v>46433</x:v>
      </x:c>
      <x:c r="B139" s="14" t="n">
        <x:v>138</x:v>
      </x:c>
      <x:c r="C139" s="14" t="str">
        <x:v>Pazartesi</x:v>
      </x:c>
      <x:c r="D139" s="14" t="str">
        <x:v>Okul Günü</x:v>
      </x:c>
      <x:c r="E139" s="14" t="str">
        <x:v>16:00 sonrası</x:v>
      </x:c>
      <x:c r="F139" s="14" t="str">
        <x:v>F2 - LGS Kapsam + Ustalık</x:v>
      </x:c>
      <x:c r="G139" s="14" t="str">
        <x:v>Kaynak Tamamlama / Zayıf Konu</x:v>
      </x:c>
      <x:c r="H139" s="14" t="str">
        <x:v>Kaynak/Weak</x:v>
      </x:c>
      <x:c r="I139" s="14" t="str">
        <x:v>Kaynak Tamamlama / Zayıf Konu</x:v>
      </x:c>
      <x:c r="J139" s="14" t="str">
        <x:v>Kaynak/Weak</x:v>
      </x:c>
      <x:c r="K139" s="14" t="str">
        <x:v>Din</x:v>
      </x:c>
      <x:c r="L139" s="14" t="str">
        <x:v>Kaynak Tamamlama / Zayıf Konu</x:v>
      </x:c>
      <x:c r="M139" s="14" t="str">
        <x:v>Kaynak/Weak</x:v>
      </x:c>
      <x:c r="N139" s="14" t="str"/>
      <x:c r="O139" s="14" t="str">
        <x:v>13.04.2027: tüm zorunlu konu+kitap+MEB kapanışı</x:v>
      </x:c>
    </x:row>
    <x:row r="140">
      <x:c r="A140" s="15" t="n">
        <x:v>46434</x:v>
      </x:c>
      <x:c r="B140" s="14" t="n">
        <x:v>139</x:v>
      </x:c>
      <x:c r="C140" s="14" t="str">
        <x:v>Salı</x:v>
      </x:c>
      <x:c r="D140" s="14" t="str">
        <x:v>Okul Günü</x:v>
      </x:c>
      <x:c r="E140" s="14" t="str">
        <x:v>16:00 sonrası</x:v>
      </x:c>
      <x:c r="F140" s="14" t="str">
        <x:v>F2 - LGS Kapsam + Ustalık</x:v>
      </x:c>
      <x:c r="G140" s="14" t="str">
        <x:v>Kaynak Tamamlama / Zayıf Konu</x:v>
      </x:c>
      <x:c r="H140" s="14" t="str">
        <x:v>Kaynak/Weak</x:v>
      </x:c>
      <x:c r="I140" s="14" t="str">
        <x:v>Kaynak Tamamlama / Zayıf Konu</x:v>
      </x:c>
      <x:c r="J140" s="14" t="str">
        <x:v>Kaynak/Weak</x:v>
      </x:c>
      <x:c r="K140" s="14" t="str">
        <x:v>İnkılap</x:v>
      </x:c>
      <x:c r="L140" s="14" t="str">
        <x:v>Atatürk Dönemi Türk Dış Politikası</x:v>
      </x:c>
      <x:c r="M140" s="14" t="str">
        <x:v>Video+Kitap</x:v>
      </x:c>
      <x:c r="N140" s="14" t="str"/>
      <x:c r="O140" s="14" t="str">
        <x:v>13.04.2027: tüm zorunlu konu+kitap+MEB kapanışı</x:v>
      </x:c>
    </x:row>
    <x:row r="141">
      <x:c r="A141" s="15" t="n">
        <x:v>46435</x:v>
      </x:c>
      <x:c r="B141" s="14" t="n">
        <x:v>140</x:v>
      </x:c>
      <x:c r="C141" s="14" t="str">
        <x:v>Çarşamba</x:v>
      </x:c>
      <x:c r="D141" s="14" t="str">
        <x:v>Okul Günü</x:v>
      </x:c>
      <x:c r="E141" s="14" t="str">
        <x:v>16:00 sonrası</x:v>
      </x:c>
      <x:c r="F141" s="14" t="str">
        <x:v>F2 - LGS Kapsam + Ustalık</x:v>
      </x:c>
      <x:c r="G141" s="14" t="str">
        <x:v>Kaynak Tamamlama / Zayıf Konu</x:v>
      </x:c>
      <x:c r="H141" s="14" t="str">
        <x:v>Kaynak/Weak</x:v>
      </x:c>
      <x:c r="I141" s="14" t="str">
        <x:v>Kaynak Tamamlama / Zayıf Konu</x:v>
      </x:c>
      <x:c r="J141" s="14" t="str">
        <x:v>Kaynak/Weak</x:v>
      </x:c>
      <x:c r="K141" s="14" t="str">
        <x:v>İngilizce</x:v>
      </x:c>
      <x:c r="L141" s="14" t="str">
        <x:v>Unit 9 - Science</x:v>
      </x:c>
      <x:c r="M141" s="14" t="str">
        <x:v>Video+Kitap</x:v>
      </x:c>
      <x:c r="N141" s="14" t="str"/>
      <x:c r="O141" s="14" t="str">
        <x:v>13.04.2027: tüm zorunlu konu+kitap+MEB kapanışı</x:v>
      </x:c>
    </x:row>
    <x:row r="142">
      <x:c r="A142" s="15" t="n">
        <x:v>46436</x:v>
      </x:c>
      <x:c r="B142" s="14" t="n">
        <x:v>141</x:v>
      </x:c>
      <x:c r="C142" s="14" t="str">
        <x:v>Perşembe</x:v>
      </x:c>
      <x:c r="D142" s="14" t="str">
        <x:v>Okul Günü</x:v>
      </x:c>
      <x:c r="E142" s="14" t="str">
        <x:v>16:00 sonrası</x:v>
      </x:c>
      <x:c r="F142" s="14" t="str">
        <x:v>F2 - LGS Kapsam + Ustalık</x:v>
      </x:c>
      <x:c r="G142" s="14" t="str">
        <x:v>Kaynak Tamamlama / Zayıf Konu</x:v>
      </x:c>
      <x:c r="H142" s="14" t="str">
        <x:v>Kaynak/Weak</x:v>
      </x:c>
      <x:c r="I142" s="14" t="str">
        <x:v>Kaynak Tamamlama / Zayıf Konu</x:v>
      </x:c>
      <x:c r="J142" s="14" t="str">
        <x:v>Kaynak/Weak</x:v>
      </x:c>
      <x:c r="K142" s="14" t="str">
        <x:v>Fen</x:v>
      </x:c>
      <x:c r="L142" s="14" t="str">
        <x:v>Solunum</x:v>
      </x:c>
      <x:c r="M142" s="14" t="str">
        <x:v>Video+Kitap</x:v>
      </x:c>
      <x:c r="N142" s="14" t="str"/>
      <x:c r="O142" s="14" t="str">
        <x:v>13.04.2027: tüm zorunlu konu+kitap+MEB kapanışı</x:v>
      </x:c>
    </x:row>
    <x:row r="143">
      <x:c r="A143" s="15" t="n">
        <x:v>46437</x:v>
      </x:c>
      <x:c r="B143" s="14" t="n">
        <x:v>142</x:v>
      </x:c>
      <x:c r="C143" s="14" t="str">
        <x:v>Cuma</x:v>
      </x:c>
      <x:c r="D143" s="14" t="str">
        <x:v>Okul Günü</x:v>
      </x:c>
      <x:c r="E143" s="14" t="str">
        <x:v>16:00 sonrası</x:v>
      </x:c>
      <x:c r="F143" s="14" t="str">
        <x:v>F2 - LGS Kapsam + Ustalık</x:v>
      </x:c>
      <x:c r="G143" s="14" t="str">
        <x:v>Kaynak Tamamlama / Zayıf Konu</x:v>
      </x:c>
      <x:c r="H143" s="14" t="str">
        <x:v>Kaynak/Weak</x:v>
      </x:c>
      <x:c r="I143" s="14" t="str">
        <x:v>Kaynak Tamamlama / Zayıf Konu</x:v>
      </x:c>
      <x:c r="J143" s="14" t="str">
        <x:v>Kaynak/Weak</x:v>
      </x:c>
      <x:c r="K143" s="14" t="str">
        <x:v>Din</x:v>
      </x:c>
      <x:c r="L143" s="14" t="str">
        <x:v>Kaynak Tamamlama / Zayıf Konu</x:v>
      </x:c>
      <x:c r="M143" s="14" t="str">
        <x:v>Kaynak/Weak</x:v>
      </x:c>
      <x:c r="N143" s="14" t="str"/>
      <x:c r="O143" s="14" t="str">
        <x:v>13.04.2027: tüm zorunlu konu+kitap+MEB kapanışı</x:v>
      </x:c>
    </x:row>
    <x:row r="144">
      <x:c r="A144" s="15" t="n">
        <x:v>46438</x:v>
      </x:c>
      <x:c r="B144" s="14" t="n">
        <x:v>143</x:v>
      </x:c>
      <x:c r="C144" s="14" t="str">
        <x:v>Cumartesi</x:v>
      </x:c>
      <x:c r="D144" s="14" t="str">
        <x:v>Hafta Sonu</x:v>
      </x:c>
      <x:c r="E144" s="14" t="str">
        <x:v>Tam gün</x:v>
      </x:c>
      <x:c r="F144" s="14" t="str">
        <x:v>F2 - LGS Kapsam + Ustalık</x:v>
      </x:c>
      <x:c r="G144" s="14" t="str">
        <x:v>Kaynak Tamamlama / Zayıf Konu</x:v>
      </x:c>
      <x:c r="H144" s="14" t="str">
        <x:v>Kaynak/Weak</x:v>
      </x:c>
      <x:c r="I144" s="14" t="str">
        <x:v>Kaynak Tamamlama / Zayıf Konu</x:v>
      </x:c>
      <x:c r="J144" s="14" t="str">
        <x:v>Kaynak/Weak</x:v>
      </x:c>
      <x:c r="K144" s="14" t="str">
        <x:v>İnkılap</x:v>
      </x:c>
      <x:c r="L144" s="14" t="str">
        <x:v>Atatürk Dönemi Türk Dış Politikası</x:v>
      </x:c>
      <x:c r="M144" s="14" t="str">
        <x:v>Video+Kitap</x:v>
      </x:c>
      <x:c r="N144" s="14" t="str">
        <x:v>Ek Fen</x:v>
      </x:c>
      <x:c r="O144" s="14" t="str">
        <x:v>13.04.2027: tüm zorunlu konu+kitap+MEB kapanışı</x:v>
      </x:c>
    </x:row>
    <x:row r="145">
      <x:c r="A145" s="15" t="n">
        <x:v>46439</x:v>
      </x:c>
      <x:c r="B145" s="14" t="n">
        <x:v>144</x:v>
      </x:c>
      <x:c r="C145" s="14" t="str">
        <x:v>Pazar</x:v>
      </x:c>
      <x:c r="D145" s="14" t="str">
        <x:v>Hafta Sonu</x:v>
      </x:c>
      <x:c r="E145" s="14" t="str">
        <x:v>Tam gün</x:v>
      </x:c>
      <x:c r="F145" s="14" t="str">
        <x:v>F2 - LGS Kapsam + Ustalık</x:v>
      </x:c>
      <x:c r="G145" s="14" t="str">
        <x:v>Kaynak Tamamlama / Zayıf Konu</x:v>
      </x:c>
      <x:c r="H145" s="14" t="str">
        <x:v>Kaynak/Weak</x:v>
      </x:c>
      <x:c r="I145" s="14" t="str">
        <x:v>Kaynak Tamamlama / Zayıf Konu</x:v>
      </x:c>
      <x:c r="J145" s="14" t="str">
        <x:v>Kaynak/Weak</x:v>
      </x:c>
      <x:c r="K145" s="14" t="str">
        <x:v>İngilizce</x:v>
      </x:c>
      <x:c r="L145" s="14" t="str">
        <x:v>Unit 9 - Science</x:v>
      </x:c>
      <x:c r="M145" s="14" t="str">
        <x:v>MEB Gate</x:v>
      </x:c>
      <x:c r="N145" s="14" t="str">
        <x:v>Kaynak Tamamlama</x:v>
      </x:c>
      <x:c r="O145" s="14" t="str">
        <x:v>13.04.2027: tüm zorunlu konu+kitap+MEB kapanışı</x:v>
      </x:c>
    </x:row>
    <x:row r="146">
      <x:c r="A146" s="15" t="n">
        <x:v>46440</x:v>
      </x:c>
      <x:c r="B146" s="14" t="n">
        <x:v>145</x:v>
      </x:c>
      <x:c r="C146" s="14" t="str">
        <x:v>Pazartesi</x:v>
      </x:c>
      <x:c r="D146" s="14" t="str">
        <x:v>Okul Günü</x:v>
      </x:c>
      <x:c r="E146" s="14" t="str">
        <x:v>16:00 sonrası</x:v>
      </x:c>
      <x:c r="F146" s="14" t="str">
        <x:v>F2 - LGS Kapsam + Ustalık</x:v>
      </x:c>
      <x:c r="G146" s="14" t="str">
        <x:v>Kaynak Tamamlama / Zayıf Konu</x:v>
      </x:c>
      <x:c r="H146" s="14" t="str">
        <x:v>Kaynak/Weak</x:v>
      </x:c>
      <x:c r="I146" s="14" t="str">
        <x:v>Kaynak Tamamlama / Zayıf Konu</x:v>
      </x:c>
      <x:c r="J146" s="14" t="str">
        <x:v>Kaynak/Weak</x:v>
      </x:c>
      <x:c r="K146" s="14" t="str">
        <x:v>Fen</x:v>
      </x:c>
      <x:c r="L146" s="14" t="str">
        <x:v>Madde Döngüleri ve Sürdürülebilir Kalkınma</x:v>
      </x:c>
      <x:c r="M146" s="14" t="str">
        <x:v>Video+Kitap</x:v>
      </x:c>
      <x:c r="N146" s="14" t="str"/>
      <x:c r="O146" s="14" t="str">
        <x:v>13.04.2027: tüm zorunlu konu+kitap+MEB kapanışı</x:v>
      </x:c>
    </x:row>
    <x:row r="147">
      <x:c r="A147" s="15" t="n">
        <x:v>46441</x:v>
      </x:c>
      <x:c r="B147" s="14" t="n">
        <x:v>146</x:v>
      </x:c>
      <x:c r="C147" s="14" t="str">
        <x:v>Salı</x:v>
      </x:c>
      <x:c r="D147" s="14" t="str">
        <x:v>Okul Günü</x:v>
      </x:c>
      <x:c r="E147" s="14" t="str">
        <x:v>16:00 sonrası</x:v>
      </x:c>
      <x:c r="F147" s="14" t="str">
        <x:v>F2 - LGS Kapsam + Ustalık</x:v>
      </x:c>
      <x:c r="G147" s="14" t="str">
        <x:v>Kaynak Tamamlama / Zayıf Konu</x:v>
      </x:c>
      <x:c r="H147" s="14" t="str">
        <x:v>Kaynak/Weak</x:v>
      </x:c>
      <x:c r="I147" s="14" t="str">
        <x:v>Kaynak Tamamlama / Zayıf Konu</x:v>
      </x:c>
      <x:c r="J147" s="14" t="str">
        <x:v>Kaynak/Weak</x:v>
      </x:c>
      <x:c r="K147" s="14" t="str">
        <x:v>Din</x:v>
      </x:c>
      <x:c r="L147" s="14" t="str">
        <x:v>Kaynak Tamamlama / Zayıf Konu</x:v>
      </x:c>
      <x:c r="M147" s="14" t="str">
        <x:v>Kaynak/Weak</x:v>
      </x:c>
      <x:c r="N147" s="14" t="str"/>
      <x:c r="O147" s="14" t="str">
        <x:v>13.04.2027: tüm zorunlu konu+kitap+MEB kapanışı</x:v>
      </x:c>
    </x:row>
    <x:row r="148">
      <x:c r="A148" s="15" t="n">
        <x:v>46442</x:v>
      </x:c>
      <x:c r="B148" s="14" t="n">
        <x:v>147</x:v>
      </x:c>
      <x:c r="C148" s="14" t="str">
        <x:v>Çarşamba</x:v>
      </x:c>
      <x:c r="D148" s="14" t="str">
        <x:v>Okul Günü</x:v>
      </x:c>
      <x:c r="E148" s="14" t="str">
        <x:v>16:00 sonrası</x:v>
      </x:c>
      <x:c r="F148" s="14" t="str">
        <x:v>F2 - LGS Kapsam + Ustalık</x:v>
      </x:c>
      <x:c r="G148" s="14" t="str">
        <x:v>Kaynak Tamamlama / Zayıf Konu</x:v>
      </x:c>
      <x:c r="H148" s="14" t="str">
        <x:v>Kaynak/Weak</x:v>
      </x:c>
      <x:c r="I148" s="14" t="str">
        <x:v>Kaynak Tamamlama / Zayıf Konu</x:v>
      </x:c>
      <x:c r="J148" s="14" t="str">
        <x:v>Kaynak/Weak</x:v>
      </x:c>
      <x:c r="K148" s="14" t="str">
        <x:v>İnkılap</x:v>
      </x:c>
      <x:c r="L148" s="14" t="str">
        <x:v>Atatürk Dönemi Türk Dış Politikası</x:v>
      </x:c>
      <x:c r="M148" s="14" t="str">
        <x:v>MEB Gate</x:v>
      </x:c>
      <x:c r="N148" s="14" t="str"/>
      <x:c r="O148" s="14" t="str">
        <x:v>13.04.2027: tüm zorunlu konu+kitap+MEB kapanışı</x:v>
      </x:c>
    </x:row>
    <x:row r="149">
      <x:c r="A149" s="15" t="n">
        <x:v>46443</x:v>
      </x:c>
      <x:c r="B149" s="14" t="n">
        <x:v>148</x:v>
      </x:c>
      <x:c r="C149" s="14" t="str">
        <x:v>Perşembe</x:v>
      </x:c>
      <x:c r="D149" s="14" t="str">
        <x:v>Okul Günü</x:v>
      </x:c>
      <x:c r="E149" s="14" t="str">
        <x:v>16:00 sonrası</x:v>
      </x:c>
      <x:c r="F149" s="14" t="str">
        <x:v>F2 - LGS Kapsam + Ustalık</x:v>
      </x:c>
      <x:c r="G149" s="14" t="str">
        <x:v>Kaynak Tamamlama / Zayıf Konu</x:v>
      </x:c>
      <x:c r="H149" s="14" t="str">
        <x:v>Kaynak/Weak</x:v>
      </x:c>
      <x:c r="I149" s="14" t="str">
        <x:v>Kaynak Tamamlama / Zayıf Konu</x:v>
      </x:c>
      <x:c r="J149" s="14" t="str">
        <x:v>Kaynak/Weak</x:v>
      </x:c>
      <x:c r="K149" s="14" t="str">
        <x:v>İngilizce</x:v>
      </x:c>
      <x:c r="L149" s="14" t="str">
        <x:v>Unit 10 - Natural Forces</x:v>
      </x:c>
      <x:c r="M149" s="14" t="str">
        <x:v>Video+Kitap</x:v>
      </x:c>
      <x:c r="N149" s="14" t="str"/>
      <x:c r="O149" s="14" t="str">
        <x:v>13.04.2027: tüm zorunlu konu+kitap+MEB kapanışı</x:v>
      </x:c>
    </x:row>
    <x:row r="150">
      <x:c r="A150" s="15" t="n">
        <x:v>46444</x:v>
      </x:c>
      <x:c r="B150" s="14" t="n">
        <x:v>149</x:v>
      </x:c>
      <x:c r="C150" s="14" t="str">
        <x:v>Cuma</x:v>
      </x:c>
      <x:c r="D150" s="14" t="str">
        <x:v>Okul Günü</x:v>
      </x:c>
      <x:c r="E150" s="14" t="str">
        <x:v>16:00 sonrası</x:v>
      </x:c>
      <x:c r="F150" s="14" t="str">
        <x:v>F2 - LGS Kapsam + Ustalık</x:v>
      </x:c>
      <x:c r="G150" s="14" t="str">
        <x:v>Kaynak Tamamlama / Zayıf Konu</x:v>
      </x:c>
      <x:c r="H150" s="14" t="str">
        <x:v>Kaynak/Weak</x:v>
      </x:c>
      <x:c r="I150" s="14" t="str">
        <x:v>Kaynak Tamamlama / Zayıf Konu</x:v>
      </x:c>
      <x:c r="J150" s="14" t="str">
        <x:v>Kaynak/Weak</x:v>
      </x:c>
      <x:c r="K150" s="14" t="str">
        <x:v>Fen</x:v>
      </x:c>
      <x:c r="L150" s="14" t="str">
        <x:v>Madde Döngüleri ve Sürdürülebilir Kalkınma</x:v>
      </x:c>
      <x:c r="M150" s="14" t="str">
        <x:v>Video+Kitap</x:v>
      </x:c>
      <x:c r="N150" s="14" t="str"/>
      <x:c r="O150" s="14" t="str">
        <x:v>13.04.2027: tüm zorunlu konu+kitap+MEB kapanışı</x:v>
      </x:c>
    </x:row>
    <x:row r="151">
      <x:c r="A151" s="15" t="n">
        <x:v>46445</x:v>
      </x:c>
      <x:c r="B151" s="14" t="n">
        <x:v>150</x:v>
      </x:c>
      <x:c r="C151" s="14" t="str">
        <x:v>Cumartesi</x:v>
      </x:c>
      <x:c r="D151" s="14" t="str">
        <x:v>Hafta Sonu</x:v>
      </x:c>
      <x:c r="E151" s="14" t="str">
        <x:v>Tam gün</x:v>
      </x:c>
      <x:c r="F151" s="14" t="str">
        <x:v>F2 - LGS Kapsam + Ustalık</x:v>
      </x:c>
      <x:c r="G151" s="14" t="str">
        <x:v>Kaynak Tamamlama / Zayıf Konu</x:v>
      </x:c>
      <x:c r="H151" s="14" t="str">
        <x:v>Kaynak/Weak</x:v>
      </x:c>
      <x:c r="I151" s="14" t="str">
        <x:v>Kaynak Tamamlama / Zayıf Konu</x:v>
      </x:c>
      <x:c r="J151" s="14" t="str">
        <x:v>Kaynak/Weak</x:v>
      </x:c>
      <x:c r="K151" s="14" t="str">
        <x:v>Din</x:v>
      </x:c>
      <x:c r="L151" s="14" t="str">
        <x:v>Kaynak Tamamlama / Zayıf Konu</x:v>
      </x:c>
      <x:c r="M151" s="14" t="str">
        <x:v>Kaynak/Weak</x:v>
      </x:c>
      <x:c r="N151" s="14" t="str">
        <x:v>Ek Fen</x:v>
      </x:c>
      <x:c r="O151" s="14" t="str">
        <x:v>13.04.2027: tüm zorunlu konu+kitap+MEB kapanışı</x:v>
      </x:c>
    </x:row>
    <x:row r="152">
      <x:c r="A152" s="15" t="n">
        <x:v>46446</x:v>
      </x:c>
      <x:c r="B152" s="14" t="n">
        <x:v>151</x:v>
      </x:c>
      <x:c r="C152" s="14" t="str">
        <x:v>Pazar</x:v>
      </x:c>
      <x:c r="D152" s="14" t="str">
        <x:v>Hafta Sonu</x:v>
      </x:c>
      <x:c r="E152" s="14" t="str">
        <x:v>Tam gün</x:v>
      </x:c>
      <x:c r="F152" s="14" t="str">
        <x:v>F2 - LGS Kapsam + Ustalık</x:v>
      </x:c>
      <x:c r="G152" s="14" t="str">
        <x:v>Kaynak Tamamlama / Zayıf Konu</x:v>
      </x:c>
      <x:c r="H152" s="14" t="str">
        <x:v>Kaynak/Weak</x:v>
      </x:c>
      <x:c r="I152" s="14" t="str">
        <x:v>Kaynak Tamamlama / Zayıf Konu</x:v>
      </x:c>
      <x:c r="J152" s="14" t="str">
        <x:v>Kaynak/Weak</x:v>
      </x:c>
      <x:c r="K152" s="14" t="str">
        <x:v>İnkılap</x:v>
      </x:c>
      <x:c r="L152" s="14" t="str">
        <x:v>Atatürk’ün Ölümü ve Sonrası</x:v>
      </x:c>
      <x:c r="M152" s="14" t="str">
        <x:v>Video+Kitap</x:v>
      </x:c>
      <x:c r="N152" s="14" t="str">
        <x:v>Kaynak Tamamlama</x:v>
      </x:c>
      <x:c r="O152" s="14" t="str">
        <x:v>13.04.2027: tüm zorunlu konu+kitap+MEB kapanışı</x:v>
      </x:c>
    </x:row>
    <x:row r="153">
      <x:c r="A153" s="15" t="n">
        <x:v>46447</x:v>
      </x:c>
      <x:c r="B153" s="14" t="n">
        <x:v>152</x:v>
      </x:c>
      <x:c r="C153" s="14" t="str">
        <x:v>Pazartesi</x:v>
      </x:c>
      <x:c r="D153" s="14" t="str">
        <x:v>Okul Günü</x:v>
      </x:c>
      <x:c r="E153" s="14" t="str">
        <x:v>16:00 sonrası</x:v>
      </x:c>
      <x:c r="F153" s="14" t="str">
        <x:v>F3 - Kaynak/MEB Tamamlama</x:v>
      </x:c>
      <x:c r="G153" s="14" t="str">
        <x:v>Kaynak Tamamlama / Zayıf Konu</x:v>
      </x:c>
      <x:c r="H153" s="14" t="str">
        <x:v>Kaynak/Weak</x:v>
      </x:c>
      <x:c r="I153" s="14" t="str">
        <x:v>Kaynak Tamamlama / Zayıf Konu</x:v>
      </x:c>
      <x:c r="J153" s="14" t="str">
        <x:v>Kaynak/Weak</x:v>
      </x:c>
      <x:c r="K153" s="14" t="str">
        <x:v>İngilizce</x:v>
      </x:c>
      <x:c r="L153" s="14" t="str">
        <x:v>Unit 10 - Natural Forces</x:v>
      </x:c>
      <x:c r="M153" s="14" t="str">
        <x:v>Video+Kitap</x:v>
      </x:c>
      <x:c r="N153" s="14" t="str"/>
      <x:c r="O153" s="14" t="str">
        <x:v>13.04.2027: tüm zorunlu konu+kitap+MEB kapanışı</x:v>
      </x:c>
    </x:row>
    <x:row r="154">
      <x:c r="A154" s="15" t="n">
        <x:v>46448</x:v>
      </x:c>
      <x:c r="B154" s="14" t="n">
        <x:v>153</x:v>
      </x:c>
      <x:c r="C154" s="14" t="str">
        <x:v>Salı</x:v>
      </x:c>
      <x:c r="D154" s="14" t="str">
        <x:v>Okul Günü</x:v>
      </x:c>
      <x:c r="E154" s="14" t="str">
        <x:v>16:00 sonrası</x:v>
      </x:c>
      <x:c r="F154" s="14" t="str">
        <x:v>F3 - Kaynak/MEB Tamamlama</x:v>
      </x:c>
      <x:c r="G154" s="14" t="str">
        <x:v>Kaynak Tamamlama / Zayıf Konu</x:v>
      </x:c>
      <x:c r="H154" s="14" t="str">
        <x:v>Kaynak/Weak</x:v>
      </x:c>
      <x:c r="I154" s="14" t="str">
        <x:v>Kaynak Tamamlama / Zayıf Konu</x:v>
      </x:c>
      <x:c r="J154" s="14" t="str">
        <x:v>Kaynak/Weak</x:v>
      </x:c>
      <x:c r="K154" s="14" t="str">
        <x:v>Fen</x:v>
      </x:c>
      <x:c r="L154" s="14" t="str">
        <x:v>Elektrik Yükleri ve Elektriklenme</x:v>
      </x:c>
      <x:c r="M154" s="14" t="str">
        <x:v>Video+Kitap</x:v>
      </x:c>
      <x:c r="N154" s="14" t="str"/>
      <x:c r="O154" s="14" t="str">
        <x:v>13.04.2027: tüm zorunlu konu+kitap+MEB kapanışı</x:v>
      </x:c>
    </x:row>
    <x:row r="155">
      <x:c r="A155" s="15" t="n">
        <x:v>46449</x:v>
      </x:c>
      <x:c r="B155" s="14" t="n">
        <x:v>154</x:v>
      </x:c>
      <x:c r="C155" s="14" t="str">
        <x:v>Çarşamba</x:v>
      </x:c>
      <x:c r="D155" s="14" t="str">
        <x:v>Okul Günü</x:v>
      </x:c>
      <x:c r="E155" s="14" t="str">
        <x:v>16:00 sonrası</x:v>
      </x:c>
      <x:c r="F155" s="14" t="str">
        <x:v>F3 - Kaynak/MEB Tamamlama</x:v>
      </x:c>
      <x:c r="G155" s="14" t="str">
        <x:v>Kaynak Tamamlama / Zayıf Konu</x:v>
      </x:c>
      <x:c r="H155" s="14" t="str">
        <x:v>Kaynak/Weak</x:v>
      </x:c>
      <x:c r="I155" s="14" t="str">
        <x:v>Kaynak Tamamlama / Zayıf Konu</x:v>
      </x:c>
      <x:c r="J155" s="14" t="str">
        <x:v>Kaynak/Weak</x:v>
      </x:c>
      <x:c r="K155" s="14" t="str">
        <x:v>Din</x:v>
      </x:c>
      <x:c r="L155" s="14" t="str">
        <x:v>Kaynak Tamamlama / Zayıf Konu</x:v>
      </x:c>
      <x:c r="M155" s="14" t="str">
        <x:v>Kaynak/Weak</x:v>
      </x:c>
      <x:c r="N155" s="14" t="str"/>
      <x:c r="O155" s="14" t="str">
        <x:v>13.04.2027: tüm zorunlu konu+kitap+MEB kapanışı</x:v>
      </x:c>
    </x:row>
    <x:row r="156">
      <x:c r="A156" s="15" t="n">
        <x:v>46450</x:v>
      </x:c>
      <x:c r="B156" s="14" t="n">
        <x:v>155</x:v>
      </x:c>
      <x:c r="C156" s="14" t="str">
        <x:v>Perşembe</x:v>
      </x:c>
      <x:c r="D156" s="14" t="str">
        <x:v>Okul Günü</x:v>
      </x:c>
      <x:c r="E156" s="14" t="str">
        <x:v>16:00 sonrası</x:v>
      </x:c>
      <x:c r="F156" s="14" t="str">
        <x:v>F3 - Kaynak/MEB Tamamlama</x:v>
      </x:c>
      <x:c r="G156" s="14" t="str">
        <x:v>Kaynak Tamamlama / Zayıf Konu</x:v>
      </x:c>
      <x:c r="H156" s="14" t="str">
        <x:v>Kaynak/Weak</x:v>
      </x:c>
      <x:c r="I156" s="14" t="str">
        <x:v>Kaynak Tamamlama / Zayıf Konu</x:v>
      </x:c>
      <x:c r="J156" s="14" t="str">
        <x:v>Kaynak/Weak</x:v>
      </x:c>
      <x:c r="K156" s="14" t="str">
        <x:v>İnkılap</x:v>
      </x:c>
      <x:c r="L156" s="14" t="str">
        <x:v>Atatürk’ün Ölümü ve Sonrası</x:v>
      </x:c>
      <x:c r="M156" s="14" t="str">
        <x:v>Video+Kitap</x:v>
      </x:c>
      <x:c r="N156" s="14" t="str"/>
      <x:c r="O156" s="14" t="str">
        <x:v>13.04.2027: tüm zorunlu konu+kitap+MEB kapanışı</x:v>
      </x:c>
    </x:row>
    <x:row r="157">
      <x:c r="A157" s="15" t="n">
        <x:v>46451</x:v>
      </x:c>
      <x:c r="B157" s="14" t="n">
        <x:v>156</x:v>
      </x:c>
      <x:c r="C157" s="14" t="str">
        <x:v>Cuma</x:v>
      </x:c>
      <x:c r="D157" s="14" t="str">
        <x:v>Okul Günü</x:v>
      </x:c>
      <x:c r="E157" s="14" t="str">
        <x:v>16:00 sonrası</x:v>
      </x:c>
      <x:c r="F157" s="14" t="str">
        <x:v>F3 - Kaynak/MEB Tamamlama</x:v>
      </x:c>
      <x:c r="G157" s="14" t="str">
        <x:v>Kaynak Tamamlama / Zayıf Konu</x:v>
      </x:c>
      <x:c r="H157" s="14" t="str">
        <x:v>Kaynak/Weak</x:v>
      </x:c>
      <x:c r="I157" s="14" t="str">
        <x:v>Kaynak Tamamlama / Zayıf Konu</x:v>
      </x:c>
      <x:c r="J157" s="14" t="str">
        <x:v>Kaynak/Weak</x:v>
      </x:c>
      <x:c r="K157" s="14" t="str">
        <x:v>İngilizce</x:v>
      </x:c>
      <x:c r="L157" s="14" t="str">
        <x:v>Unit 10 - Natural Forces</x:v>
      </x:c>
      <x:c r="M157" s="14" t="str">
        <x:v>Video+Kitap</x:v>
      </x:c>
      <x:c r="N157" s="14" t="str"/>
      <x:c r="O157" s="14" t="str">
        <x:v>13.04.2027: tüm zorunlu konu+kitap+MEB kapanışı</x:v>
      </x:c>
    </x:row>
    <x:row r="158">
      <x:c r="A158" s="15" t="n">
        <x:v>46452</x:v>
      </x:c>
      <x:c r="B158" s="14" t="n">
        <x:v>157</x:v>
      </x:c>
      <x:c r="C158" s="14" t="str">
        <x:v>Cumartesi</x:v>
      </x:c>
      <x:c r="D158" s="14" t="str">
        <x:v>Hafta Sonu</x:v>
      </x:c>
      <x:c r="E158" s="14" t="str">
        <x:v>Tam gün</x:v>
      </x:c>
      <x:c r="F158" s="14" t="str">
        <x:v>F3 - Kaynak/MEB Tamamlama</x:v>
      </x:c>
      <x:c r="G158" s="14" t="str">
        <x:v>Kaynak Tamamlama / Zayıf Konu</x:v>
      </x:c>
      <x:c r="H158" s="14" t="str">
        <x:v>Kaynak/Weak</x:v>
      </x:c>
      <x:c r="I158" s="14" t="str">
        <x:v>Kaynak Tamamlama / Zayıf Konu</x:v>
      </x:c>
      <x:c r="J158" s="14" t="str">
        <x:v>Kaynak/Weak</x:v>
      </x:c>
      <x:c r="K158" s="14" t="str">
        <x:v>Fen</x:v>
      </x:c>
      <x:c r="L158" s="14" t="str">
        <x:v>Elektrik Yükleri ve Elektriklenme</x:v>
      </x:c>
      <x:c r="M158" s="14" t="str">
        <x:v>Video+Kitap</x:v>
      </x:c>
      <x:c r="N158" s="14" t="str">
        <x:v>Ek Fen</x:v>
      </x:c>
      <x:c r="O158" s="14" t="str">
        <x:v>13.04.2027: tüm zorunlu konu+kitap+MEB kapanışı</x:v>
      </x:c>
    </x:row>
    <x:row r="159">
      <x:c r="A159" s="15" t="n">
        <x:v>46453</x:v>
      </x:c>
      <x:c r="B159" s="14" t="n">
        <x:v>158</x:v>
      </x:c>
      <x:c r="C159" s="14" t="str">
        <x:v>Pazar</x:v>
      </x:c>
      <x:c r="D159" s="14" t="str">
        <x:v>Hafta Sonu</x:v>
      </x:c>
      <x:c r="E159" s="14" t="str">
        <x:v>Tam gün</x:v>
      </x:c>
      <x:c r="F159" s="14" t="str">
        <x:v>F3 - Kaynak/MEB Tamamlama</x:v>
      </x:c>
      <x:c r="G159" s="14" t="str">
        <x:v>Kaynak Tamamlama / Zayıf Konu</x:v>
      </x:c>
      <x:c r="H159" s="14" t="str">
        <x:v>Kaynak/Weak</x:v>
      </x:c>
      <x:c r="I159" s="14" t="str">
        <x:v>Kaynak Tamamlama / Zayıf Konu</x:v>
      </x:c>
      <x:c r="J159" s="14" t="str">
        <x:v>Kaynak/Weak</x:v>
      </x:c>
      <x:c r="K159" s="14" t="str">
        <x:v>Din</x:v>
      </x:c>
      <x:c r="L159" s="14" t="str">
        <x:v>Kaynak Tamamlama / Zayıf Konu</x:v>
      </x:c>
      <x:c r="M159" s="14" t="str">
        <x:v>Kaynak/Weak</x:v>
      </x:c>
      <x:c r="N159" s="14" t="str">
        <x:v>Kaynak Tamamlama</x:v>
      </x:c>
      <x:c r="O159" s="14" t="str">
        <x:v>13.04.2027: tüm zorunlu konu+kitap+MEB kapanışı</x:v>
      </x:c>
    </x:row>
    <x:row r="160">
      <x:c r="A160" s="15" t="n">
        <x:v>46454</x:v>
      </x:c>
      <x:c r="B160" s="14" t="n">
        <x:v>159</x:v>
      </x:c>
      <x:c r="C160" s="14" t="str">
        <x:v>Pazartesi</x:v>
      </x:c>
      <x:c r="D160" s="14" t="str">
        <x:v>Okul Tatili</x:v>
      </x:c>
      <x:c r="E160" s="14" t="str">
        <x:v>MEB 2. Dönem Ara Tatili</x:v>
      </x:c>
      <x:c r="F160" s="14" t="str">
        <x:v>F3 - Kaynak/MEB Tamamlama</x:v>
      </x:c>
      <x:c r="G160" s="14" t="str">
        <x:v>Kaynak Tamamlama / Zayıf Konu</x:v>
      </x:c>
      <x:c r="H160" s="14" t="str">
        <x:v>Kaynak/Weak</x:v>
      </x:c>
      <x:c r="I160" s="14" t="str">
        <x:v>Kaynak Tamamlama / Zayıf Konu</x:v>
      </x:c>
      <x:c r="J160" s="14" t="str">
        <x:v>Kaynak/Weak</x:v>
      </x:c>
      <x:c r="K160" s="14" t="str">
        <x:v>İnkılap</x:v>
      </x:c>
      <x:c r="L160" s="14" t="str">
        <x:v>Atatürk’ün Ölümü ve Sonrası</x:v>
      </x:c>
      <x:c r="M160" s="14" t="str">
        <x:v>MEB Gate</x:v>
      </x:c>
      <x:c r="N160" s="14" t="str"/>
      <x:c r="O160" s="14" t="str">
        <x:v>13.04.2027: tüm zorunlu konu+kitap+MEB kapanışı</x:v>
      </x:c>
    </x:row>
    <x:row r="161">
      <x:c r="A161" s="15" t="n">
        <x:v>46455</x:v>
      </x:c>
      <x:c r="B161" s="14" t="n">
        <x:v>160</x:v>
      </x:c>
      <x:c r="C161" s="14" t="str">
        <x:v>Salı</x:v>
      </x:c>
      <x:c r="D161" s="14" t="str">
        <x:v>Okul Tatili</x:v>
      </x:c>
      <x:c r="E161" s="14" t="str">
        <x:v>MEB 2. Dönem Ara Tatili</x:v>
      </x:c>
      <x:c r="F161" s="14" t="str">
        <x:v>F3 - Kaynak/MEB Tamamlama</x:v>
      </x:c>
      <x:c r="G161" s="14" t="str">
        <x:v>Kaynak Tamamlama / Zayıf Konu</x:v>
      </x:c>
      <x:c r="H161" s="14" t="str">
        <x:v>Kaynak/Weak</x:v>
      </x:c>
      <x:c r="I161" s="14" t="str">
        <x:v>Kaynak Tamamlama / Zayıf Konu</x:v>
      </x:c>
      <x:c r="J161" s="14" t="str">
        <x:v>Kaynak/Weak</x:v>
      </x:c>
      <x:c r="K161" s="14" t="str">
        <x:v>İngilizce</x:v>
      </x:c>
      <x:c r="L161" s="14" t="str">
        <x:v>Unit 10 - Natural Forces</x:v>
      </x:c>
      <x:c r="M161" s="14" t="str">
        <x:v>MEB Gate</x:v>
      </x:c>
      <x:c r="N161" s="14" t="str"/>
      <x:c r="O161" s="14" t="str">
        <x:v>13.04.2027: tüm zorunlu konu+kitap+MEB kapanışı</x:v>
      </x:c>
    </x:row>
    <x:row r="162">
      <x:c r="A162" s="15" t="n">
        <x:v>46456</x:v>
      </x:c>
      <x:c r="B162" s="14" t="n">
        <x:v>161</x:v>
      </x:c>
      <x:c r="C162" s="14" t="str">
        <x:v>Çarşamba</x:v>
      </x:c>
      <x:c r="D162" s="14" t="str">
        <x:v>Okul Tatili</x:v>
      </x:c>
      <x:c r="E162" s="14" t="str">
        <x:v>MEB 2. Dönem Ara Tatili</x:v>
      </x:c>
      <x:c r="F162" s="14" t="str">
        <x:v>F3 - Kaynak/MEB Tamamlama</x:v>
      </x:c>
      <x:c r="G162" s="14" t="str">
        <x:v>Kaynak Tamamlama / Zayıf Konu</x:v>
      </x:c>
      <x:c r="H162" s="14" t="str">
        <x:v>Kaynak/Weak</x:v>
      </x:c>
      <x:c r="I162" s="14" t="str">
        <x:v>Kaynak Tamamlama / Zayıf Konu</x:v>
      </x:c>
      <x:c r="J162" s="14" t="str">
        <x:v>Kaynak/Weak</x:v>
      </x:c>
      <x:c r="K162" s="14" t="str">
        <x:v>Fen</x:v>
      </x:c>
      <x:c r="L162" s="14" t="str">
        <x:v>Elektrik Yüklü Cisimler</x:v>
      </x:c>
      <x:c r="M162" s="14" t="str">
        <x:v>Video+Kitap</x:v>
      </x:c>
      <x:c r="N162" s="14" t="str"/>
      <x:c r="O162" s="14" t="str">
        <x:v>13.04.2027: tüm zorunlu konu+kitap+MEB kapanışı</x:v>
      </x:c>
    </x:row>
    <x:row r="163">
      <x:c r="A163" s="15" t="n">
        <x:v>46457</x:v>
      </x:c>
      <x:c r="B163" s="14" t="n">
        <x:v>162</x:v>
      </x:c>
      <x:c r="C163" s="14" t="str">
        <x:v>Perşembe</x:v>
      </x:c>
      <x:c r="D163" s="14" t="str">
        <x:v>Okul Tatili</x:v>
      </x:c>
      <x:c r="E163" s="14" t="str">
        <x:v>MEB 2. Dönem Ara Tatili</x:v>
      </x:c>
      <x:c r="F163" s="14" t="str">
        <x:v>F3 - Kaynak/MEB Tamamlama</x:v>
      </x:c>
      <x:c r="G163" s="14" t="str">
        <x:v>Kaynak Tamamlama / Zayıf Konu</x:v>
      </x:c>
      <x:c r="H163" s="14" t="str">
        <x:v>Kaynak/Weak</x:v>
      </x:c>
      <x:c r="I163" s="14" t="str">
        <x:v>Kaynak Tamamlama / Zayıf Konu</x:v>
      </x:c>
      <x:c r="J163" s="14" t="str">
        <x:v>Kaynak/Weak</x:v>
      </x:c>
      <x:c r="K163" s="14" t="str">
        <x:v>Din</x:v>
      </x:c>
      <x:c r="L163" s="14" t="str">
        <x:v>Kaynak Tamamlama / Zayıf Konu</x:v>
      </x:c>
      <x:c r="M163" s="14" t="str">
        <x:v>Kaynak/Weak</x:v>
      </x:c>
      <x:c r="N163" s="14" t="str"/>
      <x:c r="O163" s="14" t="str">
        <x:v>13.04.2027: tüm zorunlu konu+kitap+MEB kapanışı</x:v>
      </x:c>
    </x:row>
    <x:row r="164">
      <x:c r="A164" s="15" t="n">
        <x:v>46458</x:v>
      </x:c>
      <x:c r="B164" s="14" t="n">
        <x:v>163</x:v>
      </x:c>
      <x:c r="C164" s="14" t="str">
        <x:v>Cuma</x:v>
      </x:c>
      <x:c r="D164" s="14" t="str">
        <x:v>Okul Tatili</x:v>
      </x:c>
      <x:c r="E164" s="14" t="str">
        <x:v>MEB 2. Dönem Ara Tatili</x:v>
      </x:c>
      <x:c r="F164" s="14" t="str">
        <x:v>F3 - Kaynak/MEB Tamamlama</x:v>
      </x:c>
      <x:c r="G164" s="14" t="str">
        <x:v>Kaynak Tamamlama / Zayıf Konu</x:v>
      </x:c>
      <x:c r="H164" s="14" t="str">
        <x:v>Kaynak/Weak</x:v>
      </x:c>
      <x:c r="I164" s="14" t="str">
        <x:v>Kaynak Tamamlama / Zayıf Konu</x:v>
      </x:c>
      <x:c r="J164" s="14" t="str">
        <x:v>Kaynak/Weak</x:v>
      </x:c>
      <x:c r="K164" s="14" t="str">
        <x:v>İnkılap</x:v>
      </x:c>
      <x:c r="L164" s="14" t="str">
        <x:v>Kaynak Tamamlama / Zayıf Konu</x:v>
      </x:c>
      <x:c r="M164" s="14" t="str">
        <x:v>Kaynak/Weak</x:v>
      </x:c>
      <x:c r="N164" s="14" t="str"/>
      <x:c r="O164" s="14" t="str">
        <x:v>13.04.2027: tüm zorunlu konu+kitap+MEB kapanışı</x:v>
      </x:c>
    </x:row>
    <x:row r="165">
      <x:c r="A165" s="15" t="n">
        <x:v>46459</x:v>
      </x:c>
      <x:c r="B165" s="14" t="n">
        <x:v>164</x:v>
      </x:c>
      <x:c r="C165" s="14" t="str">
        <x:v>Cumartesi</x:v>
      </x:c>
      <x:c r="D165" s="14" t="str">
        <x:v>Hafta Sonu</x:v>
      </x:c>
      <x:c r="E165" s="14" t="str">
        <x:v>Tam gün</x:v>
      </x:c>
      <x:c r="F165" s="14" t="str">
        <x:v>F3 - Kaynak/MEB Tamamlama</x:v>
      </x:c>
      <x:c r="G165" s="14" t="str">
        <x:v>Kaynak Tamamlama / Zayıf Konu</x:v>
      </x:c>
      <x:c r="H165" s="14" t="str">
        <x:v>Kaynak/Weak</x:v>
      </x:c>
      <x:c r="I165" s="14" t="str">
        <x:v>Kaynak Tamamlama / Zayıf Konu</x:v>
      </x:c>
      <x:c r="J165" s="14" t="str">
        <x:v>Kaynak/Weak</x:v>
      </x:c>
      <x:c r="K165" s="14" t="str">
        <x:v>İngilizce</x:v>
      </x:c>
      <x:c r="L165" s="14" t="str">
        <x:v>Kaynak Tamamlama / Zayıf Konu</x:v>
      </x:c>
      <x:c r="M165" s="14" t="str">
        <x:v>Kaynak/Weak</x:v>
      </x:c>
      <x:c r="N165" s="14" t="str">
        <x:v>Ek Fen</x:v>
      </x:c>
      <x:c r="O165" s="14" t="str">
        <x:v>13.04.2027: tüm zorunlu konu+kitap+MEB kapanışı</x:v>
      </x:c>
    </x:row>
    <x:row r="166">
      <x:c r="A166" s="15" t="n">
        <x:v>46460</x:v>
      </x:c>
      <x:c r="B166" s="14" t="n">
        <x:v>165</x:v>
      </x:c>
      <x:c r="C166" s="14" t="str">
        <x:v>Pazar</x:v>
      </x:c>
      <x:c r="D166" s="14" t="str">
        <x:v>Hafta Sonu</x:v>
      </x:c>
      <x:c r="E166" s="14" t="str">
        <x:v>Tam gün</x:v>
      </x:c>
      <x:c r="F166" s="14" t="str">
        <x:v>F3 - Kaynak/MEB Tamamlama</x:v>
      </x:c>
      <x:c r="G166" s="14" t="str">
        <x:v>Kaynak Tamamlama / Zayıf Konu</x:v>
      </x:c>
      <x:c r="H166" s="14" t="str">
        <x:v>Kaynak/Weak</x:v>
      </x:c>
      <x:c r="I166" s="14" t="str">
        <x:v>Kaynak Tamamlama / Zayıf Konu</x:v>
      </x:c>
      <x:c r="J166" s="14" t="str">
        <x:v>Kaynak/Weak</x:v>
      </x:c>
      <x:c r="K166" s="14" t="str">
        <x:v>Fen</x:v>
      </x:c>
      <x:c r="L166" s="14" t="str">
        <x:v>Elektrik Yüklü Cisimler</x:v>
      </x:c>
      <x:c r="M166" s="14" t="str">
        <x:v>MEB Gate</x:v>
      </x:c>
      <x:c r="N166" s="14" t="str">
        <x:v>Kaynak Tamamlama</x:v>
      </x:c>
      <x:c r="O166" s="14" t="str">
        <x:v>13.04.2027: tüm zorunlu konu+kitap+MEB kapanışı</x:v>
      </x:c>
    </x:row>
    <x:row r="167">
      <x:c r="A167" s="15" t="n">
        <x:v>46461</x:v>
      </x:c>
      <x:c r="B167" s="14" t="n">
        <x:v>166</x:v>
      </x:c>
      <x:c r="C167" s="14" t="str">
        <x:v>Pazartesi</x:v>
      </x:c>
      <x:c r="D167" s="14" t="str">
        <x:v>Okul Günü</x:v>
      </x:c>
      <x:c r="E167" s="14" t="str">
        <x:v>16:00 sonrası</x:v>
      </x:c>
      <x:c r="F167" s="14" t="str">
        <x:v>F3 - Kaynak/MEB Tamamlama</x:v>
      </x:c>
      <x:c r="G167" s="14" t="str">
        <x:v>Kaynak Tamamlama / Zayıf Konu</x:v>
      </x:c>
      <x:c r="H167" s="14" t="str">
        <x:v>Kaynak/Weak</x:v>
      </x:c>
      <x:c r="I167" s="14" t="str">
        <x:v>Kaynak Tamamlama / Zayıf Konu</x:v>
      </x:c>
      <x:c r="J167" s="14" t="str">
        <x:v>Kaynak/Weak</x:v>
      </x:c>
      <x:c r="K167" s="14" t="str">
        <x:v>Din</x:v>
      </x:c>
      <x:c r="L167" s="14" t="str">
        <x:v>Kaynak Tamamlama / Zayıf Konu</x:v>
      </x:c>
      <x:c r="M167" s="14" t="str">
        <x:v>Kaynak/Weak</x:v>
      </x:c>
      <x:c r="N167" s="14" t="str"/>
      <x:c r="O167" s="14" t="str">
        <x:v>13.04.2027: tüm zorunlu konu+kitap+MEB kapanışı</x:v>
      </x:c>
    </x:row>
    <x:row r="168">
      <x:c r="A168" s="15" t="n">
        <x:v>46462</x:v>
      </x:c>
      <x:c r="B168" s="14" t="n">
        <x:v>167</x:v>
      </x:c>
      <x:c r="C168" s="14" t="str">
        <x:v>Salı</x:v>
      </x:c>
      <x:c r="D168" s="14" t="str">
        <x:v>Okul Günü</x:v>
      </x:c>
      <x:c r="E168" s="14" t="str">
        <x:v>16:00 sonrası</x:v>
      </x:c>
      <x:c r="F168" s="14" t="str">
        <x:v>F3 - Kaynak/MEB Tamamlama</x:v>
      </x:c>
      <x:c r="G168" s="14" t="str">
        <x:v>Kaynak Tamamlama / Zayıf Konu</x:v>
      </x:c>
      <x:c r="H168" s="14" t="str">
        <x:v>Kaynak/Weak</x:v>
      </x:c>
      <x:c r="I168" s="14" t="str">
        <x:v>Kaynak Tamamlama / Zayıf Konu</x:v>
      </x:c>
      <x:c r="J168" s="14" t="str">
        <x:v>Kaynak/Weak</x:v>
      </x:c>
      <x:c r="K168" s="14" t="str">
        <x:v>İnkılap</x:v>
      </x:c>
      <x:c r="L168" s="14" t="str">
        <x:v>Kaynak Tamamlama / Zayıf Konu</x:v>
      </x:c>
      <x:c r="M168" s="14" t="str">
        <x:v>Kaynak/Weak</x:v>
      </x:c>
      <x:c r="N168" s="14" t="str"/>
      <x:c r="O168" s="14" t="str">
        <x:v>13.04.2027: tüm zorunlu konu+kitap+MEB kapanışı</x:v>
      </x:c>
    </x:row>
    <x:row r="169">
      <x:c r="A169" s="15" t="n">
        <x:v>46463</x:v>
      </x:c>
      <x:c r="B169" s="14" t="n">
        <x:v>168</x:v>
      </x:c>
      <x:c r="C169" s="14" t="str">
        <x:v>Çarşamba</x:v>
      </x:c>
      <x:c r="D169" s="14" t="str">
        <x:v>Okul Günü</x:v>
      </x:c>
      <x:c r="E169" s="14" t="str">
        <x:v>16:00 sonrası</x:v>
      </x:c>
      <x:c r="F169" s="14" t="str">
        <x:v>F3 - Kaynak/MEB Tamamlama</x:v>
      </x:c>
      <x:c r="G169" s="14" t="str">
        <x:v>Kaynak Tamamlama / Zayıf Konu</x:v>
      </x:c>
      <x:c r="H169" s="14" t="str">
        <x:v>Kaynak/Weak</x:v>
      </x:c>
      <x:c r="I169" s="14" t="str">
        <x:v>Kaynak Tamamlama / Zayıf Konu</x:v>
      </x:c>
      <x:c r="J169" s="14" t="str">
        <x:v>Kaynak/Weak</x:v>
      </x:c>
      <x:c r="K169" s="14" t="str">
        <x:v>İngilizce</x:v>
      </x:c>
      <x:c r="L169" s="14" t="str">
        <x:v>Kaynak Tamamlama / Zayıf Konu</x:v>
      </x:c>
      <x:c r="M169" s="14" t="str">
        <x:v>Kaynak/Weak</x:v>
      </x:c>
      <x:c r="N169" s="14" t="str"/>
      <x:c r="O169" s="14" t="str">
        <x:v>13.04.2027: tüm zorunlu konu+kitap+MEB kapanışı</x:v>
      </x:c>
    </x:row>
    <x:row r="170">
      <x:c r="A170" s="15" t="n">
        <x:v>46464</x:v>
      </x:c>
      <x:c r="B170" s="14" t="n">
        <x:v>169</x:v>
      </x:c>
      <x:c r="C170" s="14" t="str">
        <x:v>Perşembe</x:v>
      </x:c>
      <x:c r="D170" s="14" t="str">
        <x:v>Okul Günü</x:v>
      </x:c>
      <x:c r="E170" s="14" t="str">
        <x:v>16:00 sonrası</x:v>
      </x:c>
      <x:c r="F170" s="14" t="str">
        <x:v>F3 - Kaynak/MEB Tamamlama</x:v>
      </x:c>
      <x:c r="G170" s="14" t="str">
        <x:v>Kaynak Tamamlama / Zayıf Konu</x:v>
      </x:c>
      <x:c r="H170" s="14" t="str">
        <x:v>Kaynak/Weak</x:v>
      </x:c>
      <x:c r="I170" s="14" t="str">
        <x:v>Kaynak Tamamlama / Zayıf Konu</x:v>
      </x:c>
      <x:c r="J170" s="14" t="str">
        <x:v>Kaynak/Weak</x:v>
      </x:c>
      <x:c r="K170" s="14" t="str">
        <x:v>Fen</x:v>
      </x:c>
      <x:c r="L170" s="14" t="str">
        <x:v>Elektrik Enerjisinin Dönüşümü</x:v>
      </x:c>
      <x:c r="M170" s="14" t="str">
        <x:v>Video+Kitap</x:v>
      </x:c>
      <x:c r="N170" s="14" t="str"/>
      <x:c r="O170" s="14" t="str">
        <x:v>13.04.2027: tüm zorunlu konu+kitap+MEB kapanışı</x:v>
      </x:c>
    </x:row>
    <x:row r="171">
      <x:c r="A171" s="15" t="n">
        <x:v>46465</x:v>
      </x:c>
      <x:c r="B171" s="14" t="n">
        <x:v>170</x:v>
      </x:c>
      <x:c r="C171" s="14" t="str">
        <x:v>Cuma</x:v>
      </x:c>
      <x:c r="D171" s="14" t="str">
        <x:v>Okul Günü</x:v>
      </x:c>
      <x:c r="E171" s="14" t="str">
        <x:v>16:00 sonrası</x:v>
      </x:c>
      <x:c r="F171" s="14" t="str">
        <x:v>F3 - Kaynak/MEB Tamamlama</x:v>
      </x:c>
      <x:c r="G171" s="14" t="str">
        <x:v>Kaynak Tamamlama / Zayıf Konu</x:v>
      </x:c>
      <x:c r="H171" s="14" t="str">
        <x:v>Kaynak/Weak</x:v>
      </x:c>
      <x:c r="I171" s="14" t="str">
        <x:v>Kaynak Tamamlama / Zayıf Konu</x:v>
      </x:c>
      <x:c r="J171" s="14" t="str">
        <x:v>Kaynak/Weak</x:v>
      </x:c>
      <x:c r="K171" s="14" t="str">
        <x:v>Din</x:v>
      </x:c>
      <x:c r="L171" s="14" t="str">
        <x:v>Kaynak Tamamlama / Zayıf Konu</x:v>
      </x:c>
      <x:c r="M171" s="14" t="str">
        <x:v>Kaynak/Weak</x:v>
      </x:c>
      <x:c r="N171" s="14" t="str"/>
      <x:c r="O171" s="14" t="str">
        <x:v>13.04.2027: tüm zorunlu konu+kitap+MEB kapanışı</x:v>
      </x:c>
    </x:row>
    <x:row r="172">
      <x:c r="A172" s="15" t="n">
        <x:v>46466</x:v>
      </x:c>
      <x:c r="B172" s="14" t="n">
        <x:v>171</x:v>
      </x:c>
      <x:c r="C172" s="14" t="str">
        <x:v>Cumartesi</x:v>
      </x:c>
      <x:c r="D172" s="14" t="str">
        <x:v>Hafta Sonu</x:v>
      </x:c>
      <x:c r="E172" s="14" t="str">
        <x:v>Tam gün</x:v>
      </x:c>
      <x:c r="F172" s="14" t="str">
        <x:v>F3 - Kaynak/MEB Tamamlama</x:v>
      </x:c>
      <x:c r="G172" s="14" t="str">
        <x:v>Kaynak Tamamlama / Zayıf Konu</x:v>
      </x:c>
      <x:c r="H172" s="14" t="str">
        <x:v>Kaynak/Weak</x:v>
      </x:c>
      <x:c r="I172" s="14" t="str">
        <x:v>Kaynak Tamamlama / Zayıf Konu</x:v>
      </x:c>
      <x:c r="J172" s="14" t="str">
        <x:v>Kaynak/Weak</x:v>
      </x:c>
      <x:c r="K172" s="14" t="str">
        <x:v>İnkılap</x:v>
      </x:c>
      <x:c r="L172" s="14" t="str">
        <x:v>Kaynak Tamamlama / Zayıf Konu</x:v>
      </x:c>
      <x:c r="M172" s="14" t="str">
        <x:v>Kaynak/Weak</x:v>
      </x:c>
      <x:c r="N172" s="14" t="str">
        <x:v>Ek Fen</x:v>
      </x:c>
      <x:c r="O172" s="14" t="str">
        <x:v>13.04.2027: tüm zorunlu konu+kitap+MEB kapanışı</x:v>
      </x:c>
    </x:row>
    <x:row r="173">
      <x:c r="A173" s="15" t="n">
        <x:v>46467</x:v>
      </x:c>
      <x:c r="B173" s="14" t="n">
        <x:v>172</x:v>
      </x:c>
      <x:c r="C173" s="14" t="str">
        <x:v>Pazar</x:v>
      </x:c>
      <x:c r="D173" s="14" t="str">
        <x:v>Hafta Sonu</x:v>
      </x:c>
      <x:c r="E173" s="14" t="str">
        <x:v>Tam gün</x:v>
      </x:c>
      <x:c r="F173" s="14" t="str">
        <x:v>F3 - Kaynak/MEB Tamamlama</x:v>
      </x:c>
      <x:c r="G173" s="14" t="str">
        <x:v>Kaynak Tamamlama / Zayıf Konu</x:v>
      </x:c>
      <x:c r="H173" s="14" t="str">
        <x:v>Kaynak/Weak</x:v>
      </x:c>
      <x:c r="I173" s="14" t="str">
        <x:v>Kaynak Tamamlama / Zayıf Konu</x:v>
      </x:c>
      <x:c r="J173" s="14" t="str">
        <x:v>Kaynak/Weak</x:v>
      </x:c>
      <x:c r="K173" s="14" t="str">
        <x:v>İngilizce</x:v>
      </x:c>
      <x:c r="L173" s="14" t="str">
        <x:v>Kaynak Tamamlama / Zayıf Konu</x:v>
      </x:c>
      <x:c r="M173" s="14" t="str">
        <x:v>Kaynak/Weak</x:v>
      </x:c>
      <x:c r="N173" s="14" t="str">
        <x:v>Kaynak Tamamlama</x:v>
      </x:c>
      <x:c r="O173" s="14" t="str">
        <x:v>13.04.2027: tüm zorunlu konu+kitap+MEB kapanışı</x:v>
      </x:c>
    </x:row>
    <x:row r="174">
      <x:c r="A174" s="15" t="n">
        <x:v>46468</x:v>
      </x:c>
      <x:c r="B174" s="14" t="n">
        <x:v>173</x:v>
      </x:c>
      <x:c r="C174" s="14" t="str">
        <x:v>Pazartesi</x:v>
      </x:c>
      <x:c r="D174" s="14" t="str">
        <x:v>Okul Günü</x:v>
      </x:c>
      <x:c r="E174" s="14" t="str">
        <x:v>16:00 sonrası</x:v>
      </x:c>
      <x:c r="F174" s="14" t="str">
        <x:v>F3 - Kaynak/MEB Tamamlama</x:v>
      </x:c>
      <x:c r="G174" s="14" t="str">
        <x:v>Kaynak Tamamlama / Zayıf Konu</x:v>
      </x:c>
      <x:c r="H174" s="14" t="str">
        <x:v>Kaynak/Weak</x:v>
      </x:c>
      <x:c r="I174" s="14" t="str">
        <x:v>Kaynak Tamamlama / Zayıf Konu</x:v>
      </x:c>
      <x:c r="J174" s="14" t="str">
        <x:v>Kaynak/Weak</x:v>
      </x:c>
      <x:c r="K174" s="14" t="str">
        <x:v>Fen</x:v>
      </x:c>
      <x:c r="L174" s="14" t="str">
        <x:v>Elektrik Enerjisinin Dönüşümü</x:v>
      </x:c>
      <x:c r="M174" s="14" t="str">
        <x:v>MEB Gate</x:v>
      </x:c>
      <x:c r="N174" s="14" t="str"/>
      <x:c r="O174" s="14" t="str">
        <x:v>13.04.2027: tüm zorunlu konu+kitap+MEB kapanışı</x:v>
      </x:c>
    </x:row>
    <x:row r="175">
      <x:c r="A175" s="15" t="n">
        <x:v>46469</x:v>
      </x:c>
      <x:c r="B175" s="14" t="n">
        <x:v>174</x:v>
      </x:c>
      <x:c r="C175" s="14" t="str">
        <x:v>Salı</x:v>
      </x:c>
      <x:c r="D175" s="14" t="str">
        <x:v>Okul Günü</x:v>
      </x:c>
      <x:c r="E175" s="14" t="str">
        <x:v>16:00 sonrası</x:v>
      </x:c>
      <x:c r="F175" s="14" t="str">
        <x:v>F3 - Kaynak/MEB Tamamlama</x:v>
      </x:c>
      <x:c r="G175" s="14" t="str">
        <x:v>Kaynak Tamamlama / Zayıf Konu</x:v>
      </x:c>
      <x:c r="H175" s="14" t="str">
        <x:v>Kaynak/Weak</x:v>
      </x:c>
      <x:c r="I175" s="14" t="str">
        <x:v>Kaynak Tamamlama / Zayıf Konu</x:v>
      </x:c>
      <x:c r="J175" s="14" t="str">
        <x:v>Kaynak/Weak</x:v>
      </x:c>
      <x:c r="K175" s="14" t="str">
        <x:v>Din</x:v>
      </x:c>
      <x:c r="L175" s="14" t="str">
        <x:v>Kaynak Tamamlama / Zayıf Konu</x:v>
      </x:c>
      <x:c r="M175" s="14" t="str">
        <x:v>Kaynak/Weak</x:v>
      </x:c>
      <x:c r="N175" s="14" t="str"/>
      <x:c r="O175" s="14" t="str">
        <x:v>13.04.2027: tüm zorunlu konu+kitap+MEB kapanışı</x:v>
      </x:c>
    </x:row>
    <x:row r="176">
      <x:c r="A176" s="15" t="n">
        <x:v>46470</x:v>
      </x:c>
      <x:c r="B176" s="14" t="n">
        <x:v>175</x:v>
      </x:c>
      <x:c r="C176" s="14" t="str">
        <x:v>Çarşamba</x:v>
      </x:c>
      <x:c r="D176" s="14" t="str">
        <x:v>Okul Günü</x:v>
      </x:c>
      <x:c r="E176" s="14" t="str">
        <x:v>16:00 sonrası</x:v>
      </x:c>
      <x:c r="F176" s="14" t="str">
        <x:v>F3 - Kaynak/MEB Tamamlama</x:v>
      </x:c>
      <x:c r="G176" s="14" t="str">
        <x:v>Kaynak Tamamlama / Zayıf Konu</x:v>
      </x:c>
      <x:c r="H176" s="14" t="str">
        <x:v>Kaynak/Weak</x:v>
      </x:c>
      <x:c r="I176" s="14" t="str">
        <x:v>Kaynak Tamamlama / Zayıf Konu</x:v>
      </x:c>
      <x:c r="J176" s="14" t="str">
        <x:v>Kaynak/Weak</x:v>
      </x:c>
      <x:c r="K176" s="14" t="str">
        <x:v>İnkılap</x:v>
      </x:c>
      <x:c r="L176" s="14" t="str">
        <x:v>Kaynak Tamamlama / Zayıf Konu</x:v>
      </x:c>
      <x:c r="M176" s="14" t="str">
        <x:v>Kaynak/Weak</x:v>
      </x:c>
      <x:c r="N176" s="14" t="str"/>
      <x:c r="O176" s="14" t="str">
        <x:v>13.04.2027: tüm zorunlu konu+kitap+MEB kapanışı</x:v>
      </x:c>
    </x:row>
    <x:row r="177">
      <x:c r="A177" s="15" t="n">
        <x:v>46471</x:v>
      </x:c>
      <x:c r="B177" s="14" t="n">
        <x:v>176</x:v>
      </x:c>
      <x:c r="C177" s="14" t="str">
        <x:v>Perşembe</x:v>
      </x:c>
      <x:c r="D177" s="14" t="str">
        <x:v>Okul Günü</x:v>
      </x:c>
      <x:c r="E177" s="14" t="str">
        <x:v>16:00 sonrası</x:v>
      </x:c>
      <x:c r="F177" s="14" t="str">
        <x:v>F3 - Kaynak/MEB Tamamlama</x:v>
      </x:c>
      <x:c r="G177" s="14" t="str">
        <x:v>Kaynak Tamamlama / Zayıf Konu</x:v>
      </x:c>
      <x:c r="H177" s="14" t="str">
        <x:v>Kaynak/Weak</x:v>
      </x:c>
      <x:c r="I177" s="14" t="str">
        <x:v>Kaynak Tamamlama / Zayıf Konu</x:v>
      </x:c>
      <x:c r="J177" s="14" t="str">
        <x:v>Kaynak/Weak</x:v>
      </x:c>
      <x:c r="K177" s="14" t="str">
        <x:v>İngilizce</x:v>
      </x:c>
      <x:c r="L177" s="14" t="str">
        <x:v>Kaynak Tamamlama / Zayıf Konu</x:v>
      </x:c>
      <x:c r="M177" s="14" t="str">
        <x:v>Kaynak/Weak</x:v>
      </x:c>
      <x:c r="N177" s="14" t="str"/>
      <x:c r="O177" s="14" t="str">
        <x:v>13.04.2027: tüm zorunlu konu+kitap+MEB kapanışı</x:v>
      </x:c>
    </x:row>
    <x:row r="178">
      <x:c r="A178" s="15" t="n">
        <x:v>46472</x:v>
      </x:c>
      <x:c r="B178" s="14" t="n">
        <x:v>177</x:v>
      </x:c>
      <x:c r="C178" s="14" t="str">
        <x:v>Cuma</x:v>
      </x:c>
      <x:c r="D178" s="14" t="str">
        <x:v>Okul Günü</x:v>
      </x:c>
      <x:c r="E178" s="14" t="str">
        <x:v>16:00 sonrası</x:v>
      </x:c>
      <x:c r="F178" s="14" t="str">
        <x:v>F3 - Kaynak/MEB Tamamlama</x:v>
      </x:c>
      <x:c r="G178" s="14" t="str">
        <x:v>Kaynak Tamamlama / Zayıf Konu</x:v>
      </x:c>
      <x:c r="H178" s="14" t="str">
        <x:v>Kaynak/Weak</x:v>
      </x:c>
      <x:c r="I178" s="14" t="str">
        <x:v>Kaynak Tamamlama / Zayıf Konu</x:v>
      </x:c>
      <x:c r="J178" s="14" t="str">
        <x:v>Kaynak/Weak</x:v>
      </x:c>
      <x:c r="K178" s="14" t="str">
        <x:v>Fen</x:v>
      </x:c>
      <x:c r="L178" s="14" t="str">
        <x:v>Kaynak Tamamlama / Zayıf Konu</x:v>
      </x:c>
      <x:c r="M178" s="14" t="str">
        <x:v>Kaynak/Weak</x:v>
      </x:c>
      <x:c r="N178" s="14" t="str"/>
      <x:c r="O178" s="14" t="str">
        <x:v>13.04.2027: tüm zorunlu konu+kitap+MEB kapanışı</x:v>
      </x:c>
    </x:row>
    <x:row r="179">
      <x:c r="A179" s="15" t="n">
        <x:v>46473</x:v>
      </x:c>
      <x:c r="B179" s="14" t="n">
        <x:v>178</x:v>
      </x:c>
      <x:c r="C179" s="14" t="str">
        <x:v>Cumartesi</x:v>
      </x:c>
      <x:c r="D179" s="14" t="str">
        <x:v>Hafta Sonu</x:v>
      </x:c>
      <x:c r="E179" s="14" t="str">
        <x:v>Tam gün</x:v>
      </x:c>
      <x:c r="F179" s="14" t="str">
        <x:v>F3 - Kaynak/MEB Tamamlama</x:v>
      </x:c>
      <x:c r="G179" s="14" t="str">
        <x:v>Kaynak Tamamlama / Zayıf Konu</x:v>
      </x:c>
      <x:c r="H179" s="14" t="str">
        <x:v>Kaynak/Weak</x:v>
      </x:c>
      <x:c r="I179" s="14" t="str">
        <x:v>Kaynak Tamamlama / Zayıf Konu</x:v>
      </x:c>
      <x:c r="J179" s="14" t="str">
        <x:v>Kaynak/Weak</x:v>
      </x:c>
      <x:c r="K179" s="14" t="str">
        <x:v>Din</x:v>
      </x:c>
      <x:c r="L179" s="14" t="str">
        <x:v>Kaynak Tamamlama / Zayıf Konu</x:v>
      </x:c>
      <x:c r="M179" s="14" t="str">
        <x:v>Kaynak/Weak</x:v>
      </x:c>
      <x:c r="N179" s="14" t="str">
        <x:v>Ek Fen</x:v>
      </x:c>
      <x:c r="O179" s="14" t="str">
        <x:v>13.04.2027: tüm zorunlu konu+kitap+MEB kapanışı</x:v>
      </x:c>
    </x:row>
    <x:row r="180">
      <x:c r="A180" s="15" t="n">
        <x:v>46474</x:v>
      </x:c>
      <x:c r="B180" s="14" t="n">
        <x:v>179</x:v>
      </x:c>
      <x:c r="C180" s="14" t="str">
        <x:v>Pazar</x:v>
      </x:c>
      <x:c r="D180" s="14" t="str">
        <x:v>Hafta Sonu</x:v>
      </x:c>
      <x:c r="E180" s="14" t="str">
        <x:v>Tam gün</x:v>
      </x:c>
      <x:c r="F180" s="14" t="str">
        <x:v>F3 - Kaynak/MEB Tamamlama</x:v>
      </x:c>
      <x:c r="G180" s="14" t="str">
        <x:v>Kaynak Tamamlama / Zayıf Konu</x:v>
      </x:c>
      <x:c r="H180" s="14" t="str">
        <x:v>Kaynak/Weak</x:v>
      </x:c>
      <x:c r="I180" s="14" t="str">
        <x:v>Kaynak Tamamlama / Zayıf Konu</x:v>
      </x:c>
      <x:c r="J180" s="14" t="str">
        <x:v>Kaynak/Weak</x:v>
      </x:c>
      <x:c r="K180" s="14" t="str">
        <x:v>İnkılap</x:v>
      </x:c>
      <x:c r="L180" s="14" t="str">
        <x:v>Kaynak Tamamlama / Zayıf Konu</x:v>
      </x:c>
      <x:c r="M180" s="14" t="str">
        <x:v>Kaynak/Weak</x:v>
      </x:c>
      <x:c r="N180" s="14" t="str">
        <x:v>Kaynak Tamamlama</x:v>
      </x:c>
      <x:c r="O180" s="14" t="str">
        <x:v>13.04.2027: tüm zorunlu konu+kitap+MEB kapanışı</x:v>
      </x:c>
    </x:row>
    <x:row r="181">
      <x:c r="A181" s="15" t="n">
        <x:v>46475</x:v>
      </x:c>
      <x:c r="B181" s="14" t="n">
        <x:v>180</x:v>
      </x:c>
      <x:c r="C181" s="14" t="str">
        <x:v>Pazartesi</x:v>
      </x:c>
      <x:c r="D181" s="14" t="str">
        <x:v>Okul Günü</x:v>
      </x:c>
      <x:c r="E181" s="14" t="str">
        <x:v>16:00 sonrası</x:v>
      </x:c>
      <x:c r="F181" s="14" t="str">
        <x:v>F3 - Kaynak/MEB Tamamlama</x:v>
      </x:c>
      <x:c r="G181" s="14" t="str">
        <x:v>Kaynak Tamamlama / Zayıf Konu</x:v>
      </x:c>
      <x:c r="H181" s="14" t="str">
        <x:v>Kaynak/Weak</x:v>
      </x:c>
      <x:c r="I181" s="14" t="str">
        <x:v>Kaynak Tamamlama / Zayıf Konu</x:v>
      </x:c>
      <x:c r="J181" s="14" t="str">
        <x:v>Kaynak/Weak</x:v>
      </x:c>
      <x:c r="K181" s="14" t="str">
        <x:v>İngilizce</x:v>
      </x:c>
      <x:c r="L181" s="14" t="str">
        <x:v>Kaynak Tamamlama / Zayıf Konu</x:v>
      </x:c>
      <x:c r="M181" s="14" t="str">
        <x:v>Kaynak/Weak</x:v>
      </x:c>
      <x:c r="N181" s="14" t="str"/>
      <x:c r="O181" s="14" t="str">
        <x:v>13.04.2027: tüm zorunlu konu+kitap+MEB kapanışı</x:v>
      </x:c>
    </x:row>
    <x:row r="182">
      <x:c r="A182" s="15" t="n">
        <x:v>46476</x:v>
      </x:c>
      <x:c r="B182" s="14" t="n">
        <x:v>181</x:v>
      </x:c>
      <x:c r="C182" s="14" t="str">
        <x:v>Salı</x:v>
      </x:c>
      <x:c r="D182" s="14" t="str">
        <x:v>Okul Günü</x:v>
      </x:c>
      <x:c r="E182" s="14" t="str">
        <x:v>16:00 sonrası</x:v>
      </x:c>
      <x:c r="F182" s="14" t="str">
        <x:v>F3 - Kaynak/MEB Tamamlama</x:v>
      </x:c>
      <x:c r="G182" s="14" t="str">
        <x:v>Kaynak Tamamlama / Zayıf Konu</x:v>
      </x:c>
      <x:c r="H182" s="14" t="str">
        <x:v>Kaynak/Weak</x:v>
      </x:c>
      <x:c r="I182" s="14" t="str">
        <x:v>Kaynak Tamamlama / Zayıf Konu</x:v>
      </x:c>
      <x:c r="J182" s="14" t="str">
        <x:v>Kaynak/Weak</x:v>
      </x:c>
      <x:c r="K182" s="14" t="str">
        <x:v>Fen</x:v>
      </x:c>
      <x:c r="L182" s="14" t="str">
        <x:v>Kaynak Tamamlama / Zayıf Konu</x:v>
      </x:c>
      <x:c r="M182" s="14" t="str">
        <x:v>Kaynak/Weak</x:v>
      </x:c>
      <x:c r="N182" s="14" t="str"/>
      <x:c r="O182" s="14" t="str">
        <x:v>13.04.2027: tüm zorunlu konu+kitap+MEB kapanışı</x:v>
      </x:c>
    </x:row>
    <x:row r="183">
      <x:c r="A183" s="15" t="n">
        <x:v>46477</x:v>
      </x:c>
      <x:c r="B183" s="14" t="n">
        <x:v>182</x:v>
      </x:c>
      <x:c r="C183" s="14" t="str">
        <x:v>Çarşamba</x:v>
      </x:c>
      <x:c r="D183" s="14" t="str">
        <x:v>Okul Günü</x:v>
      </x:c>
      <x:c r="E183" s="14" t="str">
        <x:v>16:00 sonrası</x:v>
      </x:c>
      <x:c r="F183" s="14" t="str">
        <x:v>F3 - Kaynak/MEB Tamamlama</x:v>
      </x:c>
      <x:c r="G183" s="14" t="str">
        <x:v>Kaynak Tamamlama / Zayıf Konu</x:v>
      </x:c>
      <x:c r="H183" s="14" t="str">
        <x:v>Kaynak/Weak</x:v>
      </x:c>
      <x:c r="I183" s="14" t="str">
        <x:v>Kaynak Tamamlama / Zayıf Konu</x:v>
      </x:c>
      <x:c r="J183" s="14" t="str">
        <x:v>Kaynak/Weak</x:v>
      </x:c>
      <x:c r="K183" s="14" t="str">
        <x:v>Din</x:v>
      </x:c>
      <x:c r="L183" s="14" t="str">
        <x:v>Kaynak Tamamlama / Zayıf Konu</x:v>
      </x:c>
      <x:c r="M183" s="14" t="str">
        <x:v>Kaynak/Weak</x:v>
      </x:c>
      <x:c r="N183" s="14" t="str"/>
      <x:c r="O183" s="14" t="str">
        <x:v>13.04.2027: tüm zorunlu konu+kitap+MEB kapanışı</x:v>
      </x:c>
    </x:row>
    <x:row r="184">
      <x:c r="A184" s="15" t="n">
        <x:v>46478</x:v>
      </x:c>
      <x:c r="B184" s="14" t="n">
        <x:v>183</x:v>
      </x:c>
      <x:c r="C184" s="14" t="str">
        <x:v>Perşembe</x:v>
      </x:c>
      <x:c r="D184" s="14" t="str">
        <x:v>Okul Günü</x:v>
      </x:c>
      <x:c r="E184" s="14" t="str">
        <x:v>16:00 sonrası</x:v>
      </x:c>
      <x:c r="F184" s="14" t="str">
        <x:v>F3 - Kaynak/MEB Tamamlama</x:v>
      </x:c>
      <x:c r="G184" s="14" t="str">
        <x:v>Kaynak Tamamlama / Zayıf Konu</x:v>
      </x:c>
      <x:c r="H184" s="14" t="str">
        <x:v>Kaynak/Weak</x:v>
      </x:c>
      <x:c r="I184" s="14" t="str">
        <x:v>Kaynak Tamamlama / Zayıf Konu</x:v>
      </x:c>
      <x:c r="J184" s="14" t="str">
        <x:v>Kaynak/Weak</x:v>
      </x:c>
      <x:c r="K184" s="14" t="str">
        <x:v>İnkılap</x:v>
      </x:c>
      <x:c r="L184" s="14" t="str">
        <x:v>Kaynak Tamamlama / Zayıf Konu</x:v>
      </x:c>
      <x:c r="M184" s="14" t="str">
        <x:v>Kaynak/Weak</x:v>
      </x:c>
      <x:c r="N184" s="14" t="str"/>
      <x:c r="O184" s="14" t="str">
        <x:v>13.04.2027: tüm zorunlu konu+kitap+MEB kapanışı</x:v>
      </x:c>
    </x:row>
    <x:row r="185">
      <x:c r="A185" s="15" t="n">
        <x:v>46479</x:v>
      </x:c>
      <x:c r="B185" s="14" t="n">
        <x:v>184</x:v>
      </x:c>
      <x:c r="C185" s="14" t="str">
        <x:v>Cuma</x:v>
      </x:c>
      <x:c r="D185" s="14" t="str">
        <x:v>Okul Günü</x:v>
      </x:c>
      <x:c r="E185" s="14" t="str">
        <x:v>16:00 sonrası</x:v>
      </x:c>
      <x:c r="F185" s="14" t="str">
        <x:v>F3 - Kaynak/MEB Tamamlama</x:v>
      </x:c>
      <x:c r="G185" s="14" t="str">
        <x:v>Kaynak Tamamlama / Zayıf Konu</x:v>
      </x:c>
      <x:c r="H185" s="14" t="str">
        <x:v>Kaynak/Weak</x:v>
      </x:c>
      <x:c r="I185" s="14" t="str">
        <x:v>Kaynak Tamamlama / Zayıf Konu</x:v>
      </x:c>
      <x:c r="J185" s="14" t="str">
        <x:v>Kaynak/Weak</x:v>
      </x:c>
      <x:c r="K185" s="14" t="str">
        <x:v>İngilizce</x:v>
      </x:c>
      <x:c r="L185" s="14" t="str">
        <x:v>Kaynak Tamamlama / Zayıf Konu</x:v>
      </x:c>
      <x:c r="M185" s="14" t="str">
        <x:v>Kaynak/Weak</x:v>
      </x:c>
      <x:c r="N185" s="14" t="str"/>
      <x:c r="O185" s="14" t="str">
        <x:v>13.04.2027: tüm zorunlu konu+kitap+MEB kapanışı</x:v>
      </x:c>
    </x:row>
    <x:row r="186">
      <x:c r="A186" s="15" t="n">
        <x:v>46480</x:v>
      </x:c>
      <x:c r="B186" s="14" t="n">
        <x:v>185</x:v>
      </x:c>
      <x:c r="C186" s="14" t="str">
        <x:v>Cumartesi</x:v>
      </x:c>
      <x:c r="D186" s="14" t="str">
        <x:v>Hafta Sonu</x:v>
      </x:c>
      <x:c r="E186" s="14" t="str">
        <x:v>Tam gün</x:v>
      </x:c>
      <x:c r="F186" s="14" t="str">
        <x:v>F3 - Kaynak/MEB Tamamlama</x:v>
      </x:c>
      <x:c r="G186" s="14" t="str">
        <x:v>Kaynak Tamamlama / Zayıf Konu</x:v>
      </x:c>
      <x:c r="H186" s="14" t="str">
        <x:v>Kaynak/Weak</x:v>
      </x:c>
      <x:c r="I186" s="14" t="str">
        <x:v>Kaynak Tamamlama / Zayıf Konu</x:v>
      </x:c>
      <x:c r="J186" s="14" t="str">
        <x:v>Kaynak/Weak</x:v>
      </x:c>
      <x:c r="K186" s="14" t="str">
        <x:v>Fen</x:v>
      </x:c>
      <x:c r="L186" s="14" t="str">
        <x:v>Kaynak Tamamlama / Zayıf Konu</x:v>
      </x:c>
      <x:c r="M186" s="14" t="str">
        <x:v>Kaynak/Weak</x:v>
      </x:c>
      <x:c r="N186" s="14" t="str">
        <x:v>Ek Fen</x:v>
      </x:c>
      <x:c r="O186" s="14" t="str">
        <x:v>13.04.2027: tüm zorunlu konu+kitap+MEB kapanışı</x:v>
      </x:c>
    </x:row>
    <x:row r="187">
      <x:c r="A187" s="15" t="n">
        <x:v>46481</x:v>
      </x:c>
      <x:c r="B187" s="14" t="n">
        <x:v>186</x:v>
      </x:c>
      <x:c r="C187" s="14" t="str">
        <x:v>Pazar</x:v>
      </x:c>
      <x:c r="D187" s="14" t="str">
        <x:v>Hafta Sonu</x:v>
      </x:c>
      <x:c r="E187" s="14" t="str">
        <x:v>Tam gün</x:v>
      </x:c>
      <x:c r="F187" s="14" t="str">
        <x:v>F3 - Kaynak/MEB Tamamlama</x:v>
      </x:c>
      <x:c r="G187" s="14" t="str">
        <x:v>Kaynak Tamamlama / Zayıf Konu</x:v>
      </x:c>
      <x:c r="H187" s="14" t="str">
        <x:v>Kaynak/Weak</x:v>
      </x:c>
      <x:c r="I187" s="14" t="str">
        <x:v>Kaynak Tamamlama / Zayıf Konu</x:v>
      </x:c>
      <x:c r="J187" s="14" t="str">
        <x:v>Kaynak/Weak</x:v>
      </x:c>
      <x:c r="K187" s="14" t="str">
        <x:v>Din</x:v>
      </x:c>
      <x:c r="L187" s="14" t="str">
        <x:v>Kaynak Tamamlama / Zayıf Konu</x:v>
      </x:c>
      <x:c r="M187" s="14" t="str">
        <x:v>Kaynak/Weak</x:v>
      </x:c>
      <x:c r="N187" s="14" t="str">
        <x:v>Kaynak Tamamlama</x:v>
      </x:c>
      <x:c r="O187" s="14" t="str">
        <x:v>13.04.2027: tüm zorunlu konu+kitap+MEB kapanışı</x:v>
      </x:c>
    </x:row>
    <x:row r="188">
      <x:c r="A188" s="15" t="n">
        <x:v>46482</x:v>
      </x:c>
      <x:c r="B188" s="14" t="n">
        <x:v>187</x:v>
      </x:c>
      <x:c r="C188" s="14" t="str">
        <x:v>Pazartesi</x:v>
      </x:c>
      <x:c r="D188" s="14" t="str">
        <x:v>Okul Günü</x:v>
      </x:c>
      <x:c r="E188" s="14" t="str">
        <x:v>16:00 sonrası</x:v>
      </x:c>
      <x:c r="F188" s="14" t="str">
        <x:v>F3 - Kaynak/MEB Tamamlama</x:v>
      </x:c>
      <x:c r="G188" s="14" t="str">
        <x:v>Kaynak Tamamlama / Zayıf Konu</x:v>
      </x:c>
      <x:c r="H188" s="14" t="str">
        <x:v>Kaynak/Weak</x:v>
      </x:c>
      <x:c r="I188" s="14" t="str">
        <x:v>Kaynak Tamamlama / Zayıf Konu</x:v>
      </x:c>
      <x:c r="J188" s="14" t="str">
        <x:v>Kaynak/Weak</x:v>
      </x:c>
      <x:c r="K188" s="14" t="str">
        <x:v>İnkılap</x:v>
      </x:c>
      <x:c r="L188" s="14" t="str">
        <x:v>Kaynak Tamamlama / Zayıf Konu</x:v>
      </x:c>
      <x:c r="M188" s="14" t="str">
        <x:v>Kaynak/Weak</x:v>
      </x:c>
      <x:c r="N188" s="14" t="str"/>
      <x:c r="O188" s="14" t="str">
        <x:v>13.04.2027: tüm zorunlu konu+kitap+MEB kapanışı</x:v>
      </x:c>
    </x:row>
    <x:row r="189">
      <x:c r="A189" s="15" t="n">
        <x:v>46483</x:v>
      </x:c>
      <x:c r="B189" s="14" t="n">
        <x:v>188</x:v>
      </x:c>
      <x:c r="C189" s="14" t="str">
        <x:v>Salı</x:v>
      </x:c>
      <x:c r="D189" s="14" t="str">
        <x:v>Okul Günü</x:v>
      </x:c>
      <x:c r="E189" s="14" t="str">
        <x:v>16:00 sonrası</x:v>
      </x:c>
      <x:c r="F189" s="14" t="str">
        <x:v>F3 - Kaynak/MEB Tamamlama</x:v>
      </x:c>
      <x:c r="G189" s="14" t="str">
        <x:v>Kaynak Tamamlama / Zayıf Konu</x:v>
      </x:c>
      <x:c r="H189" s="14" t="str">
        <x:v>Kaynak/Weak</x:v>
      </x:c>
      <x:c r="I189" s="14" t="str">
        <x:v>Kaynak Tamamlama / Zayıf Konu</x:v>
      </x:c>
      <x:c r="J189" s="14" t="str">
        <x:v>Kaynak/Weak</x:v>
      </x:c>
      <x:c r="K189" s="14" t="str">
        <x:v>İngilizce</x:v>
      </x:c>
      <x:c r="L189" s="14" t="str">
        <x:v>Kaynak Tamamlama / Zayıf Konu</x:v>
      </x:c>
      <x:c r="M189" s="14" t="str">
        <x:v>Kaynak/Weak</x:v>
      </x:c>
      <x:c r="N189" s="14" t="str"/>
      <x:c r="O189" s="14" t="str">
        <x:v>13.04.2027: tüm zorunlu konu+kitap+MEB kapanışı</x:v>
      </x:c>
    </x:row>
    <x:row r="190">
      <x:c r="A190" s="15" t="n">
        <x:v>46484</x:v>
      </x:c>
      <x:c r="B190" s="14" t="n">
        <x:v>189</x:v>
      </x:c>
      <x:c r="C190" s="14" t="str">
        <x:v>Çarşamba</x:v>
      </x:c>
      <x:c r="D190" s="14" t="str">
        <x:v>Okul Günü</x:v>
      </x:c>
      <x:c r="E190" s="14" t="str">
        <x:v>16:00 sonrası</x:v>
      </x:c>
      <x:c r="F190" s="14" t="str">
        <x:v>F3 - Kaynak/MEB Tamamlama</x:v>
      </x:c>
      <x:c r="G190" s="14" t="str">
        <x:v>Kaynak Tamamlama / Zayıf Konu</x:v>
      </x:c>
      <x:c r="H190" s="14" t="str">
        <x:v>Kaynak/Weak</x:v>
      </x:c>
      <x:c r="I190" s="14" t="str">
        <x:v>Kaynak Tamamlama / Zayıf Konu</x:v>
      </x:c>
      <x:c r="J190" s="14" t="str">
        <x:v>Kaynak/Weak</x:v>
      </x:c>
      <x:c r="K190" s="14" t="str">
        <x:v>Fen</x:v>
      </x:c>
      <x:c r="L190" s="14" t="str">
        <x:v>Kaynak Tamamlama / Zayıf Konu</x:v>
      </x:c>
      <x:c r="M190" s="14" t="str">
        <x:v>Kaynak/Weak</x:v>
      </x:c>
      <x:c r="N190" s="14" t="str"/>
      <x:c r="O190" s="14" t="str">
        <x:v>13.04.2027: tüm zorunlu konu+kitap+MEB kapanışı</x:v>
      </x:c>
    </x:row>
    <x:row r="191">
      <x:c r="A191" s="15" t="n">
        <x:v>46485</x:v>
      </x:c>
      <x:c r="B191" s="14" t="n">
        <x:v>190</x:v>
      </x:c>
      <x:c r="C191" s="14" t="str">
        <x:v>Perşembe</x:v>
      </x:c>
      <x:c r="D191" s="14" t="str">
        <x:v>Okul Günü</x:v>
      </x:c>
      <x:c r="E191" s="14" t="str">
        <x:v>16:00 sonrası</x:v>
      </x:c>
      <x:c r="F191" s="14" t="str">
        <x:v>F3 - Kaynak/MEB Tamamlama</x:v>
      </x:c>
      <x:c r="G191" s="14" t="str">
        <x:v>Kaynak Tamamlama / Zayıf Konu</x:v>
      </x:c>
      <x:c r="H191" s="14" t="str">
        <x:v>Kaynak/Weak</x:v>
      </x:c>
      <x:c r="I191" s="14" t="str">
        <x:v>Kaynak Tamamlama / Zayıf Konu</x:v>
      </x:c>
      <x:c r="J191" s="14" t="str">
        <x:v>Kaynak/Weak</x:v>
      </x:c>
      <x:c r="K191" s="14" t="str">
        <x:v>Din</x:v>
      </x:c>
      <x:c r="L191" s="14" t="str">
        <x:v>Kaynak Tamamlama / Zayıf Konu</x:v>
      </x:c>
      <x:c r="M191" s="14" t="str">
        <x:v>Kaynak/Weak</x:v>
      </x:c>
      <x:c r="N191" s="14" t="str"/>
      <x:c r="O191" s="14" t="str">
        <x:v>13.04.2027: tüm zorunlu konu+kitap+MEB kapanışı</x:v>
      </x:c>
    </x:row>
    <x:row r="192">
      <x:c r="A192" s="15" t="n">
        <x:v>46486</x:v>
      </x:c>
      <x:c r="B192" s="14" t="n">
        <x:v>191</x:v>
      </x:c>
      <x:c r="C192" s="14" t="str">
        <x:v>Cuma</x:v>
      </x:c>
      <x:c r="D192" s="14" t="str">
        <x:v>Okul Günü</x:v>
      </x:c>
      <x:c r="E192" s="14" t="str">
        <x:v>16:00 sonrası</x:v>
      </x:c>
      <x:c r="F192" s="14" t="str">
        <x:v>F3 - Kaynak/MEB Tamamlama</x:v>
      </x:c>
      <x:c r="G192" s="14" t="str">
        <x:v>Kaynak Tamamlama / Zayıf Konu</x:v>
      </x:c>
      <x:c r="H192" s="14" t="str">
        <x:v>Kaynak/Weak</x:v>
      </x:c>
      <x:c r="I192" s="14" t="str">
        <x:v>Kaynak Tamamlama / Zayıf Konu</x:v>
      </x:c>
      <x:c r="J192" s="14" t="str">
        <x:v>Kaynak/Weak</x:v>
      </x:c>
      <x:c r="K192" s="14" t="str">
        <x:v>İnkılap</x:v>
      </x:c>
      <x:c r="L192" s="14" t="str">
        <x:v>Kaynak Tamamlama / Zayıf Konu</x:v>
      </x:c>
      <x:c r="M192" s="14" t="str">
        <x:v>Kaynak/Weak</x:v>
      </x:c>
      <x:c r="N192" s="14" t="str"/>
      <x:c r="O192" s="14" t="str">
        <x:v>13.04.2027: tüm zorunlu konu+kitap+MEB kapanışı</x:v>
      </x:c>
    </x:row>
    <x:row r="193">
      <x:c r="A193" s="15" t="n">
        <x:v>46487</x:v>
      </x:c>
      <x:c r="B193" s="14" t="n">
        <x:v>192</x:v>
      </x:c>
      <x:c r="C193" s="14" t="str">
        <x:v>Cumartesi</x:v>
      </x:c>
      <x:c r="D193" s="14" t="str">
        <x:v>Hafta Sonu</x:v>
      </x:c>
      <x:c r="E193" s="14" t="str">
        <x:v>Tam gün</x:v>
      </x:c>
      <x:c r="F193" s="14" t="str">
        <x:v>F3 - Kaynak/MEB Tamamlama</x:v>
      </x:c>
      <x:c r="G193" s="14" t="str">
        <x:v>Kaynak Tamamlama / Zayıf Konu</x:v>
      </x:c>
      <x:c r="H193" s="14" t="str">
        <x:v>Kaynak/Weak</x:v>
      </x:c>
      <x:c r="I193" s="14" t="str">
        <x:v>Kaynak Tamamlama / Zayıf Konu</x:v>
      </x:c>
      <x:c r="J193" s="14" t="str">
        <x:v>Kaynak/Weak</x:v>
      </x:c>
      <x:c r="K193" s="14" t="str">
        <x:v>İngilizce</x:v>
      </x:c>
      <x:c r="L193" s="14" t="str">
        <x:v>Kaynak Tamamlama / Zayıf Konu</x:v>
      </x:c>
      <x:c r="M193" s="14" t="str">
        <x:v>Kaynak/Weak</x:v>
      </x:c>
      <x:c r="N193" s="14" t="str">
        <x:v>Ek Fen</x:v>
      </x:c>
      <x:c r="O193" s="14" t="str">
        <x:v>13.04.2027: tüm zorunlu konu+kitap+MEB kapanışı</x:v>
      </x:c>
    </x:row>
    <x:row r="194">
      <x:c r="A194" s="15" t="n">
        <x:v>46488</x:v>
      </x:c>
      <x:c r="B194" s="14" t="n">
        <x:v>193</x:v>
      </x:c>
      <x:c r="C194" s="14" t="str">
        <x:v>Pazar</x:v>
      </x:c>
      <x:c r="D194" s="14" t="str">
        <x:v>Hafta Sonu</x:v>
      </x:c>
      <x:c r="E194" s="14" t="str">
        <x:v>Tam gün</x:v>
      </x:c>
      <x:c r="F194" s="14" t="str">
        <x:v>F3 - Kaynak/MEB Tamamlama</x:v>
      </x:c>
      <x:c r="G194" s="14" t="str">
        <x:v>Kaynak Tamamlama / Zayıf Konu</x:v>
      </x:c>
      <x:c r="H194" s="14" t="str">
        <x:v>Kaynak/Weak</x:v>
      </x:c>
      <x:c r="I194" s="14" t="str">
        <x:v>Kaynak Tamamlama / Zayıf Konu</x:v>
      </x:c>
      <x:c r="J194" s="14" t="str">
        <x:v>Kaynak/Weak</x:v>
      </x:c>
      <x:c r="K194" s="14" t="str">
        <x:v>Fen</x:v>
      </x:c>
      <x:c r="L194" s="14" t="str">
        <x:v>Kaynak Tamamlama / Zayıf Konu</x:v>
      </x:c>
      <x:c r="M194" s="14" t="str">
        <x:v>Kaynak/Weak</x:v>
      </x:c>
      <x:c r="N194" s="14" t="str">
        <x:v>Kaynak Tamamlama</x:v>
      </x:c>
      <x:c r="O194" s="14" t="str">
        <x:v>13.04.2027: tüm zorunlu konu+kitap+MEB kapanışı</x:v>
      </x:c>
    </x:row>
    <x:row r="195">
      <x:c r="A195" s="15" t="n">
        <x:v>46489</x:v>
      </x:c>
      <x:c r="B195" s="14" t="n">
        <x:v>194</x:v>
      </x:c>
      <x:c r="C195" s="14" t="str">
        <x:v>Pazartesi</x:v>
      </x:c>
      <x:c r="D195" s="14" t="str">
        <x:v>Okul Günü</x:v>
      </x:c>
      <x:c r="E195" s="14" t="str">
        <x:v>16:00 sonrası</x:v>
      </x:c>
      <x:c r="F195" s="14" t="str">
        <x:v>F3 - Kaynak/MEB Tamamlama</x:v>
      </x:c>
      <x:c r="G195" s="14" t="str">
        <x:v>Kaynak Tamamlama / Zayıf Konu</x:v>
      </x:c>
      <x:c r="H195" s="14" t="str">
        <x:v>Kaynak/Weak</x:v>
      </x:c>
      <x:c r="I195" s="14" t="str">
        <x:v>Kaynak Tamamlama / Zayıf Konu</x:v>
      </x:c>
      <x:c r="J195" s="14" t="str">
        <x:v>Kaynak/Weak</x:v>
      </x:c>
      <x:c r="K195" s="14" t="str">
        <x:v>Din</x:v>
      </x:c>
      <x:c r="L195" s="14" t="str">
        <x:v>Kaynak Tamamlama / Zayıf Konu</x:v>
      </x:c>
      <x:c r="M195" s="14" t="str">
        <x:v>Kaynak/Weak</x:v>
      </x:c>
      <x:c r="N195" s="14" t="str"/>
      <x:c r="O195" s="14" t="str">
        <x:v>13.04.2027: tüm zorunlu konu+kitap+MEB kapanışı</x:v>
      </x:c>
    </x:row>
    <x:row r="196">
      <x:c r="A196" s="15" t="n">
        <x:v>46490</x:v>
      </x:c>
      <x:c r="B196" s="14" t="n">
        <x:v>195</x:v>
      </x:c>
      <x:c r="C196" s="14" t="str">
        <x:v>Salı</x:v>
      </x:c>
      <x:c r="D196" s="14" t="str">
        <x:v>Okul Günü</x:v>
      </x:c>
      <x:c r="E196" s="14" t="str">
        <x:v>16:00 sonrası</x:v>
      </x:c>
      <x:c r="F196" s="14" t="str">
        <x:v>F3 - Kaynak/MEB Tamamlama</x:v>
      </x:c>
      <x:c r="G196" s="14" t="str">
        <x:v>Kaynak Tamamlama / Zayıf Konu</x:v>
      </x:c>
      <x:c r="H196" s="14" t="str">
        <x:v>Kaynak/Weak</x:v>
      </x:c>
      <x:c r="I196" s="14" t="str">
        <x:v>Kaynak Tamamlama / Zayıf Konu</x:v>
      </x:c>
      <x:c r="J196" s="14" t="str">
        <x:v>Kaynak/Weak</x:v>
      </x:c>
      <x:c r="K196" s="14" t="str">
        <x:v>İnkılap</x:v>
      </x:c>
      <x:c r="L196" s="14" t="str">
        <x:v>Kaynak Tamamlama / Zayıf Konu</x:v>
      </x:c>
      <x:c r="M196" s="14" t="str">
        <x:v>Kaynak/Weak</x:v>
      </x:c>
      <x:c r="N196" s="14" t="str"/>
      <x:c r="O196" s="14" t="str">
        <x:v>13.04.2027: tüm zorunlu konu+kitap+MEB kapanışı</x:v>
      </x:c>
    </x:row>
    <x:row r="197">
      <x:c r="A197" s="15" t="n">
        <x:v>46491</x:v>
      </x:c>
      <x:c r="B197" s="14" t="n">
        <x:v>196</x:v>
      </x:c>
      <x:c r="C197" s="14" t="str">
        <x:v>Çarşamba</x:v>
      </x:c>
      <x:c r="D197" s="14" t="str">
        <x:v>Okul Günü</x:v>
      </x:c>
      <x:c r="E197" s="14" t="str">
        <x:v>16:00 sonrası</x:v>
      </x:c>
      <x:c r="F197" s="14" t="str">
        <x:v>F4 - 60 Gün / 60 Tam Deneme</x:v>
      </x:c>
      <x:c r="G197" s="14" t="str">
        <x:v>Deneme 01</x:v>
      </x:c>
      <x:c r="H197" s="14" t="str">
        <x:v>20 Matematik / tam deneme</x:v>
      </x:c>
      <x:c r="I197" s="14" t="str">
        <x:v>Deneme Analizi</x:v>
      </x:c>
      <x:c r="J197" s="14" t="str">
        <x:v>20 Türkçe / tam deneme</x:v>
      </x:c>
      <x:c r="K197" s="14" t="str">
        <x:v>Tüm 6 branş</x:v>
      </x:c>
      <x:c r="L197" s="14" t="str">
        <x:v>90 soru</x:v>
      </x:c>
      <x:c r="M197" s="14" t="str">
        <x:v>Analiz + hedefli remediation</x:v>
      </x:c>
      <x:c r="N197" s="14" t="str">
        <x:v>Yanlış +1/+7/+21</x:v>
      </x:c>
      <x:c r="O197" s="14" t="str">
        <x:v>60 günlük kamp</x:v>
      </x:c>
    </x:row>
    <x:row r="198">
      <x:c r="A198" s="15" t="n">
        <x:v>46492</x:v>
      </x:c>
      <x:c r="B198" s="14" t="n">
        <x:v>197</x:v>
      </x:c>
      <x:c r="C198" s="14" t="str">
        <x:v>Perşembe</x:v>
      </x:c>
      <x:c r="D198" s="14" t="str">
        <x:v>Okul Günü</x:v>
      </x:c>
      <x:c r="E198" s="14" t="str">
        <x:v>16:00 sonrası</x:v>
      </x:c>
      <x:c r="F198" s="14" t="str">
        <x:v>F4 - 60 Gün / 60 Tam Deneme</x:v>
      </x:c>
      <x:c r="G198" s="14" t="str">
        <x:v>Deneme 02</x:v>
      </x:c>
      <x:c r="H198" s="14" t="str">
        <x:v>20 Matematik / tam deneme</x:v>
      </x:c>
      <x:c r="I198" s="14" t="str">
        <x:v>Deneme Analizi</x:v>
      </x:c>
      <x:c r="J198" s="14" t="str">
        <x:v>20 Türkçe / tam deneme</x:v>
      </x:c>
      <x:c r="K198" s="14" t="str">
        <x:v>Tüm 6 branş</x:v>
      </x:c>
      <x:c r="L198" s="14" t="str">
        <x:v>90 soru</x:v>
      </x:c>
      <x:c r="M198" s="14" t="str">
        <x:v>Analiz + hedefli remediation</x:v>
      </x:c>
      <x:c r="N198" s="14" t="str">
        <x:v>Yanlış +1/+7/+21</x:v>
      </x:c>
      <x:c r="O198" s="14" t="str">
        <x:v>60 günlük kamp</x:v>
      </x:c>
    </x:row>
    <x:row r="199">
      <x:c r="A199" s="15" t="n">
        <x:v>46493</x:v>
      </x:c>
      <x:c r="B199" s="14" t="n">
        <x:v>198</x:v>
      </x:c>
      <x:c r="C199" s="14" t="str">
        <x:v>Cuma</x:v>
      </x:c>
      <x:c r="D199" s="14" t="str">
        <x:v>Okul Günü</x:v>
      </x:c>
      <x:c r="E199" s="14" t="str">
        <x:v>16:00 sonrası</x:v>
      </x:c>
      <x:c r="F199" s="14" t="str">
        <x:v>F4 - 60 Gün / 60 Tam Deneme</x:v>
      </x:c>
      <x:c r="G199" s="14" t="str">
        <x:v>Deneme 03</x:v>
      </x:c>
      <x:c r="H199" s="14" t="str">
        <x:v>20 Matematik / tam deneme</x:v>
      </x:c>
      <x:c r="I199" s="14" t="str">
        <x:v>Deneme Analizi</x:v>
      </x:c>
      <x:c r="J199" s="14" t="str">
        <x:v>20 Türkçe / tam deneme</x:v>
      </x:c>
      <x:c r="K199" s="14" t="str">
        <x:v>Tüm 6 branş</x:v>
      </x:c>
      <x:c r="L199" s="14" t="str">
        <x:v>90 soru</x:v>
      </x:c>
      <x:c r="M199" s="14" t="str">
        <x:v>Analiz + hedefli remediation</x:v>
      </x:c>
      <x:c r="N199" s="14" t="str">
        <x:v>Yanlış +1/+7/+21</x:v>
      </x:c>
      <x:c r="O199" s="14" t="str">
        <x:v>60 günlük kamp</x:v>
      </x:c>
    </x:row>
    <x:row r="200">
      <x:c r="A200" s="15" t="n">
        <x:v>46494</x:v>
      </x:c>
      <x:c r="B200" s="14" t="n">
        <x:v>199</x:v>
      </x:c>
      <x:c r="C200" s="14" t="str">
        <x:v>Cumartesi</x:v>
      </x:c>
      <x:c r="D200" s="14" t="str">
        <x:v>Hafta Sonu</x:v>
      </x:c>
      <x:c r="E200" s="14" t="str">
        <x:v>Tam gün</x:v>
      </x:c>
      <x:c r="F200" s="14" t="str">
        <x:v>F4 - 60 Gün / 60 Tam Deneme</x:v>
      </x:c>
      <x:c r="G200" s="14" t="str">
        <x:v>Deneme 04</x:v>
      </x:c>
      <x:c r="H200" s="14" t="str">
        <x:v>20 Matematik / tam deneme</x:v>
      </x:c>
      <x:c r="I200" s="14" t="str">
        <x:v>Deneme Analizi</x:v>
      </x:c>
      <x:c r="J200" s="14" t="str">
        <x:v>20 Türkçe / tam deneme</x:v>
      </x:c>
      <x:c r="K200" s="14" t="str">
        <x:v>Tüm 6 branş</x:v>
      </x:c>
      <x:c r="L200" s="14" t="str">
        <x:v>90 soru</x:v>
      </x:c>
      <x:c r="M200" s="14" t="str">
        <x:v>Analiz + hedefli remediation</x:v>
      </x:c>
      <x:c r="N200" s="14" t="str">
        <x:v>Yanlış +1/+7/+21</x:v>
      </x:c>
      <x:c r="O200" s="14" t="str">
        <x:v>60 günlük kamp</x:v>
      </x:c>
    </x:row>
    <x:row r="201">
      <x:c r="A201" s="15" t="n">
        <x:v>46495</x:v>
      </x:c>
      <x:c r="B201" s="14" t="n">
        <x:v>200</x:v>
      </x:c>
      <x:c r="C201" s="14" t="str">
        <x:v>Pazar</x:v>
      </x:c>
      <x:c r="D201" s="14" t="str">
        <x:v>Hafta Sonu</x:v>
      </x:c>
      <x:c r="E201" s="14" t="str">
        <x:v>Tam gün</x:v>
      </x:c>
      <x:c r="F201" s="14" t="str">
        <x:v>F4 - 60 Gün / 60 Tam Deneme</x:v>
      </x:c>
      <x:c r="G201" s="14" t="str">
        <x:v>Deneme 05</x:v>
      </x:c>
      <x:c r="H201" s="14" t="str">
        <x:v>20 Matematik / tam deneme</x:v>
      </x:c>
      <x:c r="I201" s="14" t="str">
        <x:v>Deneme Analizi</x:v>
      </x:c>
      <x:c r="J201" s="14" t="str">
        <x:v>20 Türkçe / tam deneme</x:v>
      </x:c>
      <x:c r="K201" s="14" t="str">
        <x:v>Tüm 6 branş</x:v>
      </x:c>
      <x:c r="L201" s="14" t="str">
        <x:v>90 soru</x:v>
      </x:c>
      <x:c r="M201" s="14" t="str">
        <x:v>Analiz + hedefli remediation</x:v>
      </x:c>
      <x:c r="N201" s="14" t="str">
        <x:v>Yanlış +1/+7/+21</x:v>
      </x:c>
      <x:c r="O201" s="14" t="str">
        <x:v>60 günlük kamp</x:v>
      </x:c>
    </x:row>
    <x:row r="202">
      <x:c r="A202" s="15" t="n">
        <x:v>46496</x:v>
      </x:c>
      <x:c r="B202" s="14" t="n">
        <x:v>201</x:v>
      </x:c>
      <x:c r="C202" s="14" t="str">
        <x:v>Pazartesi</x:v>
      </x:c>
      <x:c r="D202" s="14" t="str">
        <x:v>Okul Günü</x:v>
      </x:c>
      <x:c r="E202" s="14" t="str">
        <x:v>16:00 sonrası</x:v>
      </x:c>
      <x:c r="F202" s="14" t="str">
        <x:v>F4 - 60 Gün / 60 Tam Deneme</x:v>
      </x:c>
      <x:c r="G202" s="14" t="str">
        <x:v>Deneme 06</x:v>
      </x:c>
      <x:c r="H202" s="14" t="str">
        <x:v>20 Matematik / tam deneme</x:v>
      </x:c>
      <x:c r="I202" s="14" t="str">
        <x:v>Deneme Analizi</x:v>
      </x:c>
      <x:c r="J202" s="14" t="str">
        <x:v>20 Türkçe / tam deneme</x:v>
      </x:c>
      <x:c r="K202" s="14" t="str">
        <x:v>Tüm 6 branş</x:v>
      </x:c>
      <x:c r="L202" s="14" t="str">
        <x:v>90 soru</x:v>
      </x:c>
      <x:c r="M202" s="14" t="str">
        <x:v>Analiz + hedefli remediation</x:v>
      </x:c>
      <x:c r="N202" s="14" t="str">
        <x:v>Yanlış +1/+7/+21</x:v>
      </x:c>
      <x:c r="O202" s="14" t="str">
        <x:v>60 günlük kamp</x:v>
      </x:c>
    </x:row>
    <x:row r="203">
      <x:c r="A203" s="15" t="n">
        <x:v>46497</x:v>
      </x:c>
      <x:c r="B203" s="14" t="n">
        <x:v>202</x:v>
      </x:c>
      <x:c r="C203" s="14" t="str">
        <x:v>Salı</x:v>
      </x:c>
      <x:c r="D203" s="14" t="str">
        <x:v>Okul Günü</x:v>
      </x:c>
      <x:c r="E203" s="14" t="str">
        <x:v>16:00 sonrası</x:v>
      </x:c>
      <x:c r="F203" s="14" t="str">
        <x:v>F4 - 60 Gün / 60 Tam Deneme</x:v>
      </x:c>
      <x:c r="G203" s="14" t="str">
        <x:v>Deneme 07</x:v>
      </x:c>
      <x:c r="H203" s="14" t="str">
        <x:v>20 Matematik / tam deneme</x:v>
      </x:c>
      <x:c r="I203" s="14" t="str">
        <x:v>Deneme Analizi</x:v>
      </x:c>
      <x:c r="J203" s="14" t="str">
        <x:v>20 Türkçe / tam deneme</x:v>
      </x:c>
      <x:c r="K203" s="14" t="str">
        <x:v>Tüm 6 branş</x:v>
      </x:c>
      <x:c r="L203" s="14" t="str">
        <x:v>90 soru</x:v>
      </x:c>
      <x:c r="M203" s="14" t="str">
        <x:v>Analiz + hedefli remediation</x:v>
      </x:c>
      <x:c r="N203" s="14" t="str">
        <x:v>Yanlış +1/+7/+21</x:v>
      </x:c>
      <x:c r="O203" s="14" t="str">
        <x:v>60 günlük kamp</x:v>
      </x:c>
    </x:row>
    <x:row r="204">
      <x:c r="A204" s="15" t="n">
        <x:v>46498</x:v>
      </x:c>
      <x:c r="B204" s="14" t="n">
        <x:v>203</x:v>
      </x:c>
      <x:c r="C204" s="14" t="str">
        <x:v>Çarşamba</x:v>
      </x:c>
      <x:c r="D204" s="14" t="str">
        <x:v>Okul Günü</x:v>
      </x:c>
      <x:c r="E204" s="14" t="str">
        <x:v>16:00 sonrası</x:v>
      </x:c>
      <x:c r="F204" s="14" t="str">
        <x:v>F4 - 60 Gün / 60 Tam Deneme</x:v>
      </x:c>
      <x:c r="G204" s="14" t="str">
        <x:v>Deneme 08</x:v>
      </x:c>
      <x:c r="H204" s="14" t="str">
        <x:v>20 Matematik / tam deneme</x:v>
      </x:c>
      <x:c r="I204" s="14" t="str">
        <x:v>Deneme Analizi</x:v>
      </x:c>
      <x:c r="J204" s="14" t="str">
        <x:v>20 Türkçe / tam deneme</x:v>
      </x:c>
      <x:c r="K204" s="14" t="str">
        <x:v>Tüm 6 branş</x:v>
      </x:c>
      <x:c r="L204" s="14" t="str">
        <x:v>90 soru</x:v>
      </x:c>
      <x:c r="M204" s="14" t="str">
        <x:v>Analiz + hedefli remediation</x:v>
      </x:c>
      <x:c r="N204" s="14" t="str">
        <x:v>Yanlış +1/+7/+21</x:v>
      </x:c>
      <x:c r="O204" s="14" t="str">
        <x:v>60 günlük kamp</x:v>
      </x:c>
    </x:row>
    <x:row r="205">
      <x:c r="A205" s="15" t="n">
        <x:v>46499</x:v>
      </x:c>
      <x:c r="B205" s="14" t="n">
        <x:v>204</x:v>
      </x:c>
      <x:c r="C205" s="14" t="str">
        <x:v>Perşembe</x:v>
      </x:c>
      <x:c r="D205" s="14" t="str">
        <x:v>Okul Günü</x:v>
      </x:c>
      <x:c r="E205" s="14" t="str">
        <x:v>16:00 sonrası</x:v>
      </x:c>
      <x:c r="F205" s="14" t="str">
        <x:v>F4 - 60 Gün / 60 Tam Deneme</x:v>
      </x:c>
      <x:c r="G205" s="14" t="str">
        <x:v>Deneme 09</x:v>
      </x:c>
      <x:c r="H205" s="14" t="str">
        <x:v>20 Matematik / tam deneme</x:v>
      </x:c>
      <x:c r="I205" s="14" t="str">
        <x:v>Deneme Analizi</x:v>
      </x:c>
      <x:c r="J205" s="14" t="str">
        <x:v>20 Türkçe / tam deneme</x:v>
      </x:c>
      <x:c r="K205" s="14" t="str">
        <x:v>Tüm 6 branş</x:v>
      </x:c>
      <x:c r="L205" s="14" t="str">
        <x:v>90 soru</x:v>
      </x:c>
      <x:c r="M205" s="14" t="str">
        <x:v>Analiz + hedefli remediation</x:v>
      </x:c>
      <x:c r="N205" s="14" t="str">
        <x:v>Yanlış +1/+7/+21</x:v>
      </x:c>
      <x:c r="O205" s="14" t="str">
        <x:v>60 günlük kamp</x:v>
      </x:c>
    </x:row>
    <x:row r="206">
      <x:c r="A206" s="15" t="n">
        <x:v>46500</x:v>
      </x:c>
      <x:c r="B206" s="14" t="n">
        <x:v>205</x:v>
      </x:c>
      <x:c r="C206" s="14" t="str">
        <x:v>Cuma</x:v>
      </x:c>
      <x:c r="D206" s="14" t="str">
        <x:v>Resmî Tatil</x:v>
      </x:c>
      <x:c r="E206" s="14" t="str">
        <x:v>23 Nisan</x:v>
      </x:c>
      <x:c r="F206" s="14" t="str">
        <x:v>F4 - 60 Gün / 60 Tam Deneme</x:v>
      </x:c>
      <x:c r="G206" s="14" t="str">
        <x:v>Deneme 10</x:v>
      </x:c>
      <x:c r="H206" s="14" t="str">
        <x:v>20 Matematik / tam deneme</x:v>
      </x:c>
      <x:c r="I206" s="14" t="str">
        <x:v>Deneme Analizi</x:v>
      </x:c>
      <x:c r="J206" s="14" t="str">
        <x:v>20 Türkçe / tam deneme</x:v>
      </x:c>
      <x:c r="K206" s="14" t="str">
        <x:v>Tüm 6 branş</x:v>
      </x:c>
      <x:c r="L206" s="14" t="str">
        <x:v>90 soru</x:v>
      </x:c>
      <x:c r="M206" s="14" t="str">
        <x:v>Analiz + hedefli remediation</x:v>
      </x:c>
      <x:c r="N206" s="14" t="str">
        <x:v>Yanlış +1/+7/+21</x:v>
      </x:c>
      <x:c r="O206" s="14" t="str">
        <x:v>60 günlük kamp</x:v>
      </x:c>
    </x:row>
    <x:row r="207">
      <x:c r="A207" s="15" t="n">
        <x:v>46501</x:v>
      </x:c>
      <x:c r="B207" s="14" t="n">
        <x:v>206</x:v>
      </x:c>
      <x:c r="C207" s="14" t="str">
        <x:v>Cumartesi</x:v>
      </x:c>
      <x:c r="D207" s="14" t="str">
        <x:v>Hafta Sonu</x:v>
      </x:c>
      <x:c r="E207" s="14" t="str">
        <x:v>Tam gün</x:v>
      </x:c>
      <x:c r="F207" s="14" t="str">
        <x:v>F4 - 60 Gün / 60 Tam Deneme</x:v>
      </x:c>
      <x:c r="G207" s="14" t="str">
        <x:v>Deneme 11</x:v>
      </x:c>
      <x:c r="H207" s="14" t="str">
        <x:v>20 Matematik / tam deneme</x:v>
      </x:c>
      <x:c r="I207" s="14" t="str">
        <x:v>Deneme Analizi</x:v>
      </x:c>
      <x:c r="J207" s="14" t="str">
        <x:v>20 Türkçe / tam deneme</x:v>
      </x:c>
      <x:c r="K207" s="14" t="str">
        <x:v>Tüm 6 branş</x:v>
      </x:c>
      <x:c r="L207" s="14" t="str">
        <x:v>90 soru</x:v>
      </x:c>
      <x:c r="M207" s="14" t="str">
        <x:v>Analiz + hedefli remediation</x:v>
      </x:c>
      <x:c r="N207" s="14" t="str">
        <x:v>Yanlış +1/+7/+21</x:v>
      </x:c>
      <x:c r="O207" s="14" t="str">
        <x:v>60 günlük kamp</x:v>
      </x:c>
    </x:row>
    <x:row r="208">
      <x:c r="A208" s="15" t="n">
        <x:v>46502</x:v>
      </x:c>
      <x:c r="B208" s="14" t="n">
        <x:v>207</x:v>
      </x:c>
      <x:c r="C208" s="14" t="str">
        <x:v>Pazar</x:v>
      </x:c>
      <x:c r="D208" s="14" t="str">
        <x:v>Hafta Sonu</x:v>
      </x:c>
      <x:c r="E208" s="14" t="str">
        <x:v>Tam gün</x:v>
      </x:c>
      <x:c r="F208" s="14" t="str">
        <x:v>F4 - 60 Gün / 60 Tam Deneme</x:v>
      </x:c>
      <x:c r="G208" s="14" t="str">
        <x:v>Deneme 12</x:v>
      </x:c>
      <x:c r="H208" s="14" t="str">
        <x:v>20 Matematik / tam deneme</x:v>
      </x:c>
      <x:c r="I208" s="14" t="str">
        <x:v>Deneme Analizi</x:v>
      </x:c>
      <x:c r="J208" s="14" t="str">
        <x:v>20 Türkçe / tam deneme</x:v>
      </x:c>
      <x:c r="K208" s="14" t="str">
        <x:v>Tüm 6 branş</x:v>
      </x:c>
      <x:c r="L208" s="14" t="str">
        <x:v>90 soru</x:v>
      </x:c>
      <x:c r="M208" s="14" t="str">
        <x:v>Analiz + hedefli remediation</x:v>
      </x:c>
      <x:c r="N208" s="14" t="str">
        <x:v>Yanlış +1/+7/+21</x:v>
      </x:c>
      <x:c r="O208" s="14" t="str">
        <x:v>60 günlük kamp</x:v>
      </x:c>
    </x:row>
    <x:row r="209">
      <x:c r="A209" s="15" t="n">
        <x:v>46503</x:v>
      </x:c>
      <x:c r="B209" s="14" t="n">
        <x:v>208</x:v>
      </x:c>
      <x:c r="C209" s="14" t="str">
        <x:v>Pazartesi</x:v>
      </x:c>
      <x:c r="D209" s="14" t="str">
        <x:v>Okul Günü</x:v>
      </x:c>
      <x:c r="E209" s="14" t="str">
        <x:v>16:00 sonrası</x:v>
      </x:c>
      <x:c r="F209" s="14" t="str">
        <x:v>F4 - 60 Gün / 60 Tam Deneme</x:v>
      </x:c>
      <x:c r="G209" s="14" t="str">
        <x:v>Deneme 13</x:v>
      </x:c>
      <x:c r="H209" s="14" t="str">
        <x:v>20 Matematik / tam deneme</x:v>
      </x:c>
      <x:c r="I209" s="14" t="str">
        <x:v>Deneme Analizi</x:v>
      </x:c>
      <x:c r="J209" s="14" t="str">
        <x:v>20 Türkçe / tam deneme</x:v>
      </x:c>
      <x:c r="K209" s="14" t="str">
        <x:v>Tüm 6 branş</x:v>
      </x:c>
      <x:c r="L209" s="14" t="str">
        <x:v>90 soru</x:v>
      </x:c>
      <x:c r="M209" s="14" t="str">
        <x:v>Analiz + hedefli remediation</x:v>
      </x:c>
      <x:c r="N209" s="14" t="str">
        <x:v>Yanlış +1/+7/+21</x:v>
      </x:c>
      <x:c r="O209" s="14" t="str">
        <x:v>60 günlük kamp</x:v>
      </x:c>
    </x:row>
    <x:row r="210">
      <x:c r="A210" s="15" t="n">
        <x:v>46504</x:v>
      </x:c>
      <x:c r="B210" s="14" t="n">
        <x:v>209</x:v>
      </x:c>
      <x:c r="C210" s="14" t="str">
        <x:v>Salı</x:v>
      </x:c>
      <x:c r="D210" s="14" t="str">
        <x:v>Okul Günü</x:v>
      </x:c>
      <x:c r="E210" s="14" t="str">
        <x:v>16:00 sonrası</x:v>
      </x:c>
      <x:c r="F210" s="14" t="str">
        <x:v>F4 - 60 Gün / 60 Tam Deneme</x:v>
      </x:c>
      <x:c r="G210" s="14" t="str">
        <x:v>Deneme 14</x:v>
      </x:c>
      <x:c r="H210" s="14" t="str">
        <x:v>20 Matematik / tam deneme</x:v>
      </x:c>
      <x:c r="I210" s="14" t="str">
        <x:v>Deneme Analizi</x:v>
      </x:c>
      <x:c r="J210" s="14" t="str">
        <x:v>20 Türkçe / tam deneme</x:v>
      </x:c>
      <x:c r="K210" s="14" t="str">
        <x:v>Tüm 6 branş</x:v>
      </x:c>
      <x:c r="L210" s="14" t="str">
        <x:v>90 soru</x:v>
      </x:c>
      <x:c r="M210" s="14" t="str">
        <x:v>Analiz + hedefli remediation</x:v>
      </x:c>
      <x:c r="N210" s="14" t="str">
        <x:v>Yanlış +1/+7/+21</x:v>
      </x:c>
      <x:c r="O210" s="14" t="str">
        <x:v>60 günlük kamp</x:v>
      </x:c>
    </x:row>
    <x:row r="211">
      <x:c r="A211" s="15" t="n">
        <x:v>46505</x:v>
      </x:c>
      <x:c r="B211" s="14" t="n">
        <x:v>210</x:v>
      </x:c>
      <x:c r="C211" s="14" t="str">
        <x:v>Çarşamba</x:v>
      </x:c>
      <x:c r="D211" s="14" t="str">
        <x:v>Okul Günü</x:v>
      </x:c>
      <x:c r="E211" s="14" t="str">
        <x:v>16:00 sonrası</x:v>
      </x:c>
      <x:c r="F211" s="14" t="str">
        <x:v>F4 - 60 Gün / 60 Tam Deneme</x:v>
      </x:c>
      <x:c r="G211" s="14" t="str">
        <x:v>Deneme 15</x:v>
      </x:c>
      <x:c r="H211" s="14" t="str">
        <x:v>20 Matematik / tam deneme</x:v>
      </x:c>
      <x:c r="I211" s="14" t="str">
        <x:v>Deneme Analizi</x:v>
      </x:c>
      <x:c r="J211" s="14" t="str">
        <x:v>20 Türkçe / tam deneme</x:v>
      </x:c>
      <x:c r="K211" s="14" t="str">
        <x:v>Tüm 6 branş</x:v>
      </x:c>
      <x:c r="L211" s="14" t="str">
        <x:v>90 soru</x:v>
      </x:c>
      <x:c r="M211" s="14" t="str">
        <x:v>Analiz + hedefli remediation</x:v>
      </x:c>
      <x:c r="N211" s="14" t="str">
        <x:v>Yanlış +1/+7/+21</x:v>
      </x:c>
      <x:c r="O211" s="14" t="str">
        <x:v>60 günlük kamp</x:v>
      </x:c>
    </x:row>
    <x:row r="212">
      <x:c r="A212" s="15" t="n">
        <x:v>46506</x:v>
      </x:c>
      <x:c r="B212" s="14" t="n">
        <x:v>211</x:v>
      </x:c>
      <x:c r="C212" s="14" t="str">
        <x:v>Perşembe</x:v>
      </x:c>
      <x:c r="D212" s="14" t="str">
        <x:v>Okul Günü</x:v>
      </x:c>
      <x:c r="E212" s="14" t="str">
        <x:v>16:00 sonrası</x:v>
      </x:c>
      <x:c r="F212" s="14" t="str">
        <x:v>F4 - 60 Gün / 60 Tam Deneme</x:v>
      </x:c>
      <x:c r="G212" s="14" t="str">
        <x:v>Deneme 16</x:v>
      </x:c>
      <x:c r="H212" s="14" t="str">
        <x:v>20 Matematik / tam deneme</x:v>
      </x:c>
      <x:c r="I212" s="14" t="str">
        <x:v>Deneme Analizi</x:v>
      </x:c>
      <x:c r="J212" s="14" t="str">
        <x:v>20 Türkçe / tam deneme</x:v>
      </x:c>
      <x:c r="K212" s="14" t="str">
        <x:v>Tüm 6 branş</x:v>
      </x:c>
      <x:c r="L212" s="14" t="str">
        <x:v>90 soru</x:v>
      </x:c>
      <x:c r="M212" s="14" t="str">
        <x:v>Analiz + hedefli remediation</x:v>
      </x:c>
      <x:c r="N212" s="14" t="str">
        <x:v>Yanlış +1/+7/+21</x:v>
      </x:c>
      <x:c r="O212" s="14" t="str">
        <x:v>60 günlük kamp</x:v>
      </x:c>
    </x:row>
    <x:row r="213">
      <x:c r="A213" s="15" t="n">
        <x:v>46507</x:v>
      </x:c>
      <x:c r="B213" s="14" t="n">
        <x:v>212</x:v>
      </x:c>
      <x:c r="C213" s="14" t="str">
        <x:v>Cuma</x:v>
      </x:c>
      <x:c r="D213" s="14" t="str">
        <x:v>Okul Günü</x:v>
      </x:c>
      <x:c r="E213" s="14" t="str">
        <x:v>16:00 sonrası</x:v>
      </x:c>
      <x:c r="F213" s="14" t="str">
        <x:v>F4 - 60 Gün / 60 Tam Deneme</x:v>
      </x:c>
      <x:c r="G213" s="14" t="str">
        <x:v>Deneme 17</x:v>
      </x:c>
      <x:c r="H213" s="14" t="str">
        <x:v>20 Matematik / tam deneme</x:v>
      </x:c>
      <x:c r="I213" s="14" t="str">
        <x:v>Deneme Analizi</x:v>
      </x:c>
      <x:c r="J213" s="14" t="str">
        <x:v>20 Türkçe / tam deneme</x:v>
      </x:c>
      <x:c r="K213" s="14" t="str">
        <x:v>Tüm 6 branş</x:v>
      </x:c>
      <x:c r="L213" s="14" t="str">
        <x:v>90 soru</x:v>
      </x:c>
      <x:c r="M213" s="14" t="str">
        <x:v>Analiz + hedefli remediation</x:v>
      </x:c>
      <x:c r="N213" s="14" t="str">
        <x:v>Yanlış +1/+7/+21</x:v>
      </x:c>
      <x:c r="O213" s="14" t="str">
        <x:v>60 günlük kamp</x:v>
      </x:c>
    </x:row>
    <x:row r="214">
      <x:c r="A214" s="15" t="n">
        <x:v>46508</x:v>
      </x:c>
      <x:c r="B214" s="14" t="n">
        <x:v>213</x:v>
      </x:c>
      <x:c r="C214" s="14" t="str">
        <x:v>Cumartesi</x:v>
      </x:c>
      <x:c r="D214" s="14" t="str">
        <x:v>Hafta Sonu</x:v>
      </x:c>
      <x:c r="E214" s="14" t="str">
        <x:v>Tam gün</x:v>
      </x:c>
      <x:c r="F214" s="14" t="str">
        <x:v>F4 - 60 Gün / 60 Tam Deneme</x:v>
      </x:c>
      <x:c r="G214" s="14" t="str">
        <x:v>Deneme 18</x:v>
      </x:c>
      <x:c r="H214" s="14" t="str">
        <x:v>20 Matematik / tam deneme</x:v>
      </x:c>
      <x:c r="I214" s="14" t="str">
        <x:v>Deneme Analizi</x:v>
      </x:c>
      <x:c r="J214" s="14" t="str">
        <x:v>20 Türkçe / tam deneme</x:v>
      </x:c>
      <x:c r="K214" s="14" t="str">
        <x:v>Tüm 6 branş</x:v>
      </x:c>
      <x:c r="L214" s="14" t="str">
        <x:v>90 soru</x:v>
      </x:c>
      <x:c r="M214" s="14" t="str">
        <x:v>Analiz + hedefli remediation</x:v>
      </x:c>
      <x:c r="N214" s="14" t="str">
        <x:v>Yanlış +1/+7/+21</x:v>
      </x:c>
      <x:c r="O214" s="14" t="str">
        <x:v>60 günlük kamp</x:v>
      </x:c>
    </x:row>
    <x:row r="215">
      <x:c r="A215" s="15" t="n">
        <x:v>46509</x:v>
      </x:c>
      <x:c r="B215" s="14" t="n">
        <x:v>214</x:v>
      </x:c>
      <x:c r="C215" s="14" t="str">
        <x:v>Pazar</x:v>
      </x:c>
      <x:c r="D215" s="14" t="str">
        <x:v>Hafta Sonu</x:v>
      </x:c>
      <x:c r="E215" s="14" t="str">
        <x:v>Tam gün</x:v>
      </x:c>
      <x:c r="F215" s="14" t="str">
        <x:v>F4 - 60 Gün / 60 Tam Deneme</x:v>
      </x:c>
      <x:c r="G215" s="14" t="str">
        <x:v>Deneme 19</x:v>
      </x:c>
      <x:c r="H215" s="14" t="str">
        <x:v>20 Matematik / tam deneme</x:v>
      </x:c>
      <x:c r="I215" s="14" t="str">
        <x:v>Deneme Analizi</x:v>
      </x:c>
      <x:c r="J215" s="14" t="str">
        <x:v>20 Türkçe / tam deneme</x:v>
      </x:c>
      <x:c r="K215" s="14" t="str">
        <x:v>Tüm 6 branş</x:v>
      </x:c>
      <x:c r="L215" s="14" t="str">
        <x:v>90 soru</x:v>
      </x:c>
      <x:c r="M215" s="14" t="str">
        <x:v>Analiz + hedefli remediation</x:v>
      </x:c>
      <x:c r="N215" s="14" t="str">
        <x:v>Yanlış +1/+7/+21</x:v>
      </x:c>
      <x:c r="O215" s="14" t="str">
        <x:v>60 günlük kamp</x:v>
      </x:c>
    </x:row>
    <x:row r="216">
      <x:c r="A216" s="15" t="n">
        <x:v>46510</x:v>
      </x:c>
      <x:c r="B216" s="14" t="n">
        <x:v>215</x:v>
      </x:c>
      <x:c r="C216" s="14" t="str">
        <x:v>Pazartesi</x:v>
      </x:c>
      <x:c r="D216" s="14" t="str">
        <x:v>Okul Günü</x:v>
      </x:c>
      <x:c r="E216" s="14" t="str">
        <x:v>16:00 sonrası</x:v>
      </x:c>
      <x:c r="F216" s="14" t="str">
        <x:v>F4 - 60 Gün / 60 Tam Deneme</x:v>
      </x:c>
      <x:c r="G216" s="14" t="str">
        <x:v>Deneme 20</x:v>
      </x:c>
      <x:c r="H216" s="14" t="str">
        <x:v>20 Matematik / tam deneme</x:v>
      </x:c>
      <x:c r="I216" s="14" t="str">
        <x:v>Deneme Analizi</x:v>
      </x:c>
      <x:c r="J216" s="14" t="str">
        <x:v>20 Türkçe / tam deneme</x:v>
      </x:c>
      <x:c r="K216" s="14" t="str">
        <x:v>Tüm 6 branş</x:v>
      </x:c>
      <x:c r="L216" s="14" t="str">
        <x:v>90 soru</x:v>
      </x:c>
      <x:c r="M216" s="14" t="str">
        <x:v>Analiz + hedefli remediation</x:v>
      </x:c>
      <x:c r="N216" s="14" t="str">
        <x:v>Yanlış +1/+7/+21</x:v>
      </x:c>
      <x:c r="O216" s="14" t="str">
        <x:v>60 günlük kamp</x:v>
      </x:c>
    </x:row>
    <x:row r="217">
      <x:c r="A217" s="15" t="n">
        <x:v>46511</x:v>
      </x:c>
      <x:c r="B217" s="14" t="n">
        <x:v>216</x:v>
      </x:c>
      <x:c r="C217" s="14" t="str">
        <x:v>Salı</x:v>
      </x:c>
      <x:c r="D217" s="14" t="str">
        <x:v>Okul Günü</x:v>
      </x:c>
      <x:c r="E217" s="14" t="str">
        <x:v>16:00 sonrası</x:v>
      </x:c>
      <x:c r="F217" s="14" t="str">
        <x:v>F4 - 60 Gün / 60 Tam Deneme</x:v>
      </x:c>
      <x:c r="G217" s="14" t="str">
        <x:v>Deneme 21</x:v>
      </x:c>
      <x:c r="H217" s="14" t="str">
        <x:v>20 Matematik / tam deneme</x:v>
      </x:c>
      <x:c r="I217" s="14" t="str">
        <x:v>Deneme Analizi</x:v>
      </x:c>
      <x:c r="J217" s="14" t="str">
        <x:v>20 Türkçe / tam deneme</x:v>
      </x:c>
      <x:c r="K217" s="14" t="str">
        <x:v>Tüm 6 branş</x:v>
      </x:c>
      <x:c r="L217" s="14" t="str">
        <x:v>90 soru</x:v>
      </x:c>
      <x:c r="M217" s="14" t="str">
        <x:v>Analiz + hedefli remediation</x:v>
      </x:c>
      <x:c r="N217" s="14" t="str">
        <x:v>Yanlış +1/+7/+21</x:v>
      </x:c>
      <x:c r="O217" s="14" t="str">
        <x:v>60 günlük kamp</x:v>
      </x:c>
    </x:row>
    <x:row r="218">
      <x:c r="A218" s="15" t="n">
        <x:v>46512</x:v>
      </x:c>
      <x:c r="B218" s="14" t="n">
        <x:v>217</x:v>
      </x:c>
      <x:c r="C218" s="14" t="str">
        <x:v>Çarşamba</x:v>
      </x:c>
      <x:c r="D218" s="14" t="str">
        <x:v>Okul Günü</x:v>
      </x:c>
      <x:c r="E218" s="14" t="str">
        <x:v>16:00 sonrası</x:v>
      </x:c>
      <x:c r="F218" s="14" t="str">
        <x:v>F4 - 60 Gün / 60 Tam Deneme</x:v>
      </x:c>
      <x:c r="G218" s="14" t="str">
        <x:v>Deneme 22</x:v>
      </x:c>
      <x:c r="H218" s="14" t="str">
        <x:v>20 Matematik / tam deneme</x:v>
      </x:c>
      <x:c r="I218" s="14" t="str">
        <x:v>Deneme Analizi</x:v>
      </x:c>
      <x:c r="J218" s="14" t="str">
        <x:v>20 Türkçe / tam deneme</x:v>
      </x:c>
      <x:c r="K218" s="14" t="str">
        <x:v>Tüm 6 branş</x:v>
      </x:c>
      <x:c r="L218" s="14" t="str">
        <x:v>90 soru</x:v>
      </x:c>
      <x:c r="M218" s="14" t="str">
        <x:v>Analiz + hedefli remediation</x:v>
      </x:c>
      <x:c r="N218" s="14" t="str">
        <x:v>Yanlış +1/+7/+21</x:v>
      </x:c>
      <x:c r="O218" s="14" t="str">
        <x:v>60 günlük kamp</x:v>
      </x:c>
    </x:row>
    <x:row r="219">
      <x:c r="A219" s="15" t="n">
        <x:v>46513</x:v>
      </x:c>
      <x:c r="B219" s="14" t="n">
        <x:v>218</x:v>
      </x:c>
      <x:c r="C219" s="14" t="str">
        <x:v>Perşembe</x:v>
      </x:c>
      <x:c r="D219" s="14" t="str">
        <x:v>Okul Günü</x:v>
      </x:c>
      <x:c r="E219" s="14" t="str">
        <x:v>16:00 sonrası</x:v>
      </x:c>
      <x:c r="F219" s="14" t="str">
        <x:v>F4 - 60 Gün / 60 Tam Deneme</x:v>
      </x:c>
      <x:c r="G219" s="14" t="str">
        <x:v>Deneme 23</x:v>
      </x:c>
      <x:c r="H219" s="14" t="str">
        <x:v>20 Matematik / tam deneme</x:v>
      </x:c>
      <x:c r="I219" s="14" t="str">
        <x:v>Deneme Analizi</x:v>
      </x:c>
      <x:c r="J219" s="14" t="str">
        <x:v>20 Türkçe / tam deneme</x:v>
      </x:c>
      <x:c r="K219" s="14" t="str">
        <x:v>Tüm 6 branş</x:v>
      </x:c>
      <x:c r="L219" s="14" t="str">
        <x:v>90 soru</x:v>
      </x:c>
      <x:c r="M219" s="14" t="str">
        <x:v>Analiz + hedefli remediation</x:v>
      </x:c>
      <x:c r="N219" s="14" t="str">
        <x:v>Yanlış +1/+7/+21</x:v>
      </x:c>
      <x:c r="O219" s="14" t="str">
        <x:v>60 günlük kamp</x:v>
      </x:c>
    </x:row>
    <x:row r="220">
      <x:c r="A220" s="15" t="n">
        <x:v>46514</x:v>
      </x:c>
      <x:c r="B220" s="14" t="n">
        <x:v>219</x:v>
      </x:c>
      <x:c r="C220" s="14" t="str">
        <x:v>Cuma</x:v>
      </x:c>
      <x:c r="D220" s="14" t="str">
        <x:v>Okul Günü</x:v>
      </x:c>
      <x:c r="E220" s="14" t="str">
        <x:v>16:00 sonrası</x:v>
      </x:c>
      <x:c r="F220" s="14" t="str">
        <x:v>F4 - 60 Gün / 60 Tam Deneme</x:v>
      </x:c>
      <x:c r="G220" s="14" t="str">
        <x:v>Deneme 24</x:v>
      </x:c>
      <x:c r="H220" s="14" t="str">
        <x:v>20 Matematik / tam deneme</x:v>
      </x:c>
      <x:c r="I220" s="14" t="str">
        <x:v>Deneme Analizi</x:v>
      </x:c>
      <x:c r="J220" s="14" t="str">
        <x:v>20 Türkçe / tam deneme</x:v>
      </x:c>
      <x:c r="K220" s="14" t="str">
        <x:v>Tüm 6 branş</x:v>
      </x:c>
      <x:c r="L220" s="14" t="str">
        <x:v>90 soru</x:v>
      </x:c>
      <x:c r="M220" s="14" t="str">
        <x:v>Analiz + hedefli remediation</x:v>
      </x:c>
      <x:c r="N220" s="14" t="str">
        <x:v>Yanlış +1/+7/+21</x:v>
      </x:c>
      <x:c r="O220" s="14" t="str">
        <x:v>60 günlük kamp</x:v>
      </x:c>
    </x:row>
    <x:row r="221">
      <x:c r="A221" s="15" t="n">
        <x:v>46515</x:v>
      </x:c>
      <x:c r="B221" s="14" t="n">
        <x:v>220</x:v>
      </x:c>
      <x:c r="C221" s="14" t="str">
        <x:v>Cumartesi</x:v>
      </x:c>
      <x:c r="D221" s="14" t="str">
        <x:v>Hafta Sonu</x:v>
      </x:c>
      <x:c r="E221" s="14" t="str">
        <x:v>Tam gün</x:v>
      </x:c>
      <x:c r="F221" s="14" t="str">
        <x:v>F4 - 60 Gün / 60 Tam Deneme</x:v>
      </x:c>
      <x:c r="G221" s="14" t="str">
        <x:v>Deneme 25</x:v>
      </x:c>
      <x:c r="H221" s="14" t="str">
        <x:v>20 Matematik / tam deneme</x:v>
      </x:c>
      <x:c r="I221" s="14" t="str">
        <x:v>Deneme Analizi</x:v>
      </x:c>
      <x:c r="J221" s="14" t="str">
        <x:v>20 Türkçe / tam deneme</x:v>
      </x:c>
      <x:c r="K221" s="14" t="str">
        <x:v>Tüm 6 branş</x:v>
      </x:c>
      <x:c r="L221" s="14" t="str">
        <x:v>90 soru</x:v>
      </x:c>
      <x:c r="M221" s="14" t="str">
        <x:v>Analiz + hedefli remediation</x:v>
      </x:c>
      <x:c r="N221" s="14" t="str">
        <x:v>Yanlış +1/+7/+21</x:v>
      </x:c>
      <x:c r="O221" s="14" t="str">
        <x:v>60 günlük kamp</x:v>
      </x:c>
    </x:row>
    <x:row r="222">
      <x:c r="A222" s="15" t="n">
        <x:v>46516</x:v>
      </x:c>
      <x:c r="B222" s="14" t="n">
        <x:v>221</x:v>
      </x:c>
      <x:c r="C222" s="14" t="str">
        <x:v>Pazar</x:v>
      </x:c>
      <x:c r="D222" s="14" t="str">
        <x:v>Hafta Sonu</x:v>
      </x:c>
      <x:c r="E222" s="14" t="str">
        <x:v>Tam gün</x:v>
      </x:c>
      <x:c r="F222" s="14" t="str">
        <x:v>F4 - 60 Gün / 60 Tam Deneme</x:v>
      </x:c>
      <x:c r="G222" s="14" t="str">
        <x:v>Deneme 26</x:v>
      </x:c>
      <x:c r="H222" s="14" t="str">
        <x:v>20 Matematik / tam deneme</x:v>
      </x:c>
      <x:c r="I222" s="14" t="str">
        <x:v>Deneme Analizi</x:v>
      </x:c>
      <x:c r="J222" s="14" t="str">
        <x:v>20 Türkçe / tam deneme</x:v>
      </x:c>
      <x:c r="K222" s="14" t="str">
        <x:v>Tüm 6 branş</x:v>
      </x:c>
      <x:c r="L222" s="14" t="str">
        <x:v>90 soru</x:v>
      </x:c>
      <x:c r="M222" s="14" t="str">
        <x:v>Analiz + hedefli remediation</x:v>
      </x:c>
      <x:c r="N222" s="14" t="str">
        <x:v>Yanlış +1/+7/+21</x:v>
      </x:c>
      <x:c r="O222" s="14" t="str">
        <x:v>60 günlük kamp</x:v>
      </x:c>
    </x:row>
    <x:row r="223">
      <x:c r="A223" s="15" t="n">
        <x:v>46517</x:v>
      </x:c>
      <x:c r="B223" s="14" t="n">
        <x:v>222</x:v>
      </x:c>
      <x:c r="C223" s="14" t="str">
        <x:v>Pazartesi</x:v>
      </x:c>
      <x:c r="D223" s="14" t="str">
        <x:v>Okul Günü</x:v>
      </x:c>
      <x:c r="E223" s="14" t="str">
        <x:v>16:00 sonrası</x:v>
      </x:c>
      <x:c r="F223" s="14" t="str">
        <x:v>F4 - 60 Gün / 60 Tam Deneme</x:v>
      </x:c>
      <x:c r="G223" s="14" t="str">
        <x:v>Deneme 27</x:v>
      </x:c>
      <x:c r="H223" s="14" t="str">
        <x:v>20 Matematik / tam deneme</x:v>
      </x:c>
      <x:c r="I223" s="14" t="str">
        <x:v>Deneme Analizi</x:v>
      </x:c>
      <x:c r="J223" s="14" t="str">
        <x:v>20 Türkçe / tam deneme</x:v>
      </x:c>
      <x:c r="K223" s="14" t="str">
        <x:v>Tüm 6 branş</x:v>
      </x:c>
      <x:c r="L223" s="14" t="str">
        <x:v>90 soru</x:v>
      </x:c>
      <x:c r="M223" s="14" t="str">
        <x:v>Analiz + hedefli remediation</x:v>
      </x:c>
      <x:c r="N223" s="14" t="str">
        <x:v>Yanlış +1/+7/+21</x:v>
      </x:c>
      <x:c r="O223" s="14" t="str">
        <x:v>60 günlük kamp</x:v>
      </x:c>
    </x:row>
    <x:row r="224">
      <x:c r="A224" s="15" t="n">
        <x:v>46518</x:v>
      </x:c>
      <x:c r="B224" s="14" t="n">
        <x:v>223</x:v>
      </x:c>
      <x:c r="C224" s="14" t="str">
        <x:v>Salı</x:v>
      </x:c>
      <x:c r="D224" s="14" t="str">
        <x:v>Okul Günü</x:v>
      </x:c>
      <x:c r="E224" s="14" t="str">
        <x:v>16:00 sonrası</x:v>
      </x:c>
      <x:c r="F224" s="14" t="str">
        <x:v>F4 - 60 Gün / 60 Tam Deneme</x:v>
      </x:c>
      <x:c r="G224" s="14" t="str">
        <x:v>Deneme 28</x:v>
      </x:c>
      <x:c r="H224" s="14" t="str">
        <x:v>20 Matematik / tam deneme</x:v>
      </x:c>
      <x:c r="I224" s="14" t="str">
        <x:v>Deneme Analizi</x:v>
      </x:c>
      <x:c r="J224" s="14" t="str">
        <x:v>20 Türkçe / tam deneme</x:v>
      </x:c>
      <x:c r="K224" s="14" t="str">
        <x:v>Tüm 6 branş</x:v>
      </x:c>
      <x:c r="L224" s="14" t="str">
        <x:v>90 soru</x:v>
      </x:c>
      <x:c r="M224" s="14" t="str">
        <x:v>Analiz + hedefli remediation</x:v>
      </x:c>
      <x:c r="N224" s="14" t="str">
        <x:v>Yanlış +1/+7/+21</x:v>
      </x:c>
      <x:c r="O224" s="14" t="str">
        <x:v>60 günlük kamp</x:v>
      </x:c>
    </x:row>
    <x:row r="225">
      <x:c r="A225" s="15" t="n">
        <x:v>46519</x:v>
      </x:c>
      <x:c r="B225" s="14" t="n">
        <x:v>224</x:v>
      </x:c>
      <x:c r="C225" s="14" t="str">
        <x:v>Çarşamba</x:v>
      </x:c>
      <x:c r="D225" s="14" t="str">
        <x:v>Okul Günü</x:v>
      </x:c>
      <x:c r="E225" s="14" t="str">
        <x:v>16:00 sonrası</x:v>
      </x:c>
      <x:c r="F225" s="14" t="str">
        <x:v>F4 - 60 Gün / 60 Tam Deneme</x:v>
      </x:c>
      <x:c r="G225" s="14" t="str">
        <x:v>Deneme 29</x:v>
      </x:c>
      <x:c r="H225" s="14" t="str">
        <x:v>20 Matematik / tam deneme</x:v>
      </x:c>
      <x:c r="I225" s="14" t="str">
        <x:v>Deneme Analizi</x:v>
      </x:c>
      <x:c r="J225" s="14" t="str">
        <x:v>20 Türkçe / tam deneme</x:v>
      </x:c>
      <x:c r="K225" s="14" t="str">
        <x:v>Tüm 6 branş</x:v>
      </x:c>
      <x:c r="L225" s="14" t="str">
        <x:v>90 soru</x:v>
      </x:c>
      <x:c r="M225" s="14" t="str">
        <x:v>Analiz + hedefli remediation</x:v>
      </x:c>
      <x:c r="N225" s="14" t="str">
        <x:v>Yanlış +1/+7/+21</x:v>
      </x:c>
      <x:c r="O225" s="14" t="str">
        <x:v>60 günlük kamp</x:v>
      </x:c>
    </x:row>
    <x:row r="226">
      <x:c r="A226" s="15" t="n">
        <x:v>46520</x:v>
      </x:c>
      <x:c r="B226" s="14" t="n">
        <x:v>225</x:v>
      </x:c>
      <x:c r="C226" s="14" t="str">
        <x:v>Perşembe</x:v>
      </x:c>
      <x:c r="D226" s="14" t="str">
        <x:v>Okul Günü</x:v>
      </x:c>
      <x:c r="E226" s="14" t="str">
        <x:v>16:00 sonrası</x:v>
      </x:c>
      <x:c r="F226" s="14" t="str">
        <x:v>F4 - 60 Gün / 60 Tam Deneme</x:v>
      </x:c>
      <x:c r="G226" s="14" t="str">
        <x:v>Deneme 30</x:v>
      </x:c>
      <x:c r="H226" s="14" t="str">
        <x:v>20 Matematik / tam deneme</x:v>
      </x:c>
      <x:c r="I226" s="14" t="str">
        <x:v>Deneme Analizi</x:v>
      </x:c>
      <x:c r="J226" s="14" t="str">
        <x:v>20 Türkçe / tam deneme</x:v>
      </x:c>
      <x:c r="K226" s="14" t="str">
        <x:v>Tüm 6 branş</x:v>
      </x:c>
      <x:c r="L226" s="14" t="str">
        <x:v>90 soru</x:v>
      </x:c>
      <x:c r="M226" s="14" t="str">
        <x:v>Analiz + hedefli remediation</x:v>
      </x:c>
      <x:c r="N226" s="14" t="str">
        <x:v>Yanlış +1/+7/+21</x:v>
      </x:c>
      <x:c r="O226" s="14" t="str">
        <x:v>60 günlük kamp</x:v>
      </x:c>
    </x:row>
    <x:row r="227">
      <x:c r="A227" s="15" t="n">
        <x:v>46521</x:v>
      </x:c>
      <x:c r="B227" s="14" t="n">
        <x:v>226</x:v>
      </x:c>
      <x:c r="C227" s="14" t="str">
        <x:v>Cuma</x:v>
      </x:c>
      <x:c r="D227" s="14" t="str">
        <x:v>Okul Günü</x:v>
      </x:c>
      <x:c r="E227" s="14" t="str">
        <x:v>16:00 sonrası</x:v>
      </x:c>
      <x:c r="F227" s="14" t="str">
        <x:v>F4 - 60 Gün / 60 Tam Deneme</x:v>
      </x:c>
      <x:c r="G227" s="14" t="str">
        <x:v>Deneme 31</x:v>
      </x:c>
      <x:c r="H227" s="14" t="str">
        <x:v>20 Matematik / tam deneme</x:v>
      </x:c>
      <x:c r="I227" s="14" t="str">
        <x:v>Deneme Analizi</x:v>
      </x:c>
      <x:c r="J227" s="14" t="str">
        <x:v>20 Türkçe / tam deneme</x:v>
      </x:c>
      <x:c r="K227" s="14" t="str">
        <x:v>Tüm 6 branş</x:v>
      </x:c>
      <x:c r="L227" s="14" t="str">
        <x:v>90 soru</x:v>
      </x:c>
      <x:c r="M227" s="14" t="str">
        <x:v>Analiz + hedefli remediation</x:v>
      </x:c>
      <x:c r="N227" s="14" t="str">
        <x:v>Yanlış +1/+7/+21</x:v>
      </x:c>
      <x:c r="O227" s="14" t="str">
        <x:v>60 günlük kamp</x:v>
      </x:c>
    </x:row>
    <x:row r="228">
      <x:c r="A228" s="15" t="n">
        <x:v>46522</x:v>
      </x:c>
      <x:c r="B228" s="14" t="n">
        <x:v>227</x:v>
      </x:c>
      <x:c r="C228" s="14" t="str">
        <x:v>Cumartesi</x:v>
      </x:c>
      <x:c r="D228" s="14" t="str">
        <x:v>Hafta Sonu</x:v>
      </x:c>
      <x:c r="E228" s="14" t="str">
        <x:v>Tam gün</x:v>
      </x:c>
      <x:c r="F228" s="14" t="str">
        <x:v>F4 - 60 Gün / 60 Tam Deneme</x:v>
      </x:c>
      <x:c r="G228" s="14" t="str">
        <x:v>Deneme 32</x:v>
      </x:c>
      <x:c r="H228" s="14" t="str">
        <x:v>20 Matematik / tam deneme</x:v>
      </x:c>
      <x:c r="I228" s="14" t="str">
        <x:v>Deneme Analizi</x:v>
      </x:c>
      <x:c r="J228" s="14" t="str">
        <x:v>20 Türkçe / tam deneme</x:v>
      </x:c>
      <x:c r="K228" s="14" t="str">
        <x:v>Tüm 6 branş</x:v>
      </x:c>
      <x:c r="L228" s="14" t="str">
        <x:v>90 soru</x:v>
      </x:c>
      <x:c r="M228" s="14" t="str">
        <x:v>Analiz + hedefli remediation</x:v>
      </x:c>
      <x:c r="N228" s="14" t="str">
        <x:v>Yanlış +1/+7/+21</x:v>
      </x:c>
      <x:c r="O228" s="14" t="str">
        <x:v>60 günlük kamp</x:v>
      </x:c>
    </x:row>
    <x:row r="229">
      <x:c r="A229" s="15" t="n">
        <x:v>46523</x:v>
      </x:c>
      <x:c r="B229" s="14" t="n">
        <x:v>228</x:v>
      </x:c>
      <x:c r="C229" s="14" t="str">
        <x:v>Pazar</x:v>
      </x:c>
      <x:c r="D229" s="14" t="str">
        <x:v>Hafta Sonu</x:v>
      </x:c>
      <x:c r="E229" s="14" t="str">
        <x:v>Tam gün</x:v>
      </x:c>
      <x:c r="F229" s="14" t="str">
        <x:v>F4 - 60 Gün / 60 Tam Deneme</x:v>
      </x:c>
      <x:c r="G229" s="14" t="str">
        <x:v>Deneme 33</x:v>
      </x:c>
      <x:c r="H229" s="14" t="str">
        <x:v>20 Matematik / tam deneme</x:v>
      </x:c>
      <x:c r="I229" s="14" t="str">
        <x:v>Deneme Analizi</x:v>
      </x:c>
      <x:c r="J229" s="14" t="str">
        <x:v>20 Türkçe / tam deneme</x:v>
      </x:c>
      <x:c r="K229" s="14" t="str">
        <x:v>Tüm 6 branş</x:v>
      </x:c>
      <x:c r="L229" s="14" t="str">
        <x:v>90 soru</x:v>
      </x:c>
      <x:c r="M229" s="14" t="str">
        <x:v>Analiz + hedefli remediation</x:v>
      </x:c>
      <x:c r="N229" s="14" t="str">
        <x:v>Yanlış +1/+7/+21</x:v>
      </x:c>
      <x:c r="O229" s="14" t="str">
        <x:v>60 günlük kamp</x:v>
      </x:c>
    </x:row>
    <x:row r="230">
      <x:c r="A230" s="15" t="n">
        <x:v>46524</x:v>
      </x:c>
      <x:c r="B230" s="14" t="n">
        <x:v>229</x:v>
      </x:c>
      <x:c r="C230" s="14" t="str">
        <x:v>Pazartesi</x:v>
      </x:c>
      <x:c r="D230" s="14" t="str">
        <x:v>Okul Günü</x:v>
      </x:c>
      <x:c r="E230" s="14" t="str">
        <x:v>16:00 sonrası</x:v>
      </x:c>
      <x:c r="F230" s="14" t="str">
        <x:v>F4 - 60 Gün / 60 Tam Deneme</x:v>
      </x:c>
      <x:c r="G230" s="14" t="str">
        <x:v>Deneme 34</x:v>
      </x:c>
      <x:c r="H230" s="14" t="str">
        <x:v>20 Matematik / tam deneme</x:v>
      </x:c>
      <x:c r="I230" s="14" t="str">
        <x:v>Deneme Analizi</x:v>
      </x:c>
      <x:c r="J230" s="14" t="str">
        <x:v>20 Türkçe / tam deneme</x:v>
      </x:c>
      <x:c r="K230" s="14" t="str">
        <x:v>Tüm 6 branş</x:v>
      </x:c>
      <x:c r="L230" s="14" t="str">
        <x:v>90 soru</x:v>
      </x:c>
      <x:c r="M230" s="14" t="str">
        <x:v>Analiz + hedefli remediation</x:v>
      </x:c>
      <x:c r="N230" s="14" t="str">
        <x:v>Yanlış +1/+7/+21</x:v>
      </x:c>
      <x:c r="O230" s="14" t="str">
        <x:v>60 günlük kamp</x:v>
      </x:c>
    </x:row>
    <x:row r="231">
      <x:c r="A231" s="15" t="n">
        <x:v>46525</x:v>
      </x:c>
      <x:c r="B231" s="14" t="n">
        <x:v>230</x:v>
      </x:c>
      <x:c r="C231" s="14" t="str">
        <x:v>Salı</x:v>
      </x:c>
      <x:c r="D231" s="14" t="str">
        <x:v>Okul Günü</x:v>
      </x:c>
      <x:c r="E231" s="14" t="str">
        <x:v>16:00 sonrası</x:v>
      </x:c>
      <x:c r="F231" s="14" t="str">
        <x:v>F4 - 60 Gün / 60 Tam Deneme</x:v>
      </x:c>
      <x:c r="G231" s="14" t="str">
        <x:v>Deneme 35</x:v>
      </x:c>
      <x:c r="H231" s="14" t="str">
        <x:v>20 Matematik / tam deneme</x:v>
      </x:c>
      <x:c r="I231" s="14" t="str">
        <x:v>Deneme Analizi</x:v>
      </x:c>
      <x:c r="J231" s="14" t="str">
        <x:v>20 Türkçe / tam deneme</x:v>
      </x:c>
      <x:c r="K231" s="14" t="str">
        <x:v>Tüm 6 branş</x:v>
      </x:c>
      <x:c r="L231" s="14" t="str">
        <x:v>90 soru</x:v>
      </x:c>
      <x:c r="M231" s="14" t="str">
        <x:v>Analiz + hedefli remediation</x:v>
      </x:c>
      <x:c r="N231" s="14" t="str">
        <x:v>Yanlış +1/+7/+21</x:v>
      </x:c>
      <x:c r="O231" s="14" t="str">
        <x:v>60 günlük kamp</x:v>
      </x:c>
    </x:row>
    <x:row r="232">
      <x:c r="A232" s="15" t="n">
        <x:v>46526</x:v>
      </x:c>
      <x:c r="B232" s="14" t="n">
        <x:v>231</x:v>
      </x:c>
      <x:c r="C232" s="14" t="str">
        <x:v>Çarşamba</x:v>
      </x:c>
      <x:c r="D232" s="14" t="str">
        <x:v>Resmî Tatil</x:v>
      </x:c>
      <x:c r="E232" s="14" t="str">
        <x:v>19 Mayıs</x:v>
      </x:c>
      <x:c r="F232" s="14" t="str">
        <x:v>F4 - 60 Gün / 60 Tam Deneme</x:v>
      </x:c>
      <x:c r="G232" s="14" t="str">
        <x:v>Deneme 36</x:v>
      </x:c>
      <x:c r="H232" s="14" t="str">
        <x:v>20 Matematik / tam deneme</x:v>
      </x:c>
      <x:c r="I232" s="14" t="str">
        <x:v>Deneme Analizi</x:v>
      </x:c>
      <x:c r="J232" s="14" t="str">
        <x:v>20 Türkçe / tam deneme</x:v>
      </x:c>
      <x:c r="K232" s="14" t="str">
        <x:v>Tüm 6 branş</x:v>
      </x:c>
      <x:c r="L232" s="14" t="str">
        <x:v>90 soru</x:v>
      </x:c>
      <x:c r="M232" s="14" t="str">
        <x:v>Analiz + hedefli remediation</x:v>
      </x:c>
      <x:c r="N232" s="14" t="str">
        <x:v>Yanlış +1/+7/+21</x:v>
      </x:c>
      <x:c r="O232" s="14" t="str">
        <x:v>60 günlük kamp</x:v>
      </x:c>
    </x:row>
    <x:row r="233">
      <x:c r="A233" s="15" t="n">
        <x:v>46527</x:v>
      </x:c>
      <x:c r="B233" s="14" t="n">
        <x:v>232</x:v>
      </x:c>
      <x:c r="C233" s="14" t="str">
        <x:v>Perşembe</x:v>
      </x:c>
      <x:c r="D233" s="14" t="str">
        <x:v>Okul Günü</x:v>
      </x:c>
      <x:c r="E233" s="14" t="str">
        <x:v>16:00 sonrası</x:v>
      </x:c>
      <x:c r="F233" s="14" t="str">
        <x:v>F4 - 60 Gün / 60 Tam Deneme</x:v>
      </x:c>
      <x:c r="G233" s="14" t="str">
        <x:v>Deneme 37</x:v>
      </x:c>
      <x:c r="H233" s="14" t="str">
        <x:v>20 Matematik / tam deneme</x:v>
      </x:c>
      <x:c r="I233" s="14" t="str">
        <x:v>Deneme Analizi</x:v>
      </x:c>
      <x:c r="J233" s="14" t="str">
        <x:v>20 Türkçe / tam deneme</x:v>
      </x:c>
      <x:c r="K233" s="14" t="str">
        <x:v>Tüm 6 branş</x:v>
      </x:c>
      <x:c r="L233" s="14" t="str">
        <x:v>90 soru</x:v>
      </x:c>
      <x:c r="M233" s="14" t="str">
        <x:v>Analiz + hedefli remediation</x:v>
      </x:c>
      <x:c r="N233" s="14" t="str">
        <x:v>Yanlış +1/+7/+21</x:v>
      </x:c>
      <x:c r="O233" s="14" t="str">
        <x:v>60 günlük kamp</x:v>
      </x:c>
    </x:row>
    <x:row r="234">
      <x:c r="A234" s="15" t="n">
        <x:v>46528</x:v>
      </x:c>
      <x:c r="B234" s="14" t="n">
        <x:v>233</x:v>
      </x:c>
      <x:c r="C234" s="14" t="str">
        <x:v>Cuma</x:v>
      </x:c>
      <x:c r="D234" s="14" t="str">
        <x:v>Okul Günü</x:v>
      </x:c>
      <x:c r="E234" s="14" t="str">
        <x:v>16:00 sonrası</x:v>
      </x:c>
      <x:c r="F234" s="14" t="str">
        <x:v>F4 - 60 Gün / 60 Tam Deneme</x:v>
      </x:c>
      <x:c r="G234" s="14" t="str">
        <x:v>Deneme 38</x:v>
      </x:c>
      <x:c r="H234" s="14" t="str">
        <x:v>20 Matematik / tam deneme</x:v>
      </x:c>
      <x:c r="I234" s="14" t="str">
        <x:v>Deneme Analizi</x:v>
      </x:c>
      <x:c r="J234" s="14" t="str">
        <x:v>20 Türkçe / tam deneme</x:v>
      </x:c>
      <x:c r="K234" s="14" t="str">
        <x:v>Tüm 6 branş</x:v>
      </x:c>
      <x:c r="L234" s="14" t="str">
        <x:v>90 soru</x:v>
      </x:c>
      <x:c r="M234" s="14" t="str">
        <x:v>Analiz + hedefli remediation</x:v>
      </x:c>
      <x:c r="N234" s="14" t="str">
        <x:v>Yanlış +1/+7/+21</x:v>
      </x:c>
      <x:c r="O234" s="14" t="str">
        <x:v>60 günlük kamp</x:v>
      </x:c>
    </x:row>
    <x:row r="235">
      <x:c r="A235" s="15" t="n">
        <x:v>46529</x:v>
      </x:c>
      <x:c r="B235" s="14" t="n">
        <x:v>234</x:v>
      </x:c>
      <x:c r="C235" s="14" t="str">
        <x:v>Cumartesi</x:v>
      </x:c>
      <x:c r="D235" s="14" t="str">
        <x:v>Hafta Sonu</x:v>
      </x:c>
      <x:c r="E235" s="14" t="str">
        <x:v>Tam gün</x:v>
      </x:c>
      <x:c r="F235" s="14" t="str">
        <x:v>F4 - 60 Gün / 60 Tam Deneme</x:v>
      </x:c>
      <x:c r="G235" s="14" t="str">
        <x:v>Deneme 39</x:v>
      </x:c>
      <x:c r="H235" s="14" t="str">
        <x:v>20 Matematik / tam deneme</x:v>
      </x:c>
      <x:c r="I235" s="14" t="str">
        <x:v>Deneme Analizi</x:v>
      </x:c>
      <x:c r="J235" s="14" t="str">
        <x:v>20 Türkçe / tam deneme</x:v>
      </x:c>
      <x:c r="K235" s="14" t="str">
        <x:v>Tüm 6 branş</x:v>
      </x:c>
      <x:c r="L235" s="14" t="str">
        <x:v>90 soru</x:v>
      </x:c>
      <x:c r="M235" s="14" t="str">
        <x:v>Analiz + hedefli remediation</x:v>
      </x:c>
      <x:c r="N235" s="14" t="str">
        <x:v>Yanlış +1/+7/+21</x:v>
      </x:c>
      <x:c r="O235" s="14" t="str">
        <x:v>60 günlük kamp</x:v>
      </x:c>
    </x:row>
    <x:row r="236">
      <x:c r="A236" s="15" t="n">
        <x:v>46530</x:v>
      </x:c>
      <x:c r="B236" s="14" t="n">
        <x:v>235</x:v>
      </x:c>
      <x:c r="C236" s="14" t="str">
        <x:v>Pazar</x:v>
      </x:c>
      <x:c r="D236" s="14" t="str">
        <x:v>Hafta Sonu</x:v>
      </x:c>
      <x:c r="E236" s="14" t="str">
        <x:v>Tam gün</x:v>
      </x:c>
      <x:c r="F236" s="14" t="str">
        <x:v>F4 - 60 Gün / 60 Tam Deneme</x:v>
      </x:c>
      <x:c r="G236" s="14" t="str">
        <x:v>Deneme 40</x:v>
      </x:c>
      <x:c r="H236" s="14" t="str">
        <x:v>20 Matematik / tam deneme</x:v>
      </x:c>
      <x:c r="I236" s="14" t="str">
        <x:v>Deneme Analizi</x:v>
      </x:c>
      <x:c r="J236" s="14" t="str">
        <x:v>20 Türkçe / tam deneme</x:v>
      </x:c>
      <x:c r="K236" s="14" t="str">
        <x:v>Tüm 6 branş</x:v>
      </x:c>
      <x:c r="L236" s="14" t="str">
        <x:v>90 soru</x:v>
      </x:c>
      <x:c r="M236" s="14" t="str">
        <x:v>Analiz + hedefli remediation</x:v>
      </x:c>
      <x:c r="N236" s="14" t="str">
        <x:v>Yanlış +1/+7/+21</x:v>
      </x:c>
      <x:c r="O236" s="14" t="str">
        <x:v>60 günlük kamp</x:v>
      </x:c>
    </x:row>
    <x:row r="237">
      <x:c r="A237" s="15" t="n">
        <x:v>46531</x:v>
      </x:c>
      <x:c r="B237" s="14" t="n">
        <x:v>236</x:v>
      </x:c>
      <x:c r="C237" s="14" t="str">
        <x:v>Pazartesi</x:v>
      </x:c>
      <x:c r="D237" s="14" t="str">
        <x:v>Okul Günü</x:v>
      </x:c>
      <x:c r="E237" s="14" t="str">
        <x:v>16:00 sonrası</x:v>
      </x:c>
      <x:c r="F237" s="14" t="str">
        <x:v>F4 - 60 Gün / 60 Tam Deneme</x:v>
      </x:c>
      <x:c r="G237" s="14" t="str">
        <x:v>Deneme 41</x:v>
      </x:c>
      <x:c r="H237" s="14" t="str">
        <x:v>20 Matematik / tam deneme</x:v>
      </x:c>
      <x:c r="I237" s="14" t="str">
        <x:v>Deneme Analizi</x:v>
      </x:c>
      <x:c r="J237" s="14" t="str">
        <x:v>20 Türkçe / tam deneme</x:v>
      </x:c>
      <x:c r="K237" s="14" t="str">
        <x:v>Tüm 6 branş</x:v>
      </x:c>
      <x:c r="L237" s="14" t="str">
        <x:v>90 soru</x:v>
      </x:c>
      <x:c r="M237" s="14" t="str">
        <x:v>Analiz + hedefli remediation</x:v>
      </x:c>
      <x:c r="N237" s="14" t="str">
        <x:v>Yanlış +1/+7/+21</x:v>
      </x:c>
      <x:c r="O237" s="14" t="str">
        <x:v>60 günlük kamp</x:v>
      </x:c>
    </x:row>
    <x:row r="238">
      <x:c r="A238" s="15" t="n">
        <x:v>46532</x:v>
      </x:c>
      <x:c r="B238" s="14" t="n">
        <x:v>237</x:v>
      </x:c>
      <x:c r="C238" s="14" t="str">
        <x:v>Salı</x:v>
      </x:c>
      <x:c r="D238" s="14" t="str">
        <x:v>Okul Günü</x:v>
      </x:c>
      <x:c r="E238" s="14" t="str">
        <x:v>16:00 sonrası</x:v>
      </x:c>
      <x:c r="F238" s="14" t="str">
        <x:v>F4 - 60 Gün / 60 Tam Deneme</x:v>
      </x:c>
      <x:c r="G238" s="14" t="str">
        <x:v>Deneme 42</x:v>
      </x:c>
      <x:c r="H238" s="14" t="str">
        <x:v>20 Matematik / tam deneme</x:v>
      </x:c>
      <x:c r="I238" s="14" t="str">
        <x:v>Deneme Analizi</x:v>
      </x:c>
      <x:c r="J238" s="14" t="str">
        <x:v>20 Türkçe / tam deneme</x:v>
      </x:c>
      <x:c r="K238" s="14" t="str">
        <x:v>Tüm 6 branş</x:v>
      </x:c>
      <x:c r="L238" s="14" t="str">
        <x:v>90 soru</x:v>
      </x:c>
      <x:c r="M238" s="14" t="str">
        <x:v>Analiz + hedefli remediation</x:v>
      </x:c>
      <x:c r="N238" s="14" t="str">
        <x:v>Yanlış +1/+7/+21</x:v>
      </x:c>
      <x:c r="O238" s="14" t="str">
        <x:v>60 günlük kamp</x:v>
      </x:c>
    </x:row>
    <x:row r="239">
      <x:c r="A239" s="15" t="n">
        <x:v>46533</x:v>
      </x:c>
      <x:c r="B239" s="14" t="n">
        <x:v>238</x:v>
      </x:c>
      <x:c r="C239" s="14" t="str">
        <x:v>Çarşamba</x:v>
      </x:c>
      <x:c r="D239" s="14" t="str">
        <x:v>Okul Günü</x:v>
      </x:c>
      <x:c r="E239" s="14" t="str">
        <x:v>16:00 sonrası</x:v>
      </x:c>
      <x:c r="F239" s="14" t="str">
        <x:v>F4 - 60 Gün / 60 Tam Deneme</x:v>
      </x:c>
      <x:c r="G239" s="14" t="str">
        <x:v>Deneme 43</x:v>
      </x:c>
      <x:c r="H239" s="14" t="str">
        <x:v>20 Matematik / tam deneme</x:v>
      </x:c>
      <x:c r="I239" s="14" t="str">
        <x:v>Deneme Analizi</x:v>
      </x:c>
      <x:c r="J239" s="14" t="str">
        <x:v>20 Türkçe / tam deneme</x:v>
      </x:c>
      <x:c r="K239" s="14" t="str">
        <x:v>Tüm 6 branş</x:v>
      </x:c>
      <x:c r="L239" s="14" t="str">
        <x:v>90 soru</x:v>
      </x:c>
      <x:c r="M239" s="14" t="str">
        <x:v>Analiz + hedefli remediation</x:v>
      </x:c>
      <x:c r="N239" s="14" t="str">
        <x:v>Yanlış +1/+7/+21</x:v>
      </x:c>
      <x:c r="O239" s="14" t="str">
        <x:v>60 günlük kamp</x:v>
      </x:c>
    </x:row>
    <x:row r="240">
      <x:c r="A240" s="15" t="n">
        <x:v>46534</x:v>
      </x:c>
      <x:c r="B240" s="14" t="n">
        <x:v>239</x:v>
      </x:c>
      <x:c r="C240" s="14" t="str">
        <x:v>Perşembe</x:v>
      </x:c>
      <x:c r="D240" s="14" t="str">
        <x:v>Okul Günü</x:v>
      </x:c>
      <x:c r="E240" s="14" t="str">
        <x:v>16:00 sonrası</x:v>
      </x:c>
      <x:c r="F240" s="14" t="str">
        <x:v>F4 - 60 Gün / 60 Tam Deneme</x:v>
      </x:c>
      <x:c r="G240" s="14" t="str">
        <x:v>Deneme 44</x:v>
      </x:c>
      <x:c r="H240" s="14" t="str">
        <x:v>20 Matematik / tam deneme</x:v>
      </x:c>
      <x:c r="I240" s="14" t="str">
        <x:v>Deneme Analizi</x:v>
      </x:c>
      <x:c r="J240" s="14" t="str">
        <x:v>20 Türkçe / tam deneme</x:v>
      </x:c>
      <x:c r="K240" s="14" t="str">
        <x:v>Tüm 6 branş</x:v>
      </x:c>
      <x:c r="L240" s="14" t="str">
        <x:v>90 soru</x:v>
      </x:c>
      <x:c r="M240" s="14" t="str">
        <x:v>Analiz + hedefli remediation</x:v>
      </x:c>
      <x:c r="N240" s="14" t="str">
        <x:v>Yanlış +1/+7/+21</x:v>
      </x:c>
      <x:c r="O240" s="14" t="str">
        <x:v>60 günlük kamp</x:v>
      </x:c>
    </x:row>
    <x:row r="241">
      <x:c r="A241" s="15" t="n">
        <x:v>46535</x:v>
      </x:c>
      <x:c r="B241" s="14" t="n">
        <x:v>240</x:v>
      </x:c>
      <x:c r="C241" s="14" t="str">
        <x:v>Cuma</x:v>
      </x:c>
      <x:c r="D241" s="14" t="str">
        <x:v>Okul Günü</x:v>
      </x:c>
      <x:c r="E241" s="14" t="str">
        <x:v>16:00 sonrası</x:v>
      </x:c>
      <x:c r="F241" s="14" t="str">
        <x:v>F4 - 60 Gün / 60 Tam Deneme</x:v>
      </x:c>
      <x:c r="G241" s="14" t="str">
        <x:v>Deneme 45</x:v>
      </x:c>
      <x:c r="H241" s="14" t="str">
        <x:v>20 Matematik / tam deneme</x:v>
      </x:c>
      <x:c r="I241" s="14" t="str">
        <x:v>Deneme Analizi</x:v>
      </x:c>
      <x:c r="J241" s="14" t="str">
        <x:v>20 Türkçe / tam deneme</x:v>
      </x:c>
      <x:c r="K241" s="14" t="str">
        <x:v>Tüm 6 branş</x:v>
      </x:c>
      <x:c r="L241" s="14" t="str">
        <x:v>90 soru</x:v>
      </x:c>
      <x:c r="M241" s="14" t="str">
        <x:v>Analiz + hedefli remediation</x:v>
      </x:c>
      <x:c r="N241" s="14" t="str">
        <x:v>Yanlış +1/+7/+21</x:v>
      </x:c>
      <x:c r="O241" s="14" t="str">
        <x:v>60 günlük kamp</x:v>
      </x:c>
    </x:row>
    <x:row r="242">
      <x:c r="A242" s="15" t="n">
        <x:v>46536</x:v>
      </x:c>
      <x:c r="B242" s="14" t="n">
        <x:v>241</x:v>
      </x:c>
      <x:c r="C242" s="14" t="str">
        <x:v>Cumartesi</x:v>
      </x:c>
      <x:c r="D242" s="14" t="str">
        <x:v>Hafta Sonu</x:v>
      </x:c>
      <x:c r="E242" s="14" t="str">
        <x:v>Tam gün</x:v>
      </x:c>
      <x:c r="F242" s="14" t="str">
        <x:v>F4 - 60 Gün / 60 Tam Deneme</x:v>
      </x:c>
      <x:c r="G242" s="14" t="str">
        <x:v>Deneme 46</x:v>
      </x:c>
      <x:c r="H242" s="14" t="str">
        <x:v>20 Matematik / tam deneme</x:v>
      </x:c>
      <x:c r="I242" s="14" t="str">
        <x:v>Deneme Analizi</x:v>
      </x:c>
      <x:c r="J242" s="14" t="str">
        <x:v>20 Türkçe / tam deneme</x:v>
      </x:c>
      <x:c r="K242" s="14" t="str">
        <x:v>Tüm 6 branş</x:v>
      </x:c>
      <x:c r="L242" s="14" t="str">
        <x:v>90 soru</x:v>
      </x:c>
      <x:c r="M242" s="14" t="str">
        <x:v>Analiz + hedefli remediation</x:v>
      </x:c>
      <x:c r="N242" s="14" t="str">
        <x:v>Yanlış +1/+7/+21</x:v>
      </x:c>
      <x:c r="O242" s="14" t="str">
        <x:v>60 günlük kamp</x:v>
      </x:c>
    </x:row>
    <x:row r="243">
      <x:c r="A243" s="15" t="n">
        <x:v>46537</x:v>
      </x:c>
      <x:c r="B243" s="14" t="n">
        <x:v>242</x:v>
      </x:c>
      <x:c r="C243" s="14" t="str">
        <x:v>Pazar</x:v>
      </x:c>
      <x:c r="D243" s="14" t="str">
        <x:v>Hafta Sonu</x:v>
      </x:c>
      <x:c r="E243" s="14" t="str">
        <x:v>Tam gün</x:v>
      </x:c>
      <x:c r="F243" s="14" t="str">
        <x:v>F4 - 60 Gün / 60 Tam Deneme</x:v>
      </x:c>
      <x:c r="G243" s="14" t="str">
        <x:v>Deneme 47</x:v>
      </x:c>
      <x:c r="H243" s="14" t="str">
        <x:v>20 Matematik / tam deneme</x:v>
      </x:c>
      <x:c r="I243" s="14" t="str">
        <x:v>Deneme Analizi</x:v>
      </x:c>
      <x:c r="J243" s="14" t="str">
        <x:v>20 Türkçe / tam deneme</x:v>
      </x:c>
      <x:c r="K243" s="14" t="str">
        <x:v>Tüm 6 branş</x:v>
      </x:c>
      <x:c r="L243" s="14" t="str">
        <x:v>90 soru</x:v>
      </x:c>
      <x:c r="M243" s="14" t="str">
        <x:v>Analiz + hedefli remediation</x:v>
      </x:c>
      <x:c r="N243" s="14" t="str">
        <x:v>Yanlış +1/+7/+21</x:v>
      </x:c>
      <x:c r="O243" s="14" t="str">
        <x:v>60 günlük kamp</x:v>
      </x:c>
    </x:row>
    <x:row r="244">
      <x:c r="A244" s="15" t="n">
        <x:v>46538</x:v>
      </x:c>
      <x:c r="B244" s="14" t="n">
        <x:v>243</x:v>
      </x:c>
      <x:c r="C244" s="14" t="str">
        <x:v>Pazartesi</x:v>
      </x:c>
      <x:c r="D244" s="14" t="str">
        <x:v>Okul Günü</x:v>
      </x:c>
      <x:c r="E244" s="14" t="str">
        <x:v>16:00 sonrası</x:v>
      </x:c>
      <x:c r="F244" s="14" t="str">
        <x:v>F4 - 60 Gün / 60 Tam Deneme</x:v>
      </x:c>
      <x:c r="G244" s="14" t="str">
        <x:v>Deneme 48</x:v>
      </x:c>
      <x:c r="H244" s="14" t="str">
        <x:v>20 Matematik / tam deneme</x:v>
      </x:c>
      <x:c r="I244" s="14" t="str">
        <x:v>Deneme Analizi</x:v>
      </x:c>
      <x:c r="J244" s="14" t="str">
        <x:v>20 Türkçe / tam deneme</x:v>
      </x:c>
      <x:c r="K244" s="14" t="str">
        <x:v>Tüm 6 branş</x:v>
      </x:c>
      <x:c r="L244" s="14" t="str">
        <x:v>90 soru</x:v>
      </x:c>
      <x:c r="M244" s="14" t="str">
        <x:v>Analiz + hedefli remediation</x:v>
      </x:c>
      <x:c r="N244" s="14" t="str">
        <x:v>Yanlış +1/+7/+21</x:v>
      </x:c>
      <x:c r="O244" s="14" t="str">
        <x:v>60 günlük kamp</x:v>
      </x:c>
    </x:row>
    <x:row r="245">
      <x:c r="A245" s="15" t="n">
        <x:v>46539</x:v>
      </x:c>
      <x:c r="B245" s="14" t="n">
        <x:v>244</x:v>
      </x:c>
      <x:c r="C245" s="14" t="str">
        <x:v>Salı</x:v>
      </x:c>
      <x:c r="D245" s="14" t="str">
        <x:v>Okul Günü</x:v>
      </x:c>
      <x:c r="E245" s="14" t="str">
        <x:v>16:00 sonrası</x:v>
      </x:c>
      <x:c r="F245" s="14" t="str">
        <x:v>F4 - 60 Gün / 60 Tam Deneme</x:v>
      </x:c>
      <x:c r="G245" s="14" t="str">
        <x:v>Deneme 49</x:v>
      </x:c>
      <x:c r="H245" s="14" t="str">
        <x:v>20 Matematik / tam deneme</x:v>
      </x:c>
      <x:c r="I245" s="14" t="str">
        <x:v>Deneme Analizi</x:v>
      </x:c>
      <x:c r="J245" s="14" t="str">
        <x:v>20 Türkçe / tam deneme</x:v>
      </x:c>
      <x:c r="K245" s="14" t="str">
        <x:v>Tüm 6 branş</x:v>
      </x:c>
      <x:c r="L245" s="14" t="str">
        <x:v>90 soru</x:v>
      </x:c>
      <x:c r="M245" s="14" t="str">
        <x:v>Analiz + hedefli remediation</x:v>
      </x:c>
      <x:c r="N245" s="14" t="str">
        <x:v>Yanlış +1/+7/+21</x:v>
      </x:c>
      <x:c r="O245" s="14" t="str">
        <x:v>60 günlük kamp</x:v>
      </x:c>
    </x:row>
    <x:row r="246">
      <x:c r="A246" s="15" t="n">
        <x:v>46540</x:v>
      </x:c>
      <x:c r="B246" s="14" t="n">
        <x:v>245</x:v>
      </x:c>
      <x:c r="C246" s="14" t="str">
        <x:v>Çarşamba</x:v>
      </x:c>
      <x:c r="D246" s="14" t="str">
        <x:v>Okul Günü</x:v>
      </x:c>
      <x:c r="E246" s="14" t="str">
        <x:v>16:00 sonrası</x:v>
      </x:c>
      <x:c r="F246" s="14" t="str">
        <x:v>F4 - 60 Gün / 60 Tam Deneme</x:v>
      </x:c>
      <x:c r="G246" s="14" t="str">
        <x:v>Deneme 50</x:v>
      </x:c>
      <x:c r="H246" s="14" t="str">
        <x:v>20 Matematik / tam deneme</x:v>
      </x:c>
      <x:c r="I246" s="14" t="str">
        <x:v>Deneme Analizi</x:v>
      </x:c>
      <x:c r="J246" s="14" t="str">
        <x:v>20 Türkçe / tam deneme</x:v>
      </x:c>
      <x:c r="K246" s="14" t="str">
        <x:v>Tüm 6 branş</x:v>
      </x:c>
      <x:c r="L246" s="14" t="str">
        <x:v>90 soru</x:v>
      </x:c>
      <x:c r="M246" s="14" t="str">
        <x:v>Analiz + hedefli remediation</x:v>
      </x:c>
      <x:c r="N246" s="14" t="str">
        <x:v>Yanlış +1/+7/+21</x:v>
      </x:c>
      <x:c r="O246" s="14" t="str">
        <x:v>60 günlük kamp</x:v>
      </x:c>
    </x:row>
    <x:row r="247">
      <x:c r="A247" s="15" t="n">
        <x:v>46541</x:v>
      </x:c>
      <x:c r="B247" s="14" t="n">
        <x:v>246</x:v>
      </x:c>
      <x:c r="C247" s="14" t="str">
        <x:v>Perşembe</x:v>
      </x:c>
      <x:c r="D247" s="14" t="str">
        <x:v>Okul Günü</x:v>
      </x:c>
      <x:c r="E247" s="14" t="str">
        <x:v>16:00 sonrası</x:v>
      </x:c>
      <x:c r="F247" s="14" t="str">
        <x:v>F4 - 60 Gün / 60 Tam Deneme</x:v>
      </x:c>
      <x:c r="G247" s="14" t="str">
        <x:v>Deneme 51</x:v>
      </x:c>
      <x:c r="H247" s="14" t="str">
        <x:v>20 Matematik / tam deneme</x:v>
      </x:c>
      <x:c r="I247" s="14" t="str">
        <x:v>Deneme Analizi</x:v>
      </x:c>
      <x:c r="J247" s="14" t="str">
        <x:v>20 Türkçe / tam deneme</x:v>
      </x:c>
      <x:c r="K247" s="14" t="str">
        <x:v>Tüm 6 branş</x:v>
      </x:c>
      <x:c r="L247" s="14" t="str">
        <x:v>90 soru</x:v>
      </x:c>
      <x:c r="M247" s="14" t="str">
        <x:v>Analiz + hedefli remediation</x:v>
      </x:c>
      <x:c r="N247" s="14" t="str">
        <x:v>Yanlış +1/+7/+21</x:v>
      </x:c>
      <x:c r="O247" s="14" t="str">
        <x:v>60 günlük kamp</x:v>
      </x:c>
    </x:row>
    <x:row r="248">
      <x:c r="A248" s="15" t="n">
        <x:v>46542</x:v>
      </x:c>
      <x:c r="B248" s="14" t="n">
        <x:v>247</x:v>
      </x:c>
      <x:c r="C248" s="14" t="str">
        <x:v>Cuma</x:v>
      </x:c>
      <x:c r="D248" s="14" t="str">
        <x:v>Okul Günü</x:v>
      </x:c>
      <x:c r="E248" s="14" t="str">
        <x:v>16:00 sonrası</x:v>
      </x:c>
      <x:c r="F248" s="14" t="str">
        <x:v>F4 - 60 Gün / 60 Tam Deneme</x:v>
      </x:c>
      <x:c r="G248" s="14" t="str">
        <x:v>Deneme 52</x:v>
      </x:c>
      <x:c r="H248" s="14" t="str">
        <x:v>20 Matematik / tam deneme</x:v>
      </x:c>
      <x:c r="I248" s="14" t="str">
        <x:v>Deneme Analizi</x:v>
      </x:c>
      <x:c r="J248" s="14" t="str">
        <x:v>20 Türkçe / tam deneme</x:v>
      </x:c>
      <x:c r="K248" s="14" t="str">
        <x:v>Tüm 6 branş</x:v>
      </x:c>
      <x:c r="L248" s="14" t="str">
        <x:v>90 soru</x:v>
      </x:c>
      <x:c r="M248" s="14" t="str">
        <x:v>Analiz + hedefli remediation</x:v>
      </x:c>
      <x:c r="N248" s="14" t="str">
        <x:v>Yanlış +1/+7/+21</x:v>
      </x:c>
      <x:c r="O248" s="14" t="str">
        <x:v>60 günlük kamp</x:v>
      </x:c>
    </x:row>
    <x:row r="249">
      <x:c r="A249" s="15" t="n">
        <x:v>46543</x:v>
      </x:c>
      <x:c r="B249" s="14" t="n">
        <x:v>248</x:v>
      </x:c>
      <x:c r="C249" s="14" t="str">
        <x:v>Cumartesi</x:v>
      </x:c>
      <x:c r="D249" s="14" t="str">
        <x:v>Hafta Sonu</x:v>
      </x:c>
      <x:c r="E249" s="14" t="str">
        <x:v>Tam gün</x:v>
      </x:c>
      <x:c r="F249" s="14" t="str">
        <x:v>F4 - 60 Gün / 60 Tam Deneme</x:v>
      </x:c>
      <x:c r="G249" s="14" t="str">
        <x:v>Deneme 53</x:v>
      </x:c>
      <x:c r="H249" s="14" t="str">
        <x:v>20 Matematik / tam deneme</x:v>
      </x:c>
      <x:c r="I249" s="14" t="str">
        <x:v>Deneme Analizi</x:v>
      </x:c>
      <x:c r="J249" s="14" t="str">
        <x:v>20 Türkçe / tam deneme</x:v>
      </x:c>
      <x:c r="K249" s="14" t="str">
        <x:v>Tüm 6 branş</x:v>
      </x:c>
      <x:c r="L249" s="14" t="str">
        <x:v>90 soru</x:v>
      </x:c>
      <x:c r="M249" s="14" t="str">
        <x:v>Analiz + hedefli remediation</x:v>
      </x:c>
      <x:c r="N249" s="14" t="str">
        <x:v>Yanlış +1/+7/+21</x:v>
      </x:c>
      <x:c r="O249" s="14" t="str">
        <x:v>60 günlük kamp</x:v>
      </x:c>
    </x:row>
    <x:row r="250">
      <x:c r="A250" s="15" t="n">
        <x:v>46544</x:v>
      </x:c>
      <x:c r="B250" s="14" t="n">
        <x:v>249</x:v>
      </x:c>
      <x:c r="C250" s="14" t="str">
        <x:v>Pazar</x:v>
      </x:c>
      <x:c r="D250" s="14" t="str">
        <x:v>Hafta Sonu</x:v>
      </x:c>
      <x:c r="E250" s="14" t="str">
        <x:v>Tam gün</x:v>
      </x:c>
      <x:c r="F250" s="14" t="str">
        <x:v>F4 - 60 Gün / 60 Tam Deneme</x:v>
      </x:c>
      <x:c r="G250" s="14" t="str">
        <x:v>Deneme 54</x:v>
      </x:c>
      <x:c r="H250" s="14" t="str">
        <x:v>20 Matematik / tam deneme</x:v>
      </x:c>
      <x:c r="I250" s="14" t="str">
        <x:v>Deneme Analizi</x:v>
      </x:c>
      <x:c r="J250" s="14" t="str">
        <x:v>20 Türkçe / tam deneme</x:v>
      </x:c>
      <x:c r="K250" s="14" t="str">
        <x:v>Tüm 6 branş</x:v>
      </x:c>
      <x:c r="L250" s="14" t="str">
        <x:v>90 soru</x:v>
      </x:c>
      <x:c r="M250" s="14" t="str">
        <x:v>Analiz + hedefli remediation</x:v>
      </x:c>
      <x:c r="N250" s="14" t="str">
        <x:v>Yanlış +1/+7/+21</x:v>
      </x:c>
      <x:c r="O250" s="14" t="str">
        <x:v>60 günlük kamp</x:v>
      </x:c>
    </x:row>
    <x:row r="251">
      <x:c r="A251" s="15" t="n">
        <x:v>46545</x:v>
      </x:c>
      <x:c r="B251" s="14" t="n">
        <x:v>250</x:v>
      </x:c>
      <x:c r="C251" s="14" t="str">
        <x:v>Pazartesi</x:v>
      </x:c>
      <x:c r="D251" s="14" t="str">
        <x:v>Okul Günü</x:v>
      </x:c>
      <x:c r="E251" s="14" t="str">
        <x:v>16:00 sonrası</x:v>
      </x:c>
      <x:c r="F251" s="14" t="str">
        <x:v>F4 - 60 Gün / 60 Tam Deneme</x:v>
      </x:c>
      <x:c r="G251" s="14" t="str">
        <x:v>Deneme 55</x:v>
      </x:c>
      <x:c r="H251" s="14" t="str">
        <x:v>20 Matematik / tam deneme</x:v>
      </x:c>
      <x:c r="I251" s="14" t="str">
        <x:v>Deneme Analizi</x:v>
      </x:c>
      <x:c r="J251" s="14" t="str">
        <x:v>20 Türkçe / tam deneme</x:v>
      </x:c>
      <x:c r="K251" s="14" t="str">
        <x:v>Tüm 6 branş</x:v>
      </x:c>
      <x:c r="L251" s="14" t="str">
        <x:v>90 soru</x:v>
      </x:c>
      <x:c r="M251" s="14" t="str">
        <x:v>Analiz + hedefli remediation</x:v>
      </x:c>
      <x:c r="N251" s="14" t="str">
        <x:v>Yanlış +1/+7/+21</x:v>
      </x:c>
      <x:c r="O251" s="14" t="str">
        <x:v>60 günlük kamp</x:v>
      </x:c>
    </x:row>
    <x:row r="252">
      <x:c r="A252" s="15" t="n">
        <x:v>46546</x:v>
      </x:c>
      <x:c r="B252" s="14" t="n">
        <x:v>251</x:v>
      </x:c>
      <x:c r="C252" s="14" t="str">
        <x:v>Salı</x:v>
      </x:c>
      <x:c r="D252" s="14" t="str">
        <x:v>Okul Günü</x:v>
      </x:c>
      <x:c r="E252" s="14" t="str">
        <x:v>16:00 sonrası</x:v>
      </x:c>
      <x:c r="F252" s="14" t="str">
        <x:v>F4 - 60 Gün / 60 Tam Deneme</x:v>
      </x:c>
      <x:c r="G252" s="14" t="str">
        <x:v>Deneme 56</x:v>
      </x:c>
      <x:c r="H252" s="14" t="str">
        <x:v>20 Matematik / tam deneme</x:v>
      </x:c>
      <x:c r="I252" s="14" t="str">
        <x:v>Deneme Analizi</x:v>
      </x:c>
      <x:c r="J252" s="14" t="str">
        <x:v>20 Türkçe / tam deneme</x:v>
      </x:c>
      <x:c r="K252" s="14" t="str">
        <x:v>Tüm 6 branş</x:v>
      </x:c>
      <x:c r="L252" s="14" t="str">
        <x:v>90 soru</x:v>
      </x:c>
      <x:c r="M252" s="14" t="str">
        <x:v>Analiz + hedefli remediation</x:v>
      </x:c>
      <x:c r="N252" s="14" t="str">
        <x:v>Yanlış +1/+7/+21</x:v>
      </x:c>
      <x:c r="O252" s="14" t="str">
        <x:v>60 günlük kamp</x:v>
      </x:c>
    </x:row>
    <x:row r="253">
      <x:c r="A253" s="15" t="n">
        <x:v>46547</x:v>
      </x:c>
      <x:c r="B253" s="14" t="n">
        <x:v>252</x:v>
      </x:c>
      <x:c r="C253" s="14" t="str">
        <x:v>Çarşamba</x:v>
      </x:c>
      <x:c r="D253" s="14" t="str">
        <x:v>Okul Günü</x:v>
      </x:c>
      <x:c r="E253" s="14" t="str">
        <x:v>16:00 sonrası</x:v>
      </x:c>
      <x:c r="F253" s="14" t="str">
        <x:v>F4 - 60 Gün / 60 Tam Deneme</x:v>
      </x:c>
      <x:c r="G253" s="14" t="str">
        <x:v>Deneme 57</x:v>
      </x:c>
      <x:c r="H253" s="14" t="str">
        <x:v>20 Matematik / tam deneme</x:v>
      </x:c>
      <x:c r="I253" s="14" t="str">
        <x:v>Deneme Analizi</x:v>
      </x:c>
      <x:c r="J253" s="14" t="str">
        <x:v>20 Türkçe / tam deneme</x:v>
      </x:c>
      <x:c r="K253" s="14" t="str">
        <x:v>Tüm 6 branş</x:v>
      </x:c>
      <x:c r="L253" s="14" t="str">
        <x:v>90 soru</x:v>
      </x:c>
      <x:c r="M253" s="14" t="str">
        <x:v>Analiz + hedefli remediation</x:v>
      </x:c>
      <x:c r="N253" s="14" t="str">
        <x:v>Yanlış +1/+7/+21</x:v>
      </x:c>
      <x:c r="O253" s="14" t="str">
        <x:v>60 günlük kamp</x:v>
      </x:c>
    </x:row>
    <x:row r="254">
      <x:c r="A254" s="15" t="n">
        <x:v>46548</x:v>
      </x:c>
      <x:c r="B254" s="14" t="n">
        <x:v>253</x:v>
      </x:c>
      <x:c r="C254" s="14" t="str">
        <x:v>Perşembe</x:v>
      </x:c>
      <x:c r="D254" s="14" t="str">
        <x:v>Okul Günü</x:v>
      </x:c>
      <x:c r="E254" s="14" t="str">
        <x:v>16:00 sonrası</x:v>
      </x:c>
      <x:c r="F254" s="14" t="str">
        <x:v>F4 - 60 Gün / 60 Tam Deneme</x:v>
      </x:c>
      <x:c r="G254" s="14" t="str">
        <x:v>Deneme 58</x:v>
      </x:c>
      <x:c r="H254" s="14" t="str">
        <x:v>20 Matematik / tam deneme</x:v>
      </x:c>
      <x:c r="I254" s="14" t="str">
        <x:v>Deneme Analizi</x:v>
      </x:c>
      <x:c r="J254" s="14" t="str">
        <x:v>20 Türkçe / tam deneme</x:v>
      </x:c>
      <x:c r="K254" s="14" t="str">
        <x:v>Tüm 6 branş</x:v>
      </x:c>
      <x:c r="L254" s="14" t="str">
        <x:v>90 soru</x:v>
      </x:c>
      <x:c r="M254" s="14" t="str">
        <x:v>Analiz + hedefli remediation</x:v>
      </x:c>
      <x:c r="N254" s="14" t="str">
        <x:v>Yanlış +1/+7/+21</x:v>
      </x:c>
      <x:c r="O254" s="14" t="str">
        <x:v>60 günlük kamp</x:v>
      </x:c>
    </x:row>
    <x:row r="255">
      <x:c r="A255" s="15" t="n">
        <x:v>46549</x:v>
      </x:c>
      <x:c r="B255" s="14" t="n">
        <x:v>254</x:v>
      </x:c>
      <x:c r="C255" s="14" t="str">
        <x:v>Cuma</x:v>
      </x:c>
      <x:c r="D255" s="14" t="str">
        <x:v>Okul Günü</x:v>
      </x:c>
      <x:c r="E255" s="14" t="str">
        <x:v>16:00 sonrası</x:v>
      </x:c>
      <x:c r="F255" s="14" t="str">
        <x:v>F4 - 60 Gün / 60 Tam Deneme</x:v>
      </x:c>
      <x:c r="G255" s="14" t="str">
        <x:v>Deneme 59</x:v>
      </x:c>
      <x:c r="H255" s="14" t="str">
        <x:v>20 Matematik / tam deneme</x:v>
      </x:c>
      <x:c r="I255" s="14" t="str">
        <x:v>Deneme Analizi</x:v>
      </x:c>
      <x:c r="J255" s="14" t="str">
        <x:v>20 Türkçe / tam deneme</x:v>
      </x:c>
      <x:c r="K255" s="14" t="str">
        <x:v>Tüm 6 branş</x:v>
      </x:c>
      <x:c r="L255" s="14" t="str">
        <x:v>90 soru</x:v>
      </x:c>
      <x:c r="M255" s="14" t="str">
        <x:v>Analiz + hedefli remediation</x:v>
      </x:c>
      <x:c r="N255" s="14" t="str">
        <x:v>Yanlış +1/+7/+21</x:v>
      </x:c>
      <x:c r="O255" s="14" t="str">
        <x:v>60 günlük kamp</x:v>
      </x:c>
    </x:row>
    <x:row r="256">
      <x:c r="A256" s="15" t="n">
        <x:v>46550</x:v>
      </x:c>
      <x:c r="B256" s="14" t="n">
        <x:v>255</x:v>
      </x:c>
      <x:c r="C256" s="14" t="str">
        <x:v>Cumartesi</x:v>
      </x:c>
      <x:c r="D256" s="14" t="str">
        <x:v>Hafta Sonu</x:v>
      </x:c>
      <x:c r="E256" s="14" t="str">
        <x:v>Tam gün</x:v>
      </x:c>
      <x:c r="F256" s="14" t="str">
        <x:v>F4 - 60 Gün / 60 Tam Deneme</x:v>
      </x:c>
      <x:c r="G256" s="14" t="str">
        <x:v>Deneme 60</x:v>
      </x:c>
      <x:c r="H256" s="14" t="str">
        <x:v>20 Matematik / tam deneme</x:v>
      </x:c>
      <x:c r="I256" s="14" t="str">
        <x:v>Deneme Analizi</x:v>
      </x:c>
      <x:c r="J256" s="14" t="str">
        <x:v>20 Türkçe / tam deneme</x:v>
      </x:c>
      <x:c r="K256" s="14" t="str">
        <x:v>Tüm 6 branş</x:v>
      </x:c>
      <x:c r="L256" s="14" t="str">
        <x:v>90 soru</x:v>
      </x:c>
      <x:c r="M256" s="14" t="str">
        <x:v>Analiz + hedefli remediation</x:v>
      </x:c>
      <x:c r="N256" s="14" t="str">
        <x:v>Yanlış +1/+7/+21</x:v>
      </x:c>
      <x:c r="O256" s="14" t="str">
        <x:v>60 günlük kamp</x:v>
      </x:c>
    </x:row>
    <x:row r="257">
      <x:c r="A257" s="15" t="n">
        <x:v>46551</x:v>
      </x:c>
      <x:c r="B257" s="14" t="n">
        <x:v>256</x:v>
      </x:c>
      <x:c r="C257" s="14" t="str">
        <x:v>Pazar</x:v>
      </x:c>
      <x:c r="D257" s="14" t="str">
        <x:v>Hafta Sonu</x:v>
      </x:c>
      <x:c r="E257" s="14" t="str">
        <x:v>Tam gün</x:v>
      </x:c>
      <x:c r="F257" s="14" t="str">
        <x:v>F5 - Geçici Sınav Günü</x:v>
      </x:c>
      <x:c r="G257" s="14" t="str">
        <x:v>Sınav Günü</x:v>
      </x:c>
      <x:c r="H257" s="14" t="str">
        <x:v>Yeni çalışma yok</x:v>
      </x:c>
      <x:c r="I257" s="14" t="str">
        <x:v>Sınav Günü</x:v>
      </x:c>
      <x:c r="J257" s="14" t="str">
        <x:v>Yeni çalışma yok</x:v>
      </x:c>
      <x:c r="K257" s="14" t="str">
        <x:v>Tüm branşlar</x:v>
      </x:c>
      <x:c r="L257" s="14" t="str">
        <x:v>Resmî sınav</x:v>
      </x:c>
      <x:c r="M257" s="14" t="str">
        <x:v>Dinlenme</x:v>
      </x:c>
      <x:c r="N257" s="14" t="str">
        <x:v>—</x:v>
      </x:c>
      <x:c r="O257" s="14" t="str">
        <x:v>Geçici tarih</x:v>
      </x:c>
    </x:row>
  </x:sheetData>
  <x:pageMargins left="0.7" right="0.7" top="0.75" bottom="0.75" header="0.3" footer="0.3"/>
  <x:tableParts count="1">
    <x:tablePart xmlns:r="http://schemas.openxmlformats.org/officeDocument/2006/relationships" r:id="Rb13548ca5fc84c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1" hidden="0" customWidth="1"/>
    <x:col min="4" max="4" width="12" hidden="0" customWidth="1"/>
    <x:col min="5" max="5" width="38" hidden="0" customWidth="1"/>
    <x:col min="6" max="6" width="17" hidden="0" customWidth="1"/>
    <x:col min="7" max="7" width="12" hidden="0" customWidth="1"/>
    <x:col min="8" max="8" width="10" hidden="0" customWidth="1"/>
    <x:col min="9" max="9" width="10" hidden="0" customWidth="1"/>
    <x:col min="10" max="10" width="10" hidden="0" customWidth="1"/>
    <x:col min="11" max="11" width="18" hidden="0" customWidth="1"/>
    <x:col min="12" max="12" width="15" hidden="0" customWidth="1"/>
    <x:col min="13" max="13" width="12" hidden="0" customWidth="1"/>
    <x:col min="14" max="14" width="15" hidden="0" customWidth="1"/>
    <x:col min="15" max="15" width="16" hidden="0" customWidth="1"/>
    <x:col min="16" max="16" width="38" hidden="0" customWidth="1"/>
  </x:cols>
  <x:sheetData>
    <x:row r="1">
      <x:c r="A1" s="6" t="str">
        <x:v>Tarih</x:v>
      </x:c>
      <x:c r="B1" s="6" t="str">
        <x:v>Gün No</x:v>
      </x:c>
      <x:c r="C1" s="6" t="str">
        <x:v>Gün</x:v>
      </x:c>
      <x:c r="D1" s="6" t="str">
        <x:v>Ders</x:v>
      </x:c>
      <x:c r="E1" s="6" t="str">
        <x:v>Konu</x:v>
      </x:c>
      <x:c r="F1" s="6" t="str">
        <x:v>Toplam Soru Hedefi</x:v>
      </x:c>
      <x:c r="G1" s="6" t="str">
        <x:v>Süreli Set</x:v>
      </x:c>
      <x:c r="H1" s="6" t="str">
        <x:v>Doğru</x:v>
      </x:c>
      <x:c r="I1" s="6" t="str">
        <x:v>Yanlış</x:v>
      </x:c>
      <x:c r="J1" s="6" t="str">
        <x:v>Boş</x:v>
      </x:c>
      <x:c r="K1" s="6" t="str">
        <x:v>Süre (ss:dd:ss)</x:v>
      </x:c>
      <x:c r="L1" s="6" t="str">
        <x:v>Saniye / Soru</x:v>
      </x:c>
      <x:c r="M1" s="6" t="str">
        <x:v>Doğruluk</x:v>
      </x:c>
      <x:c r="N1" s="6" t="str">
        <x:v>Ek Soru Hedefi</x:v>
      </x:c>
      <x:c r="O1" s="6" t="str">
        <x:v>Toplam Çözülen</x:v>
      </x:c>
      <x:c r="P1" s="6" t="str">
        <x:v>Not</x:v>
      </x:c>
    </x:row>
    <x:row r="2">
      <x:c r="A2" s="12" t="n">
        <x:v>46296</x:v>
      </x:c>
      <x:c r="B2" t="n">
        <x:v>1</x:v>
      </x:c>
      <x:c r="C2" t="str">
        <x:v>Perşembe</x:v>
      </x:c>
      <x:c r="D2" t="str">
        <x:v>Matematik</x:v>
      </x:c>
      <x:c r="E2" t="str">
        <x:v>Temel Kavramlar</x:v>
      </x:c>
      <x:c r="F2" t="n">
        <x:v>20</x:v>
      </x:c>
      <x:c r="G2" t="n">
        <x:v>20</x:v>
      </x:c>
      <x:c r="H2"/>
      <x:c r="I2"/>
      <x:c r="J2"/>
      <x:c r="K2" s="18"/>
      <x:c r="L2" s="20" t="str">
        <x:f>IF(OR(K2="",G2=0),"",K2*86400/G2)</x:f>
      </x:c>
      <x:c r="M2" s="22" t="str">
        <x:f>IF(SUM(H2:J2)=0,"",H2/SUM(H2:J2))</x:f>
      </x:c>
      <x:c r="N2" t="n">
        <x:v>0</x:v>
      </x:c>
      <x:c r="O2" t="str">
        <x:f>IF(SUM(H2:J2)=0,"",SUM(H2:J2)+IF(N2="",0,N2))</x:f>
      </x:c>
      <x:c r="P2" t="str"/>
    </x:row>
    <x:row r="3">
      <x:c r="A3" s="12" t="n">
        <x:v>46296</x:v>
      </x:c>
      <x:c r="B3" t="n">
        <x:v>1</x:v>
      </x:c>
      <x:c r="C3" t="str">
        <x:v>Perşembe</x:v>
      </x:c>
      <x:c r="D3" t="str">
        <x:v>Paragraf</x:v>
      </x:c>
      <x:c r="E3" t="str">
        <x:v>Paragraf</x:v>
      </x:c>
      <x:c r="F3" t="n">
        <x:v>20</x:v>
      </x:c>
      <x:c r="G3" t="n">
        <x:v>20</x:v>
      </x:c>
      <x:c r="H3"/>
      <x:c r="I3"/>
      <x:c r="J3"/>
      <x:c r="K3" s="18"/>
      <x:c r="L3" s="20" t="str">
        <x:f>IF(OR(K3="",G3=0),"",K3*86400/G3)</x:f>
      </x:c>
      <x:c r="M3" s="22" t="str">
        <x:f>IF(SUM(H3:J3)=0,"",H3/SUM(H3:J3))</x:f>
      </x:c>
      <x:c r="N3" t="n">
        <x:v>0</x:v>
      </x:c>
      <x:c r="O3" t="str">
        <x:f>IF(SUM(H3:J3)=0,"",SUM(H3:J3)+IF(N3="",0,N3))</x:f>
      </x:c>
      <x:c r="P3" t="str"/>
    </x:row>
    <x:row r="4">
      <x:c r="A4" s="12" t="n">
        <x:v>46297</x:v>
      </x:c>
      <x:c r="B4" t="n">
        <x:v>2</x:v>
      </x:c>
      <x:c r="C4" t="str">
        <x:v>Cuma</x:v>
      </x:c>
      <x:c r="D4" t="str">
        <x:v>Matematik</x:v>
      </x:c>
      <x:c r="E4" t="str">
        <x:v>Temel Kavramlar</x:v>
      </x:c>
      <x:c r="F4" t="n">
        <x:v>20</x:v>
      </x:c>
      <x:c r="G4" t="n">
        <x:v>20</x:v>
      </x:c>
      <x:c r="H4"/>
      <x:c r="I4"/>
      <x:c r="J4"/>
      <x:c r="K4" s="18"/>
      <x:c r="L4" s="20" t="str">
        <x:f>IF(OR(K4="",G4=0),"",K4*86400/G4)</x:f>
      </x:c>
      <x:c r="M4" s="22" t="str">
        <x:f>IF(SUM(H4:J4)=0,"",H4/SUM(H4:J4))</x:f>
      </x:c>
      <x:c r="N4" t="n">
        <x:v>0</x:v>
      </x:c>
      <x:c r="O4" t="str">
        <x:f>IF(SUM(H4:J4)=0,"",SUM(H4:J4)+IF(N4="",0,N4))</x:f>
      </x:c>
      <x:c r="P4" t="str"/>
    </x:row>
    <x:row r="5">
      <x:c r="A5" s="12" t="n">
        <x:v>46297</x:v>
      </x:c>
      <x:c r="B5" t="n">
        <x:v>2</x:v>
      </x:c>
      <x:c r="C5" t="str">
        <x:v>Cuma</x:v>
      </x:c>
      <x:c r="D5" t="str">
        <x:v>Paragraf</x:v>
      </x:c>
      <x:c r="E5" t="str">
        <x:v>Paragraf</x:v>
      </x:c>
      <x:c r="F5" t="n">
        <x:v>20</x:v>
      </x:c>
      <x:c r="G5" t="n">
        <x:v>20</x:v>
      </x:c>
      <x:c r="H5"/>
      <x:c r="I5"/>
      <x:c r="J5"/>
      <x:c r="K5" s="18"/>
      <x:c r="L5" s="20" t="str">
        <x:f>IF(OR(K5="",G5=0),"",K5*86400/G5)</x:f>
      </x:c>
      <x:c r="M5" s="22" t="str">
        <x:f>IF(SUM(H5:J5)=0,"",H5/SUM(H5:J5))</x:f>
      </x:c>
      <x:c r="N5" t="n">
        <x:v>0</x:v>
      </x:c>
      <x:c r="O5" t="str">
        <x:f>IF(SUM(H5:J5)=0,"",SUM(H5:J5)+IF(N5="",0,N5))</x:f>
      </x:c>
      <x:c r="P5" t="str"/>
    </x:row>
    <x:row r="6">
      <x:c r="A6" s="12" t="n">
        <x:v>46298</x:v>
      </x:c>
      <x:c r="B6" t="n">
        <x:v>3</x:v>
      </x:c>
      <x:c r="C6" t="str">
        <x:v>Cumartesi</x:v>
      </x:c>
      <x:c r="D6" t="str">
        <x:v>Matematik</x:v>
      </x:c>
      <x:c r="E6" t="str">
        <x:v>Doğal Sayılar</x:v>
      </x:c>
      <x:c r="F6" t="n">
        <x:v>20</x:v>
      </x:c>
      <x:c r="G6" t="n">
        <x:v>20</x:v>
      </x:c>
      <x:c r="H6"/>
      <x:c r="I6"/>
      <x:c r="J6"/>
      <x:c r="K6" s="18"/>
      <x:c r="L6" s="20" t="str">
        <x:f>IF(OR(K6="",G6=0),"",K6*86400/G6)</x:f>
      </x:c>
      <x:c r="M6" s="22" t="str">
        <x:f>IF(SUM(H6:J6)=0,"",H6/SUM(H6:J6))</x:f>
      </x:c>
      <x:c r="N6" t="n">
        <x:v>0</x:v>
      </x:c>
      <x:c r="O6" t="str">
        <x:f>IF(SUM(H6:J6)=0,"",SUM(H6:J6)+IF(N6="",0,N6))</x:f>
      </x:c>
      <x:c r="P6" t="str"/>
    </x:row>
    <x:row r="7">
      <x:c r="A7" s="12" t="n">
        <x:v>46298</x:v>
      </x:c>
      <x:c r="B7" t="n">
        <x:v>3</x:v>
      </x:c>
      <x:c r="C7" t="str">
        <x:v>Cumartesi</x:v>
      </x:c>
      <x:c r="D7" t="str">
        <x:v>Paragraf</x:v>
      </x:c>
      <x:c r="E7" t="str">
        <x:v>Paragraf</x:v>
      </x:c>
      <x:c r="F7" t="n">
        <x:v>20</x:v>
      </x:c>
      <x:c r="G7" t="n">
        <x:v>20</x:v>
      </x:c>
      <x:c r="H7"/>
      <x:c r="I7"/>
      <x:c r="J7"/>
      <x:c r="K7" s="18"/>
      <x:c r="L7" s="20" t="str">
        <x:f>IF(OR(K7="",G7=0),"",K7*86400/G7)</x:f>
      </x:c>
      <x:c r="M7" s="22" t="str">
        <x:f>IF(SUM(H7:J7)=0,"",H7/SUM(H7:J7))</x:f>
      </x:c>
      <x:c r="N7" t="n">
        <x:v>0</x:v>
      </x:c>
      <x:c r="O7" t="str">
        <x:f>IF(SUM(H7:J7)=0,"",SUM(H7:J7)+IF(N7="",0,N7))</x:f>
      </x:c>
      <x:c r="P7" t="str"/>
    </x:row>
    <x:row r="8">
      <x:c r="A8" s="12" t="n">
        <x:v>46299</x:v>
      </x:c>
      <x:c r="B8" t="n">
        <x:v>4</x:v>
      </x:c>
      <x:c r="C8" t="str">
        <x:v>Pazar</x:v>
      </x:c>
      <x:c r="D8" t="str">
        <x:v>Matematik</x:v>
      </x:c>
      <x:c r="E8" t="str">
        <x:v>Doğal Sayılar</x:v>
      </x:c>
      <x:c r="F8" t="n">
        <x:v>20</x:v>
      </x:c>
      <x:c r="G8" t="n">
        <x:v>20</x:v>
      </x:c>
      <x:c r="H8"/>
      <x:c r="I8"/>
      <x:c r="J8"/>
      <x:c r="K8" s="18"/>
      <x:c r="L8" s="20" t="str">
        <x:f>IF(OR(K8="",G8=0),"",K8*86400/G8)</x:f>
      </x:c>
      <x:c r="M8" s="22" t="str">
        <x:f>IF(SUM(H8:J8)=0,"",H8/SUM(H8:J8))</x:f>
      </x:c>
      <x:c r="N8" t="n">
        <x:v>0</x:v>
      </x:c>
      <x:c r="O8" t="str">
        <x:f>IF(SUM(H8:J8)=0,"",SUM(H8:J8)+IF(N8="",0,N8))</x:f>
      </x:c>
      <x:c r="P8" t="str"/>
    </x:row>
    <x:row r="9">
      <x:c r="A9" s="12" t="n">
        <x:v>46299</x:v>
      </x:c>
      <x:c r="B9" t="n">
        <x:v>4</x:v>
      </x:c>
      <x:c r="C9" t="str">
        <x:v>Pazar</x:v>
      </x:c>
      <x:c r="D9" t="str">
        <x:v>Paragraf</x:v>
      </x:c>
      <x:c r="E9" t="str">
        <x:v>Paragraf</x:v>
      </x:c>
      <x:c r="F9" t="n">
        <x:v>20</x:v>
      </x:c>
      <x:c r="G9" t="n">
        <x:v>20</x:v>
      </x:c>
      <x:c r="H9"/>
      <x:c r="I9"/>
      <x:c r="J9"/>
      <x:c r="K9" s="18"/>
      <x:c r="L9" s="20" t="str">
        <x:f>IF(OR(K9="",G9=0),"",K9*86400/G9)</x:f>
      </x:c>
      <x:c r="M9" s="22" t="str">
        <x:f>IF(SUM(H9:J9)=0,"",H9/SUM(H9:J9))</x:f>
      </x:c>
      <x:c r="N9" t="n">
        <x:v>0</x:v>
      </x:c>
      <x:c r="O9" t="str">
        <x:f>IF(SUM(H9:J9)=0,"",SUM(H9:J9)+IF(N9="",0,N9))</x:f>
      </x:c>
      <x:c r="P9" t="str"/>
    </x:row>
    <x:row r="10">
      <x:c r="A10" s="12" t="n">
        <x:v>46300</x:v>
      </x:c>
      <x:c r="B10" t="n">
        <x:v>5</x:v>
      </x:c>
      <x:c r="C10" t="str">
        <x:v>Pazartesi</x:v>
      </x:c>
      <x:c r="D10" t="str">
        <x:v>Matematik</x:v>
      </x:c>
      <x:c r="E10" t="str">
        <x:v>Tam Sayılar</x:v>
      </x:c>
      <x:c r="F10" t="n">
        <x:v>20</x:v>
      </x:c>
      <x:c r="G10" t="n">
        <x:v>20</x:v>
      </x:c>
      <x:c r="H10"/>
      <x:c r="I10"/>
      <x:c r="J10"/>
      <x:c r="K10" s="18"/>
      <x:c r="L10" s="20" t="str">
        <x:f>IF(OR(K10="",G10=0),"",K10*86400/G10)</x:f>
      </x:c>
      <x:c r="M10" s="22" t="str">
        <x:f>IF(SUM(H10:J10)=0,"",H10/SUM(H10:J10))</x:f>
      </x:c>
      <x:c r="N10" t="n">
        <x:v>0</x:v>
      </x:c>
      <x:c r="O10" t="str">
        <x:f>IF(SUM(H10:J10)=0,"",SUM(H10:J10)+IF(N10="",0,N10))</x:f>
      </x:c>
      <x:c r="P10" t="str"/>
    </x:row>
    <x:row r="11">
      <x:c r="A11" s="12" t="n">
        <x:v>46300</x:v>
      </x:c>
      <x:c r="B11" t="n">
        <x:v>5</x:v>
      </x:c>
      <x:c r="C11" t="str">
        <x:v>Pazartesi</x:v>
      </x:c>
      <x:c r="D11" t="str">
        <x:v>Paragraf</x:v>
      </x:c>
      <x:c r="E11" t="str">
        <x:v>Paragraf</x:v>
      </x:c>
      <x:c r="F11" t="n">
        <x:v>20</x:v>
      </x:c>
      <x:c r="G11" t="n">
        <x:v>20</x:v>
      </x:c>
      <x:c r="H11"/>
      <x:c r="I11"/>
      <x:c r="J11"/>
      <x:c r="K11" s="18"/>
      <x:c r="L11" s="20" t="str">
        <x:f>IF(OR(K11="",G11=0),"",K11*86400/G11)</x:f>
      </x:c>
      <x:c r="M11" s="22" t="str">
        <x:f>IF(SUM(H11:J11)=0,"",H11/SUM(H11:J11))</x:f>
      </x:c>
      <x:c r="N11" t="n">
        <x:v>0</x:v>
      </x:c>
      <x:c r="O11" t="str">
        <x:f>IF(SUM(H11:J11)=0,"",SUM(H11:J11)+IF(N11="",0,N11))</x:f>
      </x:c>
      <x:c r="P11" t="str"/>
    </x:row>
    <x:row r="12">
      <x:c r="A12" s="12" t="n">
        <x:v>46301</x:v>
      </x:c>
      <x:c r="B12" t="n">
        <x:v>6</x:v>
      </x:c>
      <x:c r="C12" t="str">
        <x:v>Salı</x:v>
      </x:c>
      <x:c r="D12" t="str">
        <x:v>Matematik</x:v>
      </x:c>
      <x:c r="E12" t="str">
        <x:v>Tam Sayılar</x:v>
      </x:c>
      <x:c r="F12" t="n">
        <x:v>20</x:v>
      </x:c>
      <x:c r="G12" t="n">
        <x:v>20</x:v>
      </x:c>
      <x:c r="H12"/>
      <x:c r="I12"/>
      <x:c r="J12"/>
      <x:c r="K12" s="18"/>
      <x:c r="L12" s="20" t="str">
        <x:f>IF(OR(K12="",G12=0),"",K12*86400/G12)</x:f>
      </x:c>
      <x:c r="M12" s="22" t="str">
        <x:f>IF(SUM(H12:J12)=0,"",H12/SUM(H12:J12))</x:f>
      </x:c>
      <x:c r="N12" t="n">
        <x:v>0</x:v>
      </x:c>
      <x:c r="O12" t="str">
        <x:f>IF(SUM(H12:J12)=0,"",SUM(H12:J12)+IF(N12="",0,N12))</x:f>
      </x:c>
      <x:c r="P12" t="str"/>
    </x:row>
    <x:row r="13">
      <x:c r="A13" s="12" t="n">
        <x:v>46301</x:v>
      </x:c>
      <x:c r="B13" t="n">
        <x:v>6</x:v>
      </x:c>
      <x:c r="C13" t="str">
        <x:v>Salı</x:v>
      </x:c>
      <x:c r="D13" t="str">
        <x:v>Paragraf</x:v>
      </x:c>
      <x:c r="E13" t="str">
        <x:v>Paragraf</x:v>
      </x:c>
      <x:c r="F13" t="n">
        <x:v>20</x:v>
      </x:c>
      <x:c r="G13" t="n">
        <x:v>20</x:v>
      </x:c>
      <x:c r="H13"/>
      <x:c r="I13"/>
      <x:c r="J13"/>
      <x:c r="K13" s="18"/>
      <x:c r="L13" s="20" t="str">
        <x:f>IF(OR(K13="",G13=0),"",K13*86400/G13)</x:f>
      </x:c>
      <x:c r="M13" s="22" t="str">
        <x:f>IF(SUM(H13:J13)=0,"",H13/SUM(H13:J13))</x:f>
      </x:c>
      <x:c r="N13" t="n">
        <x:v>0</x:v>
      </x:c>
      <x:c r="O13" t="str">
        <x:f>IF(SUM(H13:J13)=0,"",SUM(H13:J13)+IF(N13="",0,N13))</x:f>
      </x:c>
      <x:c r="P13" t="str"/>
    </x:row>
    <x:row r="14">
      <x:c r="A14" s="12" t="n">
        <x:v>46302</x:v>
      </x:c>
      <x:c r="B14" t="n">
        <x:v>7</x:v>
      </x:c>
      <x:c r="C14" t="str">
        <x:v>Çarşamba</x:v>
      </x:c>
      <x:c r="D14" t="str">
        <x:v>Matematik</x:v>
      </x:c>
      <x:c r="E14" t="str">
        <x:v>Tam Sayılar</x:v>
      </x:c>
      <x:c r="F14" t="n">
        <x:v>20</x:v>
      </x:c>
      <x:c r="G14" t="n">
        <x:v>20</x:v>
      </x:c>
      <x:c r="H14"/>
      <x:c r="I14"/>
      <x:c r="J14"/>
      <x:c r="K14" s="18"/>
      <x:c r="L14" s="20" t="str">
        <x:f>IF(OR(K14="",G14=0),"",K14*86400/G14)</x:f>
      </x:c>
      <x:c r="M14" s="22" t="str">
        <x:f>IF(SUM(H14:J14)=0,"",H14/SUM(H14:J14))</x:f>
      </x:c>
      <x:c r="N14" t="n">
        <x:v>0</x:v>
      </x:c>
      <x:c r="O14" t="str">
        <x:f>IF(SUM(H14:J14)=0,"",SUM(H14:J14)+IF(N14="",0,N14))</x:f>
      </x:c>
      <x:c r="P14" t="str"/>
    </x:row>
    <x:row r="15">
      <x:c r="A15" s="12" t="n">
        <x:v>46302</x:v>
      </x:c>
      <x:c r="B15" t="n">
        <x:v>7</x:v>
      </x:c>
      <x:c r="C15" t="str">
        <x:v>Çarşamba</x:v>
      </x:c>
      <x:c r="D15" t="str">
        <x:v>Paragraf</x:v>
      </x:c>
      <x:c r="E15" t="str">
        <x:v>Paragraf</x:v>
      </x:c>
      <x:c r="F15" t="n">
        <x:v>20</x:v>
      </x:c>
      <x:c r="G15" t="n">
        <x:v>20</x:v>
      </x:c>
      <x:c r="H15"/>
      <x:c r="I15"/>
      <x:c r="J15"/>
      <x:c r="K15" s="18"/>
      <x:c r="L15" s="20" t="str">
        <x:f>IF(OR(K15="",G15=0),"",K15*86400/G15)</x:f>
      </x:c>
      <x:c r="M15" s="22" t="str">
        <x:f>IF(SUM(H15:J15)=0,"",H15/SUM(H15:J15))</x:f>
      </x:c>
      <x:c r="N15" t="n">
        <x:v>0</x:v>
      </x:c>
      <x:c r="O15" t="str">
        <x:f>IF(SUM(H15:J15)=0,"",SUM(H15:J15)+IF(N15="",0,N15))</x:f>
      </x:c>
      <x:c r="P15" t="str"/>
    </x:row>
    <x:row r="16">
      <x:c r="A16" s="12" t="n">
        <x:v>46303</x:v>
      </x:c>
      <x:c r="B16" t="n">
        <x:v>8</x:v>
      </x:c>
      <x:c r="C16" t="str">
        <x:v>Perşembe</x:v>
      </x:c>
      <x:c r="D16" t="str">
        <x:v>Matematik</x:v>
      </x:c>
      <x:c r="E16" t="str">
        <x:v>Rasyonel Sayılar</x:v>
      </x:c>
      <x:c r="F16" t="n">
        <x:v>20</x:v>
      </x:c>
      <x:c r="G16" t="n">
        <x:v>20</x:v>
      </x:c>
      <x:c r="H16"/>
      <x:c r="I16"/>
      <x:c r="J16"/>
      <x:c r="K16" s="18"/>
      <x:c r="L16" s="20" t="str">
        <x:f>IF(OR(K16="",G16=0),"",K16*86400/G16)</x:f>
      </x:c>
      <x:c r="M16" s="22" t="str">
        <x:f>IF(SUM(H16:J16)=0,"",H16/SUM(H16:J16))</x:f>
      </x:c>
      <x:c r="N16" t="n">
        <x:v>0</x:v>
      </x:c>
      <x:c r="O16" t="str">
        <x:f>IF(SUM(H16:J16)=0,"",SUM(H16:J16)+IF(N16="",0,N16))</x:f>
      </x:c>
      <x:c r="P16" t="str"/>
    </x:row>
    <x:row r="17">
      <x:c r="A17" s="12" t="n">
        <x:v>46303</x:v>
      </x:c>
      <x:c r="B17" t="n">
        <x:v>8</x:v>
      </x:c>
      <x:c r="C17" t="str">
        <x:v>Perşembe</x:v>
      </x:c>
      <x:c r="D17" t="str">
        <x:v>Paragraf</x:v>
      </x:c>
      <x:c r="E17" t="str">
        <x:v>Paragraf</x:v>
      </x:c>
      <x:c r="F17" t="n">
        <x:v>20</x:v>
      </x:c>
      <x:c r="G17" t="n">
        <x:v>20</x:v>
      </x:c>
      <x:c r="H17"/>
      <x:c r="I17"/>
      <x:c r="J17"/>
      <x:c r="K17" s="18"/>
      <x:c r="L17" s="20" t="str">
        <x:f>IF(OR(K17="",G17=0),"",K17*86400/G17)</x:f>
      </x:c>
      <x:c r="M17" s="22" t="str">
        <x:f>IF(SUM(H17:J17)=0,"",H17/SUM(H17:J17))</x:f>
      </x:c>
      <x:c r="N17" t="n">
        <x:v>0</x:v>
      </x:c>
      <x:c r="O17" t="str">
        <x:f>IF(SUM(H17:J17)=0,"",SUM(H17:J17)+IF(N17="",0,N17))</x:f>
      </x:c>
      <x:c r="P17" t="str"/>
    </x:row>
    <x:row r="18">
      <x:c r="A18" s="12" t="n">
        <x:v>46304</x:v>
      </x:c>
      <x:c r="B18" t="n">
        <x:v>9</x:v>
      </x:c>
      <x:c r="C18" t="str">
        <x:v>Cuma</x:v>
      </x:c>
      <x:c r="D18" t="str">
        <x:v>Matematik</x:v>
      </x:c>
      <x:c r="E18" t="str">
        <x:v>Rasyonel Sayılar</x:v>
      </x:c>
      <x:c r="F18" t="n">
        <x:v>20</x:v>
      </x:c>
      <x:c r="G18" t="n">
        <x:v>20</x:v>
      </x:c>
      <x:c r="H18"/>
      <x:c r="I18"/>
      <x:c r="J18"/>
      <x:c r="K18" s="18"/>
      <x:c r="L18" s="20" t="str">
        <x:f>IF(OR(K18="",G18=0),"",K18*86400/G18)</x:f>
      </x:c>
      <x:c r="M18" s="22" t="str">
        <x:f>IF(SUM(H18:J18)=0,"",H18/SUM(H18:J18))</x:f>
      </x:c>
      <x:c r="N18" t="n">
        <x:v>0</x:v>
      </x:c>
      <x:c r="O18" t="str">
        <x:f>IF(SUM(H18:J18)=0,"",SUM(H18:J18)+IF(N18="",0,N18))</x:f>
      </x:c>
      <x:c r="P18" t="str"/>
    </x:row>
    <x:row r="19">
      <x:c r="A19" s="12" t="n">
        <x:v>46304</x:v>
      </x:c>
      <x:c r="B19" t="n">
        <x:v>9</x:v>
      </x:c>
      <x:c r="C19" t="str">
        <x:v>Cuma</x:v>
      </x:c>
      <x:c r="D19" t="str">
        <x:v>Paragraf</x:v>
      </x:c>
      <x:c r="E19" t="str">
        <x:v>Paragraf</x:v>
      </x:c>
      <x:c r="F19" t="n">
        <x:v>20</x:v>
      </x:c>
      <x:c r="G19" t="n">
        <x:v>20</x:v>
      </x:c>
      <x:c r="H19"/>
      <x:c r="I19"/>
      <x:c r="J19"/>
      <x:c r="K19" s="18"/>
      <x:c r="L19" s="20" t="str">
        <x:f>IF(OR(K19="",G19=0),"",K19*86400/G19)</x:f>
      </x:c>
      <x:c r="M19" s="22" t="str">
        <x:f>IF(SUM(H19:J19)=0,"",H19/SUM(H19:J19))</x:f>
      </x:c>
      <x:c r="N19" t="n">
        <x:v>0</x:v>
      </x:c>
      <x:c r="O19" t="str">
        <x:f>IF(SUM(H19:J19)=0,"",SUM(H19:J19)+IF(N19="",0,N19))</x:f>
      </x:c>
      <x:c r="P19" t="str"/>
    </x:row>
    <x:row r="20">
      <x:c r="A20" s="12" t="n">
        <x:v>46305</x:v>
      </x:c>
      <x:c r="B20" t="n">
        <x:v>10</x:v>
      </x:c>
      <x:c r="C20" t="str">
        <x:v>Cumartesi</x:v>
      </x:c>
      <x:c r="D20" t="str">
        <x:v>Matematik</x:v>
      </x:c>
      <x:c r="E20" t="str">
        <x:v>Rasyonel Sayılar</x:v>
      </x:c>
      <x:c r="F20" t="n">
        <x:v>20</x:v>
      </x:c>
      <x:c r="G20" t="n">
        <x:v>20</x:v>
      </x:c>
      <x:c r="H20"/>
      <x:c r="I20"/>
      <x:c r="J20"/>
      <x:c r="K20" s="18"/>
      <x:c r="L20" s="20" t="str">
        <x:f>IF(OR(K20="",G20=0),"",K20*86400/G20)</x:f>
      </x:c>
      <x:c r="M20" s="22" t="str">
        <x:f>IF(SUM(H20:J20)=0,"",H20/SUM(H20:J20))</x:f>
      </x:c>
      <x:c r="N20" t="n">
        <x:v>0</x:v>
      </x:c>
      <x:c r="O20" t="str">
        <x:f>IF(SUM(H20:J20)=0,"",SUM(H20:J20)+IF(N20="",0,N20))</x:f>
      </x:c>
      <x:c r="P20" t="str"/>
    </x:row>
    <x:row r="21">
      <x:c r="A21" s="12" t="n">
        <x:v>46305</x:v>
      </x:c>
      <x:c r="B21" t="n">
        <x:v>10</x:v>
      </x:c>
      <x:c r="C21" t="str">
        <x:v>Cumartesi</x:v>
      </x:c>
      <x:c r="D21" t="str">
        <x:v>Paragraf</x:v>
      </x:c>
      <x:c r="E21" t="str">
        <x:v>Paragraf</x:v>
      </x:c>
      <x:c r="F21" t="n">
        <x:v>20</x:v>
      </x:c>
      <x:c r="G21" t="n">
        <x:v>20</x:v>
      </x:c>
      <x:c r="H21"/>
      <x:c r="I21"/>
      <x:c r="J21"/>
      <x:c r="K21" s="18"/>
      <x:c r="L21" s="20" t="str">
        <x:f>IF(OR(K21="",G21=0),"",K21*86400/G21)</x:f>
      </x:c>
      <x:c r="M21" s="22" t="str">
        <x:f>IF(SUM(H21:J21)=0,"",H21/SUM(H21:J21))</x:f>
      </x:c>
      <x:c r="N21" t="n">
        <x:v>0</x:v>
      </x:c>
      <x:c r="O21" t="str">
        <x:f>IF(SUM(H21:J21)=0,"",SUM(H21:J21)+IF(N21="",0,N21))</x:f>
      </x:c>
      <x:c r="P21" t="str"/>
    </x:row>
    <x:row r="22">
      <x:c r="A22" s="12" t="n">
        <x:v>46306</x:v>
      </x:c>
      <x:c r="B22" t="n">
        <x:v>11</x:v>
      </x:c>
      <x:c r="C22" t="str">
        <x:v>Pazar</x:v>
      </x:c>
      <x:c r="D22" t="str">
        <x:v>Matematik</x:v>
      </x:c>
      <x:c r="E22" t="str">
        <x:v>Rasyonel Sayılar</x:v>
      </x:c>
      <x:c r="F22" t="n">
        <x:v>20</x:v>
      </x:c>
      <x:c r="G22" t="n">
        <x:v>20</x:v>
      </x:c>
      <x:c r="H22"/>
      <x:c r="I22"/>
      <x:c r="J22"/>
      <x:c r="K22" s="18"/>
      <x:c r="L22" s="20" t="str">
        <x:f>IF(OR(K22="",G22=0),"",K22*86400/G22)</x:f>
      </x:c>
      <x:c r="M22" s="22" t="str">
        <x:f>IF(SUM(H22:J22)=0,"",H22/SUM(H22:J22))</x:f>
      </x:c>
      <x:c r="N22" t="n">
        <x:v>0</x:v>
      </x:c>
      <x:c r="O22" t="str">
        <x:f>IF(SUM(H22:J22)=0,"",SUM(H22:J22)+IF(N22="",0,N22))</x:f>
      </x:c>
      <x:c r="P22" t="str"/>
    </x:row>
    <x:row r="23">
      <x:c r="A23" s="12" t="n">
        <x:v>46306</x:v>
      </x:c>
      <x:c r="B23" t="n">
        <x:v>11</x:v>
      </x:c>
      <x:c r="C23" t="str">
        <x:v>Pazar</x:v>
      </x:c>
      <x:c r="D23" t="str">
        <x:v>Paragraf</x:v>
      </x:c>
      <x:c r="E23" t="str">
        <x:v>Paragraf</x:v>
      </x:c>
      <x:c r="F23" t="n">
        <x:v>20</x:v>
      </x:c>
      <x:c r="G23" t="n">
        <x:v>20</x:v>
      </x:c>
      <x:c r="H23"/>
      <x:c r="I23"/>
      <x:c r="J23"/>
      <x:c r="K23" s="18"/>
      <x:c r="L23" s="20" t="str">
        <x:f>IF(OR(K23="",G23=0),"",K23*86400/G23)</x:f>
      </x:c>
      <x:c r="M23" s="22" t="str">
        <x:f>IF(SUM(H23:J23)=0,"",H23/SUM(H23:J23))</x:f>
      </x:c>
      <x:c r="N23" t="n">
        <x:v>0</x:v>
      </x:c>
      <x:c r="O23" t="str">
        <x:f>IF(SUM(H23:J23)=0,"",SUM(H23:J23)+IF(N23="",0,N23))</x:f>
      </x:c>
      <x:c r="P23" t="str"/>
    </x:row>
    <x:row r="24">
      <x:c r="A24" s="12" t="n">
        <x:v>46307</x:v>
      </x:c>
      <x:c r="B24" t="n">
        <x:v>12</x:v>
      </x:c>
      <x:c r="C24" t="str">
        <x:v>Pazartesi</x:v>
      </x:c>
      <x:c r="D24" t="str">
        <x:v>Matematik</x:v>
      </x:c>
      <x:c r="E24" t="str">
        <x:v>Rasyonel Sayılar</x:v>
      </x:c>
      <x:c r="F24" t="n">
        <x:v>20</x:v>
      </x:c>
      <x:c r="G24" t="n">
        <x:v>20</x:v>
      </x:c>
      <x:c r="H24"/>
      <x:c r="I24"/>
      <x:c r="J24"/>
      <x:c r="K24" s="18"/>
      <x:c r="L24" s="20" t="str">
        <x:f>IF(OR(K24="",G24=0),"",K24*86400/G24)</x:f>
      </x:c>
      <x:c r="M24" s="22" t="str">
        <x:f>IF(SUM(H24:J24)=0,"",H24/SUM(H24:J24))</x:f>
      </x:c>
      <x:c r="N24" t="n">
        <x:v>0</x:v>
      </x:c>
      <x:c r="O24" t="str">
        <x:f>IF(SUM(H24:J24)=0,"",SUM(H24:J24)+IF(N24="",0,N24))</x:f>
      </x:c>
      <x:c r="P24" t="str"/>
    </x:row>
    <x:row r="25">
      <x:c r="A25" s="12" t="n">
        <x:v>46307</x:v>
      </x:c>
      <x:c r="B25" t="n">
        <x:v>12</x:v>
      </x:c>
      <x:c r="C25" t="str">
        <x:v>Pazartesi</x:v>
      </x:c>
      <x:c r="D25" t="str">
        <x:v>Paragraf</x:v>
      </x:c>
      <x:c r="E25" t="str">
        <x:v>Paragraf</x:v>
      </x:c>
      <x:c r="F25" t="n">
        <x:v>20</x:v>
      </x:c>
      <x:c r="G25" t="n">
        <x:v>20</x:v>
      </x:c>
      <x:c r="H25"/>
      <x:c r="I25"/>
      <x:c r="J25"/>
      <x:c r="K25" s="18"/>
      <x:c r="L25" s="20" t="str">
        <x:f>IF(OR(K25="",G25=0),"",K25*86400/G25)</x:f>
      </x:c>
      <x:c r="M25" s="22" t="str">
        <x:f>IF(SUM(H25:J25)=0,"",H25/SUM(H25:J25))</x:f>
      </x:c>
      <x:c r="N25" t="n">
        <x:v>0</x:v>
      </x:c>
      <x:c r="O25" t="str">
        <x:f>IF(SUM(H25:J25)=0,"",SUM(H25:J25)+IF(N25="",0,N25))</x:f>
      </x:c>
      <x:c r="P25" t="str"/>
    </x:row>
    <x:row r="26">
      <x:c r="A26" s="12" t="n">
        <x:v>46308</x:v>
      </x:c>
      <x:c r="B26" t="n">
        <x:v>13</x:v>
      </x:c>
      <x:c r="C26" t="str">
        <x:v>Salı</x:v>
      </x:c>
      <x:c r="D26" t="str">
        <x:v>Matematik</x:v>
      </x:c>
      <x:c r="E26" t="str">
        <x:v>Ardışık Sayılar</x:v>
      </x:c>
      <x:c r="F26" t="n">
        <x:v>20</x:v>
      </x:c>
      <x:c r="G26" t="n">
        <x:v>20</x:v>
      </x:c>
      <x:c r="H26"/>
      <x:c r="I26"/>
      <x:c r="J26"/>
      <x:c r="K26" s="18"/>
      <x:c r="L26" s="20" t="str">
        <x:f>IF(OR(K26="",G26=0),"",K26*86400/G26)</x:f>
      </x:c>
      <x:c r="M26" s="22" t="str">
        <x:f>IF(SUM(H26:J26)=0,"",H26/SUM(H26:J26))</x:f>
      </x:c>
      <x:c r="N26" t="n">
        <x:v>0</x:v>
      </x:c>
      <x:c r="O26" t="str">
        <x:f>IF(SUM(H26:J26)=0,"",SUM(H26:J26)+IF(N26="",0,N26))</x:f>
      </x:c>
      <x:c r="P26" t="str"/>
    </x:row>
    <x:row r="27">
      <x:c r="A27" s="12" t="n">
        <x:v>46308</x:v>
      </x:c>
      <x:c r="B27" t="n">
        <x:v>13</x:v>
      </x:c>
      <x:c r="C27" t="str">
        <x:v>Salı</x:v>
      </x:c>
      <x:c r="D27" t="str">
        <x:v>Paragraf</x:v>
      </x:c>
      <x:c r="E27" t="str">
        <x:v>Paragraf</x:v>
      </x:c>
      <x:c r="F27" t="n">
        <x:v>20</x:v>
      </x:c>
      <x:c r="G27" t="n">
        <x:v>20</x:v>
      </x:c>
      <x:c r="H27"/>
      <x:c r="I27"/>
      <x:c r="J27"/>
      <x:c r="K27" s="18"/>
      <x:c r="L27" s="20" t="str">
        <x:f>IF(OR(K27="",G27=0),"",K27*86400/G27)</x:f>
      </x:c>
      <x:c r="M27" s="22" t="str">
        <x:f>IF(SUM(H27:J27)=0,"",H27/SUM(H27:J27))</x:f>
      </x:c>
      <x:c r="N27" t="n">
        <x:v>0</x:v>
      </x:c>
      <x:c r="O27" t="str">
        <x:f>IF(SUM(H27:J27)=0,"",SUM(H27:J27)+IF(N27="",0,N27))</x:f>
      </x:c>
      <x:c r="P27" t="str"/>
    </x:row>
    <x:row r="28">
      <x:c r="A28" s="12" t="n">
        <x:v>46309</x:v>
      </x:c>
      <x:c r="B28" t="n">
        <x:v>14</x:v>
      </x:c>
      <x:c r="C28" t="str">
        <x:v>Çarşamba</x:v>
      </x:c>
      <x:c r="D28" t="str">
        <x:v>Matematik</x:v>
      </x:c>
      <x:c r="E28" t="str">
        <x:v>Ardışık Sayılar</x:v>
      </x:c>
      <x:c r="F28" t="n">
        <x:v>20</x:v>
      </x:c>
      <x:c r="G28" t="n">
        <x:v>20</x:v>
      </x:c>
      <x:c r="H28"/>
      <x:c r="I28"/>
      <x:c r="J28"/>
      <x:c r="K28" s="18"/>
      <x:c r="L28" s="20" t="str">
        <x:f>IF(OR(K28="",G28=0),"",K28*86400/G28)</x:f>
      </x:c>
      <x:c r="M28" s="22" t="str">
        <x:f>IF(SUM(H28:J28)=0,"",H28/SUM(H28:J28))</x:f>
      </x:c>
      <x:c r="N28" t="n">
        <x:v>0</x:v>
      </x:c>
      <x:c r="O28" t="str">
        <x:f>IF(SUM(H28:J28)=0,"",SUM(H28:J28)+IF(N28="",0,N28))</x:f>
      </x:c>
      <x:c r="P28" t="str"/>
    </x:row>
    <x:row r="29">
      <x:c r="A29" s="12" t="n">
        <x:v>46309</x:v>
      </x:c>
      <x:c r="B29" t="n">
        <x:v>14</x:v>
      </x:c>
      <x:c r="C29" t="str">
        <x:v>Çarşamba</x:v>
      </x:c>
      <x:c r="D29" t="str">
        <x:v>Paragraf</x:v>
      </x:c>
      <x:c r="E29" t="str">
        <x:v>Paragraf</x:v>
      </x:c>
      <x:c r="F29" t="n">
        <x:v>20</x:v>
      </x:c>
      <x:c r="G29" t="n">
        <x:v>20</x:v>
      </x:c>
      <x:c r="H29"/>
      <x:c r="I29"/>
      <x:c r="J29"/>
      <x:c r="K29" s="18"/>
      <x:c r="L29" s="20" t="str">
        <x:f>IF(OR(K29="",G29=0),"",K29*86400/G29)</x:f>
      </x:c>
      <x:c r="M29" s="22" t="str">
        <x:f>IF(SUM(H29:J29)=0,"",H29/SUM(H29:J29))</x:f>
      </x:c>
      <x:c r="N29" t="n">
        <x:v>0</x:v>
      </x:c>
      <x:c r="O29" t="str">
        <x:f>IF(SUM(H29:J29)=0,"",SUM(H29:J29)+IF(N29="",0,N29))</x:f>
      </x:c>
      <x:c r="P29" t="str"/>
    </x:row>
    <x:row r="30">
      <x:c r="A30" s="12" t="n">
        <x:v>46310</x:v>
      </x:c>
      <x:c r="B30" t="n">
        <x:v>15</x:v>
      </x:c>
      <x:c r="C30" t="str">
        <x:v>Perşembe</x:v>
      </x:c>
      <x:c r="D30" t="str">
        <x:v>Matematik</x:v>
      </x:c>
      <x:c r="E30" t="str">
        <x:v>Ardışık Sayılar</x:v>
      </x:c>
      <x:c r="F30" t="n">
        <x:v>20</x:v>
      </x:c>
      <x:c r="G30" t="n">
        <x:v>20</x:v>
      </x:c>
      <x:c r="H30"/>
      <x:c r="I30"/>
      <x:c r="J30"/>
      <x:c r="K30" s="18"/>
      <x:c r="L30" s="20" t="str">
        <x:f>IF(OR(K30="",G30=0),"",K30*86400/G30)</x:f>
      </x:c>
      <x:c r="M30" s="22" t="str">
        <x:f>IF(SUM(H30:J30)=0,"",H30/SUM(H30:J30))</x:f>
      </x:c>
      <x:c r="N30" t="n">
        <x:v>0</x:v>
      </x:c>
      <x:c r="O30" t="str">
        <x:f>IF(SUM(H30:J30)=0,"",SUM(H30:J30)+IF(N30="",0,N30))</x:f>
      </x:c>
      <x:c r="P30" t="str"/>
    </x:row>
    <x:row r="31">
      <x:c r="A31" s="12" t="n">
        <x:v>46310</x:v>
      </x:c>
      <x:c r="B31" t="n">
        <x:v>15</x:v>
      </x:c>
      <x:c r="C31" t="str">
        <x:v>Perşembe</x:v>
      </x:c>
      <x:c r="D31" t="str">
        <x:v>Paragraf</x:v>
      </x:c>
      <x:c r="E31" t="str">
        <x:v>Paragraf</x:v>
      </x:c>
      <x:c r="F31" t="n">
        <x:v>20</x:v>
      </x:c>
      <x:c r="G31" t="n">
        <x:v>20</x:v>
      </x:c>
      <x:c r="H31"/>
      <x:c r="I31"/>
      <x:c r="J31"/>
      <x:c r="K31" s="18"/>
      <x:c r="L31" s="20" t="str">
        <x:f>IF(OR(K31="",G31=0),"",K31*86400/G31)</x:f>
      </x:c>
      <x:c r="M31" s="22" t="str">
        <x:f>IF(SUM(H31:J31)=0,"",H31/SUM(H31:J31))</x:f>
      </x:c>
      <x:c r="N31" t="n">
        <x:v>0</x:v>
      </x:c>
      <x:c r="O31" t="str">
        <x:f>IF(SUM(H31:J31)=0,"",SUM(H31:J31)+IF(N31="",0,N31))</x:f>
      </x:c>
      <x:c r="P31" t="str"/>
    </x:row>
    <x:row r="32">
      <x:c r="A32" s="12" t="n">
        <x:v>46311</x:v>
      </x:c>
      <x:c r="B32" t="n">
        <x:v>16</x:v>
      </x:c>
      <x:c r="C32" t="str">
        <x:v>Cuma</x:v>
      </x:c>
      <x:c r="D32" t="str">
        <x:v>Matematik</x:v>
      </x:c>
      <x:c r="E32" t="str">
        <x:v>Asal Sayılar ve Aralarında Asallık</x:v>
      </x:c>
      <x:c r="F32" t="n">
        <x:v>20</x:v>
      </x:c>
      <x:c r="G32" t="n">
        <x:v>20</x:v>
      </x:c>
      <x:c r="H32"/>
      <x:c r="I32"/>
      <x:c r="J32"/>
      <x:c r="K32" s="18"/>
      <x:c r="L32" s="20" t="str">
        <x:f>IF(OR(K32="",G32=0),"",K32*86400/G32)</x:f>
      </x:c>
      <x:c r="M32" s="22" t="str">
        <x:f>IF(SUM(H32:J32)=0,"",H32/SUM(H32:J32))</x:f>
      </x:c>
      <x:c r="N32" t="n">
        <x:v>0</x:v>
      </x:c>
      <x:c r="O32" t="str">
        <x:f>IF(SUM(H32:J32)=0,"",SUM(H32:J32)+IF(N32="",0,N32))</x:f>
      </x:c>
      <x:c r="P32" t="str"/>
    </x:row>
    <x:row r="33">
      <x:c r="A33" s="12" t="n">
        <x:v>46311</x:v>
      </x:c>
      <x:c r="B33" t="n">
        <x:v>16</x:v>
      </x:c>
      <x:c r="C33" t="str">
        <x:v>Cuma</x:v>
      </x:c>
      <x:c r="D33" t="str">
        <x:v>Paragraf</x:v>
      </x:c>
      <x:c r="E33" t="str">
        <x:v>Paragraf</x:v>
      </x:c>
      <x:c r="F33" t="n">
        <x:v>20</x:v>
      </x:c>
      <x:c r="G33" t="n">
        <x:v>20</x:v>
      </x:c>
      <x:c r="H33"/>
      <x:c r="I33"/>
      <x:c r="J33"/>
      <x:c r="K33" s="18"/>
      <x:c r="L33" s="20" t="str">
        <x:f>IF(OR(K33="",G33=0),"",K33*86400/G33)</x:f>
      </x:c>
      <x:c r="M33" s="22" t="str">
        <x:f>IF(SUM(H33:J33)=0,"",H33/SUM(H33:J33))</x:f>
      </x:c>
      <x:c r="N33" t="n">
        <x:v>0</x:v>
      </x:c>
      <x:c r="O33" t="str">
        <x:f>IF(SUM(H33:J33)=0,"",SUM(H33:J33)+IF(N33="",0,N33))</x:f>
      </x:c>
      <x:c r="P33" t="str"/>
    </x:row>
    <x:row r="34">
      <x:c r="A34" s="12" t="n">
        <x:v>46312</x:v>
      </x:c>
      <x:c r="B34" t="n">
        <x:v>17</x:v>
      </x:c>
      <x:c r="C34" t="str">
        <x:v>Cumartesi</x:v>
      </x:c>
      <x:c r="D34" t="str">
        <x:v>Matematik</x:v>
      </x:c>
      <x:c r="E34" t="str">
        <x:v>Asal Sayılar ve Aralarında Asallık</x:v>
      </x:c>
      <x:c r="F34" t="n">
        <x:v>20</x:v>
      </x:c>
      <x:c r="G34" t="n">
        <x:v>20</x:v>
      </x:c>
      <x:c r="H34"/>
      <x:c r="I34"/>
      <x:c r="J34"/>
      <x:c r="K34" s="18"/>
      <x:c r="L34" s="20" t="str">
        <x:f>IF(OR(K34="",G34=0),"",K34*86400/G34)</x:f>
      </x:c>
      <x:c r="M34" s="22" t="str">
        <x:f>IF(SUM(H34:J34)=0,"",H34/SUM(H34:J34))</x:f>
      </x:c>
      <x:c r="N34" t="n">
        <x:v>0</x:v>
      </x:c>
      <x:c r="O34" t="str">
        <x:f>IF(SUM(H34:J34)=0,"",SUM(H34:J34)+IF(N34="",0,N34))</x:f>
      </x:c>
      <x:c r="P34" t="str"/>
    </x:row>
    <x:row r="35">
      <x:c r="A35" s="12" t="n">
        <x:v>46312</x:v>
      </x:c>
      <x:c r="B35" t="n">
        <x:v>17</x:v>
      </x:c>
      <x:c r="C35" t="str">
        <x:v>Cumartesi</x:v>
      </x:c>
      <x:c r="D35" t="str">
        <x:v>Paragraf</x:v>
      </x:c>
      <x:c r="E35" t="str">
        <x:v>Paragraf</x:v>
      </x:c>
      <x:c r="F35" t="n">
        <x:v>20</x:v>
      </x:c>
      <x:c r="G35" t="n">
        <x:v>20</x:v>
      </x:c>
      <x:c r="H35"/>
      <x:c r="I35"/>
      <x:c r="J35"/>
      <x:c r="K35" s="18"/>
      <x:c r="L35" s="20" t="str">
        <x:f>IF(OR(K35="",G35=0),"",K35*86400/G35)</x:f>
      </x:c>
      <x:c r="M35" s="22" t="str">
        <x:f>IF(SUM(H35:J35)=0,"",H35/SUM(H35:J35))</x:f>
      </x:c>
      <x:c r="N35" t="n">
        <x:v>0</x:v>
      </x:c>
      <x:c r="O35" t="str">
        <x:f>IF(SUM(H35:J35)=0,"",SUM(H35:J35)+IF(N35="",0,N35))</x:f>
      </x:c>
      <x:c r="P35" t="str"/>
    </x:row>
    <x:row r="36">
      <x:c r="A36" s="12" t="n">
        <x:v>46313</x:v>
      </x:c>
      <x:c r="B36" t="n">
        <x:v>18</x:v>
      </x:c>
      <x:c r="C36" t="str">
        <x:v>Pazar</x:v>
      </x:c>
      <x:c r="D36" t="str">
        <x:v>Matematik</x:v>
      </x:c>
      <x:c r="E36" t="str">
        <x:v>Asal Sayılar ve Aralarında Asallık</x:v>
      </x:c>
      <x:c r="F36" t="n">
        <x:v>20</x:v>
      </x:c>
      <x:c r="G36" t="n">
        <x:v>20</x:v>
      </x:c>
      <x:c r="H36"/>
      <x:c r="I36"/>
      <x:c r="J36"/>
      <x:c r="K36" s="18"/>
      <x:c r="L36" s="20" t="str">
        <x:f>IF(OR(K36="",G36=0),"",K36*86400/G36)</x:f>
      </x:c>
      <x:c r="M36" s="22" t="str">
        <x:f>IF(SUM(H36:J36)=0,"",H36/SUM(H36:J36))</x:f>
      </x:c>
      <x:c r="N36" t="n">
        <x:v>0</x:v>
      </x:c>
      <x:c r="O36" t="str">
        <x:f>IF(SUM(H36:J36)=0,"",SUM(H36:J36)+IF(N36="",0,N36))</x:f>
      </x:c>
      <x:c r="P36" t="str"/>
    </x:row>
    <x:row r="37">
      <x:c r="A37" s="12" t="n">
        <x:v>46313</x:v>
      </x:c>
      <x:c r="B37" t="n">
        <x:v>18</x:v>
      </x:c>
      <x:c r="C37" t="str">
        <x:v>Pazar</x:v>
      </x:c>
      <x:c r="D37" t="str">
        <x:v>Paragraf</x:v>
      </x:c>
      <x:c r="E37" t="str">
        <x:v>Paragraf</x:v>
      </x:c>
      <x:c r="F37" t="n">
        <x:v>20</x:v>
      </x:c>
      <x:c r="G37" t="n">
        <x:v>20</x:v>
      </x:c>
      <x:c r="H37"/>
      <x:c r="I37"/>
      <x:c r="J37"/>
      <x:c r="K37" s="18"/>
      <x:c r="L37" s="20" t="str">
        <x:f>IF(OR(K37="",G37=0),"",K37*86400/G37)</x:f>
      </x:c>
      <x:c r="M37" s="22" t="str">
        <x:f>IF(SUM(H37:J37)=0,"",H37/SUM(H37:J37))</x:f>
      </x:c>
      <x:c r="N37" t="n">
        <x:v>0</x:v>
      </x:c>
      <x:c r="O37" t="str">
        <x:f>IF(SUM(H37:J37)=0,"",SUM(H37:J37)+IF(N37="",0,N37))</x:f>
      </x:c>
      <x:c r="P37" t="str"/>
    </x:row>
    <x:row r="38">
      <x:c r="A38" s="12" t="n">
        <x:v>46314</x:v>
      </x:c>
      <x:c r="B38" t="n">
        <x:v>19</x:v>
      </x:c>
      <x:c r="C38" t="str">
        <x:v>Pazartesi</x:v>
      </x:c>
      <x:c r="D38" t="str">
        <x:v>Matematik</x:v>
      </x:c>
      <x:c r="E38" t="str">
        <x:v>Sayı Basamakları</x:v>
      </x:c>
      <x:c r="F38" t="n">
        <x:v>20</x:v>
      </x:c>
      <x:c r="G38" t="n">
        <x:v>20</x:v>
      </x:c>
      <x:c r="H38"/>
      <x:c r="I38"/>
      <x:c r="J38"/>
      <x:c r="K38" s="18"/>
      <x:c r="L38" s="20" t="str">
        <x:f>IF(OR(K38="",G38=0),"",K38*86400/G38)</x:f>
      </x:c>
      <x:c r="M38" s="22" t="str">
        <x:f>IF(SUM(H38:J38)=0,"",H38/SUM(H38:J38))</x:f>
      </x:c>
      <x:c r="N38" t="n">
        <x:v>0</x:v>
      </x:c>
      <x:c r="O38" t="str">
        <x:f>IF(SUM(H38:J38)=0,"",SUM(H38:J38)+IF(N38="",0,N38))</x:f>
      </x:c>
      <x:c r="P38" t="str"/>
    </x:row>
    <x:row r="39">
      <x:c r="A39" s="12" t="n">
        <x:v>46314</x:v>
      </x:c>
      <x:c r="B39" t="n">
        <x:v>19</x:v>
      </x:c>
      <x:c r="C39" t="str">
        <x:v>Pazartesi</x:v>
      </x:c>
      <x:c r="D39" t="str">
        <x:v>Paragraf</x:v>
      </x:c>
      <x:c r="E39" t="str">
        <x:v>Paragraf</x:v>
      </x:c>
      <x:c r="F39" t="n">
        <x:v>20</x:v>
      </x:c>
      <x:c r="G39" t="n">
        <x:v>20</x:v>
      </x:c>
      <x:c r="H39"/>
      <x:c r="I39"/>
      <x:c r="J39"/>
      <x:c r="K39" s="18"/>
      <x:c r="L39" s="20" t="str">
        <x:f>IF(OR(K39="",G39=0),"",K39*86400/G39)</x:f>
      </x:c>
      <x:c r="M39" s="22" t="str">
        <x:f>IF(SUM(H39:J39)=0,"",H39/SUM(H39:J39))</x:f>
      </x:c>
      <x:c r="N39" t="n">
        <x:v>0</x:v>
      </x:c>
      <x:c r="O39" t="str">
        <x:f>IF(SUM(H39:J39)=0,"",SUM(H39:J39)+IF(N39="",0,N39))</x:f>
      </x:c>
      <x:c r="P39" t="str"/>
    </x:row>
    <x:row r="40">
      <x:c r="A40" s="12" t="n">
        <x:v>46315</x:v>
      </x:c>
      <x:c r="B40" t="n">
        <x:v>20</x:v>
      </x:c>
      <x:c r="C40" t="str">
        <x:v>Salı</x:v>
      </x:c>
      <x:c r="D40" t="str">
        <x:v>Matematik</x:v>
      </x:c>
      <x:c r="E40" t="str">
        <x:v>Sayı Basamakları</x:v>
      </x:c>
      <x:c r="F40" t="n">
        <x:v>20</x:v>
      </x:c>
      <x:c r="G40" t="n">
        <x:v>20</x:v>
      </x:c>
      <x:c r="H40"/>
      <x:c r="I40"/>
      <x:c r="J40"/>
      <x:c r="K40" s="18"/>
      <x:c r="L40" s="20" t="str">
        <x:f>IF(OR(K40="",G40=0),"",K40*86400/G40)</x:f>
      </x:c>
      <x:c r="M40" s="22" t="str">
        <x:f>IF(SUM(H40:J40)=0,"",H40/SUM(H40:J40))</x:f>
      </x:c>
      <x:c r="N40" t="n">
        <x:v>0</x:v>
      </x:c>
      <x:c r="O40" t="str">
        <x:f>IF(SUM(H40:J40)=0,"",SUM(H40:J40)+IF(N40="",0,N40))</x:f>
      </x:c>
      <x:c r="P40" t="str"/>
    </x:row>
    <x:row r="41">
      <x:c r="A41" s="12" t="n">
        <x:v>46315</x:v>
      </x:c>
      <x:c r="B41" t="n">
        <x:v>20</x:v>
      </x:c>
      <x:c r="C41" t="str">
        <x:v>Salı</x:v>
      </x:c>
      <x:c r="D41" t="str">
        <x:v>Paragraf</x:v>
      </x:c>
      <x:c r="E41" t="str">
        <x:v>Paragraf</x:v>
      </x:c>
      <x:c r="F41" t="n">
        <x:v>20</x:v>
      </x:c>
      <x:c r="G41" t="n">
        <x:v>20</x:v>
      </x:c>
      <x:c r="H41"/>
      <x:c r="I41"/>
      <x:c r="J41"/>
      <x:c r="K41" s="18"/>
      <x:c r="L41" s="20" t="str">
        <x:f>IF(OR(K41="",G41=0),"",K41*86400/G41)</x:f>
      </x:c>
      <x:c r="M41" s="22" t="str">
        <x:f>IF(SUM(H41:J41)=0,"",H41/SUM(H41:J41))</x:f>
      </x:c>
      <x:c r="N41" t="n">
        <x:v>0</x:v>
      </x:c>
      <x:c r="O41" t="str">
        <x:f>IF(SUM(H41:J41)=0,"",SUM(H41:J41)+IF(N41="",0,N41))</x:f>
      </x:c>
      <x:c r="P41" t="str"/>
    </x:row>
    <x:row r="42">
      <x:c r="A42" s="12" t="n">
        <x:v>46316</x:v>
      </x:c>
      <x:c r="B42" t="n">
        <x:v>21</x:v>
      </x:c>
      <x:c r="C42" t="str">
        <x:v>Çarşamba</x:v>
      </x:c>
      <x:c r="D42" t="str">
        <x:v>Matematik</x:v>
      </x:c>
      <x:c r="E42" t="str">
        <x:v>Sayı Basamakları</x:v>
      </x:c>
      <x:c r="F42" t="n">
        <x:v>20</x:v>
      </x:c>
      <x:c r="G42" t="n">
        <x:v>20</x:v>
      </x:c>
      <x:c r="H42"/>
      <x:c r="I42"/>
      <x:c r="J42"/>
      <x:c r="K42" s="18"/>
      <x:c r="L42" s="20" t="str">
        <x:f>IF(OR(K42="",G42=0),"",K42*86400/G42)</x:f>
      </x:c>
      <x:c r="M42" s="22" t="str">
        <x:f>IF(SUM(H42:J42)=0,"",H42/SUM(H42:J42))</x:f>
      </x:c>
      <x:c r="N42" t="n">
        <x:v>0</x:v>
      </x:c>
      <x:c r="O42" t="str">
        <x:f>IF(SUM(H42:J42)=0,"",SUM(H42:J42)+IF(N42="",0,N42))</x:f>
      </x:c>
      <x:c r="P42" t="str"/>
    </x:row>
    <x:row r="43">
      <x:c r="A43" s="12" t="n">
        <x:v>46316</x:v>
      </x:c>
      <x:c r="B43" t="n">
        <x:v>21</x:v>
      </x:c>
      <x:c r="C43" t="str">
        <x:v>Çarşamba</x:v>
      </x:c>
      <x:c r="D43" t="str">
        <x:v>Paragraf</x:v>
      </x:c>
      <x:c r="E43" t="str">
        <x:v>Paragraf</x:v>
      </x:c>
      <x:c r="F43" t="n">
        <x:v>20</x:v>
      </x:c>
      <x:c r="G43" t="n">
        <x:v>20</x:v>
      </x:c>
      <x:c r="H43"/>
      <x:c r="I43"/>
      <x:c r="J43"/>
      <x:c r="K43" s="18"/>
      <x:c r="L43" s="20" t="str">
        <x:f>IF(OR(K43="",G43=0),"",K43*86400/G43)</x:f>
      </x:c>
      <x:c r="M43" s="22" t="str">
        <x:f>IF(SUM(H43:J43)=0,"",H43/SUM(H43:J43))</x:f>
      </x:c>
      <x:c r="N43" t="n">
        <x:v>0</x:v>
      </x:c>
      <x:c r="O43" t="str">
        <x:f>IF(SUM(H43:J43)=0,"",SUM(H43:J43)+IF(N43="",0,N43))</x:f>
      </x:c>
      <x:c r="P43" t="str"/>
    </x:row>
    <x:row r="44">
      <x:c r="A44" s="12" t="n">
        <x:v>46317</x:v>
      </x:c>
      <x:c r="B44" t="n">
        <x:v>22</x:v>
      </x:c>
      <x:c r="C44" t="str">
        <x:v>Perşembe</x:v>
      </x:c>
      <x:c r="D44" t="str">
        <x:v>Matematik</x:v>
      </x:c>
      <x:c r="E44" t="str">
        <x:v>Bölme ve Bölünebilme</x:v>
      </x:c>
      <x:c r="F44" t="n">
        <x:v>20</x:v>
      </x:c>
      <x:c r="G44" t="n">
        <x:v>20</x:v>
      </x:c>
      <x:c r="H44"/>
      <x:c r="I44"/>
      <x:c r="J44"/>
      <x:c r="K44" s="18"/>
      <x:c r="L44" s="20" t="str">
        <x:f>IF(OR(K44="",G44=0),"",K44*86400/G44)</x:f>
      </x:c>
      <x:c r="M44" s="22" t="str">
        <x:f>IF(SUM(H44:J44)=0,"",H44/SUM(H44:J44))</x:f>
      </x:c>
      <x:c r="N44" t="n">
        <x:v>0</x:v>
      </x:c>
      <x:c r="O44" t="str">
        <x:f>IF(SUM(H44:J44)=0,"",SUM(H44:J44)+IF(N44="",0,N44))</x:f>
      </x:c>
      <x:c r="P44" t="str"/>
    </x:row>
    <x:row r="45">
      <x:c r="A45" s="12" t="n">
        <x:v>46317</x:v>
      </x:c>
      <x:c r="B45" t="n">
        <x:v>22</x:v>
      </x:c>
      <x:c r="C45" t="str">
        <x:v>Perşembe</x:v>
      </x:c>
      <x:c r="D45" t="str">
        <x:v>Paragraf</x:v>
      </x:c>
      <x:c r="E45" t="str">
        <x:v>Paragraf</x:v>
      </x:c>
      <x:c r="F45" t="n">
        <x:v>20</x:v>
      </x:c>
      <x:c r="G45" t="n">
        <x:v>20</x:v>
      </x:c>
      <x:c r="H45"/>
      <x:c r="I45"/>
      <x:c r="J45"/>
      <x:c r="K45" s="18"/>
      <x:c r="L45" s="20" t="str">
        <x:f>IF(OR(K45="",G45=0),"",K45*86400/G45)</x:f>
      </x:c>
      <x:c r="M45" s="22" t="str">
        <x:f>IF(SUM(H45:J45)=0,"",H45/SUM(H45:J45))</x:f>
      </x:c>
      <x:c r="N45" t="n">
        <x:v>0</x:v>
      </x:c>
      <x:c r="O45" t="str">
        <x:f>IF(SUM(H45:J45)=0,"",SUM(H45:J45)+IF(N45="",0,N45))</x:f>
      </x:c>
      <x:c r="P45" t="str"/>
    </x:row>
    <x:row r="46">
      <x:c r="A46" s="12" t="n">
        <x:v>46318</x:v>
      </x:c>
      <x:c r="B46" t="n">
        <x:v>23</x:v>
      </x:c>
      <x:c r="C46" t="str">
        <x:v>Cuma</x:v>
      </x:c>
      <x:c r="D46" t="str">
        <x:v>Matematik</x:v>
      </x:c>
      <x:c r="E46" t="str">
        <x:v>Bölme ve Bölünebilme</x:v>
      </x:c>
      <x:c r="F46" t="n">
        <x:v>20</x:v>
      </x:c>
      <x:c r="G46" t="n">
        <x:v>20</x:v>
      </x:c>
      <x:c r="H46"/>
      <x:c r="I46"/>
      <x:c r="J46"/>
      <x:c r="K46" s="18"/>
      <x:c r="L46" s="20" t="str">
        <x:f>IF(OR(K46="",G46=0),"",K46*86400/G46)</x:f>
      </x:c>
      <x:c r="M46" s="22" t="str">
        <x:f>IF(SUM(H46:J46)=0,"",H46/SUM(H46:J46))</x:f>
      </x:c>
      <x:c r="N46" t="n">
        <x:v>0</x:v>
      </x:c>
      <x:c r="O46" t="str">
        <x:f>IF(SUM(H46:J46)=0,"",SUM(H46:J46)+IF(N46="",0,N46))</x:f>
      </x:c>
      <x:c r="P46" t="str"/>
    </x:row>
    <x:row r="47">
      <x:c r="A47" s="12" t="n">
        <x:v>46318</x:v>
      </x:c>
      <x:c r="B47" t="n">
        <x:v>23</x:v>
      </x:c>
      <x:c r="C47" t="str">
        <x:v>Cuma</x:v>
      </x:c>
      <x:c r="D47" t="str">
        <x:v>Paragraf</x:v>
      </x:c>
      <x:c r="E47" t="str">
        <x:v>Paragraf</x:v>
      </x:c>
      <x:c r="F47" t="n">
        <x:v>20</x:v>
      </x:c>
      <x:c r="G47" t="n">
        <x:v>20</x:v>
      </x:c>
      <x:c r="H47"/>
      <x:c r="I47"/>
      <x:c r="J47"/>
      <x:c r="K47" s="18"/>
      <x:c r="L47" s="20" t="str">
        <x:f>IF(OR(K47="",G47=0),"",K47*86400/G47)</x:f>
      </x:c>
      <x:c r="M47" s="22" t="str">
        <x:f>IF(SUM(H47:J47)=0,"",H47/SUM(H47:J47))</x:f>
      </x:c>
      <x:c r="N47" t="n">
        <x:v>0</x:v>
      </x:c>
      <x:c r="O47" t="str">
        <x:f>IF(SUM(H47:J47)=0,"",SUM(H47:J47)+IF(N47="",0,N47))</x:f>
      </x:c>
      <x:c r="P47" t="str"/>
    </x:row>
    <x:row r="48">
      <x:c r="A48" s="12" t="n">
        <x:v>46319</x:v>
      </x:c>
      <x:c r="B48" t="n">
        <x:v>24</x:v>
      </x:c>
      <x:c r="C48" t="str">
        <x:v>Cumartesi</x:v>
      </x:c>
      <x:c r="D48" t="str">
        <x:v>Matematik</x:v>
      </x:c>
      <x:c r="E48" t="str">
        <x:v>Bölme ve Bölünebilme</x:v>
      </x:c>
      <x:c r="F48" t="n">
        <x:v>20</x:v>
      </x:c>
      <x:c r="G48" t="n">
        <x:v>20</x:v>
      </x:c>
      <x:c r="H48"/>
      <x:c r="I48"/>
      <x:c r="J48"/>
      <x:c r="K48" s="18"/>
      <x:c r="L48" s="20" t="str">
        <x:f>IF(OR(K48="",G48=0),"",K48*86400/G48)</x:f>
      </x:c>
      <x:c r="M48" s="22" t="str">
        <x:f>IF(SUM(H48:J48)=0,"",H48/SUM(H48:J48))</x:f>
      </x:c>
      <x:c r="N48" t="n">
        <x:v>0</x:v>
      </x:c>
      <x:c r="O48" t="str">
        <x:f>IF(SUM(H48:J48)=0,"",SUM(H48:J48)+IF(N48="",0,N48))</x:f>
      </x:c>
      <x:c r="P48" t="str"/>
    </x:row>
    <x:row r="49">
      <x:c r="A49" s="12" t="n">
        <x:v>46319</x:v>
      </x:c>
      <x:c r="B49" t="n">
        <x:v>24</x:v>
      </x:c>
      <x:c r="C49" t="str">
        <x:v>Cumartesi</x:v>
      </x:c>
      <x:c r="D49" t="str">
        <x:v>Paragraf</x:v>
      </x:c>
      <x:c r="E49" t="str">
        <x:v>Paragraf</x:v>
      </x:c>
      <x:c r="F49" t="n">
        <x:v>20</x:v>
      </x:c>
      <x:c r="G49" t="n">
        <x:v>20</x:v>
      </x:c>
      <x:c r="H49"/>
      <x:c r="I49"/>
      <x:c r="J49"/>
      <x:c r="K49" s="18"/>
      <x:c r="L49" s="20" t="str">
        <x:f>IF(OR(K49="",G49=0),"",K49*86400/G49)</x:f>
      </x:c>
      <x:c r="M49" s="22" t="str">
        <x:f>IF(SUM(H49:J49)=0,"",H49/SUM(H49:J49))</x:f>
      </x:c>
      <x:c r="N49" t="n">
        <x:v>0</x:v>
      </x:c>
      <x:c r="O49" t="str">
        <x:f>IF(SUM(H49:J49)=0,"",SUM(H49:J49)+IF(N49="",0,N49))</x:f>
      </x:c>
      <x:c r="P49" t="str"/>
    </x:row>
    <x:row r="50">
      <x:c r="A50" s="12" t="n">
        <x:v>46320</x:v>
      </x:c>
      <x:c r="B50" t="n">
        <x:v>25</x:v>
      </x:c>
      <x:c r="C50" t="str">
        <x:v>Pazar</x:v>
      </x:c>
      <x:c r="D50" t="str">
        <x:v>Matematik</x:v>
      </x:c>
      <x:c r="E50" t="str">
        <x:v>Bölme ve Bölünebilme</x:v>
      </x:c>
      <x:c r="F50" t="n">
        <x:v>20</x:v>
      </x:c>
      <x:c r="G50" t="n">
        <x:v>20</x:v>
      </x:c>
      <x:c r="H50"/>
      <x:c r="I50"/>
      <x:c r="J50"/>
      <x:c r="K50" s="18"/>
      <x:c r="L50" s="20" t="str">
        <x:f>IF(OR(K50="",G50=0),"",K50*86400/G50)</x:f>
      </x:c>
      <x:c r="M50" s="22" t="str">
        <x:f>IF(SUM(H50:J50)=0,"",H50/SUM(H50:J50))</x:f>
      </x:c>
      <x:c r="N50" t="n">
        <x:v>0</x:v>
      </x:c>
      <x:c r="O50" t="str">
        <x:f>IF(SUM(H50:J50)=0,"",SUM(H50:J50)+IF(N50="",0,N50))</x:f>
      </x:c>
      <x:c r="P50" t="str"/>
    </x:row>
    <x:row r="51">
      <x:c r="A51" s="12" t="n">
        <x:v>46320</x:v>
      </x:c>
      <x:c r="B51" t="n">
        <x:v>25</x:v>
      </x:c>
      <x:c r="C51" t="str">
        <x:v>Pazar</x:v>
      </x:c>
      <x:c r="D51" t="str">
        <x:v>Paragraf</x:v>
      </x:c>
      <x:c r="E51" t="str">
        <x:v>Paragraf</x:v>
      </x:c>
      <x:c r="F51" t="n">
        <x:v>20</x:v>
      </x:c>
      <x:c r="G51" t="n">
        <x:v>20</x:v>
      </x:c>
      <x:c r="H51"/>
      <x:c r="I51"/>
      <x:c r="J51"/>
      <x:c r="K51" s="18"/>
      <x:c r="L51" s="20" t="str">
        <x:f>IF(OR(K51="",G51=0),"",K51*86400/G51)</x:f>
      </x:c>
      <x:c r="M51" s="22" t="str">
        <x:f>IF(SUM(H51:J51)=0,"",H51/SUM(H51:J51))</x:f>
      </x:c>
      <x:c r="N51" t="n">
        <x:v>0</x:v>
      </x:c>
      <x:c r="O51" t="str">
        <x:f>IF(SUM(H51:J51)=0,"",SUM(H51:J51)+IF(N51="",0,N51))</x:f>
      </x:c>
      <x:c r="P51" t="str"/>
    </x:row>
    <x:row r="52">
      <x:c r="A52" s="12" t="n">
        <x:v>46321</x:v>
      </x:c>
      <x:c r="B52" t="n">
        <x:v>26</x:v>
      </x:c>
      <x:c r="C52" t="str">
        <x:v>Pazartesi</x:v>
      </x:c>
      <x:c r="D52" t="str">
        <x:v>Matematik</x:v>
      </x:c>
      <x:c r="E52" t="str">
        <x:v>Bölme ve Bölünebilme</x:v>
      </x:c>
      <x:c r="F52" t="n">
        <x:v>20</x:v>
      </x:c>
      <x:c r="G52" t="n">
        <x:v>20</x:v>
      </x:c>
      <x:c r="H52"/>
      <x:c r="I52"/>
      <x:c r="J52"/>
      <x:c r="K52" s="18"/>
      <x:c r="L52" s="20" t="str">
        <x:f>IF(OR(K52="",G52=0),"",K52*86400/G52)</x:f>
      </x:c>
      <x:c r="M52" s="22" t="str">
        <x:f>IF(SUM(H52:J52)=0,"",H52/SUM(H52:J52))</x:f>
      </x:c>
      <x:c r="N52" t="n">
        <x:v>0</x:v>
      </x:c>
      <x:c r="O52" t="str">
        <x:f>IF(SUM(H52:J52)=0,"",SUM(H52:J52)+IF(N52="",0,N52))</x:f>
      </x:c>
      <x:c r="P52" t="str"/>
    </x:row>
    <x:row r="53">
      <x:c r="A53" s="12" t="n">
        <x:v>46321</x:v>
      </x:c>
      <x:c r="B53" t="n">
        <x:v>26</x:v>
      </x:c>
      <x:c r="C53" t="str">
        <x:v>Pazartesi</x:v>
      </x:c>
      <x:c r="D53" t="str">
        <x:v>Paragraf</x:v>
      </x:c>
      <x:c r="E53" t="str">
        <x:v>Paragraf</x:v>
      </x:c>
      <x:c r="F53" t="n">
        <x:v>20</x:v>
      </x:c>
      <x:c r="G53" t="n">
        <x:v>20</x:v>
      </x:c>
      <x:c r="H53"/>
      <x:c r="I53"/>
      <x:c r="J53"/>
      <x:c r="K53" s="18"/>
      <x:c r="L53" s="20" t="str">
        <x:f>IF(OR(K53="",G53=0),"",K53*86400/G53)</x:f>
      </x:c>
      <x:c r="M53" s="22" t="str">
        <x:f>IF(SUM(H53:J53)=0,"",H53/SUM(H53:J53))</x:f>
      </x:c>
      <x:c r="N53" t="n">
        <x:v>0</x:v>
      </x:c>
      <x:c r="O53" t="str">
        <x:f>IF(SUM(H53:J53)=0,"",SUM(H53:J53)+IF(N53="",0,N53))</x:f>
      </x:c>
      <x:c r="P53" t="str"/>
    </x:row>
    <x:row r="54">
      <x:c r="A54" s="12" t="n">
        <x:v>46322</x:v>
      </x:c>
      <x:c r="B54" t="n">
        <x:v>27</x:v>
      </x:c>
      <x:c r="C54" t="str">
        <x:v>Salı</x:v>
      </x:c>
      <x:c r="D54" t="str">
        <x:v>Matematik</x:v>
      </x:c>
      <x:c r="E54" t="str">
        <x:v>Bölme ve Bölünebilme</x:v>
      </x:c>
      <x:c r="F54" t="n">
        <x:v>20</x:v>
      </x:c>
      <x:c r="G54" t="n">
        <x:v>20</x:v>
      </x:c>
      <x:c r="H54"/>
      <x:c r="I54"/>
      <x:c r="J54"/>
      <x:c r="K54" s="18"/>
      <x:c r="L54" s="20" t="str">
        <x:f>IF(OR(K54="",G54=0),"",K54*86400/G54)</x:f>
      </x:c>
      <x:c r="M54" s="22" t="str">
        <x:f>IF(SUM(H54:J54)=0,"",H54/SUM(H54:J54))</x:f>
      </x:c>
      <x:c r="N54" t="n">
        <x:v>0</x:v>
      </x:c>
      <x:c r="O54" t="str">
        <x:f>IF(SUM(H54:J54)=0,"",SUM(H54:J54)+IF(N54="",0,N54))</x:f>
      </x:c>
      <x:c r="P54" t="str"/>
    </x:row>
    <x:row r="55">
      <x:c r="A55" s="12" t="n">
        <x:v>46322</x:v>
      </x:c>
      <x:c r="B55" t="n">
        <x:v>27</x:v>
      </x:c>
      <x:c r="C55" t="str">
        <x:v>Salı</x:v>
      </x:c>
      <x:c r="D55" t="str">
        <x:v>Paragraf</x:v>
      </x:c>
      <x:c r="E55" t="str">
        <x:v>Paragraf</x:v>
      </x:c>
      <x:c r="F55" t="n">
        <x:v>20</x:v>
      </x:c>
      <x:c r="G55" t="n">
        <x:v>20</x:v>
      </x:c>
      <x:c r="H55"/>
      <x:c r="I55"/>
      <x:c r="J55"/>
      <x:c r="K55" s="18"/>
      <x:c r="L55" s="20" t="str">
        <x:f>IF(OR(K55="",G55=0),"",K55*86400/G55)</x:f>
      </x:c>
      <x:c r="M55" s="22" t="str">
        <x:f>IF(SUM(H55:J55)=0,"",H55/SUM(H55:J55))</x:f>
      </x:c>
      <x:c r="N55" t="n">
        <x:v>0</x:v>
      </x:c>
      <x:c r="O55" t="str">
        <x:f>IF(SUM(H55:J55)=0,"",SUM(H55:J55)+IF(N55="",0,N55))</x:f>
      </x:c>
      <x:c r="P55" t="str"/>
    </x:row>
    <x:row r="56">
      <x:c r="A56" s="12" t="n">
        <x:v>46323</x:v>
      </x:c>
      <x:c r="B56" t="n">
        <x:v>28</x:v>
      </x:c>
      <x:c r="C56" t="str">
        <x:v>Çarşamba</x:v>
      </x:c>
      <x:c r="D56" t="str">
        <x:v>Matematik</x:v>
      </x:c>
      <x:c r="E56" t="str">
        <x:v>Asal Çarpanlara Ayırma</x:v>
      </x:c>
      <x:c r="F56" t="n">
        <x:v>20</x:v>
      </x:c>
      <x:c r="G56" t="n">
        <x:v>20</x:v>
      </x:c>
      <x:c r="H56"/>
      <x:c r="I56"/>
      <x:c r="J56"/>
      <x:c r="K56" s="18"/>
      <x:c r="L56" s="20" t="str">
        <x:f>IF(OR(K56="",G56=0),"",K56*86400/G56)</x:f>
      </x:c>
      <x:c r="M56" s="22" t="str">
        <x:f>IF(SUM(H56:J56)=0,"",H56/SUM(H56:J56))</x:f>
      </x:c>
      <x:c r="N56" t="n">
        <x:v>0</x:v>
      </x:c>
      <x:c r="O56" t="str">
        <x:f>IF(SUM(H56:J56)=0,"",SUM(H56:J56)+IF(N56="",0,N56))</x:f>
      </x:c>
      <x:c r="P56" t="str"/>
    </x:row>
    <x:row r="57">
      <x:c r="A57" s="12" t="n">
        <x:v>46323</x:v>
      </x:c>
      <x:c r="B57" t="n">
        <x:v>28</x:v>
      </x:c>
      <x:c r="C57" t="str">
        <x:v>Çarşamba</x:v>
      </x:c>
      <x:c r="D57" t="str">
        <x:v>Paragraf</x:v>
      </x:c>
      <x:c r="E57" t="str">
        <x:v>Paragraf</x:v>
      </x:c>
      <x:c r="F57" t="n">
        <x:v>20</x:v>
      </x:c>
      <x:c r="G57" t="n">
        <x:v>20</x:v>
      </x:c>
      <x:c r="H57"/>
      <x:c r="I57"/>
      <x:c r="J57"/>
      <x:c r="K57" s="18"/>
      <x:c r="L57" s="20" t="str">
        <x:f>IF(OR(K57="",G57=0),"",K57*86400/G57)</x:f>
      </x:c>
      <x:c r="M57" s="22" t="str">
        <x:f>IF(SUM(H57:J57)=0,"",H57/SUM(H57:J57))</x:f>
      </x:c>
      <x:c r="N57" t="n">
        <x:v>0</x:v>
      </x:c>
      <x:c r="O57" t="str">
        <x:f>IF(SUM(H57:J57)=0,"",SUM(H57:J57)+IF(N57="",0,N57))</x:f>
      </x:c>
      <x:c r="P57" t="str"/>
    </x:row>
    <x:row r="58">
      <x:c r="A58" s="12" t="n">
        <x:v>46324</x:v>
      </x:c>
      <x:c r="B58" t="n">
        <x:v>29</x:v>
      </x:c>
      <x:c r="C58" t="str">
        <x:v>Perşembe</x:v>
      </x:c>
      <x:c r="D58" t="str">
        <x:v>Matematik</x:v>
      </x:c>
      <x:c r="E58" t="str">
        <x:v>Asal Çarpanlara Ayırma</x:v>
      </x:c>
      <x:c r="F58" t="n">
        <x:v>20</x:v>
      </x:c>
      <x:c r="G58" t="n">
        <x:v>20</x:v>
      </x:c>
      <x:c r="H58"/>
      <x:c r="I58"/>
      <x:c r="J58"/>
      <x:c r="K58" s="18"/>
      <x:c r="L58" s="20" t="str">
        <x:f>IF(OR(K58="",G58=0),"",K58*86400/G58)</x:f>
      </x:c>
      <x:c r="M58" s="22" t="str">
        <x:f>IF(SUM(H58:J58)=0,"",H58/SUM(H58:J58))</x:f>
      </x:c>
      <x:c r="N58" t="n">
        <x:v>0</x:v>
      </x:c>
      <x:c r="O58" t="str">
        <x:f>IF(SUM(H58:J58)=0,"",SUM(H58:J58)+IF(N58="",0,N58))</x:f>
      </x:c>
      <x:c r="P58" t="str"/>
    </x:row>
    <x:row r="59">
      <x:c r="A59" s="12" t="n">
        <x:v>46324</x:v>
      </x:c>
      <x:c r="B59" t="n">
        <x:v>29</x:v>
      </x:c>
      <x:c r="C59" t="str">
        <x:v>Perşembe</x:v>
      </x:c>
      <x:c r="D59" t="str">
        <x:v>Paragraf</x:v>
      </x:c>
      <x:c r="E59" t="str">
        <x:v>Paragraf</x:v>
      </x:c>
      <x:c r="F59" t="n">
        <x:v>20</x:v>
      </x:c>
      <x:c r="G59" t="n">
        <x:v>20</x:v>
      </x:c>
      <x:c r="H59"/>
      <x:c r="I59"/>
      <x:c r="J59"/>
      <x:c r="K59" s="18"/>
      <x:c r="L59" s="20" t="str">
        <x:f>IF(OR(K59="",G59=0),"",K59*86400/G59)</x:f>
      </x:c>
      <x:c r="M59" s="22" t="str">
        <x:f>IF(SUM(H59:J59)=0,"",H59/SUM(H59:J59))</x:f>
      </x:c>
      <x:c r="N59" t="n">
        <x:v>0</x:v>
      </x:c>
      <x:c r="O59" t="str">
        <x:f>IF(SUM(H59:J59)=0,"",SUM(H59:J59)+IF(N59="",0,N59))</x:f>
      </x:c>
      <x:c r="P59" t="str"/>
    </x:row>
    <x:row r="60">
      <x:c r="A60" s="12" t="n">
        <x:v>46325</x:v>
      </x:c>
      <x:c r="B60" t="n">
        <x:v>30</x:v>
      </x:c>
      <x:c r="C60" t="str">
        <x:v>Cuma</x:v>
      </x:c>
      <x:c r="D60" t="str">
        <x:v>Matematik</x:v>
      </x:c>
      <x:c r="E60" t="str">
        <x:v>Asal Çarpanlara Ayırma</x:v>
      </x:c>
      <x:c r="F60" t="n">
        <x:v>20</x:v>
      </x:c>
      <x:c r="G60" t="n">
        <x:v>20</x:v>
      </x:c>
      <x:c r="H60"/>
      <x:c r="I60"/>
      <x:c r="J60"/>
      <x:c r="K60" s="18"/>
      <x:c r="L60" s="20" t="str">
        <x:f>IF(OR(K60="",G60=0),"",K60*86400/G60)</x:f>
      </x:c>
      <x:c r="M60" s="22" t="str">
        <x:f>IF(SUM(H60:J60)=0,"",H60/SUM(H60:J60))</x:f>
      </x:c>
      <x:c r="N60" t="n">
        <x:v>0</x:v>
      </x:c>
      <x:c r="O60" t="str">
        <x:f>IF(SUM(H60:J60)=0,"",SUM(H60:J60)+IF(N60="",0,N60))</x:f>
      </x:c>
      <x:c r="P60" t="str"/>
    </x:row>
    <x:row r="61">
      <x:c r="A61" s="12" t="n">
        <x:v>46325</x:v>
      </x:c>
      <x:c r="B61" t="n">
        <x:v>30</x:v>
      </x:c>
      <x:c r="C61" t="str">
        <x:v>Cuma</x:v>
      </x:c>
      <x:c r="D61" t="str">
        <x:v>Paragraf</x:v>
      </x:c>
      <x:c r="E61" t="str">
        <x:v>Paragraf</x:v>
      </x:c>
      <x:c r="F61" t="n">
        <x:v>20</x:v>
      </x:c>
      <x:c r="G61" t="n">
        <x:v>20</x:v>
      </x:c>
      <x:c r="H61"/>
      <x:c r="I61"/>
      <x:c r="J61"/>
      <x:c r="K61" s="18"/>
      <x:c r="L61" s="20" t="str">
        <x:f>IF(OR(K61="",G61=0),"",K61*86400/G61)</x:f>
      </x:c>
      <x:c r="M61" s="22" t="str">
        <x:f>IF(SUM(H61:J61)=0,"",H61/SUM(H61:J61))</x:f>
      </x:c>
      <x:c r="N61" t="n">
        <x:v>0</x:v>
      </x:c>
      <x:c r="O61" t="str">
        <x:f>IF(SUM(H61:J61)=0,"",SUM(H61:J61)+IF(N61="",0,N61))</x:f>
      </x:c>
      <x:c r="P61" t="str"/>
    </x:row>
    <x:row r="62">
      <x:c r="A62" s="12" t="n">
        <x:v>46326</x:v>
      </x:c>
      <x:c r="B62" t="n">
        <x:v>31</x:v>
      </x:c>
      <x:c r="C62" t="str">
        <x:v>Cumartesi</x:v>
      </x:c>
      <x:c r="D62" t="str">
        <x:v>Matematik</x:v>
      </x:c>
      <x:c r="E62" t="str">
        <x:v>Asal Çarpanlara Ayırma</x:v>
      </x:c>
      <x:c r="F62" t="n">
        <x:v>20</x:v>
      </x:c>
      <x:c r="G62" t="n">
        <x:v>20</x:v>
      </x:c>
      <x:c r="H62"/>
      <x:c r="I62"/>
      <x:c r="J62"/>
      <x:c r="K62" s="18"/>
      <x:c r="L62" s="20" t="str">
        <x:f>IF(OR(K62="",G62=0),"",K62*86400/G62)</x:f>
      </x:c>
      <x:c r="M62" s="22" t="str">
        <x:f>IF(SUM(H62:J62)=0,"",H62/SUM(H62:J62))</x:f>
      </x:c>
      <x:c r="N62" t="n">
        <x:v>0</x:v>
      </x:c>
      <x:c r="O62" t="str">
        <x:f>IF(SUM(H62:J62)=0,"",SUM(H62:J62)+IF(N62="",0,N62))</x:f>
      </x:c>
      <x:c r="P62" t="str"/>
    </x:row>
    <x:row r="63">
      <x:c r="A63" s="12" t="n">
        <x:v>46326</x:v>
      </x:c>
      <x:c r="B63" t="n">
        <x:v>31</x:v>
      </x:c>
      <x:c r="C63" t="str">
        <x:v>Cumartesi</x:v>
      </x:c>
      <x:c r="D63" t="str">
        <x:v>Paragraf</x:v>
      </x:c>
      <x:c r="E63" t="str">
        <x:v>Paragraf</x:v>
      </x:c>
      <x:c r="F63" t="n">
        <x:v>20</x:v>
      </x:c>
      <x:c r="G63" t="n">
        <x:v>20</x:v>
      </x:c>
      <x:c r="H63"/>
      <x:c r="I63"/>
      <x:c r="J63"/>
      <x:c r="K63" s="18"/>
      <x:c r="L63" s="20" t="str">
        <x:f>IF(OR(K63="",G63=0),"",K63*86400/G63)</x:f>
      </x:c>
      <x:c r="M63" s="22" t="str">
        <x:f>IF(SUM(H63:J63)=0,"",H63/SUM(H63:J63))</x:f>
      </x:c>
      <x:c r="N63" t="n">
        <x:v>0</x:v>
      </x:c>
      <x:c r="O63" t="str">
        <x:f>IF(SUM(H63:J63)=0,"",SUM(H63:J63)+IF(N63="",0,N63))</x:f>
      </x:c>
      <x:c r="P63" t="str"/>
    </x:row>
    <x:row r="64">
      <x:c r="A64" s="12" t="n">
        <x:v>46327</x:v>
      </x:c>
      <x:c r="B64" t="n">
        <x:v>32</x:v>
      </x:c>
      <x:c r="C64" t="str">
        <x:v>Pazar</x:v>
      </x:c>
      <x:c r="D64" t="str">
        <x:v>Matematik</x:v>
      </x:c>
      <x:c r="E64" t="str">
        <x:v>EBOB - EKOK</x:v>
      </x:c>
      <x:c r="F64" t="n">
        <x:v>20</x:v>
      </x:c>
      <x:c r="G64" t="n">
        <x:v>20</x:v>
      </x:c>
      <x:c r="H64"/>
      <x:c r="I64"/>
      <x:c r="J64"/>
      <x:c r="K64" s="18"/>
      <x:c r="L64" s="20" t="str">
        <x:f>IF(OR(K64="",G64=0),"",K64*86400/G64)</x:f>
      </x:c>
      <x:c r="M64" s="22" t="str">
        <x:f>IF(SUM(H64:J64)=0,"",H64/SUM(H64:J64))</x:f>
      </x:c>
      <x:c r="N64" t="n">
        <x:v>0</x:v>
      </x:c>
      <x:c r="O64" t="str">
        <x:f>IF(SUM(H64:J64)=0,"",SUM(H64:J64)+IF(N64="",0,N64))</x:f>
      </x:c>
      <x:c r="P64" t="str"/>
    </x:row>
    <x:row r="65">
      <x:c r="A65" s="12" t="n">
        <x:v>46327</x:v>
      </x:c>
      <x:c r="B65" t="n">
        <x:v>32</x:v>
      </x:c>
      <x:c r="C65" t="str">
        <x:v>Pazar</x:v>
      </x:c>
      <x:c r="D65" t="str">
        <x:v>Paragraf</x:v>
      </x:c>
      <x:c r="E65" t="str">
        <x:v>Paragraf</x:v>
      </x:c>
      <x:c r="F65" t="n">
        <x:v>20</x:v>
      </x:c>
      <x:c r="G65" t="n">
        <x:v>20</x:v>
      </x:c>
      <x:c r="H65"/>
      <x:c r="I65"/>
      <x:c r="J65"/>
      <x:c r="K65" s="18"/>
      <x:c r="L65" s="20" t="str">
        <x:f>IF(OR(K65="",G65=0),"",K65*86400/G65)</x:f>
      </x:c>
      <x:c r="M65" s="22" t="str">
        <x:f>IF(SUM(H65:J65)=0,"",H65/SUM(H65:J65))</x:f>
      </x:c>
      <x:c r="N65" t="n">
        <x:v>0</x:v>
      </x:c>
      <x:c r="O65" t="str">
        <x:f>IF(SUM(H65:J65)=0,"",SUM(H65:J65)+IF(N65="",0,N65))</x:f>
      </x:c>
      <x:c r="P65" t="str"/>
    </x:row>
    <x:row r="66">
      <x:c r="A66" s="12" t="n">
        <x:v>46328</x:v>
      </x:c>
      <x:c r="B66" t="n">
        <x:v>33</x:v>
      </x:c>
      <x:c r="C66" t="str">
        <x:v>Pazartesi</x:v>
      </x:c>
      <x:c r="D66" t="str">
        <x:v>Matematik</x:v>
      </x:c>
      <x:c r="E66" t="str">
        <x:v>EBOB - EKOK</x:v>
      </x:c>
      <x:c r="F66" t="n">
        <x:v>20</x:v>
      </x:c>
      <x:c r="G66" t="n">
        <x:v>20</x:v>
      </x:c>
      <x:c r="H66"/>
      <x:c r="I66"/>
      <x:c r="J66"/>
      <x:c r="K66" s="18"/>
      <x:c r="L66" s="20" t="str">
        <x:f>IF(OR(K66="",G66=0),"",K66*86400/G66)</x:f>
      </x:c>
      <x:c r="M66" s="22" t="str">
        <x:f>IF(SUM(H66:J66)=0,"",H66/SUM(H66:J66))</x:f>
      </x:c>
      <x:c r="N66" t="n">
        <x:v>0</x:v>
      </x:c>
      <x:c r="O66" t="str">
        <x:f>IF(SUM(H66:J66)=0,"",SUM(H66:J66)+IF(N66="",0,N66))</x:f>
      </x:c>
      <x:c r="P66" t="str"/>
    </x:row>
    <x:row r="67">
      <x:c r="A67" s="12" t="n">
        <x:v>46328</x:v>
      </x:c>
      <x:c r="B67" t="n">
        <x:v>33</x:v>
      </x:c>
      <x:c r="C67" t="str">
        <x:v>Pazartesi</x:v>
      </x:c>
      <x:c r="D67" t="str">
        <x:v>Paragraf</x:v>
      </x:c>
      <x:c r="E67" t="str">
        <x:v>Paragraf</x:v>
      </x:c>
      <x:c r="F67" t="n">
        <x:v>20</x:v>
      </x:c>
      <x:c r="G67" t="n">
        <x:v>20</x:v>
      </x:c>
      <x:c r="H67"/>
      <x:c r="I67"/>
      <x:c r="J67"/>
      <x:c r="K67" s="18"/>
      <x:c r="L67" s="20" t="str">
        <x:f>IF(OR(K67="",G67=0),"",K67*86400/G67)</x:f>
      </x:c>
      <x:c r="M67" s="22" t="str">
        <x:f>IF(SUM(H67:J67)=0,"",H67/SUM(H67:J67))</x:f>
      </x:c>
      <x:c r="N67" t="n">
        <x:v>0</x:v>
      </x:c>
      <x:c r="O67" t="str">
        <x:f>IF(SUM(H67:J67)=0,"",SUM(H67:J67)+IF(N67="",0,N67))</x:f>
      </x:c>
      <x:c r="P67" t="str"/>
    </x:row>
    <x:row r="68">
      <x:c r="A68" s="12" t="n">
        <x:v>46329</x:v>
      </x:c>
      <x:c r="B68" t="n">
        <x:v>34</x:v>
      </x:c>
      <x:c r="C68" t="str">
        <x:v>Salı</x:v>
      </x:c>
      <x:c r="D68" t="str">
        <x:v>Matematik</x:v>
      </x:c>
      <x:c r="E68" t="str">
        <x:v>EBOB - EKOK</x:v>
      </x:c>
      <x:c r="F68" t="n">
        <x:v>20</x:v>
      </x:c>
      <x:c r="G68" t="n">
        <x:v>20</x:v>
      </x:c>
      <x:c r="H68"/>
      <x:c r="I68"/>
      <x:c r="J68"/>
      <x:c r="K68" s="18"/>
      <x:c r="L68" s="20" t="str">
        <x:f>IF(OR(K68="",G68=0),"",K68*86400/G68)</x:f>
      </x:c>
      <x:c r="M68" s="22" t="str">
        <x:f>IF(SUM(H68:J68)=0,"",H68/SUM(H68:J68))</x:f>
      </x:c>
      <x:c r="N68" t="n">
        <x:v>0</x:v>
      </x:c>
      <x:c r="O68" t="str">
        <x:f>IF(SUM(H68:J68)=0,"",SUM(H68:J68)+IF(N68="",0,N68))</x:f>
      </x:c>
      <x:c r="P68" t="str"/>
    </x:row>
    <x:row r="69">
      <x:c r="A69" s="12" t="n">
        <x:v>46329</x:v>
      </x:c>
      <x:c r="B69" t="n">
        <x:v>34</x:v>
      </x:c>
      <x:c r="C69" t="str">
        <x:v>Salı</x:v>
      </x:c>
      <x:c r="D69" t="str">
        <x:v>Paragraf</x:v>
      </x:c>
      <x:c r="E69" t="str">
        <x:v>Paragraf</x:v>
      </x:c>
      <x:c r="F69" t="n">
        <x:v>20</x:v>
      </x:c>
      <x:c r="G69" t="n">
        <x:v>20</x:v>
      </x:c>
      <x:c r="H69"/>
      <x:c r="I69"/>
      <x:c r="J69"/>
      <x:c r="K69" s="18"/>
      <x:c r="L69" s="20" t="str">
        <x:f>IF(OR(K69="",G69=0),"",K69*86400/G69)</x:f>
      </x:c>
      <x:c r="M69" s="22" t="str">
        <x:f>IF(SUM(H69:J69)=0,"",H69/SUM(H69:J69))</x:f>
      </x:c>
      <x:c r="N69" t="n">
        <x:v>0</x:v>
      </x:c>
      <x:c r="O69" t="str">
        <x:f>IF(SUM(H69:J69)=0,"",SUM(H69:J69)+IF(N69="",0,N69))</x:f>
      </x:c>
      <x:c r="P69" t="str"/>
    </x:row>
    <x:row r="70">
      <x:c r="A70" s="12" t="n">
        <x:v>46330</x:v>
      </x:c>
      <x:c r="B70" t="n">
        <x:v>35</x:v>
      </x:c>
      <x:c r="C70" t="str">
        <x:v>Çarşamba</x:v>
      </x:c>
      <x:c r="D70" t="str">
        <x:v>Matematik</x:v>
      </x:c>
      <x:c r="E70" t="str">
        <x:v>EBOB - EKOK</x:v>
      </x:c>
      <x:c r="F70" t="n">
        <x:v>20</x:v>
      </x:c>
      <x:c r="G70" t="n">
        <x:v>20</x:v>
      </x:c>
      <x:c r="H70"/>
      <x:c r="I70"/>
      <x:c r="J70"/>
      <x:c r="K70" s="18"/>
      <x:c r="L70" s="20" t="str">
        <x:f>IF(OR(K70="",G70=0),"",K70*86400/G70)</x:f>
      </x:c>
      <x:c r="M70" s="22" t="str">
        <x:f>IF(SUM(H70:J70)=0,"",H70/SUM(H70:J70))</x:f>
      </x:c>
      <x:c r="N70" t="n">
        <x:v>0</x:v>
      </x:c>
      <x:c r="O70" t="str">
        <x:f>IF(SUM(H70:J70)=0,"",SUM(H70:J70)+IF(N70="",0,N70))</x:f>
      </x:c>
      <x:c r="P70" t="str"/>
    </x:row>
    <x:row r="71">
      <x:c r="A71" s="12" t="n">
        <x:v>46330</x:v>
      </x:c>
      <x:c r="B71" t="n">
        <x:v>35</x:v>
      </x:c>
      <x:c r="C71" t="str">
        <x:v>Çarşamba</x:v>
      </x:c>
      <x:c r="D71" t="str">
        <x:v>Paragraf</x:v>
      </x:c>
      <x:c r="E71" t="str">
        <x:v>Paragraf</x:v>
      </x:c>
      <x:c r="F71" t="n">
        <x:v>20</x:v>
      </x:c>
      <x:c r="G71" t="n">
        <x:v>20</x:v>
      </x:c>
      <x:c r="H71"/>
      <x:c r="I71"/>
      <x:c r="J71"/>
      <x:c r="K71" s="18"/>
      <x:c r="L71" s="20" t="str">
        <x:f>IF(OR(K71="",G71=0),"",K71*86400/G71)</x:f>
      </x:c>
      <x:c r="M71" s="22" t="str">
        <x:f>IF(SUM(H71:J71)=0,"",H71/SUM(H71:J71))</x:f>
      </x:c>
      <x:c r="N71" t="n">
        <x:v>0</x:v>
      </x:c>
      <x:c r="O71" t="str">
        <x:f>IF(SUM(H71:J71)=0,"",SUM(H71:J71)+IF(N71="",0,N71))</x:f>
      </x:c>
      <x:c r="P71" t="str"/>
    </x:row>
    <x:row r="72">
      <x:c r="A72" s="12" t="n">
        <x:v>46331</x:v>
      </x:c>
      <x:c r="B72" t="n">
        <x:v>36</x:v>
      </x:c>
      <x:c r="C72" t="str">
        <x:v>Perşembe</x:v>
      </x:c>
      <x:c r="D72" t="str">
        <x:v>Matematik</x:v>
      </x:c>
      <x:c r="E72" t="str">
        <x:v>Sıralama ve Basit Eşitsizlik Altyapısı</x:v>
      </x:c>
      <x:c r="F72" t="n">
        <x:v>20</x:v>
      </x:c>
      <x:c r="G72" t="n">
        <x:v>20</x:v>
      </x:c>
      <x:c r="H72"/>
      <x:c r="I72"/>
      <x:c r="J72"/>
      <x:c r="K72" s="18"/>
      <x:c r="L72" s="20" t="str">
        <x:f>IF(OR(K72="",G72=0),"",K72*86400/G72)</x:f>
      </x:c>
      <x:c r="M72" s="22" t="str">
        <x:f>IF(SUM(H72:J72)=0,"",H72/SUM(H72:J72))</x:f>
      </x:c>
      <x:c r="N72" t="n">
        <x:v>0</x:v>
      </x:c>
      <x:c r="O72" t="str">
        <x:f>IF(SUM(H72:J72)=0,"",SUM(H72:J72)+IF(N72="",0,N72))</x:f>
      </x:c>
      <x:c r="P72" t="str"/>
    </x:row>
    <x:row r="73">
      <x:c r="A73" s="12" t="n">
        <x:v>46331</x:v>
      </x:c>
      <x:c r="B73" t="n">
        <x:v>36</x:v>
      </x:c>
      <x:c r="C73" t="str">
        <x:v>Perşembe</x:v>
      </x:c>
      <x:c r="D73" t="str">
        <x:v>Paragraf</x:v>
      </x:c>
      <x:c r="E73" t="str">
        <x:v>Paragraf</x:v>
      </x:c>
      <x:c r="F73" t="n">
        <x:v>20</x:v>
      </x:c>
      <x:c r="G73" t="n">
        <x:v>20</x:v>
      </x:c>
      <x:c r="H73"/>
      <x:c r="I73"/>
      <x:c r="J73"/>
      <x:c r="K73" s="18"/>
      <x:c r="L73" s="20" t="str">
        <x:f>IF(OR(K73="",G73=0),"",K73*86400/G73)</x:f>
      </x:c>
      <x:c r="M73" s="22" t="str">
        <x:f>IF(SUM(H73:J73)=0,"",H73/SUM(H73:J73))</x:f>
      </x:c>
      <x:c r="N73" t="n">
        <x:v>0</x:v>
      </x:c>
      <x:c r="O73" t="str">
        <x:f>IF(SUM(H73:J73)=0,"",SUM(H73:J73)+IF(N73="",0,N73))</x:f>
      </x:c>
      <x:c r="P73" t="str"/>
    </x:row>
    <x:row r="74">
      <x:c r="A74" s="12" t="n">
        <x:v>46332</x:v>
      </x:c>
      <x:c r="B74" t="n">
        <x:v>37</x:v>
      </x:c>
      <x:c r="C74" t="str">
        <x:v>Cuma</x:v>
      </x:c>
      <x:c r="D74" t="str">
        <x:v>Matematik</x:v>
      </x:c>
      <x:c r="E74" t="str">
        <x:v>Sıralama ve Basit Eşitsizlik Altyapısı</x:v>
      </x:c>
      <x:c r="F74" t="n">
        <x:v>20</x:v>
      </x:c>
      <x:c r="G74" t="n">
        <x:v>20</x:v>
      </x:c>
      <x:c r="H74"/>
      <x:c r="I74"/>
      <x:c r="J74"/>
      <x:c r="K74" s="18"/>
      <x:c r="L74" s="20" t="str">
        <x:f>IF(OR(K74="",G74=0),"",K74*86400/G74)</x:f>
      </x:c>
      <x:c r="M74" s="22" t="str">
        <x:f>IF(SUM(H74:J74)=0,"",H74/SUM(H74:J74))</x:f>
      </x:c>
      <x:c r="N74" t="n">
        <x:v>0</x:v>
      </x:c>
      <x:c r="O74" t="str">
        <x:f>IF(SUM(H74:J74)=0,"",SUM(H74:J74)+IF(N74="",0,N74))</x:f>
      </x:c>
      <x:c r="P74" t="str"/>
    </x:row>
    <x:row r="75">
      <x:c r="A75" s="12" t="n">
        <x:v>46332</x:v>
      </x:c>
      <x:c r="B75" t="n">
        <x:v>37</x:v>
      </x:c>
      <x:c r="C75" t="str">
        <x:v>Cuma</x:v>
      </x:c>
      <x:c r="D75" t="str">
        <x:v>Paragraf</x:v>
      </x:c>
      <x:c r="E75" t="str">
        <x:v>Paragraf</x:v>
      </x:c>
      <x:c r="F75" t="n">
        <x:v>20</x:v>
      </x:c>
      <x:c r="G75" t="n">
        <x:v>20</x:v>
      </x:c>
      <x:c r="H75"/>
      <x:c r="I75"/>
      <x:c r="J75"/>
      <x:c r="K75" s="18"/>
      <x:c r="L75" s="20" t="str">
        <x:f>IF(OR(K75="",G75=0),"",K75*86400/G75)</x:f>
      </x:c>
      <x:c r="M75" s="22" t="str">
        <x:f>IF(SUM(H75:J75)=0,"",H75/SUM(H75:J75))</x:f>
      </x:c>
      <x:c r="N75" t="n">
        <x:v>0</x:v>
      </x:c>
      <x:c r="O75" t="str">
        <x:f>IF(SUM(H75:J75)=0,"",SUM(H75:J75)+IF(N75="",0,N75))</x:f>
      </x:c>
      <x:c r="P75" t="str"/>
    </x:row>
    <x:row r="76">
      <x:c r="A76" s="12" t="n">
        <x:v>46333</x:v>
      </x:c>
      <x:c r="B76" t="n">
        <x:v>38</x:v>
      </x:c>
      <x:c r="C76" t="str">
        <x:v>Cumartesi</x:v>
      </x:c>
      <x:c r="D76" t="str">
        <x:v>Matematik</x:v>
      </x:c>
      <x:c r="E76" t="str">
        <x:v>Sıralama ve Basit Eşitsizlik Altyapısı</x:v>
      </x:c>
      <x:c r="F76" t="n">
        <x:v>20</x:v>
      </x:c>
      <x:c r="G76" t="n">
        <x:v>20</x:v>
      </x:c>
      <x:c r="H76"/>
      <x:c r="I76"/>
      <x:c r="J76"/>
      <x:c r="K76" s="18"/>
      <x:c r="L76" s="20" t="str">
        <x:f>IF(OR(K76="",G76=0),"",K76*86400/G76)</x:f>
      </x:c>
      <x:c r="M76" s="22" t="str">
        <x:f>IF(SUM(H76:J76)=0,"",H76/SUM(H76:J76))</x:f>
      </x:c>
      <x:c r="N76" t="n">
        <x:v>0</x:v>
      </x:c>
      <x:c r="O76" t="str">
        <x:f>IF(SUM(H76:J76)=0,"",SUM(H76:J76)+IF(N76="",0,N76))</x:f>
      </x:c>
      <x:c r="P76" t="str"/>
    </x:row>
    <x:row r="77">
      <x:c r="A77" s="12" t="n">
        <x:v>46333</x:v>
      </x:c>
      <x:c r="B77" t="n">
        <x:v>38</x:v>
      </x:c>
      <x:c r="C77" t="str">
        <x:v>Cumartesi</x:v>
      </x:c>
      <x:c r="D77" t="str">
        <x:v>Paragraf</x:v>
      </x:c>
      <x:c r="E77" t="str">
        <x:v>Paragraf</x:v>
      </x:c>
      <x:c r="F77" t="n">
        <x:v>20</x:v>
      </x:c>
      <x:c r="G77" t="n">
        <x:v>20</x:v>
      </x:c>
      <x:c r="H77"/>
      <x:c r="I77"/>
      <x:c r="J77"/>
      <x:c r="K77" s="18"/>
      <x:c r="L77" s="20" t="str">
        <x:f>IF(OR(K77="",G77=0),"",K77*86400/G77)</x:f>
      </x:c>
      <x:c r="M77" s="22" t="str">
        <x:f>IF(SUM(H77:J77)=0,"",H77/SUM(H77:J77))</x:f>
      </x:c>
      <x:c r="N77" t="n">
        <x:v>0</x:v>
      </x:c>
      <x:c r="O77" t="str">
        <x:f>IF(SUM(H77:J77)=0,"",SUM(H77:J77)+IF(N77="",0,N77))</x:f>
      </x:c>
      <x:c r="P77" t="str"/>
    </x:row>
    <x:row r="78">
      <x:c r="A78" s="12" t="n">
        <x:v>46334</x:v>
      </x:c>
      <x:c r="B78" t="n">
        <x:v>39</x:v>
      </x:c>
      <x:c r="C78" t="str">
        <x:v>Pazar</x:v>
      </x:c>
      <x:c r="D78" t="str">
        <x:v>Matematik</x:v>
      </x:c>
      <x:c r="E78" t="str">
        <x:v>Mutlak Değer ve Sayı Doğrusu</x:v>
      </x:c>
      <x:c r="F78" t="n">
        <x:v>20</x:v>
      </x:c>
      <x:c r="G78" t="n">
        <x:v>20</x:v>
      </x:c>
      <x:c r="H78"/>
      <x:c r="I78"/>
      <x:c r="J78"/>
      <x:c r="K78" s="18"/>
      <x:c r="L78" s="20" t="str">
        <x:f>IF(OR(K78="",G78=0),"",K78*86400/G78)</x:f>
      </x:c>
      <x:c r="M78" s="22" t="str">
        <x:f>IF(SUM(H78:J78)=0,"",H78/SUM(H78:J78))</x:f>
      </x:c>
      <x:c r="N78" t="n">
        <x:v>0</x:v>
      </x:c>
      <x:c r="O78" t="str">
        <x:f>IF(SUM(H78:J78)=0,"",SUM(H78:J78)+IF(N78="",0,N78))</x:f>
      </x:c>
      <x:c r="P78" t="str"/>
    </x:row>
    <x:row r="79">
      <x:c r="A79" s="12" t="n">
        <x:v>46334</x:v>
      </x:c>
      <x:c r="B79" t="n">
        <x:v>39</x:v>
      </x:c>
      <x:c r="C79" t="str">
        <x:v>Pazar</x:v>
      </x:c>
      <x:c r="D79" t="str">
        <x:v>Paragraf</x:v>
      </x:c>
      <x:c r="E79" t="str">
        <x:v>Paragraf</x:v>
      </x:c>
      <x:c r="F79" t="n">
        <x:v>20</x:v>
      </x:c>
      <x:c r="G79" t="n">
        <x:v>20</x:v>
      </x:c>
      <x:c r="H79"/>
      <x:c r="I79"/>
      <x:c r="J79"/>
      <x:c r="K79" s="18"/>
      <x:c r="L79" s="20" t="str">
        <x:f>IF(OR(K79="",G79=0),"",K79*86400/G79)</x:f>
      </x:c>
      <x:c r="M79" s="22" t="str">
        <x:f>IF(SUM(H79:J79)=0,"",H79/SUM(H79:J79))</x:f>
      </x:c>
      <x:c r="N79" t="n">
        <x:v>0</x:v>
      </x:c>
      <x:c r="O79" t="str">
        <x:f>IF(SUM(H79:J79)=0,"",SUM(H79:J79)+IF(N79="",0,N79))</x:f>
      </x:c>
      <x:c r="P79" t="str"/>
    </x:row>
    <x:row r="80">
      <x:c r="A80" s="12" t="n">
        <x:v>46335</x:v>
      </x:c>
      <x:c r="B80" t="n">
        <x:v>40</x:v>
      </x:c>
      <x:c r="C80" t="str">
        <x:v>Pazartesi</x:v>
      </x:c>
      <x:c r="D80" t="str">
        <x:v>Matematik</x:v>
      </x:c>
      <x:c r="E80" t="str">
        <x:v>Mutlak Değer ve Sayı Doğrusu</x:v>
      </x:c>
      <x:c r="F80" t="n">
        <x:v>20</x:v>
      </x:c>
      <x:c r="G80" t="n">
        <x:v>20</x:v>
      </x:c>
      <x:c r="H80"/>
      <x:c r="I80"/>
      <x:c r="J80"/>
      <x:c r="K80" s="18"/>
      <x:c r="L80" s="20" t="str">
        <x:f>IF(OR(K80="",G80=0),"",K80*86400/G80)</x:f>
      </x:c>
      <x:c r="M80" s="22" t="str">
        <x:f>IF(SUM(H80:J80)=0,"",H80/SUM(H80:J80))</x:f>
      </x:c>
      <x:c r="N80" t="n">
        <x:v>0</x:v>
      </x:c>
      <x:c r="O80" t="str">
        <x:f>IF(SUM(H80:J80)=0,"",SUM(H80:J80)+IF(N80="",0,N80))</x:f>
      </x:c>
      <x:c r="P80" t="str"/>
    </x:row>
    <x:row r="81">
      <x:c r="A81" s="12" t="n">
        <x:v>46335</x:v>
      </x:c>
      <x:c r="B81" t="n">
        <x:v>40</x:v>
      </x:c>
      <x:c r="C81" t="str">
        <x:v>Pazartesi</x:v>
      </x:c>
      <x:c r="D81" t="str">
        <x:v>Paragraf</x:v>
      </x:c>
      <x:c r="E81" t="str">
        <x:v>Paragraf</x:v>
      </x:c>
      <x:c r="F81" t="n">
        <x:v>20</x:v>
      </x:c>
      <x:c r="G81" t="n">
        <x:v>20</x:v>
      </x:c>
      <x:c r="H81"/>
      <x:c r="I81"/>
      <x:c r="J81"/>
      <x:c r="K81" s="18"/>
      <x:c r="L81" s="20" t="str">
        <x:f>IF(OR(K81="",G81=0),"",K81*86400/G81)</x:f>
      </x:c>
      <x:c r="M81" s="22" t="str">
        <x:f>IF(SUM(H81:J81)=0,"",H81/SUM(H81:J81))</x:f>
      </x:c>
      <x:c r="N81" t="n">
        <x:v>0</x:v>
      </x:c>
      <x:c r="O81" t="str">
        <x:f>IF(SUM(H81:J81)=0,"",SUM(H81:J81)+IF(N81="",0,N81))</x:f>
      </x:c>
      <x:c r="P81" t="str"/>
    </x:row>
    <x:row r="82">
      <x:c r="A82" s="12" t="n">
        <x:v>46336</x:v>
      </x:c>
      <x:c r="B82" t="n">
        <x:v>41</x:v>
      </x:c>
      <x:c r="C82" t="str">
        <x:v>Salı</x:v>
      </x:c>
      <x:c r="D82" t="str">
        <x:v>Matematik</x:v>
      </x:c>
      <x:c r="E82" t="str">
        <x:v>Mutlak Değer ve Sayı Doğrusu</x:v>
      </x:c>
      <x:c r="F82" t="n">
        <x:v>20</x:v>
      </x:c>
      <x:c r="G82" t="n">
        <x:v>20</x:v>
      </x:c>
      <x:c r="H82"/>
      <x:c r="I82"/>
      <x:c r="J82"/>
      <x:c r="K82" s="18"/>
      <x:c r="L82" s="20" t="str">
        <x:f>IF(OR(K82="",G82=0),"",K82*86400/G82)</x:f>
      </x:c>
      <x:c r="M82" s="22" t="str">
        <x:f>IF(SUM(H82:J82)=0,"",H82/SUM(H82:J82))</x:f>
      </x:c>
      <x:c r="N82" t="n">
        <x:v>0</x:v>
      </x:c>
      <x:c r="O82" t="str">
        <x:f>IF(SUM(H82:J82)=0,"",SUM(H82:J82)+IF(N82="",0,N82))</x:f>
      </x:c>
      <x:c r="P82" t="str"/>
    </x:row>
    <x:row r="83">
      <x:c r="A83" s="12" t="n">
        <x:v>46336</x:v>
      </x:c>
      <x:c r="B83" t="n">
        <x:v>41</x:v>
      </x:c>
      <x:c r="C83" t="str">
        <x:v>Salı</x:v>
      </x:c>
      <x:c r="D83" t="str">
        <x:v>Paragraf</x:v>
      </x:c>
      <x:c r="E83" t="str">
        <x:v>Paragraf</x:v>
      </x:c>
      <x:c r="F83" t="n">
        <x:v>20</x:v>
      </x:c>
      <x:c r="G83" t="n">
        <x:v>20</x:v>
      </x:c>
      <x:c r="H83"/>
      <x:c r="I83"/>
      <x:c r="J83"/>
      <x:c r="K83" s="18"/>
      <x:c r="L83" s="20" t="str">
        <x:f>IF(OR(K83="",G83=0),"",K83*86400/G83)</x:f>
      </x:c>
      <x:c r="M83" s="22" t="str">
        <x:f>IF(SUM(H83:J83)=0,"",H83/SUM(H83:J83))</x:f>
      </x:c>
      <x:c r="N83" t="n">
        <x:v>0</x:v>
      </x:c>
      <x:c r="O83" t="str">
        <x:f>IF(SUM(H83:J83)=0,"",SUM(H83:J83)+IF(N83="",0,N83))</x:f>
      </x:c>
      <x:c r="P83" t="str"/>
    </x:row>
    <x:row r="84">
      <x:c r="A84" s="12" t="n">
        <x:v>46337</x:v>
      </x:c>
      <x:c r="B84" t="n">
        <x:v>42</x:v>
      </x:c>
      <x:c r="C84" t="str">
        <x:v>Çarşamba</x:v>
      </x:c>
      <x:c r="D84" t="str">
        <x:v>Matematik</x:v>
      </x:c>
      <x:c r="E84" t="str">
        <x:v>Üslü Sayılar ve Bilimsel Gösterim Altyapısı</x:v>
      </x:c>
      <x:c r="F84" t="n">
        <x:v>20</x:v>
      </x:c>
      <x:c r="G84" t="n">
        <x:v>20</x:v>
      </x:c>
      <x:c r="H84"/>
      <x:c r="I84"/>
      <x:c r="J84"/>
      <x:c r="K84" s="18"/>
      <x:c r="L84" s="20" t="str">
        <x:f>IF(OR(K84="",G84=0),"",K84*86400/G84)</x:f>
      </x:c>
      <x:c r="M84" s="22" t="str">
        <x:f>IF(SUM(H84:J84)=0,"",H84/SUM(H84:J84))</x:f>
      </x:c>
      <x:c r="N84" t="n">
        <x:v>0</x:v>
      </x:c>
      <x:c r="O84" t="str">
        <x:f>IF(SUM(H84:J84)=0,"",SUM(H84:J84)+IF(N84="",0,N84))</x:f>
      </x:c>
      <x:c r="P84" t="str"/>
    </x:row>
    <x:row r="85">
      <x:c r="A85" s="12" t="n">
        <x:v>46337</x:v>
      </x:c>
      <x:c r="B85" t="n">
        <x:v>42</x:v>
      </x:c>
      <x:c r="C85" t="str">
        <x:v>Çarşamba</x:v>
      </x:c>
      <x:c r="D85" t="str">
        <x:v>Paragraf</x:v>
      </x:c>
      <x:c r="E85" t="str">
        <x:v>Paragraf</x:v>
      </x:c>
      <x:c r="F85" t="n">
        <x:v>20</x:v>
      </x:c>
      <x:c r="G85" t="n">
        <x:v>20</x:v>
      </x:c>
      <x:c r="H85"/>
      <x:c r="I85"/>
      <x:c r="J85"/>
      <x:c r="K85" s="18"/>
      <x:c r="L85" s="20" t="str">
        <x:f>IF(OR(K85="",G85=0),"",K85*86400/G85)</x:f>
      </x:c>
      <x:c r="M85" s="22" t="str">
        <x:f>IF(SUM(H85:J85)=0,"",H85/SUM(H85:J85))</x:f>
      </x:c>
      <x:c r="N85" t="n">
        <x:v>0</x:v>
      </x:c>
      <x:c r="O85" t="str">
        <x:f>IF(SUM(H85:J85)=0,"",SUM(H85:J85)+IF(N85="",0,N85))</x:f>
      </x:c>
      <x:c r="P85" t="str"/>
    </x:row>
    <x:row r="86">
      <x:c r="A86" s="12" t="n">
        <x:v>46338</x:v>
      </x:c>
      <x:c r="B86" t="n">
        <x:v>43</x:v>
      </x:c>
      <x:c r="C86" t="str">
        <x:v>Perşembe</x:v>
      </x:c>
      <x:c r="D86" t="str">
        <x:v>Matematik</x:v>
      </x:c>
      <x:c r="E86" t="str">
        <x:v>Üslü Sayılar ve Bilimsel Gösterim Altyapısı</x:v>
      </x:c>
      <x:c r="F86" t="n">
        <x:v>20</x:v>
      </x:c>
      <x:c r="G86" t="n">
        <x:v>20</x:v>
      </x:c>
      <x:c r="H86"/>
      <x:c r="I86"/>
      <x:c r="J86"/>
      <x:c r="K86" s="18"/>
      <x:c r="L86" s="20" t="str">
        <x:f>IF(OR(K86="",G86=0),"",K86*86400/G86)</x:f>
      </x:c>
      <x:c r="M86" s="22" t="str">
        <x:f>IF(SUM(H86:J86)=0,"",H86/SUM(H86:J86))</x:f>
      </x:c>
      <x:c r="N86" t="n">
        <x:v>0</x:v>
      </x:c>
      <x:c r="O86" t="str">
        <x:f>IF(SUM(H86:J86)=0,"",SUM(H86:J86)+IF(N86="",0,N86))</x:f>
      </x:c>
      <x:c r="P86" t="str"/>
    </x:row>
    <x:row r="87">
      <x:c r="A87" s="12" t="n">
        <x:v>46338</x:v>
      </x:c>
      <x:c r="B87" t="n">
        <x:v>43</x:v>
      </x:c>
      <x:c r="C87" t="str">
        <x:v>Perşembe</x:v>
      </x:c>
      <x:c r="D87" t="str">
        <x:v>Paragraf</x:v>
      </x:c>
      <x:c r="E87" t="str">
        <x:v>Paragraf</x:v>
      </x:c>
      <x:c r="F87" t="n">
        <x:v>20</x:v>
      </x:c>
      <x:c r="G87" t="n">
        <x:v>20</x:v>
      </x:c>
      <x:c r="H87"/>
      <x:c r="I87"/>
      <x:c r="J87"/>
      <x:c r="K87" s="18"/>
      <x:c r="L87" s="20" t="str">
        <x:f>IF(OR(K87="",G87=0),"",K87*86400/G87)</x:f>
      </x:c>
      <x:c r="M87" s="22" t="str">
        <x:f>IF(SUM(H87:J87)=0,"",H87/SUM(H87:J87))</x:f>
      </x:c>
      <x:c r="N87" t="n">
        <x:v>0</x:v>
      </x:c>
      <x:c r="O87" t="str">
        <x:f>IF(SUM(H87:J87)=0,"",SUM(H87:J87)+IF(N87="",0,N87))</x:f>
      </x:c>
      <x:c r="P87" t="str"/>
    </x:row>
    <x:row r="88">
      <x:c r="A88" s="12" t="n">
        <x:v>46339</x:v>
      </x:c>
      <x:c r="B88" t="n">
        <x:v>44</x:v>
      </x:c>
      <x:c r="C88" t="str">
        <x:v>Cuma</x:v>
      </x:c>
      <x:c r="D88" t="str">
        <x:v>Matematik</x:v>
      </x:c>
      <x:c r="E88" t="str">
        <x:v>Üslü Sayılar ve Bilimsel Gösterim Altyapısı</x:v>
      </x:c>
      <x:c r="F88" t="n">
        <x:v>20</x:v>
      </x:c>
      <x:c r="G88" t="n">
        <x:v>20</x:v>
      </x:c>
      <x:c r="H88"/>
      <x:c r="I88"/>
      <x:c r="J88"/>
      <x:c r="K88" s="18"/>
      <x:c r="L88" s="20" t="str">
        <x:f>IF(OR(K88="",G88=0),"",K88*86400/G88)</x:f>
      </x:c>
      <x:c r="M88" s="22" t="str">
        <x:f>IF(SUM(H88:J88)=0,"",H88/SUM(H88:J88))</x:f>
      </x:c>
      <x:c r="N88" t="n">
        <x:v>0</x:v>
      </x:c>
      <x:c r="O88" t="str">
        <x:f>IF(SUM(H88:J88)=0,"",SUM(H88:J88)+IF(N88="",0,N88))</x:f>
      </x:c>
      <x:c r="P88" t="str"/>
    </x:row>
    <x:row r="89">
      <x:c r="A89" s="12" t="n">
        <x:v>46339</x:v>
      </x:c>
      <x:c r="B89" t="n">
        <x:v>44</x:v>
      </x:c>
      <x:c r="C89" t="str">
        <x:v>Cuma</x:v>
      </x:c>
      <x:c r="D89" t="str">
        <x:v>Paragraf</x:v>
      </x:c>
      <x:c r="E89" t="str">
        <x:v>Paragraf</x:v>
      </x:c>
      <x:c r="F89" t="n">
        <x:v>20</x:v>
      </x:c>
      <x:c r="G89" t="n">
        <x:v>20</x:v>
      </x:c>
      <x:c r="H89"/>
      <x:c r="I89"/>
      <x:c r="J89"/>
      <x:c r="K89" s="18"/>
      <x:c r="L89" s="20" t="str">
        <x:f>IF(OR(K89="",G89=0),"",K89*86400/G89)</x:f>
      </x:c>
      <x:c r="M89" s="22" t="str">
        <x:f>IF(SUM(H89:J89)=0,"",H89/SUM(H89:J89))</x:f>
      </x:c>
      <x:c r="N89" t="n">
        <x:v>0</x:v>
      </x:c>
      <x:c r="O89" t="str">
        <x:f>IF(SUM(H89:J89)=0,"",SUM(H89:J89)+IF(N89="",0,N89))</x:f>
      </x:c>
      <x:c r="P89" t="str"/>
    </x:row>
    <x:row r="90">
      <x:c r="A90" s="12" t="n">
        <x:v>46340</x:v>
      </x:c>
      <x:c r="B90" t="n">
        <x:v>45</x:v>
      </x:c>
      <x:c r="C90" t="str">
        <x:v>Cumartesi</x:v>
      </x:c>
      <x:c r="D90" t="str">
        <x:v>Matematik</x:v>
      </x:c>
      <x:c r="E90" t="str">
        <x:v>Üslü Sayılar ve Bilimsel Gösterim Altyapısı</x:v>
      </x:c>
      <x:c r="F90" t="n">
        <x:v>20</x:v>
      </x:c>
      <x:c r="G90" t="n">
        <x:v>20</x:v>
      </x:c>
      <x:c r="H90"/>
      <x:c r="I90"/>
      <x:c r="J90"/>
      <x:c r="K90" s="18"/>
      <x:c r="L90" s="20" t="str">
        <x:f>IF(OR(K90="",G90=0),"",K90*86400/G90)</x:f>
      </x:c>
      <x:c r="M90" s="22" t="str">
        <x:f>IF(SUM(H90:J90)=0,"",H90/SUM(H90:J90))</x:f>
      </x:c>
      <x:c r="N90" t="n">
        <x:v>0</x:v>
      </x:c>
      <x:c r="O90" t="str">
        <x:f>IF(SUM(H90:J90)=0,"",SUM(H90:J90)+IF(N90="",0,N90))</x:f>
      </x:c>
      <x:c r="P90" t="str"/>
    </x:row>
    <x:row r="91">
      <x:c r="A91" s="12" t="n">
        <x:v>46340</x:v>
      </x:c>
      <x:c r="B91" t="n">
        <x:v>45</x:v>
      </x:c>
      <x:c r="C91" t="str">
        <x:v>Cumartesi</x:v>
      </x:c>
      <x:c r="D91" t="str">
        <x:v>Paragraf</x:v>
      </x:c>
      <x:c r="E91" t="str">
        <x:v>Paragraf</x:v>
      </x:c>
      <x:c r="F91" t="n">
        <x:v>20</x:v>
      </x:c>
      <x:c r="G91" t="n">
        <x:v>20</x:v>
      </x:c>
      <x:c r="H91"/>
      <x:c r="I91"/>
      <x:c r="J91"/>
      <x:c r="K91" s="18"/>
      <x:c r="L91" s="20" t="str">
        <x:f>IF(OR(K91="",G91=0),"",K91*86400/G91)</x:f>
      </x:c>
      <x:c r="M91" s="22" t="str">
        <x:f>IF(SUM(H91:J91)=0,"",H91/SUM(H91:J91))</x:f>
      </x:c>
      <x:c r="N91" t="n">
        <x:v>0</x:v>
      </x:c>
      <x:c r="O91" t="str">
        <x:f>IF(SUM(H91:J91)=0,"",SUM(H91:J91)+IF(N91="",0,N91))</x:f>
      </x:c>
      <x:c r="P91" t="str"/>
    </x:row>
    <x:row r="92">
      <x:c r="A92" s="12" t="n">
        <x:v>46341</x:v>
      </x:c>
      <x:c r="B92" t="n">
        <x:v>46</x:v>
      </x:c>
      <x:c r="C92" t="str">
        <x:v>Pazar</x:v>
      </x:c>
      <x:c r="D92" t="str">
        <x:v>Matematik</x:v>
      </x:c>
      <x:c r="E92" t="str">
        <x:v>Üslü Sayılar ve Bilimsel Gösterim Altyapısı</x:v>
      </x:c>
      <x:c r="F92" t="n">
        <x:v>20</x:v>
      </x:c>
      <x:c r="G92" t="n">
        <x:v>20</x:v>
      </x:c>
      <x:c r="H92"/>
      <x:c r="I92"/>
      <x:c r="J92"/>
      <x:c r="K92" s="18"/>
      <x:c r="L92" s="20" t="str">
        <x:f>IF(OR(K92="",G92=0),"",K92*86400/G92)</x:f>
      </x:c>
      <x:c r="M92" s="22" t="str">
        <x:f>IF(SUM(H92:J92)=0,"",H92/SUM(H92:J92))</x:f>
      </x:c>
      <x:c r="N92" t="n">
        <x:v>0</x:v>
      </x:c>
      <x:c r="O92" t="str">
        <x:f>IF(SUM(H92:J92)=0,"",SUM(H92:J92)+IF(N92="",0,N92))</x:f>
      </x:c>
      <x:c r="P92" t="str"/>
    </x:row>
    <x:row r="93">
      <x:c r="A93" s="12" t="n">
        <x:v>46341</x:v>
      </x:c>
      <x:c r="B93" t="n">
        <x:v>46</x:v>
      </x:c>
      <x:c r="C93" t="str">
        <x:v>Pazar</x:v>
      </x:c>
      <x:c r="D93" t="str">
        <x:v>Paragraf</x:v>
      </x:c>
      <x:c r="E93" t="str">
        <x:v>Paragraf</x:v>
      </x:c>
      <x:c r="F93" t="n">
        <x:v>20</x:v>
      </x:c>
      <x:c r="G93" t="n">
        <x:v>20</x:v>
      </x:c>
      <x:c r="H93"/>
      <x:c r="I93"/>
      <x:c r="J93"/>
      <x:c r="K93" s="18"/>
      <x:c r="L93" s="20" t="str">
        <x:f>IF(OR(K93="",G93=0),"",K93*86400/G93)</x:f>
      </x:c>
      <x:c r="M93" s="22" t="str">
        <x:f>IF(SUM(H93:J93)=0,"",H93/SUM(H93:J93))</x:f>
      </x:c>
      <x:c r="N93" t="n">
        <x:v>0</x:v>
      </x:c>
      <x:c r="O93" t="str">
        <x:f>IF(SUM(H93:J93)=0,"",SUM(H93:J93)+IF(N93="",0,N93))</x:f>
      </x:c>
      <x:c r="P93" t="str"/>
    </x:row>
    <x:row r="94">
      <x:c r="A94" s="12" t="n">
        <x:v>46342</x:v>
      </x:c>
      <x:c r="B94" t="n">
        <x:v>47</x:v>
      </x:c>
      <x:c r="C94" t="str">
        <x:v>Pazartesi</x:v>
      </x:c>
      <x:c r="D94" t="str">
        <x:v>Matematik</x:v>
      </x:c>
      <x:c r="E94" t="str">
        <x:v>Köklü Sayılar Altyapısı</x:v>
      </x:c>
      <x:c r="F94" t="n">
        <x:v>20</x:v>
      </x:c>
      <x:c r="G94" t="n">
        <x:v>20</x:v>
      </x:c>
      <x:c r="H94"/>
      <x:c r="I94"/>
      <x:c r="J94"/>
      <x:c r="K94" s="18"/>
      <x:c r="L94" s="20" t="str">
        <x:f>IF(OR(K94="",G94=0),"",K94*86400/G94)</x:f>
      </x:c>
      <x:c r="M94" s="22" t="str">
        <x:f>IF(SUM(H94:J94)=0,"",H94/SUM(H94:J94))</x:f>
      </x:c>
      <x:c r="N94" t="n">
        <x:v>0</x:v>
      </x:c>
      <x:c r="O94" t="str">
        <x:f>IF(SUM(H94:J94)=0,"",SUM(H94:J94)+IF(N94="",0,N94))</x:f>
      </x:c>
      <x:c r="P94" t="str"/>
    </x:row>
    <x:row r="95">
      <x:c r="A95" s="12" t="n">
        <x:v>46342</x:v>
      </x:c>
      <x:c r="B95" t="n">
        <x:v>47</x:v>
      </x:c>
      <x:c r="C95" t="str">
        <x:v>Pazartesi</x:v>
      </x:c>
      <x:c r="D95" t="str">
        <x:v>Paragraf</x:v>
      </x:c>
      <x:c r="E95" t="str">
        <x:v>Paragraf</x:v>
      </x:c>
      <x:c r="F95" t="n">
        <x:v>20</x:v>
      </x:c>
      <x:c r="G95" t="n">
        <x:v>20</x:v>
      </x:c>
      <x:c r="H95"/>
      <x:c r="I95"/>
      <x:c r="J95"/>
      <x:c r="K95" s="18"/>
      <x:c r="L95" s="20" t="str">
        <x:f>IF(OR(K95="",G95=0),"",K95*86400/G95)</x:f>
      </x:c>
      <x:c r="M95" s="22" t="str">
        <x:f>IF(SUM(H95:J95)=0,"",H95/SUM(H95:J95))</x:f>
      </x:c>
      <x:c r="N95" t="n">
        <x:v>0</x:v>
      </x:c>
      <x:c r="O95" t="str">
        <x:f>IF(SUM(H95:J95)=0,"",SUM(H95:J95)+IF(N95="",0,N95))</x:f>
      </x:c>
      <x:c r="P95" t="str"/>
    </x:row>
    <x:row r="96">
      <x:c r="A96" s="12" t="n">
        <x:v>46343</x:v>
      </x:c>
      <x:c r="B96" t="n">
        <x:v>48</x:v>
      </x:c>
      <x:c r="C96" t="str">
        <x:v>Salı</x:v>
      </x:c>
      <x:c r="D96" t="str">
        <x:v>Matematik</x:v>
      </x:c>
      <x:c r="E96" t="str">
        <x:v>Köklü Sayılar Altyapısı</x:v>
      </x:c>
      <x:c r="F96" t="n">
        <x:v>20</x:v>
      </x:c>
      <x:c r="G96" t="n">
        <x:v>20</x:v>
      </x:c>
      <x:c r="H96"/>
      <x:c r="I96"/>
      <x:c r="J96"/>
      <x:c r="K96" s="18"/>
      <x:c r="L96" s="20" t="str">
        <x:f>IF(OR(K96="",G96=0),"",K96*86400/G96)</x:f>
      </x:c>
      <x:c r="M96" s="22" t="str">
        <x:f>IF(SUM(H96:J96)=0,"",H96/SUM(H96:J96))</x:f>
      </x:c>
      <x:c r="N96" t="n">
        <x:v>0</x:v>
      </x:c>
      <x:c r="O96" t="str">
        <x:f>IF(SUM(H96:J96)=0,"",SUM(H96:J96)+IF(N96="",0,N96))</x:f>
      </x:c>
      <x:c r="P96" t="str"/>
    </x:row>
    <x:row r="97">
      <x:c r="A97" s="12" t="n">
        <x:v>46343</x:v>
      </x:c>
      <x:c r="B97" t="n">
        <x:v>48</x:v>
      </x:c>
      <x:c r="C97" t="str">
        <x:v>Salı</x:v>
      </x:c>
      <x:c r="D97" t="str">
        <x:v>Paragraf</x:v>
      </x:c>
      <x:c r="E97" t="str">
        <x:v>Paragraf</x:v>
      </x:c>
      <x:c r="F97" t="n">
        <x:v>20</x:v>
      </x:c>
      <x:c r="G97" t="n">
        <x:v>20</x:v>
      </x:c>
      <x:c r="H97"/>
      <x:c r="I97"/>
      <x:c r="J97"/>
      <x:c r="K97" s="18"/>
      <x:c r="L97" s="20" t="str">
        <x:f>IF(OR(K97="",G97=0),"",K97*86400/G97)</x:f>
      </x:c>
      <x:c r="M97" s="22" t="str">
        <x:f>IF(SUM(H97:J97)=0,"",H97/SUM(H97:J97))</x:f>
      </x:c>
      <x:c r="N97" t="n">
        <x:v>0</x:v>
      </x:c>
      <x:c r="O97" t="str">
        <x:f>IF(SUM(H97:J97)=0,"",SUM(H97:J97)+IF(N97="",0,N97))</x:f>
      </x:c>
      <x:c r="P97" t="str"/>
    </x:row>
    <x:row r="98">
      <x:c r="A98" s="12" t="n">
        <x:v>46344</x:v>
      </x:c>
      <x:c r="B98" t="n">
        <x:v>49</x:v>
      </x:c>
      <x:c r="C98" t="str">
        <x:v>Çarşamba</x:v>
      </x:c>
      <x:c r="D98" t="str">
        <x:v>Matematik</x:v>
      </x:c>
      <x:c r="E98" t="str">
        <x:v>Köklü Sayılar Altyapısı</x:v>
      </x:c>
      <x:c r="F98" t="n">
        <x:v>20</x:v>
      </x:c>
      <x:c r="G98" t="n">
        <x:v>20</x:v>
      </x:c>
      <x:c r="H98"/>
      <x:c r="I98"/>
      <x:c r="J98"/>
      <x:c r="K98" s="18"/>
      <x:c r="L98" s="20" t="str">
        <x:f>IF(OR(K98="",G98=0),"",K98*86400/G98)</x:f>
      </x:c>
      <x:c r="M98" s="22" t="str">
        <x:f>IF(SUM(H98:J98)=0,"",H98/SUM(H98:J98))</x:f>
      </x:c>
      <x:c r="N98" t="n">
        <x:v>0</x:v>
      </x:c>
      <x:c r="O98" t="str">
        <x:f>IF(SUM(H98:J98)=0,"",SUM(H98:J98)+IF(N98="",0,N98))</x:f>
      </x:c>
      <x:c r="P98" t="str"/>
    </x:row>
    <x:row r="99">
      <x:c r="A99" s="12" t="n">
        <x:v>46344</x:v>
      </x:c>
      <x:c r="B99" t="n">
        <x:v>49</x:v>
      </x:c>
      <x:c r="C99" t="str">
        <x:v>Çarşamba</x:v>
      </x:c>
      <x:c r="D99" t="str">
        <x:v>Paragraf</x:v>
      </x:c>
      <x:c r="E99" t="str">
        <x:v>Paragraf</x:v>
      </x:c>
      <x:c r="F99" t="n">
        <x:v>20</x:v>
      </x:c>
      <x:c r="G99" t="n">
        <x:v>20</x:v>
      </x:c>
      <x:c r="H99"/>
      <x:c r="I99"/>
      <x:c r="J99"/>
      <x:c r="K99" s="18"/>
      <x:c r="L99" s="20" t="str">
        <x:f>IF(OR(K99="",G99=0),"",K99*86400/G99)</x:f>
      </x:c>
      <x:c r="M99" s="22" t="str">
        <x:f>IF(SUM(H99:J99)=0,"",H99/SUM(H99:J99))</x:f>
      </x:c>
      <x:c r="N99" t="n">
        <x:v>0</x:v>
      </x:c>
      <x:c r="O99" t="str">
        <x:f>IF(SUM(H99:J99)=0,"",SUM(H99:J99)+IF(N99="",0,N99))</x:f>
      </x:c>
      <x:c r="P99" t="str"/>
    </x:row>
    <x:row r="100">
      <x:c r="A100" s="12" t="n">
        <x:v>46345</x:v>
      </x:c>
      <x:c r="B100" t="n">
        <x:v>50</x:v>
      </x:c>
      <x:c r="C100" t="str">
        <x:v>Perşembe</x:v>
      </x:c>
      <x:c r="D100" t="str">
        <x:v>Matematik</x:v>
      </x:c>
      <x:c r="E100" t="str">
        <x:v>Köklü Sayılar Altyapısı</x:v>
      </x:c>
      <x:c r="F100" t="n">
        <x:v>20</x:v>
      </x:c>
      <x:c r="G100" t="n">
        <x:v>20</x:v>
      </x:c>
      <x:c r="H100"/>
      <x:c r="I100"/>
      <x:c r="J100"/>
      <x:c r="K100" s="18"/>
      <x:c r="L100" s="20" t="str">
        <x:f>IF(OR(K100="",G100=0),"",K100*86400/G100)</x:f>
      </x:c>
      <x:c r="M100" s="22" t="str">
        <x:f>IF(SUM(H100:J100)=0,"",H100/SUM(H100:J100))</x:f>
      </x:c>
      <x:c r="N100" t="n">
        <x:v>0</x:v>
      </x:c>
      <x:c r="O100" t="str">
        <x:f>IF(SUM(H100:J100)=0,"",SUM(H100:J100)+IF(N100="",0,N100))</x:f>
      </x:c>
      <x:c r="P100" t="str"/>
    </x:row>
    <x:row r="101">
      <x:c r="A101" s="12" t="n">
        <x:v>46345</x:v>
      </x:c>
      <x:c r="B101" t="n">
        <x:v>50</x:v>
      </x:c>
      <x:c r="C101" t="str">
        <x:v>Perşembe</x:v>
      </x:c>
      <x:c r="D101" t="str">
        <x:v>Paragraf</x:v>
      </x:c>
      <x:c r="E101" t="str">
        <x:v>Paragraf</x:v>
      </x:c>
      <x:c r="F101" t="n">
        <x:v>20</x:v>
      </x:c>
      <x:c r="G101" t="n">
        <x:v>20</x:v>
      </x:c>
      <x:c r="H101"/>
      <x:c r="I101"/>
      <x:c r="J101"/>
      <x:c r="K101" s="18"/>
      <x:c r="L101" s="20" t="str">
        <x:f>IF(OR(K101="",G101=0),"",K101*86400/G101)</x:f>
      </x:c>
      <x:c r="M101" s="22" t="str">
        <x:f>IF(SUM(H101:J101)=0,"",H101/SUM(H101:J101))</x:f>
      </x:c>
      <x:c r="N101" t="n">
        <x:v>0</x:v>
      </x:c>
      <x:c r="O101" t="str">
        <x:f>IF(SUM(H101:J101)=0,"",SUM(H101:J101)+IF(N101="",0,N101))</x:f>
      </x:c>
      <x:c r="P101" t="str"/>
    </x:row>
    <x:row r="102">
      <x:c r="A102" s="12" t="n">
        <x:v>46346</x:v>
      </x:c>
      <x:c r="B102" t="n">
        <x:v>51</x:v>
      </x:c>
      <x:c r="C102" t="str">
        <x:v>Cuma</x:v>
      </x:c>
      <x:c r="D102" t="str">
        <x:v>Matematik</x:v>
      </x:c>
      <x:c r="E102" t="str">
        <x:v>Köklü Sayılar Altyapısı</x:v>
      </x:c>
      <x:c r="F102" t="n">
        <x:v>20</x:v>
      </x:c>
      <x:c r="G102" t="n">
        <x:v>20</x:v>
      </x:c>
      <x:c r="H102"/>
      <x:c r="I102"/>
      <x:c r="J102"/>
      <x:c r="K102" s="18"/>
      <x:c r="L102" s="20" t="str">
        <x:f>IF(OR(K102="",G102=0),"",K102*86400/G102)</x:f>
      </x:c>
      <x:c r="M102" s="22" t="str">
        <x:f>IF(SUM(H102:J102)=0,"",H102/SUM(H102:J102))</x:f>
      </x:c>
      <x:c r="N102" t="n">
        <x:v>0</x:v>
      </x:c>
      <x:c r="O102" t="str">
        <x:f>IF(SUM(H102:J102)=0,"",SUM(H102:J102)+IF(N102="",0,N102))</x:f>
      </x:c>
      <x:c r="P102" t="str"/>
    </x:row>
    <x:row r="103">
      <x:c r="A103" s="12" t="n">
        <x:v>46346</x:v>
      </x:c>
      <x:c r="B103" t="n">
        <x:v>51</x:v>
      </x:c>
      <x:c r="C103" t="str">
        <x:v>Cuma</x:v>
      </x:c>
      <x:c r="D103" t="str">
        <x:v>Paragraf</x:v>
      </x:c>
      <x:c r="E103" t="str">
        <x:v>Paragraf</x:v>
      </x:c>
      <x:c r="F103" t="n">
        <x:v>20</x:v>
      </x:c>
      <x:c r="G103" t="n">
        <x:v>20</x:v>
      </x:c>
      <x:c r="H103"/>
      <x:c r="I103"/>
      <x:c r="J103"/>
      <x:c r="K103" s="18"/>
      <x:c r="L103" s="20" t="str">
        <x:f>IF(OR(K103="",G103=0),"",K103*86400/G103)</x:f>
      </x:c>
      <x:c r="M103" s="22" t="str">
        <x:f>IF(SUM(H103:J103)=0,"",H103/SUM(H103:J103))</x:f>
      </x:c>
      <x:c r="N103" t="n">
        <x:v>0</x:v>
      </x:c>
      <x:c r="O103" t="str">
        <x:f>IF(SUM(H103:J103)=0,"",SUM(H103:J103)+IF(N103="",0,N103))</x:f>
      </x:c>
      <x:c r="P103" t="str"/>
    </x:row>
    <x:row r="104">
      <x:c r="A104" s="12" t="n">
        <x:v>46347</x:v>
      </x:c>
      <x:c r="B104" t="n">
        <x:v>52</x:v>
      </x:c>
      <x:c r="C104" t="str">
        <x:v>Cumartesi</x:v>
      </x:c>
      <x:c r="D104" t="str">
        <x:v>Matematik</x:v>
      </x:c>
      <x:c r="E104" t="str">
        <x:v>Köklü Sayılar Altyapısı</x:v>
      </x:c>
      <x:c r="F104" t="n">
        <x:v>20</x:v>
      </x:c>
      <x:c r="G104" t="n">
        <x:v>20</x:v>
      </x:c>
      <x:c r="H104"/>
      <x:c r="I104"/>
      <x:c r="J104"/>
      <x:c r="K104" s="18"/>
      <x:c r="L104" s="20" t="str">
        <x:f>IF(OR(K104="",G104=0),"",K104*86400/G104)</x:f>
      </x:c>
      <x:c r="M104" s="22" t="str">
        <x:f>IF(SUM(H104:J104)=0,"",H104/SUM(H104:J104))</x:f>
      </x:c>
      <x:c r="N104" t="n">
        <x:v>0</x:v>
      </x:c>
      <x:c r="O104" t="str">
        <x:f>IF(SUM(H104:J104)=0,"",SUM(H104:J104)+IF(N104="",0,N104))</x:f>
      </x:c>
      <x:c r="P104" t="str"/>
    </x:row>
    <x:row r="105">
      <x:c r="A105" s="12" t="n">
        <x:v>46347</x:v>
      </x:c>
      <x:c r="B105" t="n">
        <x:v>52</x:v>
      </x:c>
      <x:c r="C105" t="str">
        <x:v>Cumartesi</x:v>
      </x:c>
      <x:c r="D105" t="str">
        <x:v>Paragraf</x:v>
      </x:c>
      <x:c r="E105" t="str">
        <x:v>Paragraf</x:v>
      </x:c>
      <x:c r="F105" t="n">
        <x:v>20</x:v>
      </x:c>
      <x:c r="G105" t="n">
        <x:v>20</x:v>
      </x:c>
      <x:c r="H105"/>
      <x:c r="I105"/>
      <x:c r="J105"/>
      <x:c r="K105" s="18"/>
      <x:c r="L105" s="20" t="str">
        <x:f>IF(OR(K105="",G105=0),"",K105*86400/G105)</x:f>
      </x:c>
      <x:c r="M105" s="22" t="str">
        <x:f>IF(SUM(H105:J105)=0,"",H105/SUM(H105:J105))</x:f>
      </x:c>
      <x:c r="N105" t="n">
        <x:v>0</x:v>
      </x:c>
      <x:c r="O105" t="str">
        <x:f>IF(SUM(H105:J105)=0,"",SUM(H105:J105)+IF(N105="",0,N105))</x:f>
      </x:c>
      <x:c r="P105" t="str"/>
    </x:row>
    <x:row r="106">
      <x:c r="A106" s="12" t="n">
        <x:v>46348</x:v>
      </x:c>
      <x:c r="B106" t="n">
        <x:v>53</x:v>
      </x:c>
      <x:c r="C106" t="str">
        <x:v>Pazar</x:v>
      </x:c>
      <x:c r="D106" t="str">
        <x:v>Matematik</x:v>
      </x:c>
      <x:c r="E106" t="str">
        <x:v>Oran - Orantı</x:v>
      </x:c>
      <x:c r="F106" t="n">
        <x:v>20</x:v>
      </x:c>
      <x:c r="G106" t="n">
        <x:v>20</x:v>
      </x:c>
      <x:c r="H106"/>
      <x:c r="I106"/>
      <x:c r="J106"/>
      <x:c r="K106" s="18"/>
      <x:c r="L106" s="20" t="str">
        <x:f>IF(OR(K106="",G106=0),"",K106*86400/G106)</x:f>
      </x:c>
      <x:c r="M106" s="22" t="str">
        <x:f>IF(SUM(H106:J106)=0,"",H106/SUM(H106:J106))</x:f>
      </x:c>
      <x:c r="N106" t="n">
        <x:v>0</x:v>
      </x:c>
      <x:c r="O106" t="str">
        <x:f>IF(SUM(H106:J106)=0,"",SUM(H106:J106)+IF(N106="",0,N106))</x:f>
      </x:c>
      <x:c r="P106" t="str"/>
    </x:row>
    <x:row r="107">
      <x:c r="A107" s="12" t="n">
        <x:v>46348</x:v>
      </x:c>
      <x:c r="B107" t="n">
        <x:v>53</x:v>
      </x:c>
      <x:c r="C107" t="str">
        <x:v>Pazar</x:v>
      </x:c>
      <x:c r="D107" t="str">
        <x:v>Paragraf</x:v>
      </x:c>
      <x:c r="E107" t="str">
        <x:v>Paragraf</x:v>
      </x:c>
      <x:c r="F107" t="n">
        <x:v>20</x:v>
      </x:c>
      <x:c r="G107" t="n">
        <x:v>20</x:v>
      </x:c>
      <x:c r="H107"/>
      <x:c r="I107"/>
      <x:c r="J107"/>
      <x:c r="K107" s="18"/>
      <x:c r="L107" s="20" t="str">
        <x:f>IF(OR(K107="",G107=0),"",K107*86400/G107)</x:f>
      </x:c>
      <x:c r="M107" s="22" t="str">
        <x:f>IF(SUM(H107:J107)=0,"",H107/SUM(H107:J107))</x:f>
      </x:c>
      <x:c r="N107" t="n">
        <x:v>0</x:v>
      </x:c>
      <x:c r="O107" t="str">
        <x:f>IF(SUM(H107:J107)=0,"",SUM(H107:J107)+IF(N107="",0,N107))</x:f>
      </x:c>
      <x:c r="P107" t="str"/>
    </x:row>
    <x:row r="108">
      <x:c r="A108" s="12" t="n">
        <x:v>46349</x:v>
      </x:c>
      <x:c r="B108" t="n">
        <x:v>54</x:v>
      </x:c>
      <x:c r="C108" t="str">
        <x:v>Pazartesi</x:v>
      </x:c>
      <x:c r="D108" t="str">
        <x:v>Matematik</x:v>
      </x:c>
      <x:c r="E108" t="str">
        <x:v>Oran - Orantı</x:v>
      </x:c>
      <x:c r="F108" t="n">
        <x:v>20</x:v>
      </x:c>
      <x:c r="G108" t="n">
        <x:v>20</x:v>
      </x:c>
      <x:c r="H108"/>
      <x:c r="I108"/>
      <x:c r="J108"/>
      <x:c r="K108" s="18"/>
      <x:c r="L108" s="20" t="str">
        <x:f>IF(OR(K108="",G108=0),"",K108*86400/G108)</x:f>
      </x:c>
      <x:c r="M108" s="22" t="str">
        <x:f>IF(SUM(H108:J108)=0,"",H108/SUM(H108:J108))</x:f>
      </x:c>
      <x:c r="N108" t="n">
        <x:v>0</x:v>
      </x:c>
      <x:c r="O108" t="str">
        <x:f>IF(SUM(H108:J108)=0,"",SUM(H108:J108)+IF(N108="",0,N108))</x:f>
      </x:c>
      <x:c r="P108" t="str"/>
    </x:row>
    <x:row r="109">
      <x:c r="A109" s="12" t="n">
        <x:v>46349</x:v>
      </x:c>
      <x:c r="B109" t="n">
        <x:v>54</x:v>
      </x:c>
      <x:c r="C109" t="str">
        <x:v>Pazartesi</x:v>
      </x:c>
      <x:c r="D109" t="str">
        <x:v>Paragraf</x:v>
      </x:c>
      <x:c r="E109" t="str">
        <x:v>Paragraf</x:v>
      </x:c>
      <x:c r="F109" t="n">
        <x:v>20</x:v>
      </x:c>
      <x:c r="G109" t="n">
        <x:v>20</x:v>
      </x:c>
      <x:c r="H109"/>
      <x:c r="I109"/>
      <x:c r="J109"/>
      <x:c r="K109" s="18"/>
      <x:c r="L109" s="20" t="str">
        <x:f>IF(OR(K109="",G109=0),"",K109*86400/G109)</x:f>
      </x:c>
      <x:c r="M109" s="22" t="str">
        <x:f>IF(SUM(H109:J109)=0,"",H109/SUM(H109:J109))</x:f>
      </x:c>
      <x:c r="N109" t="n">
        <x:v>0</x:v>
      </x:c>
      <x:c r="O109" t="str">
        <x:f>IF(SUM(H109:J109)=0,"",SUM(H109:J109)+IF(N109="",0,N109))</x:f>
      </x:c>
      <x:c r="P109" t="str"/>
    </x:row>
    <x:row r="110">
      <x:c r="A110" s="12" t="n">
        <x:v>46350</x:v>
      </x:c>
      <x:c r="B110" t="n">
        <x:v>55</x:v>
      </x:c>
      <x:c r="C110" t="str">
        <x:v>Salı</x:v>
      </x:c>
      <x:c r="D110" t="str">
        <x:v>Matematik</x:v>
      </x:c>
      <x:c r="E110" t="str">
        <x:v>Oran - Orantı</x:v>
      </x:c>
      <x:c r="F110" t="n">
        <x:v>20</x:v>
      </x:c>
      <x:c r="G110" t="n">
        <x:v>20</x:v>
      </x:c>
      <x:c r="H110"/>
      <x:c r="I110"/>
      <x:c r="J110"/>
      <x:c r="K110" s="18"/>
      <x:c r="L110" s="20" t="str">
        <x:f>IF(OR(K110="",G110=0),"",K110*86400/G110)</x:f>
      </x:c>
      <x:c r="M110" s="22" t="str">
        <x:f>IF(SUM(H110:J110)=0,"",H110/SUM(H110:J110))</x:f>
      </x:c>
      <x:c r="N110" t="n">
        <x:v>0</x:v>
      </x:c>
      <x:c r="O110" t="str">
        <x:f>IF(SUM(H110:J110)=0,"",SUM(H110:J110)+IF(N110="",0,N110))</x:f>
      </x:c>
      <x:c r="P110" t="str"/>
    </x:row>
    <x:row r="111">
      <x:c r="A111" s="12" t="n">
        <x:v>46350</x:v>
      </x:c>
      <x:c r="B111" t="n">
        <x:v>55</x:v>
      </x:c>
      <x:c r="C111" t="str">
        <x:v>Salı</x:v>
      </x:c>
      <x:c r="D111" t="str">
        <x:v>Paragraf</x:v>
      </x:c>
      <x:c r="E111" t="str">
        <x:v>Paragraf</x:v>
      </x:c>
      <x:c r="F111" t="n">
        <x:v>20</x:v>
      </x:c>
      <x:c r="G111" t="n">
        <x:v>20</x:v>
      </x:c>
      <x:c r="H111"/>
      <x:c r="I111"/>
      <x:c r="J111"/>
      <x:c r="K111" s="18"/>
      <x:c r="L111" s="20" t="str">
        <x:f>IF(OR(K111="",G111=0),"",K111*86400/G111)</x:f>
      </x:c>
      <x:c r="M111" s="22" t="str">
        <x:f>IF(SUM(H111:J111)=0,"",H111/SUM(H111:J111))</x:f>
      </x:c>
      <x:c r="N111" t="n">
        <x:v>0</x:v>
      </x:c>
      <x:c r="O111" t="str">
        <x:f>IF(SUM(H111:J111)=0,"",SUM(H111:J111)+IF(N111="",0,N111))</x:f>
      </x:c>
      <x:c r="P111" t="str"/>
    </x:row>
    <x:row r="112">
      <x:c r="A112" s="12" t="n">
        <x:v>46351</x:v>
      </x:c>
      <x:c r="B112" t="n">
        <x:v>56</x:v>
      </x:c>
      <x:c r="C112" t="str">
        <x:v>Çarşamba</x:v>
      </x:c>
      <x:c r="D112" t="str">
        <x:v>Matematik</x:v>
      </x:c>
      <x:c r="E112" t="str">
        <x:v>Oran - Orantı</x:v>
      </x:c>
      <x:c r="F112" t="n">
        <x:v>20</x:v>
      </x:c>
      <x:c r="G112" t="n">
        <x:v>20</x:v>
      </x:c>
      <x:c r="H112"/>
      <x:c r="I112"/>
      <x:c r="J112"/>
      <x:c r="K112" s="18"/>
      <x:c r="L112" s="20" t="str">
        <x:f>IF(OR(K112="",G112=0),"",K112*86400/G112)</x:f>
      </x:c>
      <x:c r="M112" s="22" t="str">
        <x:f>IF(SUM(H112:J112)=0,"",H112/SUM(H112:J112))</x:f>
      </x:c>
      <x:c r="N112" t="n">
        <x:v>0</x:v>
      </x:c>
      <x:c r="O112" t="str">
        <x:f>IF(SUM(H112:J112)=0,"",SUM(H112:J112)+IF(N112="",0,N112))</x:f>
      </x:c>
      <x:c r="P112" t="str"/>
    </x:row>
    <x:row r="113">
      <x:c r="A113" s="12" t="n">
        <x:v>46351</x:v>
      </x:c>
      <x:c r="B113" t="n">
        <x:v>56</x:v>
      </x:c>
      <x:c r="C113" t="str">
        <x:v>Çarşamba</x:v>
      </x:c>
      <x:c r="D113" t="str">
        <x:v>Paragraf</x:v>
      </x:c>
      <x:c r="E113" t="str">
        <x:v>Paragraf</x:v>
      </x:c>
      <x:c r="F113" t="n">
        <x:v>20</x:v>
      </x:c>
      <x:c r="G113" t="n">
        <x:v>20</x:v>
      </x:c>
      <x:c r="H113"/>
      <x:c r="I113"/>
      <x:c r="J113"/>
      <x:c r="K113" s="18"/>
      <x:c r="L113" s="20" t="str">
        <x:f>IF(OR(K113="",G113=0),"",K113*86400/G113)</x:f>
      </x:c>
      <x:c r="M113" s="22" t="str">
        <x:f>IF(SUM(H113:J113)=0,"",H113/SUM(H113:J113))</x:f>
      </x:c>
      <x:c r="N113" t="n">
        <x:v>0</x:v>
      </x:c>
      <x:c r="O113" t="str">
        <x:f>IF(SUM(H113:J113)=0,"",SUM(H113:J113)+IF(N113="",0,N113))</x:f>
      </x:c>
      <x:c r="P113" t="str"/>
    </x:row>
    <x:row r="114">
      <x:c r="A114" s="12" t="n">
        <x:v>46352</x:v>
      </x:c>
      <x:c r="B114" t="n">
        <x:v>57</x:v>
      </x:c>
      <x:c r="C114" t="str">
        <x:v>Perşembe</x:v>
      </x:c>
      <x:c r="D114" t="str">
        <x:v>Matematik</x:v>
      </x:c>
      <x:c r="E114" t="str">
        <x:v>Oran - Orantı</x:v>
      </x:c>
      <x:c r="F114" t="n">
        <x:v>20</x:v>
      </x:c>
      <x:c r="G114" t="n">
        <x:v>20</x:v>
      </x:c>
      <x:c r="H114"/>
      <x:c r="I114"/>
      <x:c r="J114"/>
      <x:c r="K114" s="18"/>
      <x:c r="L114" s="20" t="str">
        <x:f>IF(OR(K114="",G114=0),"",K114*86400/G114)</x:f>
      </x:c>
      <x:c r="M114" s="22" t="str">
        <x:f>IF(SUM(H114:J114)=0,"",H114/SUM(H114:J114))</x:f>
      </x:c>
      <x:c r="N114" t="n">
        <x:v>0</x:v>
      </x:c>
      <x:c r="O114" t="str">
        <x:f>IF(SUM(H114:J114)=0,"",SUM(H114:J114)+IF(N114="",0,N114))</x:f>
      </x:c>
      <x:c r="P114" t="str"/>
    </x:row>
    <x:row r="115">
      <x:c r="A115" s="12" t="n">
        <x:v>46352</x:v>
      </x:c>
      <x:c r="B115" t="n">
        <x:v>57</x:v>
      </x:c>
      <x:c r="C115" t="str">
        <x:v>Perşembe</x:v>
      </x:c>
      <x:c r="D115" t="str">
        <x:v>Paragraf</x:v>
      </x:c>
      <x:c r="E115" t="str">
        <x:v>Paragraf</x:v>
      </x:c>
      <x:c r="F115" t="n">
        <x:v>20</x:v>
      </x:c>
      <x:c r="G115" t="n">
        <x:v>20</x:v>
      </x:c>
      <x:c r="H115"/>
      <x:c r="I115"/>
      <x:c r="J115"/>
      <x:c r="K115" s="18"/>
      <x:c r="L115" s="20" t="str">
        <x:f>IF(OR(K115="",G115=0),"",K115*86400/G115)</x:f>
      </x:c>
      <x:c r="M115" s="22" t="str">
        <x:f>IF(SUM(H115:J115)=0,"",H115/SUM(H115:J115))</x:f>
      </x:c>
      <x:c r="N115" t="n">
        <x:v>0</x:v>
      </x:c>
      <x:c r="O115" t="str">
        <x:f>IF(SUM(H115:J115)=0,"",SUM(H115:J115)+IF(N115="",0,N115))</x:f>
      </x:c>
      <x:c r="P115" t="str"/>
    </x:row>
    <x:row r="116">
      <x:c r="A116" s="12" t="n">
        <x:v>46353</x:v>
      </x:c>
      <x:c r="B116" t="n">
        <x:v>58</x:v>
      </x:c>
      <x:c r="C116" t="str">
        <x:v>Cuma</x:v>
      </x:c>
      <x:c r="D116" t="str">
        <x:v>Matematik</x:v>
      </x:c>
      <x:c r="E116" t="str">
        <x:v>Denklem Çözme</x:v>
      </x:c>
      <x:c r="F116" t="n">
        <x:v>20</x:v>
      </x:c>
      <x:c r="G116" t="n">
        <x:v>20</x:v>
      </x:c>
      <x:c r="H116"/>
      <x:c r="I116"/>
      <x:c r="J116"/>
      <x:c r="K116" s="18"/>
      <x:c r="L116" s="20" t="str">
        <x:f>IF(OR(K116="",G116=0),"",K116*86400/G116)</x:f>
      </x:c>
      <x:c r="M116" s="22" t="str">
        <x:f>IF(SUM(H116:J116)=0,"",H116/SUM(H116:J116))</x:f>
      </x:c>
      <x:c r="N116" t="n">
        <x:v>0</x:v>
      </x:c>
      <x:c r="O116" t="str">
        <x:f>IF(SUM(H116:J116)=0,"",SUM(H116:J116)+IF(N116="",0,N116))</x:f>
      </x:c>
      <x:c r="P116" t="str"/>
    </x:row>
    <x:row r="117">
      <x:c r="A117" s="12" t="n">
        <x:v>46353</x:v>
      </x:c>
      <x:c r="B117" t="n">
        <x:v>58</x:v>
      </x:c>
      <x:c r="C117" t="str">
        <x:v>Cuma</x:v>
      </x:c>
      <x:c r="D117" t="str">
        <x:v>Paragraf</x:v>
      </x:c>
      <x:c r="E117" t="str">
        <x:v>Paragraf</x:v>
      </x:c>
      <x:c r="F117" t="n">
        <x:v>20</x:v>
      </x:c>
      <x:c r="G117" t="n">
        <x:v>20</x:v>
      </x:c>
      <x:c r="H117"/>
      <x:c r="I117"/>
      <x:c r="J117"/>
      <x:c r="K117" s="18"/>
      <x:c r="L117" s="20" t="str">
        <x:f>IF(OR(K117="",G117=0),"",K117*86400/G117)</x:f>
      </x:c>
      <x:c r="M117" s="22" t="str">
        <x:f>IF(SUM(H117:J117)=0,"",H117/SUM(H117:J117))</x:f>
      </x:c>
      <x:c r="N117" t="n">
        <x:v>0</x:v>
      </x:c>
      <x:c r="O117" t="str">
        <x:f>IF(SUM(H117:J117)=0,"",SUM(H117:J117)+IF(N117="",0,N117))</x:f>
      </x:c>
      <x:c r="P117" t="str"/>
    </x:row>
    <x:row r="118">
      <x:c r="A118" s="12" t="n">
        <x:v>46354</x:v>
      </x:c>
      <x:c r="B118" t="n">
        <x:v>59</x:v>
      </x:c>
      <x:c r="C118" t="str">
        <x:v>Cumartesi</x:v>
      </x:c>
      <x:c r="D118" t="str">
        <x:v>Matematik</x:v>
      </x:c>
      <x:c r="E118" t="str">
        <x:v>Denklem Çözme</x:v>
      </x:c>
      <x:c r="F118" t="n">
        <x:v>20</x:v>
      </x:c>
      <x:c r="G118" t="n">
        <x:v>20</x:v>
      </x:c>
      <x:c r="H118"/>
      <x:c r="I118"/>
      <x:c r="J118"/>
      <x:c r="K118" s="18"/>
      <x:c r="L118" s="20" t="str">
        <x:f>IF(OR(K118="",G118=0),"",K118*86400/G118)</x:f>
      </x:c>
      <x:c r="M118" s="22" t="str">
        <x:f>IF(SUM(H118:J118)=0,"",H118/SUM(H118:J118))</x:f>
      </x:c>
      <x:c r="N118" t="n">
        <x:v>0</x:v>
      </x:c>
      <x:c r="O118" t="str">
        <x:f>IF(SUM(H118:J118)=0,"",SUM(H118:J118)+IF(N118="",0,N118))</x:f>
      </x:c>
      <x:c r="P118" t="str"/>
    </x:row>
    <x:row r="119">
      <x:c r="A119" s="12" t="n">
        <x:v>46354</x:v>
      </x:c>
      <x:c r="B119" t="n">
        <x:v>59</x:v>
      </x:c>
      <x:c r="C119" t="str">
        <x:v>Cumartesi</x:v>
      </x:c>
      <x:c r="D119" t="str">
        <x:v>Paragraf</x:v>
      </x:c>
      <x:c r="E119" t="str">
        <x:v>Paragraf</x:v>
      </x:c>
      <x:c r="F119" t="n">
        <x:v>20</x:v>
      </x:c>
      <x:c r="G119" t="n">
        <x:v>20</x:v>
      </x:c>
      <x:c r="H119"/>
      <x:c r="I119"/>
      <x:c r="J119"/>
      <x:c r="K119" s="18"/>
      <x:c r="L119" s="20" t="str">
        <x:f>IF(OR(K119="",G119=0),"",K119*86400/G119)</x:f>
      </x:c>
      <x:c r="M119" s="22" t="str">
        <x:f>IF(SUM(H119:J119)=0,"",H119/SUM(H119:J119))</x:f>
      </x:c>
      <x:c r="N119" t="n">
        <x:v>0</x:v>
      </x:c>
      <x:c r="O119" t="str">
        <x:f>IF(SUM(H119:J119)=0,"",SUM(H119:J119)+IF(N119="",0,N119))</x:f>
      </x:c>
      <x:c r="P119" t="str"/>
    </x:row>
    <x:row r="120">
      <x:c r="A120" s="12" t="n">
        <x:v>46355</x:v>
      </x:c>
      <x:c r="B120" t="n">
        <x:v>60</x:v>
      </x:c>
      <x:c r="C120" t="str">
        <x:v>Pazar</x:v>
      </x:c>
      <x:c r="D120" t="str">
        <x:v>Matematik</x:v>
      </x:c>
      <x:c r="E120" t="str">
        <x:v>Denklem Çözme</x:v>
      </x:c>
      <x:c r="F120" t="n">
        <x:v>20</x:v>
      </x:c>
      <x:c r="G120" t="n">
        <x:v>20</x:v>
      </x:c>
      <x:c r="H120"/>
      <x:c r="I120"/>
      <x:c r="J120"/>
      <x:c r="K120" s="18"/>
      <x:c r="L120" s="20" t="str">
        <x:f>IF(OR(K120="",G120=0),"",K120*86400/G120)</x:f>
      </x:c>
      <x:c r="M120" s="22" t="str">
        <x:f>IF(SUM(H120:J120)=0,"",H120/SUM(H120:J120))</x:f>
      </x:c>
      <x:c r="N120" t="n">
        <x:v>0</x:v>
      </x:c>
      <x:c r="O120" t="str">
        <x:f>IF(SUM(H120:J120)=0,"",SUM(H120:J120)+IF(N120="",0,N120))</x:f>
      </x:c>
      <x:c r="P120" t="str"/>
    </x:row>
    <x:row r="121">
      <x:c r="A121" s="12" t="n">
        <x:v>46355</x:v>
      </x:c>
      <x:c r="B121" t="n">
        <x:v>60</x:v>
      </x:c>
      <x:c r="C121" t="str">
        <x:v>Pazar</x:v>
      </x:c>
      <x:c r="D121" t="str">
        <x:v>Paragraf</x:v>
      </x:c>
      <x:c r="E121" t="str">
        <x:v>Paragraf</x:v>
      </x:c>
      <x:c r="F121" t="n">
        <x:v>20</x:v>
      </x:c>
      <x:c r="G121" t="n">
        <x:v>20</x:v>
      </x:c>
      <x:c r="H121"/>
      <x:c r="I121"/>
      <x:c r="J121"/>
      <x:c r="K121" s="18"/>
      <x:c r="L121" s="20" t="str">
        <x:f>IF(OR(K121="",G121=0),"",K121*86400/G121)</x:f>
      </x:c>
      <x:c r="M121" s="22" t="str">
        <x:f>IF(SUM(H121:J121)=0,"",H121/SUM(H121:J121))</x:f>
      </x:c>
      <x:c r="N121" t="n">
        <x:v>0</x:v>
      </x:c>
      <x:c r="O121" t="str">
        <x:f>IF(SUM(H121:J121)=0,"",SUM(H121:J121)+IF(N121="",0,N121))</x:f>
      </x:c>
      <x:c r="P121" t="str"/>
    </x:row>
    <x:row r="122">
      <x:c r="A122" s="12" t="n">
        <x:v>46356</x:v>
      </x:c>
      <x:c r="B122" t="n">
        <x:v>61</x:v>
      </x:c>
      <x:c r="C122" t="str">
        <x:v>Pazartesi</x:v>
      </x:c>
      <x:c r="D122" t="str">
        <x:v>Matematik</x:v>
      </x:c>
      <x:c r="E122" t="str">
        <x:v>Denklem Kurma Problemleri</x:v>
      </x:c>
      <x:c r="F122" t="n">
        <x:v>20</x:v>
      </x:c>
      <x:c r="G122" t="n">
        <x:v>20</x:v>
      </x:c>
      <x:c r="H122"/>
      <x:c r="I122"/>
      <x:c r="J122"/>
      <x:c r="K122" s="18"/>
      <x:c r="L122" s="20" t="str">
        <x:f>IF(OR(K122="",G122=0),"",K122*86400/G122)</x:f>
      </x:c>
      <x:c r="M122" s="22" t="str">
        <x:f>IF(SUM(H122:J122)=0,"",H122/SUM(H122:J122))</x:f>
      </x:c>
      <x:c r="N122" t="n">
        <x:v>0</x:v>
      </x:c>
      <x:c r="O122" t="str">
        <x:f>IF(SUM(H122:J122)=0,"",SUM(H122:J122)+IF(N122="",0,N122))</x:f>
      </x:c>
      <x:c r="P122" t="str"/>
    </x:row>
    <x:row r="123">
      <x:c r="A123" s="12" t="n">
        <x:v>46356</x:v>
      </x:c>
      <x:c r="B123" t="n">
        <x:v>61</x:v>
      </x:c>
      <x:c r="C123" t="str">
        <x:v>Pazartesi</x:v>
      </x:c>
      <x:c r="D123" t="str">
        <x:v>Paragraf</x:v>
      </x:c>
      <x:c r="E123" t="str">
        <x:v>Paragraf</x:v>
      </x:c>
      <x:c r="F123" t="n">
        <x:v>20</x:v>
      </x:c>
      <x:c r="G123" t="n">
        <x:v>20</x:v>
      </x:c>
      <x:c r="H123"/>
      <x:c r="I123"/>
      <x:c r="J123"/>
      <x:c r="K123" s="18"/>
      <x:c r="L123" s="20" t="str">
        <x:f>IF(OR(K123="",G123=0),"",K123*86400/G123)</x:f>
      </x:c>
      <x:c r="M123" s="22" t="str">
        <x:f>IF(SUM(H123:J123)=0,"",H123/SUM(H123:J123))</x:f>
      </x:c>
      <x:c r="N123" t="n">
        <x:v>0</x:v>
      </x:c>
      <x:c r="O123" t="str">
        <x:f>IF(SUM(H123:J123)=0,"",SUM(H123:J123)+IF(N123="",0,N123))</x:f>
      </x:c>
      <x:c r="P123" t="str"/>
    </x:row>
    <x:row r="124">
      <x:c r="A124" s="12" t="n">
        <x:v>46357</x:v>
      </x:c>
      <x:c r="B124" t="n">
        <x:v>62</x:v>
      </x:c>
      <x:c r="C124" t="str">
        <x:v>Salı</x:v>
      </x:c>
      <x:c r="D124" t="str">
        <x:v>Matematik</x:v>
      </x:c>
      <x:c r="E124" t="str">
        <x:v>Denklem Kurma Problemleri</x:v>
      </x:c>
      <x:c r="F124" t="n">
        <x:v>25</x:v>
      </x:c>
      <x:c r="G124" t="n">
        <x:v>20</x:v>
      </x:c>
      <x:c r="H124"/>
      <x:c r="I124"/>
      <x:c r="J124"/>
      <x:c r="K124" s="18"/>
      <x:c r="L124" s="20" t="str">
        <x:f>IF(OR(K124="",G124=0),"",K124*86400/G124)</x:f>
      </x:c>
      <x:c r="M124" s="22" t="str">
        <x:f>IF(SUM(H124:J124)=0,"",H124/SUM(H124:J124))</x:f>
      </x:c>
      <x:c r="N124" t="n">
        <x:v>5</x:v>
      </x:c>
      <x:c r="O124" t="str">
        <x:f>IF(SUM(H124:J124)=0,"",SUM(H124:J124)+IF(N124="",0,N124))</x:f>
      </x:c>
      <x:c r="P124" t="str"/>
    </x:row>
    <x:row r="125">
      <x:c r="A125" s="12" t="n">
        <x:v>46357</x:v>
      </x:c>
      <x:c r="B125" t="n">
        <x:v>62</x:v>
      </x:c>
      <x:c r="C125" t="str">
        <x:v>Salı</x:v>
      </x:c>
      <x:c r="D125" t="str">
        <x:v>Paragraf</x:v>
      </x:c>
      <x:c r="E125" t="str">
        <x:v>Paragraf</x:v>
      </x:c>
      <x:c r="F125" t="n">
        <x:v>25</x:v>
      </x:c>
      <x:c r="G125" t="n">
        <x:v>20</x:v>
      </x:c>
      <x:c r="H125"/>
      <x:c r="I125"/>
      <x:c r="J125"/>
      <x:c r="K125" s="18"/>
      <x:c r="L125" s="20" t="str">
        <x:f>IF(OR(K125="",G125=0),"",K125*86400/G125)</x:f>
      </x:c>
      <x:c r="M125" s="22" t="str">
        <x:f>IF(SUM(H125:J125)=0,"",H125/SUM(H125:J125))</x:f>
      </x:c>
      <x:c r="N125" t="n">
        <x:v>5</x:v>
      </x:c>
      <x:c r="O125" t="str">
        <x:f>IF(SUM(H125:J125)=0,"",SUM(H125:J125)+IF(N125="",0,N125))</x:f>
      </x:c>
      <x:c r="P125" t="str"/>
    </x:row>
    <x:row r="126">
      <x:c r="A126" s="12" t="n">
        <x:v>46358</x:v>
      </x:c>
      <x:c r="B126" t="n">
        <x:v>63</x:v>
      </x:c>
      <x:c r="C126" t="str">
        <x:v>Çarşamba</x:v>
      </x:c>
      <x:c r="D126" t="str">
        <x:v>Matematik</x:v>
      </x:c>
      <x:c r="E126" t="str">
        <x:v>Denklem Kurma Problemleri</x:v>
      </x:c>
      <x:c r="F126" t="n">
        <x:v>25</x:v>
      </x:c>
      <x:c r="G126" t="n">
        <x:v>20</x:v>
      </x:c>
      <x:c r="H126"/>
      <x:c r="I126"/>
      <x:c r="J126"/>
      <x:c r="K126" s="18"/>
      <x:c r="L126" s="20" t="str">
        <x:f>IF(OR(K126="",G126=0),"",K126*86400/G126)</x:f>
      </x:c>
      <x:c r="M126" s="22" t="str">
        <x:f>IF(SUM(H126:J126)=0,"",H126/SUM(H126:J126))</x:f>
      </x:c>
      <x:c r="N126" t="n">
        <x:v>5</x:v>
      </x:c>
      <x:c r="O126" t="str">
        <x:f>IF(SUM(H126:J126)=0,"",SUM(H126:J126)+IF(N126="",0,N126))</x:f>
      </x:c>
      <x:c r="P126" t="str"/>
    </x:row>
    <x:row r="127">
      <x:c r="A127" s="12" t="n">
        <x:v>46358</x:v>
      </x:c>
      <x:c r="B127" t="n">
        <x:v>63</x:v>
      </x:c>
      <x:c r="C127" t="str">
        <x:v>Çarşamba</x:v>
      </x:c>
      <x:c r="D127" t="str">
        <x:v>Paragraf</x:v>
      </x:c>
      <x:c r="E127" t="str">
        <x:v>Paragraf</x:v>
      </x:c>
      <x:c r="F127" t="n">
        <x:v>25</x:v>
      </x:c>
      <x:c r="G127" t="n">
        <x:v>20</x:v>
      </x:c>
      <x:c r="H127"/>
      <x:c r="I127"/>
      <x:c r="J127"/>
      <x:c r="K127" s="18"/>
      <x:c r="L127" s="20" t="str">
        <x:f>IF(OR(K127="",G127=0),"",K127*86400/G127)</x:f>
      </x:c>
      <x:c r="M127" s="22" t="str">
        <x:f>IF(SUM(H127:J127)=0,"",H127/SUM(H127:J127))</x:f>
      </x:c>
      <x:c r="N127" t="n">
        <x:v>5</x:v>
      </x:c>
      <x:c r="O127" t="str">
        <x:f>IF(SUM(H127:J127)=0,"",SUM(H127:J127)+IF(N127="",0,N127))</x:f>
      </x:c>
      <x:c r="P127" t="str"/>
    </x:row>
    <x:row r="128">
      <x:c r="A128" s="12" t="n">
        <x:v>46359</x:v>
      </x:c>
      <x:c r="B128" t="n">
        <x:v>64</x:v>
      </x:c>
      <x:c r="C128" t="str">
        <x:v>Perşembe</x:v>
      </x:c>
      <x:c r="D128" t="str">
        <x:v>Matematik</x:v>
      </x:c>
      <x:c r="E128" t="str">
        <x:v>Denklem Kurma Problemleri</x:v>
      </x:c>
      <x:c r="F128" t="n">
        <x:v>25</x:v>
      </x:c>
      <x:c r="G128" t="n">
        <x:v>20</x:v>
      </x:c>
      <x:c r="H128"/>
      <x:c r="I128"/>
      <x:c r="J128"/>
      <x:c r="K128" s="18"/>
      <x:c r="L128" s="20" t="str">
        <x:f>IF(OR(K128="",G128=0),"",K128*86400/G128)</x:f>
      </x:c>
      <x:c r="M128" s="22" t="str">
        <x:f>IF(SUM(H128:J128)=0,"",H128/SUM(H128:J128))</x:f>
      </x:c>
      <x:c r="N128" t="n">
        <x:v>5</x:v>
      </x:c>
      <x:c r="O128" t="str">
        <x:f>IF(SUM(H128:J128)=0,"",SUM(H128:J128)+IF(N128="",0,N128))</x:f>
      </x:c>
      <x:c r="P128" t="str"/>
    </x:row>
    <x:row r="129">
      <x:c r="A129" s="12" t="n">
        <x:v>46359</x:v>
      </x:c>
      <x:c r="B129" t="n">
        <x:v>64</x:v>
      </x:c>
      <x:c r="C129" t="str">
        <x:v>Perşembe</x:v>
      </x:c>
      <x:c r="D129" t="str">
        <x:v>Paragraf</x:v>
      </x:c>
      <x:c r="E129" t="str">
        <x:v>Paragraf</x:v>
      </x:c>
      <x:c r="F129" t="n">
        <x:v>25</x:v>
      </x:c>
      <x:c r="G129" t="n">
        <x:v>20</x:v>
      </x:c>
      <x:c r="H129"/>
      <x:c r="I129"/>
      <x:c r="J129"/>
      <x:c r="K129" s="18"/>
      <x:c r="L129" s="20" t="str">
        <x:f>IF(OR(K129="",G129=0),"",K129*86400/G129)</x:f>
      </x:c>
      <x:c r="M129" s="22" t="str">
        <x:f>IF(SUM(H129:J129)=0,"",H129/SUM(H129:J129))</x:f>
      </x:c>
      <x:c r="N129" t="n">
        <x:v>5</x:v>
      </x:c>
      <x:c r="O129" t="str">
        <x:f>IF(SUM(H129:J129)=0,"",SUM(H129:J129)+IF(N129="",0,N129))</x:f>
      </x:c>
      <x:c r="P129" t="str"/>
    </x:row>
    <x:row r="130">
      <x:c r="A130" s="12" t="n">
        <x:v>46360</x:v>
      </x:c>
      <x:c r="B130" t="n">
        <x:v>65</x:v>
      </x:c>
      <x:c r="C130" t="str">
        <x:v>Cuma</x:v>
      </x:c>
      <x:c r="D130" t="str">
        <x:v>Matematik</x:v>
      </x:c>
      <x:c r="E130" t="str">
        <x:v>Denklem Kurma Problemleri</x:v>
      </x:c>
      <x:c r="F130" t="n">
        <x:v>25</x:v>
      </x:c>
      <x:c r="G130" t="n">
        <x:v>20</x:v>
      </x:c>
      <x:c r="H130"/>
      <x:c r="I130"/>
      <x:c r="J130"/>
      <x:c r="K130" s="18"/>
      <x:c r="L130" s="20" t="str">
        <x:f>IF(OR(K130="",G130=0),"",K130*86400/G130)</x:f>
      </x:c>
      <x:c r="M130" s="22" t="str">
        <x:f>IF(SUM(H130:J130)=0,"",H130/SUM(H130:J130))</x:f>
      </x:c>
      <x:c r="N130" t="n">
        <x:v>5</x:v>
      </x:c>
      <x:c r="O130" t="str">
        <x:f>IF(SUM(H130:J130)=0,"",SUM(H130:J130)+IF(N130="",0,N130))</x:f>
      </x:c>
      <x:c r="P130" t="str"/>
    </x:row>
    <x:row r="131">
      <x:c r="A131" s="12" t="n">
        <x:v>46360</x:v>
      </x:c>
      <x:c r="B131" t="n">
        <x:v>65</x:v>
      </x:c>
      <x:c r="C131" t="str">
        <x:v>Cuma</x:v>
      </x:c>
      <x:c r="D131" t="str">
        <x:v>Paragraf</x:v>
      </x:c>
      <x:c r="E131" t="str">
        <x:v>Paragraf</x:v>
      </x:c>
      <x:c r="F131" t="n">
        <x:v>25</x:v>
      </x:c>
      <x:c r="G131" t="n">
        <x:v>20</x:v>
      </x:c>
      <x:c r="H131"/>
      <x:c r="I131"/>
      <x:c r="J131"/>
      <x:c r="K131" s="18"/>
      <x:c r="L131" s="20" t="str">
        <x:f>IF(OR(K131="",G131=0),"",K131*86400/G131)</x:f>
      </x:c>
      <x:c r="M131" s="22" t="str">
        <x:f>IF(SUM(H131:J131)=0,"",H131/SUM(H131:J131))</x:f>
      </x:c>
      <x:c r="N131" t="n">
        <x:v>5</x:v>
      </x:c>
      <x:c r="O131" t="str">
        <x:f>IF(SUM(H131:J131)=0,"",SUM(H131:J131)+IF(N131="",0,N131))</x:f>
      </x:c>
      <x:c r="P131" t="str"/>
    </x:row>
    <x:row r="132">
      <x:c r="A132" s="12" t="n">
        <x:v>46361</x:v>
      </x:c>
      <x:c r="B132" t="n">
        <x:v>66</x:v>
      </x:c>
      <x:c r="C132" t="str">
        <x:v>Cumartesi</x:v>
      </x:c>
      <x:c r="D132" t="str">
        <x:v>Matematik</x:v>
      </x:c>
      <x:c r="E132" t="str">
        <x:v>Yüzde ve Temel Problem Çeşitleri</x:v>
      </x:c>
      <x:c r="F132" t="n">
        <x:v>25</x:v>
      </x:c>
      <x:c r="G132" t="n">
        <x:v>20</x:v>
      </x:c>
      <x:c r="H132"/>
      <x:c r="I132"/>
      <x:c r="J132"/>
      <x:c r="K132" s="18"/>
      <x:c r="L132" s="20" t="str">
        <x:f>IF(OR(K132="",G132=0),"",K132*86400/G132)</x:f>
      </x:c>
      <x:c r="M132" s="22" t="str">
        <x:f>IF(SUM(H132:J132)=0,"",H132/SUM(H132:J132))</x:f>
      </x:c>
      <x:c r="N132" t="n">
        <x:v>5</x:v>
      </x:c>
      <x:c r="O132" t="str">
        <x:f>IF(SUM(H132:J132)=0,"",SUM(H132:J132)+IF(N132="",0,N132))</x:f>
      </x:c>
      <x:c r="P132" t="str"/>
    </x:row>
    <x:row r="133">
      <x:c r="A133" s="12" t="n">
        <x:v>46361</x:v>
      </x:c>
      <x:c r="B133" t="n">
        <x:v>66</x:v>
      </x:c>
      <x:c r="C133" t="str">
        <x:v>Cumartesi</x:v>
      </x:c>
      <x:c r="D133" t="str">
        <x:v>Paragraf</x:v>
      </x:c>
      <x:c r="E133" t="str">
        <x:v>Paragraf</x:v>
      </x:c>
      <x:c r="F133" t="n">
        <x:v>25</x:v>
      </x:c>
      <x:c r="G133" t="n">
        <x:v>20</x:v>
      </x:c>
      <x:c r="H133"/>
      <x:c r="I133"/>
      <x:c r="J133"/>
      <x:c r="K133" s="18"/>
      <x:c r="L133" s="20" t="str">
        <x:f>IF(OR(K133="",G133=0),"",K133*86400/G133)</x:f>
      </x:c>
      <x:c r="M133" s="22" t="str">
        <x:f>IF(SUM(H133:J133)=0,"",H133/SUM(H133:J133))</x:f>
      </x:c>
      <x:c r="N133" t="n">
        <x:v>5</x:v>
      </x:c>
      <x:c r="O133" t="str">
        <x:f>IF(SUM(H133:J133)=0,"",SUM(H133:J133)+IF(N133="",0,N133))</x:f>
      </x:c>
      <x:c r="P133" t="str"/>
    </x:row>
    <x:row r="134">
      <x:c r="A134" s="12" t="n">
        <x:v>46362</x:v>
      </x:c>
      <x:c r="B134" t="n">
        <x:v>67</x:v>
      </x:c>
      <x:c r="C134" t="str">
        <x:v>Pazar</x:v>
      </x:c>
      <x:c r="D134" t="str">
        <x:v>Matematik</x:v>
      </x:c>
      <x:c r="E134" t="str">
        <x:v>Yüzde ve Temel Problem Çeşitleri</x:v>
      </x:c>
      <x:c r="F134" t="n">
        <x:v>25</x:v>
      </x:c>
      <x:c r="G134" t="n">
        <x:v>20</x:v>
      </x:c>
      <x:c r="H134"/>
      <x:c r="I134"/>
      <x:c r="J134"/>
      <x:c r="K134" s="18"/>
      <x:c r="L134" s="20" t="str">
        <x:f>IF(OR(K134="",G134=0),"",K134*86400/G134)</x:f>
      </x:c>
      <x:c r="M134" s="22" t="str">
        <x:f>IF(SUM(H134:J134)=0,"",H134/SUM(H134:J134))</x:f>
      </x:c>
      <x:c r="N134" t="n">
        <x:v>5</x:v>
      </x:c>
      <x:c r="O134" t="str">
        <x:f>IF(SUM(H134:J134)=0,"",SUM(H134:J134)+IF(N134="",0,N134))</x:f>
      </x:c>
      <x:c r="P134" t="str"/>
    </x:row>
    <x:row r="135">
      <x:c r="A135" s="12" t="n">
        <x:v>46362</x:v>
      </x:c>
      <x:c r="B135" t="n">
        <x:v>67</x:v>
      </x:c>
      <x:c r="C135" t="str">
        <x:v>Pazar</x:v>
      </x:c>
      <x:c r="D135" t="str">
        <x:v>Paragraf</x:v>
      </x:c>
      <x:c r="E135" t="str">
        <x:v>Paragraf</x:v>
      </x:c>
      <x:c r="F135" t="n">
        <x:v>25</x:v>
      </x:c>
      <x:c r="G135" t="n">
        <x:v>20</x:v>
      </x:c>
      <x:c r="H135"/>
      <x:c r="I135"/>
      <x:c r="J135"/>
      <x:c r="K135" s="18"/>
      <x:c r="L135" s="20" t="str">
        <x:f>IF(OR(K135="",G135=0),"",K135*86400/G135)</x:f>
      </x:c>
      <x:c r="M135" s="22" t="str">
        <x:f>IF(SUM(H135:J135)=0,"",H135/SUM(H135:J135))</x:f>
      </x:c>
      <x:c r="N135" t="n">
        <x:v>5</x:v>
      </x:c>
      <x:c r="O135" t="str">
        <x:f>IF(SUM(H135:J135)=0,"",SUM(H135:J135)+IF(N135="",0,N135))</x:f>
      </x:c>
      <x:c r="P135" t="str"/>
    </x:row>
    <x:row r="136">
      <x:c r="A136" s="12" t="n">
        <x:v>46363</x:v>
      </x:c>
      <x:c r="B136" t="n">
        <x:v>68</x:v>
      </x:c>
      <x:c r="C136" t="str">
        <x:v>Pazartesi</x:v>
      </x:c>
      <x:c r="D136" t="str">
        <x:v>Matematik</x:v>
      </x:c>
      <x:c r="E136" t="str">
        <x:v>Yüzde ve Temel Problem Çeşitleri</x:v>
      </x:c>
      <x:c r="F136" t="n">
        <x:v>25</x:v>
      </x:c>
      <x:c r="G136" t="n">
        <x:v>20</x:v>
      </x:c>
      <x:c r="H136"/>
      <x:c r="I136"/>
      <x:c r="J136"/>
      <x:c r="K136" s="18"/>
      <x:c r="L136" s="20" t="str">
        <x:f>IF(OR(K136="",G136=0),"",K136*86400/G136)</x:f>
      </x:c>
      <x:c r="M136" s="22" t="str">
        <x:f>IF(SUM(H136:J136)=0,"",H136/SUM(H136:J136))</x:f>
      </x:c>
      <x:c r="N136" t="n">
        <x:v>5</x:v>
      </x:c>
      <x:c r="O136" t="str">
        <x:f>IF(SUM(H136:J136)=0,"",SUM(H136:J136)+IF(N136="",0,N136))</x:f>
      </x:c>
      <x:c r="P136" t="str"/>
    </x:row>
    <x:row r="137">
      <x:c r="A137" s="12" t="n">
        <x:v>46363</x:v>
      </x:c>
      <x:c r="B137" t="n">
        <x:v>68</x:v>
      </x:c>
      <x:c r="C137" t="str">
        <x:v>Pazartesi</x:v>
      </x:c>
      <x:c r="D137" t="str">
        <x:v>Paragraf</x:v>
      </x:c>
      <x:c r="E137" t="str">
        <x:v>Paragraf</x:v>
      </x:c>
      <x:c r="F137" t="n">
        <x:v>25</x:v>
      </x:c>
      <x:c r="G137" t="n">
        <x:v>20</x:v>
      </x:c>
      <x:c r="H137"/>
      <x:c r="I137"/>
      <x:c r="J137"/>
      <x:c r="K137" s="18"/>
      <x:c r="L137" s="20" t="str">
        <x:f>IF(OR(K137="",G137=0),"",K137*86400/G137)</x:f>
      </x:c>
      <x:c r="M137" s="22" t="str">
        <x:f>IF(SUM(H137:J137)=0,"",H137/SUM(H137:J137))</x:f>
      </x:c>
      <x:c r="N137" t="n">
        <x:v>5</x:v>
      </x:c>
      <x:c r="O137" t="str">
        <x:f>IF(SUM(H137:J137)=0,"",SUM(H137:J137)+IF(N137="",0,N137))</x:f>
      </x:c>
      <x:c r="P137" t="str"/>
    </x:row>
    <x:row r="138">
      <x:c r="A138" s="12" t="n">
        <x:v>46364</x:v>
      </x:c>
      <x:c r="B138" t="n">
        <x:v>69</x:v>
      </x:c>
      <x:c r="C138" t="str">
        <x:v>Salı</x:v>
      </x:c>
      <x:c r="D138" t="str">
        <x:v>Matematik</x:v>
      </x:c>
      <x:c r="E138" t="str">
        <x:v>Yüzde ve Temel Problem Çeşitleri</x:v>
      </x:c>
      <x:c r="F138" t="n">
        <x:v>25</x:v>
      </x:c>
      <x:c r="G138" t="n">
        <x:v>20</x:v>
      </x:c>
      <x:c r="H138"/>
      <x:c r="I138"/>
      <x:c r="J138"/>
      <x:c r="K138" s="18"/>
      <x:c r="L138" s="20" t="str">
        <x:f>IF(OR(K138="",G138=0),"",K138*86400/G138)</x:f>
      </x:c>
      <x:c r="M138" s="22" t="str">
        <x:f>IF(SUM(H138:J138)=0,"",H138/SUM(H138:J138))</x:f>
      </x:c>
      <x:c r="N138" t="n">
        <x:v>5</x:v>
      </x:c>
      <x:c r="O138" t="str">
        <x:f>IF(SUM(H138:J138)=0,"",SUM(H138:J138)+IF(N138="",0,N138))</x:f>
      </x:c>
      <x:c r="P138" t="str"/>
    </x:row>
    <x:row r="139">
      <x:c r="A139" s="12" t="n">
        <x:v>46364</x:v>
      </x:c>
      <x:c r="B139" t="n">
        <x:v>69</x:v>
      </x:c>
      <x:c r="C139" t="str">
        <x:v>Salı</x:v>
      </x:c>
      <x:c r="D139" t="str">
        <x:v>Paragraf</x:v>
      </x:c>
      <x:c r="E139" t="str">
        <x:v>Paragraf</x:v>
      </x:c>
      <x:c r="F139" t="n">
        <x:v>25</x:v>
      </x:c>
      <x:c r="G139" t="n">
        <x:v>20</x:v>
      </x:c>
      <x:c r="H139"/>
      <x:c r="I139"/>
      <x:c r="J139"/>
      <x:c r="K139" s="18"/>
      <x:c r="L139" s="20" t="str">
        <x:f>IF(OR(K139="",G139=0),"",K139*86400/G139)</x:f>
      </x:c>
      <x:c r="M139" s="22" t="str">
        <x:f>IF(SUM(H139:J139)=0,"",H139/SUM(H139:J139))</x:f>
      </x:c>
      <x:c r="N139" t="n">
        <x:v>5</x:v>
      </x:c>
      <x:c r="O139" t="str">
        <x:f>IF(SUM(H139:J139)=0,"",SUM(H139:J139)+IF(N139="",0,N139))</x:f>
      </x:c>
      <x:c r="P139" t="str"/>
    </x:row>
    <x:row r="140">
      <x:c r="A140" s="12" t="n">
        <x:v>46365</x:v>
      </x:c>
      <x:c r="B140" t="n">
        <x:v>70</x:v>
      </x:c>
      <x:c r="C140" t="str">
        <x:v>Çarşamba</x:v>
      </x:c>
      <x:c r="D140" t="str">
        <x:v>Matematik</x:v>
      </x:c>
      <x:c r="E140" t="str">
        <x:v>Yüzde ve Temel Problem Çeşitleri</x:v>
      </x:c>
      <x:c r="F140" t="n">
        <x:v>25</x:v>
      </x:c>
      <x:c r="G140" t="n">
        <x:v>20</x:v>
      </x:c>
      <x:c r="H140"/>
      <x:c r="I140"/>
      <x:c r="J140"/>
      <x:c r="K140" s="18"/>
      <x:c r="L140" s="20" t="str">
        <x:f>IF(OR(K140="",G140=0),"",K140*86400/G140)</x:f>
      </x:c>
      <x:c r="M140" s="22" t="str">
        <x:f>IF(SUM(H140:J140)=0,"",H140/SUM(H140:J140))</x:f>
      </x:c>
      <x:c r="N140" t="n">
        <x:v>5</x:v>
      </x:c>
      <x:c r="O140" t="str">
        <x:f>IF(SUM(H140:J140)=0,"",SUM(H140:J140)+IF(N140="",0,N140))</x:f>
      </x:c>
      <x:c r="P140" t="str"/>
    </x:row>
    <x:row r="141">
      <x:c r="A141" s="12" t="n">
        <x:v>46365</x:v>
      </x:c>
      <x:c r="B141" t="n">
        <x:v>70</x:v>
      </x:c>
      <x:c r="C141" t="str">
        <x:v>Çarşamba</x:v>
      </x:c>
      <x:c r="D141" t="str">
        <x:v>Paragraf</x:v>
      </x:c>
      <x:c r="E141" t="str">
        <x:v>Paragraf</x:v>
      </x:c>
      <x:c r="F141" t="n">
        <x:v>25</x:v>
      </x:c>
      <x:c r="G141" t="n">
        <x:v>20</x:v>
      </x:c>
      <x:c r="H141"/>
      <x:c r="I141"/>
      <x:c r="J141"/>
      <x:c r="K141" s="18"/>
      <x:c r="L141" s="20" t="str">
        <x:f>IF(OR(K141="",G141=0),"",K141*86400/G141)</x:f>
      </x:c>
      <x:c r="M141" s="22" t="str">
        <x:f>IF(SUM(H141:J141)=0,"",H141/SUM(H141:J141))</x:f>
      </x:c>
      <x:c r="N141" t="n">
        <x:v>5</x:v>
      </x:c>
      <x:c r="O141" t="str">
        <x:f>IF(SUM(H141:J141)=0,"",SUM(H141:J141)+IF(N141="",0,N141))</x:f>
      </x:c>
      <x:c r="P141" t="str"/>
    </x:row>
    <x:row r="142">
      <x:c r="A142" s="12" t="n">
        <x:v>46366</x:v>
      </x:c>
      <x:c r="B142" t="n">
        <x:v>71</x:v>
      </x:c>
      <x:c r="C142" t="str">
        <x:v>Perşembe</x:v>
      </x:c>
      <x:c r="D142" t="str">
        <x:v>Matematik</x:v>
      </x:c>
      <x:c r="E142" t="str">
        <x:v>Çarpanlar ve Katlar</x:v>
      </x:c>
      <x:c r="F142" t="n">
        <x:v>25</x:v>
      </x:c>
      <x:c r="G142" t="n">
        <x:v>20</x:v>
      </x:c>
      <x:c r="H142"/>
      <x:c r="I142"/>
      <x:c r="J142"/>
      <x:c r="K142" s="18"/>
      <x:c r="L142" s="20" t="str">
        <x:f>IF(OR(K142="",G142=0),"",K142*86400/G142)</x:f>
      </x:c>
      <x:c r="M142" s="22" t="str">
        <x:f>IF(SUM(H142:J142)=0,"",H142/SUM(H142:J142))</x:f>
      </x:c>
      <x:c r="N142" t="n">
        <x:v>5</x:v>
      </x:c>
      <x:c r="O142" t="str">
        <x:f>IF(SUM(H142:J142)=0,"",SUM(H142:J142)+IF(N142="",0,N142))</x:f>
      </x:c>
      <x:c r="P142" t="str"/>
    </x:row>
    <x:row r="143">
      <x:c r="A143" s="12" t="n">
        <x:v>46366</x:v>
      </x:c>
      <x:c r="B143" t="n">
        <x:v>71</x:v>
      </x:c>
      <x:c r="C143" t="str">
        <x:v>Perşembe</x:v>
      </x:c>
      <x:c r="D143" t="str">
        <x:v>Paragraf</x:v>
      </x:c>
      <x:c r="E143" t="str">
        <x:v>Paragraf</x:v>
      </x:c>
      <x:c r="F143" t="n">
        <x:v>25</x:v>
      </x:c>
      <x:c r="G143" t="n">
        <x:v>20</x:v>
      </x:c>
      <x:c r="H143"/>
      <x:c r="I143"/>
      <x:c r="J143"/>
      <x:c r="K143" s="18"/>
      <x:c r="L143" s="20" t="str">
        <x:f>IF(OR(K143="",G143=0),"",K143*86400/G143)</x:f>
      </x:c>
      <x:c r="M143" s="22" t="str">
        <x:f>IF(SUM(H143:J143)=0,"",H143/SUM(H143:J143))</x:f>
      </x:c>
      <x:c r="N143" t="n">
        <x:v>5</x:v>
      </x:c>
      <x:c r="O143" t="str">
        <x:f>IF(SUM(H143:J143)=0,"",SUM(H143:J143)+IF(N143="",0,N143))</x:f>
      </x:c>
      <x:c r="P143" t="str"/>
    </x:row>
    <x:row r="144">
      <x:c r="A144" s="12" t="n">
        <x:v>46367</x:v>
      </x:c>
      <x:c r="B144" t="n">
        <x:v>72</x:v>
      </x:c>
      <x:c r="C144" t="str">
        <x:v>Cuma</x:v>
      </x:c>
      <x:c r="D144" t="str">
        <x:v>Matematik</x:v>
      </x:c>
      <x:c r="E144" t="str">
        <x:v>Çarpanlar ve Katlar</x:v>
      </x:c>
      <x:c r="F144" t="n">
        <x:v>25</x:v>
      </x:c>
      <x:c r="G144" t="n">
        <x:v>20</x:v>
      </x:c>
      <x:c r="H144"/>
      <x:c r="I144"/>
      <x:c r="J144"/>
      <x:c r="K144" s="18"/>
      <x:c r="L144" s="20" t="str">
        <x:f>IF(OR(K144="",G144=0),"",K144*86400/G144)</x:f>
      </x:c>
      <x:c r="M144" s="22" t="str">
        <x:f>IF(SUM(H144:J144)=0,"",H144/SUM(H144:J144))</x:f>
      </x:c>
      <x:c r="N144" t="n">
        <x:v>5</x:v>
      </x:c>
      <x:c r="O144" t="str">
        <x:f>IF(SUM(H144:J144)=0,"",SUM(H144:J144)+IF(N144="",0,N144))</x:f>
      </x:c>
      <x:c r="P144" t="str"/>
    </x:row>
    <x:row r="145">
      <x:c r="A145" s="12" t="n">
        <x:v>46367</x:v>
      </x:c>
      <x:c r="B145" t="n">
        <x:v>72</x:v>
      </x:c>
      <x:c r="C145" t="str">
        <x:v>Cuma</x:v>
      </x:c>
      <x:c r="D145" t="str">
        <x:v>Paragraf</x:v>
      </x:c>
      <x:c r="E145" t="str">
        <x:v>Paragraf</x:v>
      </x:c>
      <x:c r="F145" t="n">
        <x:v>25</x:v>
      </x:c>
      <x:c r="G145" t="n">
        <x:v>20</x:v>
      </x:c>
      <x:c r="H145"/>
      <x:c r="I145"/>
      <x:c r="J145"/>
      <x:c r="K145" s="18"/>
      <x:c r="L145" s="20" t="str">
        <x:f>IF(OR(K145="",G145=0),"",K145*86400/G145)</x:f>
      </x:c>
      <x:c r="M145" s="22" t="str">
        <x:f>IF(SUM(H145:J145)=0,"",H145/SUM(H145:J145))</x:f>
      </x:c>
      <x:c r="N145" t="n">
        <x:v>5</x:v>
      </x:c>
      <x:c r="O145" t="str">
        <x:f>IF(SUM(H145:J145)=0,"",SUM(H145:J145)+IF(N145="",0,N145))</x:f>
      </x:c>
      <x:c r="P145" t="str"/>
    </x:row>
    <x:row r="146">
      <x:c r="A146" s="12" t="n">
        <x:v>46368</x:v>
      </x:c>
      <x:c r="B146" t="n">
        <x:v>73</x:v>
      </x:c>
      <x:c r="C146" t="str">
        <x:v>Cumartesi</x:v>
      </x:c>
      <x:c r="D146" t="str">
        <x:v>Matematik</x:v>
      </x:c>
      <x:c r="E146" t="str">
        <x:v>Çarpanlar ve Katlar</x:v>
      </x:c>
      <x:c r="F146" t="n">
        <x:v>25</x:v>
      </x:c>
      <x:c r="G146" t="n">
        <x:v>20</x:v>
      </x:c>
      <x:c r="H146"/>
      <x:c r="I146"/>
      <x:c r="J146"/>
      <x:c r="K146" s="18"/>
      <x:c r="L146" s="20" t="str">
        <x:f>IF(OR(K146="",G146=0),"",K146*86400/G146)</x:f>
      </x:c>
      <x:c r="M146" s="22" t="str">
        <x:f>IF(SUM(H146:J146)=0,"",H146/SUM(H146:J146))</x:f>
      </x:c>
      <x:c r="N146" t="n">
        <x:v>5</x:v>
      </x:c>
      <x:c r="O146" t="str">
        <x:f>IF(SUM(H146:J146)=0,"",SUM(H146:J146)+IF(N146="",0,N146))</x:f>
      </x:c>
      <x:c r="P146" t="str"/>
    </x:row>
    <x:row r="147">
      <x:c r="A147" s="12" t="n">
        <x:v>46368</x:v>
      </x:c>
      <x:c r="B147" t="n">
        <x:v>73</x:v>
      </x:c>
      <x:c r="C147" t="str">
        <x:v>Cumartesi</x:v>
      </x:c>
      <x:c r="D147" t="str">
        <x:v>Paragraf</x:v>
      </x:c>
      <x:c r="E147" t="str">
        <x:v>Paragraf</x:v>
      </x:c>
      <x:c r="F147" t="n">
        <x:v>25</x:v>
      </x:c>
      <x:c r="G147" t="n">
        <x:v>20</x:v>
      </x:c>
      <x:c r="H147"/>
      <x:c r="I147"/>
      <x:c r="J147"/>
      <x:c r="K147" s="18"/>
      <x:c r="L147" s="20" t="str">
        <x:f>IF(OR(K147="",G147=0),"",K147*86400/G147)</x:f>
      </x:c>
      <x:c r="M147" s="22" t="str">
        <x:f>IF(SUM(H147:J147)=0,"",H147/SUM(H147:J147))</x:f>
      </x:c>
      <x:c r="N147" t="n">
        <x:v>5</x:v>
      </x:c>
      <x:c r="O147" t="str">
        <x:f>IF(SUM(H147:J147)=0,"",SUM(H147:J147)+IF(N147="",0,N147))</x:f>
      </x:c>
      <x:c r="P147" t="str"/>
    </x:row>
    <x:row r="148">
      <x:c r="A148" s="12" t="n">
        <x:v>46369</x:v>
      </x:c>
      <x:c r="B148" t="n">
        <x:v>74</x:v>
      </x:c>
      <x:c r="C148" t="str">
        <x:v>Pazar</x:v>
      </x:c>
      <x:c r="D148" t="str">
        <x:v>Matematik</x:v>
      </x:c>
      <x:c r="E148" t="str">
        <x:v>Çarpanlar ve Katlar</x:v>
      </x:c>
      <x:c r="F148" t="n">
        <x:v>25</x:v>
      </x:c>
      <x:c r="G148" t="n">
        <x:v>20</x:v>
      </x:c>
      <x:c r="H148"/>
      <x:c r="I148"/>
      <x:c r="J148"/>
      <x:c r="K148" s="18"/>
      <x:c r="L148" s="20" t="str">
        <x:f>IF(OR(K148="",G148=0),"",K148*86400/G148)</x:f>
      </x:c>
      <x:c r="M148" s="22" t="str">
        <x:f>IF(SUM(H148:J148)=0,"",H148/SUM(H148:J148))</x:f>
      </x:c>
      <x:c r="N148" t="n">
        <x:v>5</x:v>
      </x:c>
      <x:c r="O148" t="str">
        <x:f>IF(SUM(H148:J148)=0,"",SUM(H148:J148)+IF(N148="",0,N148))</x:f>
      </x:c>
      <x:c r="P148" t="str"/>
    </x:row>
    <x:row r="149">
      <x:c r="A149" s="12" t="n">
        <x:v>46369</x:v>
      </x:c>
      <x:c r="B149" t="n">
        <x:v>74</x:v>
      </x:c>
      <x:c r="C149" t="str">
        <x:v>Pazar</x:v>
      </x:c>
      <x:c r="D149" t="str">
        <x:v>Paragraf</x:v>
      </x:c>
      <x:c r="E149" t="str">
        <x:v>Paragraf</x:v>
      </x:c>
      <x:c r="F149" t="n">
        <x:v>25</x:v>
      </x:c>
      <x:c r="G149" t="n">
        <x:v>20</x:v>
      </x:c>
      <x:c r="H149"/>
      <x:c r="I149"/>
      <x:c r="J149"/>
      <x:c r="K149" s="18"/>
      <x:c r="L149" s="20" t="str">
        <x:f>IF(OR(K149="",G149=0),"",K149*86400/G149)</x:f>
      </x:c>
      <x:c r="M149" s="22" t="str">
        <x:f>IF(SUM(H149:J149)=0,"",H149/SUM(H149:J149))</x:f>
      </x:c>
      <x:c r="N149" t="n">
        <x:v>5</x:v>
      </x:c>
      <x:c r="O149" t="str">
        <x:f>IF(SUM(H149:J149)=0,"",SUM(H149:J149)+IF(N149="",0,N149))</x:f>
      </x:c>
      <x:c r="P149" t="str"/>
    </x:row>
    <x:row r="150">
      <x:c r="A150" s="12" t="n">
        <x:v>46370</x:v>
      </x:c>
      <x:c r="B150" t="n">
        <x:v>75</x:v>
      </x:c>
      <x:c r="C150" t="str">
        <x:v>Pazartesi</x:v>
      </x:c>
      <x:c r="D150" t="str">
        <x:v>Matematik</x:v>
      </x:c>
      <x:c r="E150" t="str">
        <x:v>Üslü İfadeler</x:v>
      </x:c>
      <x:c r="F150" t="n">
        <x:v>25</x:v>
      </x:c>
      <x:c r="G150" t="n">
        <x:v>20</x:v>
      </x:c>
      <x:c r="H150"/>
      <x:c r="I150"/>
      <x:c r="J150"/>
      <x:c r="K150" s="18"/>
      <x:c r="L150" s="20" t="str">
        <x:f>IF(OR(K150="",G150=0),"",K150*86400/G150)</x:f>
      </x:c>
      <x:c r="M150" s="22" t="str">
        <x:f>IF(SUM(H150:J150)=0,"",H150/SUM(H150:J150))</x:f>
      </x:c>
      <x:c r="N150" t="n">
        <x:v>5</x:v>
      </x:c>
      <x:c r="O150" t="str">
        <x:f>IF(SUM(H150:J150)=0,"",SUM(H150:J150)+IF(N150="",0,N150))</x:f>
      </x:c>
      <x:c r="P150" t="str"/>
    </x:row>
    <x:row r="151">
      <x:c r="A151" s="12" t="n">
        <x:v>46370</x:v>
      </x:c>
      <x:c r="B151" t="n">
        <x:v>75</x:v>
      </x:c>
      <x:c r="C151" t="str">
        <x:v>Pazartesi</x:v>
      </x:c>
      <x:c r="D151" t="str">
        <x:v>Paragraf</x:v>
      </x:c>
      <x:c r="E151" t="str">
        <x:v>Paragraf</x:v>
      </x:c>
      <x:c r="F151" t="n">
        <x:v>25</x:v>
      </x:c>
      <x:c r="G151" t="n">
        <x:v>20</x:v>
      </x:c>
      <x:c r="H151"/>
      <x:c r="I151"/>
      <x:c r="J151"/>
      <x:c r="K151" s="18"/>
      <x:c r="L151" s="20" t="str">
        <x:f>IF(OR(K151="",G151=0),"",K151*86400/G151)</x:f>
      </x:c>
      <x:c r="M151" s="22" t="str">
        <x:f>IF(SUM(H151:J151)=0,"",H151/SUM(H151:J151))</x:f>
      </x:c>
      <x:c r="N151" t="n">
        <x:v>5</x:v>
      </x:c>
      <x:c r="O151" t="str">
        <x:f>IF(SUM(H151:J151)=0,"",SUM(H151:J151)+IF(N151="",0,N151))</x:f>
      </x:c>
      <x:c r="P151" t="str"/>
    </x:row>
    <x:row r="152">
      <x:c r="A152" s="12" t="n">
        <x:v>46371</x:v>
      </x:c>
      <x:c r="B152" t="n">
        <x:v>76</x:v>
      </x:c>
      <x:c r="C152" t="str">
        <x:v>Salı</x:v>
      </x:c>
      <x:c r="D152" t="str">
        <x:v>Matematik</x:v>
      </x:c>
      <x:c r="E152" t="str">
        <x:v>Üslü İfadeler</x:v>
      </x:c>
      <x:c r="F152" t="n">
        <x:v>25</x:v>
      </x:c>
      <x:c r="G152" t="n">
        <x:v>20</x:v>
      </x:c>
      <x:c r="H152"/>
      <x:c r="I152"/>
      <x:c r="J152"/>
      <x:c r="K152" s="18"/>
      <x:c r="L152" s="20" t="str">
        <x:f>IF(OR(K152="",G152=0),"",K152*86400/G152)</x:f>
      </x:c>
      <x:c r="M152" s="22" t="str">
        <x:f>IF(SUM(H152:J152)=0,"",H152/SUM(H152:J152))</x:f>
      </x:c>
      <x:c r="N152" t="n">
        <x:v>5</x:v>
      </x:c>
      <x:c r="O152" t="str">
        <x:f>IF(SUM(H152:J152)=0,"",SUM(H152:J152)+IF(N152="",0,N152))</x:f>
      </x:c>
      <x:c r="P152" t="str"/>
    </x:row>
    <x:row r="153">
      <x:c r="A153" s="12" t="n">
        <x:v>46371</x:v>
      </x:c>
      <x:c r="B153" t="n">
        <x:v>76</x:v>
      </x:c>
      <x:c r="C153" t="str">
        <x:v>Salı</x:v>
      </x:c>
      <x:c r="D153" t="str">
        <x:v>Paragraf</x:v>
      </x:c>
      <x:c r="E153" t="str">
        <x:v>Paragraf</x:v>
      </x:c>
      <x:c r="F153" t="n">
        <x:v>25</x:v>
      </x:c>
      <x:c r="G153" t="n">
        <x:v>20</x:v>
      </x:c>
      <x:c r="H153"/>
      <x:c r="I153"/>
      <x:c r="J153"/>
      <x:c r="K153" s="18"/>
      <x:c r="L153" s="20" t="str">
        <x:f>IF(OR(K153="",G153=0),"",K153*86400/G153)</x:f>
      </x:c>
      <x:c r="M153" s="22" t="str">
        <x:f>IF(SUM(H153:J153)=0,"",H153/SUM(H153:J153))</x:f>
      </x:c>
      <x:c r="N153" t="n">
        <x:v>5</x:v>
      </x:c>
      <x:c r="O153" t="str">
        <x:f>IF(SUM(H153:J153)=0,"",SUM(H153:J153)+IF(N153="",0,N153))</x:f>
      </x:c>
      <x:c r="P153" t="str"/>
    </x:row>
    <x:row r="154">
      <x:c r="A154" s="12" t="n">
        <x:v>46372</x:v>
      </x:c>
      <x:c r="B154" t="n">
        <x:v>77</x:v>
      </x:c>
      <x:c r="C154" t="str">
        <x:v>Çarşamba</x:v>
      </x:c>
      <x:c r="D154" t="str">
        <x:v>Matematik</x:v>
      </x:c>
      <x:c r="E154" t="str">
        <x:v>Üslü İfadeler</x:v>
      </x:c>
      <x:c r="F154" t="n">
        <x:v>25</x:v>
      </x:c>
      <x:c r="G154" t="n">
        <x:v>20</x:v>
      </x:c>
      <x:c r="H154"/>
      <x:c r="I154"/>
      <x:c r="J154"/>
      <x:c r="K154" s="18"/>
      <x:c r="L154" s="20" t="str">
        <x:f>IF(OR(K154="",G154=0),"",K154*86400/G154)</x:f>
      </x:c>
      <x:c r="M154" s="22" t="str">
        <x:f>IF(SUM(H154:J154)=0,"",H154/SUM(H154:J154))</x:f>
      </x:c>
      <x:c r="N154" t="n">
        <x:v>5</x:v>
      </x:c>
      <x:c r="O154" t="str">
        <x:f>IF(SUM(H154:J154)=0,"",SUM(H154:J154)+IF(N154="",0,N154))</x:f>
      </x:c>
      <x:c r="P154" t="str"/>
    </x:row>
    <x:row r="155">
      <x:c r="A155" s="12" t="n">
        <x:v>46372</x:v>
      </x:c>
      <x:c r="B155" t="n">
        <x:v>77</x:v>
      </x:c>
      <x:c r="C155" t="str">
        <x:v>Çarşamba</x:v>
      </x:c>
      <x:c r="D155" t="str">
        <x:v>Paragraf</x:v>
      </x:c>
      <x:c r="E155" t="str">
        <x:v>Paragraf</x:v>
      </x:c>
      <x:c r="F155" t="n">
        <x:v>25</x:v>
      </x:c>
      <x:c r="G155" t="n">
        <x:v>20</x:v>
      </x:c>
      <x:c r="H155"/>
      <x:c r="I155"/>
      <x:c r="J155"/>
      <x:c r="K155" s="18"/>
      <x:c r="L155" s="20" t="str">
        <x:f>IF(OR(K155="",G155=0),"",K155*86400/G155)</x:f>
      </x:c>
      <x:c r="M155" s="22" t="str">
        <x:f>IF(SUM(H155:J155)=0,"",H155/SUM(H155:J155))</x:f>
      </x:c>
      <x:c r="N155" t="n">
        <x:v>5</x:v>
      </x:c>
      <x:c r="O155" t="str">
        <x:f>IF(SUM(H155:J155)=0,"",SUM(H155:J155)+IF(N155="",0,N155))</x:f>
      </x:c>
      <x:c r="P155" t="str"/>
    </x:row>
    <x:row r="156">
      <x:c r="A156" s="12" t="n">
        <x:v>46373</x:v>
      </x:c>
      <x:c r="B156" t="n">
        <x:v>78</x:v>
      </x:c>
      <x:c r="C156" t="str">
        <x:v>Perşembe</x:v>
      </x:c>
      <x:c r="D156" t="str">
        <x:v>Matematik</x:v>
      </x:c>
      <x:c r="E156" t="str">
        <x:v>Üslü İfadeler</x:v>
      </x:c>
      <x:c r="F156" t="n">
        <x:v>25</x:v>
      </x:c>
      <x:c r="G156" t="n">
        <x:v>20</x:v>
      </x:c>
      <x:c r="H156"/>
      <x:c r="I156"/>
      <x:c r="J156"/>
      <x:c r="K156" s="18"/>
      <x:c r="L156" s="20" t="str">
        <x:f>IF(OR(K156="",G156=0),"",K156*86400/G156)</x:f>
      </x:c>
      <x:c r="M156" s="22" t="str">
        <x:f>IF(SUM(H156:J156)=0,"",H156/SUM(H156:J156))</x:f>
      </x:c>
      <x:c r="N156" t="n">
        <x:v>5</x:v>
      </x:c>
      <x:c r="O156" t="str">
        <x:f>IF(SUM(H156:J156)=0,"",SUM(H156:J156)+IF(N156="",0,N156))</x:f>
      </x:c>
      <x:c r="P156" t="str"/>
    </x:row>
    <x:row r="157">
      <x:c r="A157" s="12" t="n">
        <x:v>46373</x:v>
      </x:c>
      <x:c r="B157" t="n">
        <x:v>78</x:v>
      </x:c>
      <x:c r="C157" t="str">
        <x:v>Perşembe</x:v>
      </x:c>
      <x:c r="D157" t="str">
        <x:v>Paragraf</x:v>
      </x:c>
      <x:c r="E157" t="str">
        <x:v>Paragraf</x:v>
      </x:c>
      <x:c r="F157" t="n">
        <x:v>25</x:v>
      </x:c>
      <x:c r="G157" t="n">
        <x:v>20</x:v>
      </x:c>
      <x:c r="H157"/>
      <x:c r="I157"/>
      <x:c r="J157"/>
      <x:c r="K157" s="18"/>
      <x:c r="L157" s="20" t="str">
        <x:f>IF(OR(K157="",G157=0),"",K157*86400/G157)</x:f>
      </x:c>
      <x:c r="M157" s="22" t="str">
        <x:f>IF(SUM(H157:J157)=0,"",H157/SUM(H157:J157))</x:f>
      </x:c>
      <x:c r="N157" t="n">
        <x:v>5</x:v>
      </x:c>
      <x:c r="O157" t="str">
        <x:f>IF(SUM(H157:J157)=0,"",SUM(H157:J157)+IF(N157="",0,N157))</x:f>
      </x:c>
      <x:c r="P157" t="str"/>
    </x:row>
    <x:row r="158">
      <x:c r="A158" s="12" t="n">
        <x:v>46374</x:v>
      </x:c>
      <x:c r="B158" t="n">
        <x:v>79</x:v>
      </x:c>
      <x:c r="C158" t="str">
        <x:v>Cuma</x:v>
      </x:c>
      <x:c r="D158" t="str">
        <x:v>Matematik</x:v>
      </x:c>
      <x:c r="E158" t="str">
        <x:v>Kareköklü İfadeler</x:v>
      </x:c>
      <x:c r="F158" t="n">
        <x:v>25</x:v>
      </x:c>
      <x:c r="G158" t="n">
        <x:v>20</x:v>
      </x:c>
      <x:c r="H158"/>
      <x:c r="I158"/>
      <x:c r="J158"/>
      <x:c r="K158" s="18"/>
      <x:c r="L158" s="20" t="str">
        <x:f>IF(OR(K158="",G158=0),"",K158*86400/G158)</x:f>
      </x:c>
      <x:c r="M158" s="22" t="str">
        <x:f>IF(SUM(H158:J158)=0,"",H158/SUM(H158:J158))</x:f>
      </x:c>
      <x:c r="N158" t="n">
        <x:v>5</x:v>
      </x:c>
      <x:c r="O158" t="str">
        <x:f>IF(SUM(H158:J158)=0,"",SUM(H158:J158)+IF(N158="",0,N158))</x:f>
      </x:c>
      <x:c r="P158" t="str"/>
    </x:row>
    <x:row r="159">
      <x:c r="A159" s="12" t="n">
        <x:v>46374</x:v>
      </x:c>
      <x:c r="B159" t="n">
        <x:v>79</x:v>
      </x:c>
      <x:c r="C159" t="str">
        <x:v>Cuma</x:v>
      </x:c>
      <x:c r="D159" t="str">
        <x:v>Paragraf</x:v>
      </x:c>
      <x:c r="E159" t="str">
        <x:v>Paragraf</x:v>
      </x:c>
      <x:c r="F159" t="n">
        <x:v>25</x:v>
      </x:c>
      <x:c r="G159" t="n">
        <x:v>20</x:v>
      </x:c>
      <x:c r="H159"/>
      <x:c r="I159"/>
      <x:c r="J159"/>
      <x:c r="K159" s="18"/>
      <x:c r="L159" s="20" t="str">
        <x:f>IF(OR(K159="",G159=0),"",K159*86400/G159)</x:f>
      </x:c>
      <x:c r="M159" s="22" t="str">
        <x:f>IF(SUM(H159:J159)=0,"",H159/SUM(H159:J159))</x:f>
      </x:c>
      <x:c r="N159" t="n">
        <x:v>5</x:v>
      </x:c>
      <x:c r="O159" t="str">
        <x:f>IF(SUM(H159:J159)=0,"",SUM(H159:J159)+IF(N159="",0,N159))</x:f>
      </x:c>
      <x:c r="P159" t="str"/>
    </x:row>
    <x:row r="160">
      <x:c r="A160" s="12" t="n">
        <x:v>46375</x:v>
      </x:c>
      <x:c r="B160" t="n">
        <x:v>80</x:v>
      </x:c>
      <x:c r="C160" t="str">
        <x:v>Cumartesi</x:v>
      </x:c>
      <x:c r="D160" t="str">
        <x:v>Matematik</x:v>
      </x:c>
      <x:c r="E160" t="str">
        <x:v>Kareköklü İfadeler</x:v>
      </x:c>
      <x:c r="F160" t="n">
        <x:v>25</x:v>
      </x:c>
      <x:c r="G160" t="n">
        <x:v>20</x:v>
      </x:c>
      <x:c r="H160"/>
      <x:c r="I160"/>
      <x:c r="J160"/>
      <x:c r="K160" s="18"/>
      <x:c r="L160" s="20" t="str">
        <x:f>IF(OR(K160="",G160=0),"",K160*86400/G160)</x:f>
      </x:c>
      <x:c r="M160" s="22" t="str">
        <x:f>IF(SUM(H160:J160)=0,"",H160/SUM(H160:J160))</x:f>
      </x:c>
      <x:c r="N160" t="n">
        <x:v>5</x:v>
      </x:c>
      <x:c r="O160" t="str">
        <x:f>IF(SUM(H160:J160)=0,"",SUM(H160:J160)+IF(N160="",0,N160))</x:f>
      </x:c>
      <x:c r="P160" t="str"/>
    </x:row>
    <x:row r="161">
      <x:c r="A161" s="12" t="n">
        <x:v>46375</x:v>
      </x:c>
      <x:c r="B161" t="n">
        <x:v>80</x:v>
      </x:c>
      <x:c r="C161" t="str">
        <x:v>Cumartesi</x:v>
      </x:c>
      <x:c r="D161" t="str">
        <x:v>Paragraf</x:v>
      </x:c>
      <x:c r="E161" t="str">
        <x:v>Paragraf</x:v>
      </x:c>
      <x:c r="F161" t="n">
        <x:v>25</x:v>
      </x:c>
      <x:c r="G161" t="n">
        <x:v>20</x:v>
      </x:c>
      <x:c r="H161"/>
      <x:c r="I161"/>
      <x:c r="J161"/>
      <x:c r="K161" s="18"/>
      <x:c r="L161" s="20" t="str">
        <x:f>IF(OR(K161="",G161=0),"",K161*86400/G161)</x:f>
      </x:c>
      <x:c r="M161" s="22" t="str">
        <x:f>IF(SUM(H161:J161)=0,"",H161/SUM(H161:J161))</x:f>
      </x:c>
      <x:c r="N161" t="n">
        <x:v>5</x:v>
      </x:c>
      <x:c r="O161" t="str">
        <x:f>IF(SUM(H161:J161)=0,"",SUM(H161:J161)+IF(N161="",0,N161))</x:f>
      </x:c>
      <x:c r="P161" t="str"/>
    </x:row>
    <x:row r="162">
      <x:c r="A162" s="12" t="n">
        <x:v>46376</x:v>
      </x:c>
      <x:c r="B162" t="n">
        <x:v>81</x:v>
      </x:c>
      <x:c r="C162" t="str">
        <x:v>Pazar</x:v>
      </x:c>
      <x:c r="D162" t="str">
        <x:v>Matematik</x:v>
      </x:c>
      <x:c r="E162" t="str">
        <x:v>Kareköklü İfadeler</x:v>
      </x:c>
      <x:c r="F162" t="n">
        <x:v>25</x:v>
      </x:c>
      <x:c r="G162" t="n">
        <x:v>20</x:v>
      </x:c>
      <x:c r="H162"/>
      <x:c r="I162"/>
      <x:c r="J162"/>
      <x:c r="K162" s="18"/>
      <x:c r="L162" s="20" t="str">
        <x:f>IF(OR(K162="",G162=0),"",K162*86400/G162)</x:f>
      </x:c>
      <x:c r="M162" s="22" t="str">
        <x:f>IF(SUM(H162:J162)=0,"",H162/SUM(H162:J162))</x:f>
      </x:c>
      <x:c r="N162" t="n">
        <x:v>5</x:v>
      </x:c>
      <x:c r="O162" t="str">
        <x:f>IF(SUM(H162:J162)=0,"",SUM(H162:J162)+IF(N162="",0,N162))</x:f>
      </x:c>
      <x:c r="P162" t="str"/>
    </x:row>
    <x:row r="163">
      <x:c r="A163" s="12" t="n">
        <x:v>46376</x:v>
      </x:c>
      <x:c r="B163" t="n">
        <x:v>81</x:v>
      </x:c>
      <x:c r="C163" t="str">
        <x:v>Pazar</x:v>
      </x:c>
      <x:c r="D163" t="str">
        <x:v>Paragraf</x:v>
      </x:c>
      <x:c r="E163" t="str">
        <x:v>Paragraf</x:v>
      </x:c>
      <x:c r="F163" t="n">
        <x:v>25</x:v>
      </x:c>
      <x:c r="G163" t="n">
        <x:v>20</x:v>
      </x:c>
      <x:c r="H163"/>
      <x:c r="I163"/>
      <x:c r="J163"/>
      <x:c r="K163" s="18"/>
      <x:c r="L163" s="20" t="str">
        <x:f>IF(OR(K163="",G163=0),"",K163*86400/G163)</x:f>
      </x:c>
      <x:c r="M163" s="22" t="str">
        <x:f>IF(SUM(H163:J163)=0,"",H163/SUM(H163:J163))</x:f>
      </x:c>
      <x:c r="N163" t="n">
        <x:v>5</x:v>
      </x:c>
      <x:c r="O163" t="str">
        <x:f>IF(SUM(H163:J163)=0,"",SUM(H163:J163)+IF(N163="",0,N163))</x:f>
      </x:c>
      <x:c r="P163" t="str"/>
    </x:row>
    <x:row r="164">
      <x:c r="A164" s="12" t="n">
        <x:v>46377</x:v>
      </x:c>
      <x:c r="B164" t="n">
        <x:v>82</x:v>
      </x:c>
      <x:c r="C164" t="str">
        <x:v>Pazartesi</x:v>
      </x:c>
      <x:c r="D164" t="str">
        <x:v>Matematik</x:v>
      </x:c>
      <x:c r="E164" t="str">
        <x:v>Kareköklü İfadeler</x:v>
      </x:c>
      <x:c r="F164" t="n">
        <x:v>25</x:v>
      </x:c>
      <x:c r="G164" t="n">
        <x:v>20</x:v>
      </x:c>
      <x:c r="H164"/>
      <x:c r="I164"/>
      <x:c r="J164"/>
      <x:c r="K164" s="18"/>
      <x:c r="L164" s="20" t="str">
        <x:f>IF(OR(K164="",G164=0),"",K164*86400/G164)</x:f>
      </x:c>
      <x:c r="M164" s="22" t="str">
        <x:f>IF(SUM(H164:J164)=0,"",H164/SUM(H164:J164))</x:f>
      </x:c>
      <x:c r="N164" t="n">
        <x:v>5</x:v>
      </x:c>
      <x:c r="O164" t="str">
        <x:f>IF(SUM(H164:J164)=0,"",SUM(H164:J164)+IF(N164="",0,N164))</x:f>
      </x:c>
      <x:c r="P164" t="str"/>
    </x:row>
    <x:row r="165">
      <x:c r="A165" s="12" t="n">
        <x:v>46377</x:v>
      </x:c>
      <x:c r="B165" t="n">
        <x:v>82</x:v>
      </x:c>
      <x:c r="C165" t="str">
        <x:v>Pazartesi</x:v>
      </x:c>
      <x:c r="D165" t="str">
        <x:v>Paragraf</x:v>
      </x:c>
      <x:c r="E165" t="str">
        <x:v>Paragraf</x:v>
      </x:c>
      <x:c r="F165" t="n">
        <x:v>25</x:v>
      </x:c>
      <x:c r="G165" t="n">
        <x:v>20</x:v>
      </x:c>
      <x:c r="H165"/>
      <x:c r="I165"/>
      <x:c r="J165"/>
      <x:c r="K165" s="18"/>
      <x:c r="L165" s="20" t="str">
        <x:f>IF(OR(K165="",G165=0),"",K165*86400/G165)</x:f>
      </x:c>
      <x:c r="M165" s="22" t="str">
        <x:f>IF(SUM(H165:J165)=0,"",H165/SUM(H165:J165))</x:f>
      </x:c>
      <x:c r="N165" t="n">
        <x:v>5</x:v>
      </x:c>
      <x:c r="O165" t="str">
        <x:f>IF(SUM(H165:J165)=0,"",SUM(H165:J165)+IF(N165="",0,N165))</x:f>
      </x:c>
      <x:c r="P165" t="str"/>
    </x:row>
    <x:row r="166">
      <x:c r="A166" s="12" t="n">
        <x:v>46378</x:v>
      </x:c>
      <x:c r="B166" t="n">
        <x:v>83</x:v>
      </x:c>
      <x:c r="C166" t="str">
        <x:v>Salı</x:v>
      </x:c>
      <x:c r="D166" t="str">
        <x:v>Matematik</x:v>
      </x:c>
      <x:c r="E166" t="str">
        <x:v>Kareköklü İfadeler</x:v>
      </x:c>
      <x:c r="F166" t="n">
        <x:v>25</x:v>
      </x:c>
      <x:c r="G166" t="n">
        <x:v>20</x:v>
      </x:c>
      <x:c r="H166"/>
      <x:c r="I166"/>
      <x:c r="J166"/>
      <x:c r="K166" s="18"/>
      <x:c r="L166" s="20" t="str">
        <x:f>IF(OR(K166="",G166=0),"",K166*86400/G166)</x:f>
      </x:c>
      <x:c r="M166" s="22" t="str">
        <x:f>IF(SUM(H166:J166)=0,"",H166/SUM(H166:J166))</x:f>
      </x:c>
      <x:c r="N166" t="n">
        <x:v>5</x:v>
      </x:c>
      <x:c r="O166" t="str">
        <x:f>IF(SUM(H166:J166)=0,"",SUM(H166:J166)+IF(N166="",0,N166))</x:f>
      </x:c>
      <x:c r="P166" t="str"/>
    </x:row>
    <x:row r="167">
      <x:c r="A167" s="12" t="n">
        <x:v>46378</x:v>
      </x:c>
      <x:c r="B167" t="n">
        <x:v>83</x:v>
      </x:c>
      <x:c r="C167" t="str">
        <x:v>Salı</x:v>
      </x:c>
      <x:c r="D167" t="str">
        <x:v>Paragraf</x:v>
      </x:c>
      <x:c r="E167" t="str">
        <x:v>Paragraf</x:v>
      </x:c>
      <x:c r="F167" t="n">
        <x:v>25</x:v>
      </x:c>
      <x:c r="G167" t="n">
        <x:v>20</x:v>
      </x:c>
      <x:c r="H167"/>
      <x:c r="I167"/>
      <x:c r="J167"/>
      <x:c r="K167" s="18"/>
      <x:c r="L167" s="20" t="str">
        <x:f>IF(OR(K167="",G167=0),"",K167*86400/G167)</x:f>
      </x:c>
      <x:c r="M167" s="22" t="str">
        <x:f>IF(SUM(H167:J167)=0,"",H167/SUM(H167:J167))</x:f>
      </x:c>
      <x:c r="N167" t="n">
        <x:v>5</x:v>
      </x:c>
      <x:c r="O167" t="str">
        <x:f>IF(SUM(H167:J167)=0,"",SUM(H167:J167)+IF(N167="",0,N167))</x:f>
      </x:c>
      <x:c r="P167" t="str"/>
    </x:row>
    <x:row r="168">
      <x:c r="A168" s="12" t="n">
        <x:v>46379</x:v>
      </x:c>
      <x:c r="B168" t="n">
        <x:v>84</x:v>
      </x:c>
      <x:c r="C168" t="str">
        <x:v>Çarşamba</x:v>
      </x:c>
      <x:c r="D168" t="str">
        <x:v>Matematik</x:v>
      </x:c>
      <x:c r="E168" t="str">
        <x:v>Veri Analizi</x:v>
      </x:c>
      <x:c r="F168" t="n">
        <x:v>25</x:v>
      </x:c>
      <x:c r="G168" t="n">
        <x:v>20</x:v>
      </x:c>
      <x:c r="H168"/>
      <x:c r="I168"/>
      <x:c r="J168"/>
      <x:c r="K168" s="18"/>
      <x:c r="L168" s="20" t="str">
        <x:f>IF(OR(K168="",G168=0),"",K168*86400/G168)</x:f>
      </x:c>
      <x:c r="M168" s="22" t="str">
        <x:f>IF(SUM(H168:J168)=0,"",H168/SUM(H168:J168))</x:f>
      </x:c>
      <x:c r="N168" t="n">
        <x:v>5</x:v>
      </x:c>
      <x:c r="O168" t="str">
        <x:f>IF(SUM(H168:J168)=0,"",SUM(H168:J168)+IF(N168="",0,N168))</x:f>
      </x:c>
      <x:c r="P168" t="str"/>
    </x:row>
    <x:row r="169">
      <x:c r="A169" s="12" t="n">
        <x:v>46379</x:v>
      </x:c>
      <x:c r="B169" t="n">
        <x:v>84</x:v>
      </x:c>
      <x:c r="C169" t="str">
        <x:v>Çarşamba</x:v>
      </x:c>
      <x:c r="D169" t="str">
        <x:v>Paragraf</x:v>
      </x:c>
      <x:c r="E169" t="str">
        <x:v>Paragraf</x:v>
      </x:c>
      <x:c r="F169" t="n">
        <x:v>25</x:v>
      </x:c>
      <x:c r="G169" t="n">
        <x:v>20</x:v>
      </x:c>
      <x:c r="H169"/>
      <x:c r="I169"/>
      <x:c r="J169"/>
      <x:c r="K169" s="18"/>
      <x:c r="L169" s="20" t="str">
        <x:f>IF(OR(K169="",G169=0),"",K169*86400/G169)</x:f>
      </x:c>
      <x:c r="M169" s="22" t="str">
        <x:f>IF(SUM(H169:J169)=0,"",H169/SUM(H169:J169))</x:f>
      </x:c>
      <x:c r="N169" t="n">
        <x:v>5</x:v>
      </x:c>
      <x:c r="O169" t="str">
        <x:f>IF(SUM(H169:J169)=0,"",SUM(H169:J169)+IF(N169="",0,N169))</x:f>
      </x:c>
      <x:c r="P169" t="str"/>
    </x:row>
    <x:row r="170">
      <x:c r="A170" s="12" t="n">
        <x:v>46380</x:v>
      </x:c>
      <x:c r="B170" t="n">
        <x:v>85</x:v>
      </x:c>
      <x:c r="C170" t="str">
        <x:v>Perşembe</x:v>
      </x:c>
      <x:c r="D170" t="str">
        <x:v>Matematik</x:v>
      </x:c>
      <x:c r="E170" t="str">
        <x:v>Veri Analizi</x:v>
      </x:c>
      <x:c r="F170" t="n">
        <x:v>25</x:v>
      </x:c>
      <x:c r="G170" t="n">
        <x:v>20</x:v>
      </x:c>
      <x:c r="H170"/>
      <x:c r="I170"/>
      <x:c r="J170"/>
      <x:c r="K170" s="18"/>
      <x:c r="L170" s="20" t="str">
        <x:f>IF(OR(K170="",G170=0),"",K170*86400/G170)</x:f>
      </x:c>
      <x:c r="M170" s="22" t="str">
        <x:f>IF(SUM(H170:J170)=0,"",H170/SUM(H170:J170))</x:f>
      </x:c>
      <x:c r="N170" t="n">
        <x:v>5</x:v>
      </x:c>
      <x:c r="O170" t="str">
        <x:f>IF(SUM(H170:J170)=0,"",SUM(H170:J170)+IF(N170="",0,N170))</x:f>
      </x:c>
      <x:c r="P170" t="str"/>
    </x:row>
    <x:row r="171">
      <x:c r="A171" s="12" t="n">
        <x:v>46380</x:v>
      </x:c>
      <x:c r="B171" t="n">
        <x:v>85</x:v>
      </x:c>
      <x:c r="C171" t="str">
        <x:v>Perşembe</x:v>
      </x:c>
      <x:c r="D171" t="str">
        <x:v>Paragraf</x:v>
      </x:c>
      <x:c r="E171" t="str">
        <x:v>Paragraf</x:v>
      </x:c>
      <x:c r="F171" t="n">
        <x:v>25</x:v>
      </x:c>
      <x:c r="G171" t="n">
        <x:v>20</x:v>
      </x:c>
      <x:c r="H171"/>
      <x:c r="I171"/>
      <x:c r="J171"/>
      <x:c r="K171" s="18"/>
      <x:c r="L171" s="20" t="str">
        <x:f>IF(OR(K171="",G171=0),"",K171*86400/G171)</x:f>
      </x:c>
      <x:c r="M171" s="22" t="str">
        <x:f>IF(SUM(H171:J171)=0,"",H171/SUM(H171:J171))</x:f>
      </x:c>
      <x:c r="N171" t="n">
        <x:v>5</x:v>
      </x:c>
      <x:c r="O171" t="str">
        <x:f>IF(SUM(H171:J171)=0,"",SUM(H171:J171)+IF(N171="",0,N171))</x:f>
      </x:c>
      <x:c r="P171" t="str"/>
    </x:row>
    <x:row r="172">
      <x:c r="A172" s="12" t="n">
        <x:v>46381</x:v>
      </x:c>
      <x:c r="B172" t="n">
        <x:v>86</x:v>
      </x:c>
      <x:c r="C172" t="str">
        <x:v>Cuma</x:v>
      </x:c>
      <x:c r="D172" t="str">
        <x:v>Matematik</x:v>
      </x:c>
      <x:c r="E172" t="str">
        <x:v>Veri Analizi</x:v>
      </x:c>
      <x:c r="F172" t="n">
        <x:v>25</x:v>
      </x:c>
      <x:c r="G172" t="n">
        <x:v>20</x:v>
      </x:c>
      <x:c r="H172"/>
      <x:c r="I172"/>
      <x:c r="J172"/>
      <x:c r="K172" s="18"/>
      <x:c r="L172" s="20" t="str">
        <x:f>IF(OR(K172="",G172=0),"",K172*86400/G172)</x:f>
      </x:c>
      <x:c r="M172" s="22" t="str">
        <x:f>IF(SUM(H172:J172)=0,"",H172/SUM(H172:J172))</x:f>
      </x:c>
      <x:c r="N172" t="n">
        <x:v>5</x:v>
      </x:c>
      <x:c r="O172" t="str">
        <x:f>IF(SUM(H172:J172)=0,"",SUM(H172:J172)+IF(N172="",0,N172))</x:f>
      </x:c>
      <x:c r="P172" t="str"/>
    </x:row>
    <x:row r="173">
      <x:c r="A173" s="12" t="n">
        <x:v>46381</x:v>
      </x:c>
      <x:c r="B173" t="n">
        <x:v>86</x:v>
      </x:c>
      <x:c r="C173" t="str">
        <x:v>Cuma</x:v>
      </x:c>
      <x:c r="D173" t="str">
        <x:v>Paragraf</x:v>
      </x:c>
      <x:c r="E173" t="str">
        <x:v>Paragraf</x:v>
      </x:c>
      <x:c r="F173" t="n">
        <x:v>25</x:v>
      </x:c>
      <x:c r="G173" t="n">
        <x:v>20</x:v>
      </x:c>
      <x:c r="H173"/>
      <x:c r="I173"/>
      <x:c r="J173"/>
      <x:c r="K173" s="18"/>
      <x:c r="L173" s="20" t="str">
        <x:f>IF(OR(K173="",G173=0),"",K173*86400/G173)</x:f>
      </x:c>
      <x:c r="M173" s="22" t="str">
        <x:f>IF(SUM(H173:J173)=0,"",H173/SUM(H173:J173))</x:f>
      </x:c>
      <x:c r="N173" t="n">
        <x:v>5</x:v>
      </x:c>
      <x:c r="O173" t="str">
        <x:f>IF(SUM(H173:J173)=0,"",SUM(H173:J173)+IF(N173="",0,N173))</x:f>
      </x:c>
      <x:c r="P173" t="str"/>
    </x:row>
    <x:row r="174">
      <x:c r="A174" s="12" t="n">
        <x:v>46382</x:v>
      </x:c>
      <x:c r="B174" t="n">
        <x:v>87</x:v>
      </x:c>
      <x:c r="C174" t="str">
        <x:v>Cumartesi</x:v>
      </x:c>
      <x:c r="D174" t="str">
        <x:v>Matematik</x:v>
      </x:c>
      <x:c r="E174" t="str">
        <x:v>Basit Olayların Olma Olasılığı</x:v>
      </x:c>
      <x:c r="F174" t="n">
        <x:v>25</x:v>
      </x:c>
      <x:c r="G174" t="n">
        <x:v>20</x:v>
      </x:c>
      <x:c r="H174"/>
      <x:c r="I174"/>
      <x:c r="J174"/>
      <x:c r="K174" s="18"/>
      <x:c r="L174" s="20" t="str">
        <x:f>IF(OR(K174="",G174=0),"",K174*86400/G174)</x:f>
      </x:c>
      <x:c r="M174" s="22" t="str">
        <x:f>IF(SUM(H174:J174)=0,"",H174/SUM(H174:J174))</x:f>
      </x:c>
      <x:c r="N174" t="n">
        <x:v>5</x:v>
      </x:c>
      <x:c r="O174" t="str">
        <x:f>IF(SUM(H174:J174)=0,"",SUM(H174:J174)+IF(N174="",0,N174))</x:f>
      </x:c>
      <x:c r="P174" t="str"/>
    </x:row>
    <x:row r="175">
      <x:c r="A175" s="12" t="n">
        <x:v>46382</x:v>
      </x:c>
      <x:c r="B175" t="n">
        <x:v>87</x:v>
      </x:c>
      <x:c r="C175" t="str">
        <x:v>Cumartesi</x:v>
      </x:c>
      <x:c r="D175" t="str">
        <x:v>Paragraf</x:v>
      </x:c>
      <x:c r="E175" t="str">
        <x:v>Paragraf</x:v>
      </x:c>
      <x:c r="F175" t="n">
        <x:v>25</x:v>
      </x:c>
      <x:c r="G175" t="n">
        <x:v>20</x:v>
      </x:c>
      <x:c r="H175"/>
      <x:c r="I175"/>
      <x:c r="J175"/>
      <x:c r="K175" s="18"/>
      <x:c r="L175" s="20" t="str">
        <x:f>IF(OR(K175="",G175=0),"",K175*86400/G175)</x:f>
      </x:c>
      <x:c r="M175" s="22" t="str">
        <x:f>IF(SUM(H175:J175)=0,"",H175/SUM(H175:J175))</x:f>
      </x:c>
      <x:c r="N175" t="n">
        <x:v>5</x:v>
      </x:c>
      <x:c r="O175" t="str">
        <x:f>IF(SUM(H175:J175)=0,"",SUM(H175:J175)+IF(N175="",0,N175))</x:f>
      </x:c>
      <x:c r="P175" t="str"/>
    </x:row>
    <x:row r="176">
      <x:c r="A176" s="12" t="n">
        <x:v>46383</x:v>
      </x:c>
      <x:c r="B176" t="n">
        <x:v>88</x:v>
      </x:c>
      <x:c r="C176" t="str">
        <x:v>Pazar</x:v>
      </x:c>
      <x:c r="D176" t="str">
        <x:v>Matematik</x:v>
      </x:c>
      <x:c r="E176" t="str">
        <x:v>Basit Olayların Olma Olasılığı</x:v>
      </x:c>
      <x:c r="F176" t="n">
        <x:v>25</x:v>
      </x:c>
      <x:c r="G176" t="n">
        <x:v>20</x:v>
      </x:c>
      <x:c r="H176"/>
      <x:c r="I176"/>
      <x:c r="J176"/>
      <x:c r="K176" s="18"/>
      <x:c r="L176" s="20" t="str">
        <x:f>IF(OR(K176="",G176=0),"",K176*86400/G176)</x:f>
      </x:c>
      <x:c r="M176" s="22" t="str">
        <x:f>IF(SUM(H176:J176)=0,"",H176/SUM(H176:J176))</x:f>
      </x:c>
      <x:c r="N176" t="n">
        <x:v>5</x:v>
      </x:c>
      <x:c r="O176" t="str">
        <x:f>IF(SUM(H176:J176)=0,"",SUM(H176:J176)+IF(N176="",0,N176))</x:f>
      </x:c>
      <x:c r="P176" t="str"/>
    </x:row>
    <x:row r="177">
      <x:c r="A177" s="12" t="n">
        <x:v>46383</x:v>
      </x:c>
      <x:c r="B177" t="n">
        <x:v>88</x:v>
      </x:c>
      <x:c r="C177" t="str">
        <x:v>Pazar</x:v>
      </x:c>
      <x:c r="D177" t="str">
        <x:v>Paragraf</x:v>
      </x:c>
      <x:c r="E177" t="str">
        <x:v>Paragraf</x:v>
      </x:c>
      <x:c r="F177" t="n">
        <x:v>25</x:v>
      </x:c>
      <x:c r="G177" t="n">
        <x:v>20</x:v>
      </x:c>
      <x:c r="H177"/>
      <x:c r="I177"/>
      <x:c r="J177"/>
      <x:c r="K177" s="18"/>
      <x:c r="L177" s="20" t="str">
        <x:f>IF(OR(K177="",G177=0),"",K177*86400/G177)</x:f>
      </x:c>
      <x:c r="M177" s="22" t="str">
        <x:f>IF(SUM(H177:J177)=0,"",H177/SUM(H177:J177))</x:f>
      </x:c>
      <x:c r="N177" t="n">
        <x:v>5</x:v>
      </x:c>
      <x:c r="O177" t="str">
        <x:f>IF(SUM(H177:J177)=0,"",SUM(H177:J177)+IF(N177="",0,N177))</x:f>
      </x:c>
      <x:c r="P177" t="str"/>
    </x:row>
    <x:row r="178">
      <x:c r="A178" s="12" t="n">
        <x:v>46384</x:v>
      </x:c>
      <x:c r="B178" t="n">
        <x:v>89</x:v>
      </x:c>
      <x:c r="C178" t="str">
        <x:v>Pazartesi</x:v>
      </x:c>
      <x:c r="D178" t="str">
        <x:v>Matematik</x:v>
      </x:c>
      <x:c r="E178" t="str">
        <x:v>Basit Olayların Olma Olasılığı</x:v>
      </x:c>
      <x:c r="F178" t="n">
        <x:v>25</x:v>
      </x:c>
      <x:c r="G178" t="n">
        <x:v>20</x:v>
      </x:c>
      <x:c r="H178"/>
      <x:c r="I178"/>
      <x:c r="J178"/>
      <x:c r="K178" s="18"/>
      <x:c r="L178" s="20" t="str">
        <x:f>IF(OR(K178="",G178=0),"",K178*86400/G178)</x:f>
      </x:c>
      <x:c r="M178" s="22" t="str">
        <x:f>IF(SUM(H178:J178)=0,"",H178/SUM(H178:J178))</x:f>
      </x:c>
      <x:c r="N178" t="n">
        <x:v>5</x:v>
      </x:c>
      <x:c r="O178" t="str">
        <x:f>IF(SUM(H178:J178)=0,"",SUM(H178:J178)+IF(N178="",0,N178))</x:f>
      </x:c>
      <x:c r="P178" t="str"/>
    </x:row>
    <x:row r="179">
      <x:c r="A179" s="12" t="n">
        <x:v>46384</x:v>
      </x:c>
      <x:c r="B179" t="n">
        <x:v>89</x:v>
      </x:c>
      <x:c r="C179" t="str">
        <x:v>Pazartesi</x:v>
      </x:c>
      <x:c r="D179" t="str">
        <x:v>Paragraf</x:v>
      </x:c>
      <x:c r="E179" t="str">
        <x:v>Paragraf</x:v>
      </x:c>
      <x:c r="F179" t="n">
        <x:v>25</x:v>
      </x:c>
      <x:c r="G179" t="n">
        <x:v>20</x:v>
      </x:c>
      <x:c r="H179"/>
      <x:c r="I179"/>
      <x:c r="J179"/>
      <x:c r="K179" s="18"/>
      <x:c r="L179" s="20" t="str">
        <x:f>IF(OR(K179="",G179=0),"",K179*86400/G179)</x:f>
      </x:c>
      <x:c r="M179" s="22" t="str">
        <x:f>IF(SUM(H179:J179)=0,"",H179/SUM(H179:J179))</x:f>
      </x:c>
      <x:c r="N179" t="n">
        <x:v>5</x:v>
      </x:c>
      <x:c r="O179" t="str">
        <x:f>IF(SUM(H179:J179)=0,"",SUM(H179:J179)+IF(N179="",0,N179))</x:f>
      </x:c>
      <x:c r="P179" t="str"/>
    </x:row>
    <x:row r="180">
      <x:c r="A180" s="12" t="n">
        <x:v>46385</x:v>
      </x:c>
      <x:c r="B180" t="n">
        <x:v>90</x:v>
      </x:c>
      <x:c r="C180" t="str">
        <x:v>Salı</x:v>
      </x:c>
      <x:c r="D180" t="str">
        <x:v>Matematik</x:v>
      </x:c>
      <x:c r="E180" t="str">
        <x:v>Cebirsel İfadeler ve Özdeşlikler</x:v>
      </x:c>
      <x:c r="F180" t="n">
        <x:v>25</x:v>
      </x:c>
      <x:c r="G180" t="n">
        <x:v>20</x:v>
      </x:c>
      <x:c r="H180"/>
      <x:c r="I180"/>
      <x:c r="J180"/>
      <x:c r="K180" s="18"/>
      <x:c r="L180" s="20" t="str">
        <x:f>IF(OR(K180="",G180=0),"",K180*86400/G180)</x:f>
      </x:c>
      <x:c r="M180" s="22" t="str">
        <x:f>IF(SUM(H180:J180)=0,"",H180/SUM(H180:J180))</x:f>
      </x:c>
      <x:c r="N180" t="n">
        <x:v>5</x:v>
      </x:c>
      <x:c r="O180" t="str">
        <x:f>IF(SUM(H180:J180)=0,"",SUM(H180:J180)+IF(N180="",0,N180))</x:f>
      </x:c>
      <x:c r="P180" t="str"/>
    </x:row>
    <x:row r="181">
      <x:c r="A181" s="12" t="n">
        <x:v>46385</x:v>
      </x:c>
      <x:c r="B181" t="n">
        <x:v>90</x:v>
      </x:c>
      <x:c r="C181" t="str">
        <x:v>Salı</x:v>
      </x:c>
      <x:c r="D181" t="str">
        <x:v>Paragraf</x:v>
      </x:c>
      <x:c r="E181" t="str">
        <x:v>Paragraf</x:v>
      </x:c>
      <x:c r="F181" t="n">
        <x:v>25</x:v>
      </x:c>
      <x:c r="G181" t="n">
        <x:v>20</x:v>
      </x:c>
      <x:c r="H181"/>
      <x:c r="I181"/>
      <x:c r="J181"/>
      <x:c r="K181" s="18"/>
      <x:c r="L181" s="20" t="str">
        <x:f>IF(OR(K181="",G181=0),"",K181*86400/G181)</x:f>
      </x:c>
      <x:c r="M181" s="22" t="str">
        <x:f>IF(SUM(H181:J181)=0,"",H181/SUM(H181:J181))</x:f>
      </x:c>
      <x:c r="N181" t="n">
        <x:v>5</x:v>
      </x:c>
      <x:c r="O181" t="str">
        <x:f>IF(SUM(H181:J181)=0,"",SUM(H181:J181)+IF(N181="",0,N181))</x:f>
      </x:c>
      <x:c r="P181" t="str"/>
    </x:row>
    <x:row r="182">
      <x:c r="A182" s="12" t="n">
        <x:v>46386</x:v>
      </x:c>
      <x:c r="B182" t="n">
        <x:v>91</x:v>
      </x:c>
      <x:c r="C182" t="str">
        <x:v>Çarşamba</x:v>
      </x:c>
      <x:c r="D182" t="str">
        <x:v>Matematik</x:v>
      </x:c>
      <x:c r="E182" t="str">
        <x:v>Cebirsel İfadeler ve Özdeşlikler</x:v>
      </x:c>
      <x:c r="F182" t="n">
        <x:v>25</x:v>
      </x:c>
      <x:c r="G182" t="n">
        <x:v>20</x:v>
      </x:c>
      <x:c r="H182"/>
      <x:c r="I182"/>
      <x:c r="J182"/>
      <x:c r="K182" s="18"/>
      <x:c r="L182" s="20" t="str">
        <x:f>IF(OR(K182="",G182=0),"",K182*86400/G182)</x:f>
      </x:c>
      <x:c r="M182" s="22" t="str">
        <x:f>IF(SUM(H182:J182)=0,"",H182/SUM(H182:J182))</x:f>
      </x:c>
      <x:c r="N182" t="n">
        <x:v>5</x:v>
      </x:c>
      <x:c r="O182" t="str">
        <x:f>IF(SUM(H182:J182)=0,"",SUM(H182:J182)+IF(N182="",0,N182))</x:f>
      </x:c>
      <x:c r="P182" t="str"/>
    </x:row>
    <x:row r="183">
      <x:c r="A183" s="12" t="n">
        <x:v>46386</x:v>
      </x:c>
      <x:c r="B183" t="n">
        <x:v>91</x:v>
      </x:c>
      <x:c r="C183" t="str">
        <x:v>Çarşamba</x:v>
      </x:c>
      <x:c r="D183" t="str">
        <x:v>Paragraf</x:v>
      </x:c>
      <x:c r="E183" t="str">
        <x:v>Paragraf</x:v>
      </x:c>
      <x:c r="F183" t="n">
        <x:v>25</x:v>
      </x:c>
      <x:c r="G183" t="n">
        <x:v>20</x:v>
      </x:c>
      <x:c r="H183"/>
      <x:c r="I183"/>
      <x:c r="J183"/>
      <x:c r="K183" s="18"/>
      <x:c r="L183" s="20" t="str">
        <x:f>IF(OR(K183="",G183=0),"",K183*86400/G183)</x:f>
      </x:c>
      <x:c r="M183" s="22" t="str">
        <x:f>IF(SUM(H183:J183)=0,"",H183/SUM(H183:J183))</x:f>
      </x:c>
      <x:c r="N183" t="n">
        <x:v>5</x:v>
      </x:c>
      <x:c r="O183" t="str">
        <x:f>IF(SUM(H183:J183)=0,"",SUM(H183:J183)+IF(N183="",0,N183))</x:f>
      </x:c>
      <x:c r="P183" t="str"/>
    </x:row>
    <x:row r="184">
      <x:c r="A184" s="12" t="n">
        <x:v>46387</x:v>
      </x:c>
      <x:c r="B184" t="n">
        <x:v>92</x:v>
      </x:c>
      <x:c r="C184" t="str">
        <x:v>Perşembe</x:v>
      </x:c>
      <x:c r="D184" t="str">
        <x:v>Matematik</x:v>
      </x:c>
      <x:c r="E184" t="str">
        <x:v>Cebirsel İfadeler ve Özdeşlikler</x:v>
      </x:c>
      <x:c r="F184" t="n">
        <x:v>25</x:v>
      </x:c>
      <x:c r="G184" t="n">
        <x:v>20</x:v>
      </x:c>
      <x:c r="H184"/>
      <x:c r="I184"/>
      <x:c r="J184"/>
      <x:c r="K184" s="18"/>
      <x:c r="L184" s="20" t="str">
        <x:f>IF(OR(K184="",G184=0),"",K184*86400/G184)</x:f>
      </x:c>
      <x:c r="M184" s="22" t="str">
        <x:f>IF(SUM(H184:J184)=0,"",H184/SUM(H184:J184))</x:f>
      </x:c>
      <x:c r="N184" t="n">
        <x:v>5</x:v>
      </x:c>
      <x:c r="O184" t="str">
        <x:f>IF(SUM(H184:J184)=0,"",SUM(H184:J184)+IF(N184="",0,N184))</x:f>
      </x:c>
      <x:c r="P184" t="str"/>
    </x:row>
    <x:row r="185">
      <x:c r="A185" s="12" t="n">
        <x:v>46387</x:v>
      </x:c>
      <x:c r="B185" t="n">
        <x:v>92</x:v>
      </x:c>
      <x:c r="C185" t="str">
        <x:v>Perşembe</x:v>
      </x:c>
      <x:c r="D185" t="str">
        <x:v>Paragraf</x:v>
      </x:c>
      <x:c r="E185" t="str">
        <x:v>Paragraf</x:v>
      </x:c>
      <x:c r="F185" t="n">
        <x:v>25</x:v>
      </x:c>
      <x:c r="G185" t="n">
        <x:v>20</x:v>
      </x:c>
      <x:c r="H185"/>
      <x:c r="I185"/>
      <x:c r="J185"/>
      <x:c r="K185" s="18"/>
      <x:c r="L185" s="20" t="str">
        <x:f>IF(OR(K185="",G185=0),"",K185*86400/G185)</x:f>
      </x:c>
      <x:c r="M185" s="22" t="str">
        <x:f>IF(SUM(H185:J185)=0,"",H185/SUM(H185:J185))</x:f>
      </x:c>
      <x:c r="N185" t="n">
        <x:v>5</x:v>
      </x:c>
      <x:c r="O185" t="str">
        <x:f>IF(SUM(H185:J185)=0,"",SUM(H185:J185)+IF(N185="",0,N185))</x:f>
      </x:c>
      <x:c r="P185" t="str"/>
    </x:row>
    <x:row r="186">
      <x:c r="A186" s="12" t="n">
        <x:v>46388</x:v>
      </x:c>
      <x:c r="B186" t="n">
        <x:v>93</x:v>
      </x:c>
      <x:c r="C186" t="str">
        <x:v>Cuma</x:v>
      </x:c>
      <x:c r="D186" t="str">
        <x:v>Matematik</x:v>
      </x:c>
      <x:c r="E186" t="str">
        <x:v>Cebirsel İfadeler ve Özdeşlikler</x:v>
      </x:c>
      <x:c r="F186" t="n">
        <x:v>25</x:v>
      </x:c>
      <x:c r="G186" t="n">
        <x:v>20</x:v>
      </x:c>
      <x:c r="H186"/>
      <x:c r="I186"/>
      <x:c r="J186"/>
      <x:c r="K186" s="18"/>
      <x:c r="L186" s="20" t="str">
        <x:f>IF(OR(K186="",G186=0),"",K186*86400/G186)</x:f>
      </x:c>
      <x:c r="M186" s="22" t="str">
        <x:f>IF(SUM(H186:J186)=0,"",H186/SUM(H186:J186))</x:f>
      </x:c>
      <x:c r="N186" t="n">
        <x:v>5</x:v>
      </x:c>
      <x:c r="O186" t="str">
        <x:f>IF(SUM(H186:J186)=0,"",SUM(H186:J186)+IF(N186="",0,N186))</x:f>
      </x:c>
      <x:c r="P186" t="str"/>
    </x:row>
    <x:row r="187">
      <x:c r="A187" s="12" t="n">
        <x:v>46388</x:v>
      </x:c>
      <x:c r="B187" t="n">
        <x:v>93</x:v>
      </x:c>
      <x:c r="C187" t="str">
        <x:v>Cuma</x:v>
      </x:c>
      <x:c r="D187" t="str">
        <x:v>Paragraf</x:v>
      </x:c>
      <x:c r="E187" t="str">
        <x:v>Paragraf</x:v>
      </x:c>
      <x:c r="F187" t="n">
        <x:v>25</x:v>
      </x:c>
      <x:c r="G187" t="n">
        <x:v>20</x:v>
      </x:c>
      <x:c r="H187"/>
      <x:c r="I187"/>
      <x:c r="J187"/>
      <x:c r="K187" s="18"/>
      <x:c r="L187" s="20" t="str">
        <x:f>IF(OR(K187="",G187=0),"",K187*86400/G187)</x:f>
      </x:c>
      <x:c r="M187" s="22" t="str">
        <x:f>IF(SUM(H187:J187)=0,"",H187/SUM(H187:J187))</x:f>
      </x:c>
      <x:c r="N187" t="n">
        <x:v>5</x:v>
      </x:c>
      <x:c r="O187" t="str">
        <x:f>IF(SUM(H187:J187)=0,"",SUM(H187:J187)+IF(N187="",0,N187))</x:f>
      </x:c>
      <x:c r="P187" t="str"/>
    </x:row>
    <x:row r="188">
      <x:c r="A188" s="12" t="n">
        <x:v>46389</x:v>
      </x:c>
      <x:c r="B188" t="n">
        <x:v>94</x:v>
      </x:c>
      <x:c r="C188" t="str">
        <x:v>Cumartesi</x:v>
      </x:c>
      <x:c r="D188" t="str">
        <x:v>Matematik</x:v>
      </x:c>
      <x:c r="E188" t="str">
        <x:v>Cebirsel İfadeler ve Özdeşlikler</x:v>
      </x:c>
      <x:c r="F188" t="n">
        <x:v>25</x:v>
      </x:c>
      <x:c r="G188" t="n">
        <x:v>20</x:v>
      </x:c>
      <x:c r="H188"/>
      <x:c r="I188"/>
      <x:c r="J188"/>
      <x:c r="K188" s="18"/>
      <x:c r="L188" s="20" t="str">
        <x:f>IF(OR(K188="",G188=0),"",K188*86400/G188)</x:f>
      </x:c>
      <x:c r="M188" s="22" t="str">
        <x:f>IF(SUM(H188:J188)=0,"",H188/SUM(H188:J188))</x:f>
      </x:c>
      <x:c r="N188" t="n">
        <x:v>5</x:v>
      </x:c>
      <x:c r="O188" t="str">
        <x:f>IF(SUM(H188:J188)=0,"",SUM(H188:J188)+IF(N188="",0,N188))</x:f>
      </x:c>
      <x:c r="P188" t="str"/>
    </x:row>
    <x:row r="189">
      <x:c r="A189" s="12" t="n">
        <x:v>46389</x:v>
      </x:c>
      <x:c r="B189" t="n">
        <x:v>94</x:v>
      </x:c>
      <x:c r="C189" t="str">
        <x:v>Cumartesi</x:v>
      </x:c>
      <x:c r="D189" t="str">
        <x:v>Paragraf</x:v>
      </x:c>
      <x:c r="E189" t="str">
        <x:v>Paragraf</x:v>
      </x:c>
      <x:c r="F189" t="n">
        <x:v>25</x:v>
      </x:c>
      <x:c r="G189" t="n">
        <x:v>20</x:v>
      </x:c>
      <x:c r="H189"/>
      <x:c r="I189"/>
      <x:c r="J189"/>
      <x:c r="K189" s="18"/>
      <x:c r="L189" s="20" t="str">
        <x:f>IF(OR(K189="",G189=0),"",K189*86400/G189)</x:f>
      </x:c>
      <x:c r="M189" s="22" t="str">
        <x:f>IF(SUM(H189:J189)=0,"",H189/SUM(H189:J189))</x:f>
      </x:c>
      <x:c r="N189" t="n">
        <x:v>5</x:v>
      </x:c>
      <x:c r="O189" t="str">
        <x:f>IF(SUM(H189:J189)=0,"",SUM(H189:J189)+IF(N189="",0,N189))</x:f>
      </x:c>
      <x:c r="P189" t="str"/>
    </x:row>
    <x:row r="190">
      <x:c r="A190" s="12" t="n">
        <x:v>46390</x:v>
      </x:c>
      <x:c r="B190" t="n">
        <x:v>95</x:v>
      </x:c>
      <x:c r="C190" t="str">
        <x:v>Pazar</x:v>
      </x:c>
      <x:c r="D190" t="str">
        <x:v>Matematik</x:v>
      </x:c>
      <x:c r="E190" t="str">
        <x:v>Doğrusal Denklemler</x:v>
      </x:c>
      <x:c r="F190" t="n">
        <x:v>25</x:v>
      </x:c>
      <x:c r="G190" t="n">
        <x:v>20</x:v>
      </x:c>
      <x:c r="H190"/>
      <x:c r="I190"/>
      <x:c r="J190"/>
      <x:c r="K190" s="18"/>
      <x:c r="L190" s="20" t="str">
        <x:f>IF(OR(K190="",G190=0),"",K190*86400/G190)</x:f>
      </x:c>
      <x:c r="M190" s="22" t="str">
        <x:f>IF(SUM(H190:J190)=0,"",H190/SUM(H190:J190))</x:f>
      </x:c>
      <x:c r="N190" t="n">
        <x:v>5</x:v>
      </x:c>
      <x:c r="O190" t="str">
        <x:f>IF(SUM(H190:J190)=0,"",SUM(H190:J190)+IF(N190="",0,N190))</x:f>
      </x:c>
      <x:c r="P190" t="str"/>
    </x:row>
    <x:row r="191">
      <x:c r="A191" s="12" t="n">
        <x:v>46390</x:v>
      </x:c>
      <x:c r="B191" t="n">
        <x:v>95</x:v>
      </x:c>
      <x:c r="C191" t="str">
        <x:v>Pazar</x:v>
      </x:c>
      <x:c r="D191" t="str">
        <x:v>Paragraf</x:v>
      </x:c>
      <x:c r="E191" t="str">
        <x:v>Paragraf</x:v>
      </x:c>
      <x:c r="F191" t="n">
        <x:v>25</x:v>
      </x:c>
      <x:c r="G191" t="n">
        <x:v>20</x:v>
      </x:c>
      <x:c r="H191"/>
      <x:c r="I191"/>
      <x:c r="J191"/>
      <x:c r="K191" s="18"/>
      <x:c r="L191" s="20" t="str">
        <x:f>IF(OR(K191="",G191=0),"",K191*86400/G191)</x:f>
      </x:c>
      <x:c r="M191" s="22" t="str">
        <x:f>IF(SUM(H191:J191)=0,"",H191/SUM(H191:J191))</x:f>
      </x:c>
      <x:c r="N191" t="n">
        <x:v>5</x:v>
      </x:c>
      <x:c r="O191" t="str">
        <x:f>IF(SUM(H191:J191)=0,"",SUM(H191:J191)+IF(N191="",0,N191))</x:f>
      </x:c>
      <x:c r="P191" t="str"/>
    </x:row>
    <x:row r="192">
      <x:c r="A192" s="12" t="n">
        <x:v>46391</x:v>
      </x:c>
      <x:c r="B192" t="n">
        <x:v>96</x:v>
      </x:c>
      <x:c r="C192" t="str">
        <x:v>Pazartesi</x:v>
      </x:c>
      <x:c r="D192" t="str">
        <x:v>Matematik</x:v>
      </x:c>
      <x:c r="E192" t="str">
        <x:v>Doğrusal Denklemler</x:v>
      </x:c>
      <x:c r="F192" t="n">
        <x:v>25</x:v>
      </x:c>
      <x:c r="G192" t="n">
        <x:v>20</x:v>
      </x:c>
      <x:c r="H192"/>
      <x:c r="I192"/>
      <x:c r="J192"/>
      <x:c r="K192" s="18"/>
      <x:c r="L192" s="20" t="str">
        <x:f>IF(OR(K192="",G192=0),"",K192*86400/G192)</x:f>
      </x:c>
      <x:c r="M192" s="22" t="str">
        <x:f>IF(SUM(H192:J192)=0,"",H192/SUM(H192:J192))</x:f>
      </x:c>
      <x:c r="N192" t="n">
        <x:v>5</x:v>
      </x:c>
      <x:c r="O192" t="str">
        <x:f>IF(SUM(H192:J192)=0,"",SUM(H192:J192)+IF(N192="",0,N192))</x:f>
      </x:c>
      <x:c r="P192" t="str"/>
    </x:row>
    <x:row r="193">
      <x:c r="A193" s="12" t="n">
        <x:v>46391</x:v>
      </x:c>
      <x:c r="B193" t="n">
        <x:v>96</x:v>
      </x:c>
      <x:c r="C193" t="str">
        <x:v>Pazartesi</x:v>
      </x:c>
      <x:c r="D193" t="str">
        <x:v>Paragraf</x:v>
      </x:c>
      <x:c r="E193" t="str">
        <x:v>Paragraf</x:v>
      </x:c>
      <x:c r="F193" t="n">
        <x:v>25</x:v>
      </x:c>
      <x:c r="G193" t="n">
        <x:v>20</x:v>
      </x:c>
      <x:c r="H193"/>
      <x:c r="I193"/>
      <x:c r="J193"/>
      <x:c r="K193" s="18"/>
      <x:c r="L193" s="20" t="str">
        <x:f>IF(OR(K193="",G193=0),"",K193*86400/G193)</x:f>
      </x:c>
      <x:c r="M193" s="22" t="str">
        <x:f>IF(SUM(H193:J193)=0,"",H193/SUM(H193:J193))</x:f>
      </x:c>
      <x:c r="N193" t="n">
        <x:v>5</x:v>
      </x:c>
      <x:c r="O193" t="str">
        <x:f>IF(SUM(H193:J193)=0,"",SUM(H193:J193)+IF(N193="",0,N193))</x:f>
      </x:c>
      <x:c r="P193" t="str"/>
    </x:row>
    <x:row r="194">
      <x:c r="A194" s="12" t="n">
        <x:v>46392</x:v>
      </x:c>
      <x:c r="B194" t="n">
        <x:v>97</x:v>
      </x:c>
      <x:c r="C194" t="str">
        <x:v>Salı</x:v>
      </x:c>
      <x:c r="D194" t="str">
        <x:v>Matematik</x:v>
      </x:c>
      <x:c r="E194" t="str">
        <x:v>Doğrusal Denklemler</x:v>
      </x:c>
      <x:c r="F194" t="n">
        <x:v>25</x:v>
      </x:c>
      <x:c r="G194" t="n">
        <x:v>20</x:v>
      </x:c>
      <x:c r="H194"/>
      <x:c r="I194"/>
      <x:c r="J194"/>
      <x:c r="K194" s="18"/>
      <x:c r="L194" s="20" t="str">
        <x:f>IF(OR(K194="",G194=0),"",K194*86400/G194)</x:f>
      </x:c>
      <x:c r="M194" s="22" t="str">
        <x:f>IF(SUM(H194:J194)=0,"",H194/SUM(H194:J194))</x:f>
      </x:c>
      <x:c r="N194" t="n">
        <x:v>5</x:v>
      </x:c>
      <x:c r="O194" t="str">
        <x:f>IF(SUM(H194:J194)=0,"",SUM(H194:J194)+IF(N194="",0,N194))</x:f>
      </x:c>
      <x:c r="P194" t="str"/>
    </x:row>
    <x:row r="195">
      <x:c r="A195" s="12" t="n">
        <x:v>46392</x:v>
      </x:c>
      <x:c r="B195" t="n">
        <x:v>97</x:v>
      </x:c>
      <x:c r="C195" t="str">
        <x:v>Salı</x:v>
      </x:c>
      <x:c r="D195" t="str">
        <x:v>Paragraf</x:v>
      </x:c>
      <x:c r="E195" t="str">
        <x:v>Paragraf</x:v>
      </x:c>
      <x:c r="F195" t="n">
        <x:v>25</x:v>
      </x:c>
      <x:c r="G195" t="n">
        <x:v>20</x:v>
      </x:c>
      <x:c r="H195"/>
      <x:c r="I195"/>
      <x:c r="J195"/>
      <x:c r="K195" s="18"/>
      <x:c r="L195" s="20" t="str">
        <x:f>IF(OR(K195="",G195=0),"",K195*86400/G195)</x:f>
      </x:c>
      <x:c r="M195" s="22" t="str">
        <x:f>IF(SUM(H195:J195)=0,"",H195/SUM(H195:J195))</x:f>
      </x:c>
      <x:c r="N195" t="n">
        <x:v>5</x:v>
      </x:c>
      <x:c r="O195" t="str">
        <x:f>IF(SUM(H195:J195)=0,"",SUM(H195:J195)+IF(N195="",0,N195))</x:f>
      </x:c>
      <x:c r="P195" t="str"/>
    </x:row>
    <x:row r="196">
      <x:c r="A196" s="12" t="n">
        <x:v>46393</x:v>
      </x:c>
      <x:c r="B196" t="n">
        <x:v>98</x:v>
      </x:c>
      <x:c r="C196" t="str">
        <x:v>Çarşamba</x:v>
      </x:c>
      <x:c r="D196" t="str">
        <x:v>Matematik</x:v>
      </x:c>
      <x:c r="E196" t="str">
        <x:v>Doğrusal Denklemler</x:v>
      </x:c>
      <x:c r="F196" t="n">
        <x:v>25</x:v>
      </x:c>
      <x:c r="G196" t="n">
        <x:v>20</x:v>
      </x:c>
      <x:c r="H196"/>
      <x:c r="I196"/>
      <x:c r="J196"/>
      <x:c r="K196" s="18"/>
      <x:c r="L196" s="20" t="str">
        <x:f>IF(OR(K196="",G196=0),"",K196*86400/G196)</x:f>
      </x:c>
      <x:c r="M196" s="22" t="str">
        <x:f>IF(SUM(H196:J196)=0,"",H196/SUM(H196:J196))</x:f>
      </x:c>
      <x:c r="N196" t="n">
        <x:v>5</x:v>
      </x:c>
      <x:c r="O196" t="str">
        <x:f>IF(SUM(H196:J196)=0,"",SUM(H196:J196)+IF(N196="",0,N196))</x:f>
      </x:c>
      <x:c r="P196" t="str"/>
    </x:row>
    <x:row r="197">
      <x:c r="A197" s="12" t="n">
        <x:v>46393</x:v>
      </x:c>
      <x:c r="B197" t="n">
        <x:v>98</x:v>
      </x:c>
      <x:c r="C197" t="str">
        <x:v>Çarşamba</x:v>
      </x:c>
      <x:c r="D197" t="str">
        <x:v>Paragraf</x:v>
      </x:c>
      <x:c r="E197" t="str">
        <x:v>Paragraf</x:v>
      </x:c>
      <x:c r="F197" t="n">
        <x:v>25</x:v>
      </x:c>
      <x:c r="G197" t="n">
        <x:v>20</x:v>
      </x:c>
      <x:c r="H197"/>
      <x:c r="I197"/>
      <x:c r="J197"/>
      <x:c r="K197" s="18"/>
      <x:c r="L197" s="20" t="str">
        <x:f>IF(OR(K197="",G197=0),"",K197*86400/G197)</x:f>
      </x:c>
      <x:c r="M197" s="22" t="str">
        <x:f>IF(SUM(H197:J197)=0,"",H197/SUM(H197:J197))</x:f>
      </x:c>
      <x:c r="N197" t="n">
        <x:v>5</x:v>
      </x:c>
      <x:c r="O197" t="str">
        <x:f>IF(SUM(H197:J197)=0,"",SUM(H197:J197)+IF(N197="",0,N197))</x:f>
      </x:c>
      <x:c r="P197" t="str"/>
    </x:row>
    <x:row r="198">
      <x:c r="A198" s="12" t="n">
        <x:v>46394</x:v>
      </x:c>
      <x:c r="B198" t="n">
        <x:v>99</x:v>
      </x:c>
      <x:c r="C198" t="str">
        <x:v>Perşembe</x:v>
      </x:c>
      <x:c r="D198" t="str">
        <x:v>Matematik</x:v>
      </x:c>
      <x:c r="E198" t="str">
        <x:v>Doğrusal Denklemler</x:v>
      </x:c>
      <x:c r="F198" t="n">
        <x:v>25</x:v>
      </x:c>
      <x:c r="G198" t="n">
        <x:v>20</x:v>
      </x:c>
      <x:c r="H198"/>
      <x:c r="I198"/>
      <x:c r="J198"/>
      <x:c r="K198" s="18"/>
      <x:c r="L198" s="20" t="str">
        <x:f>IF(OR(K198="",G198=0),"",K198*86400/G198)</x:f>
      </x:c>
      <x:c r="M198" s="22" t="str">
        <x:f>IF(SUM(H198:J198)=0,"",H198/SUM(H198:J198))</x:f>
      </x:c>
      <x:c r="N198" t="n">
        <x:v>5</x:v>
      </x:c>
      <x:c r="O198" t="str">
        <x:f>IF(SUM(H198:J198)=0,"",SUM(H198:J198)+IF(N198="",0,N198))</x:f>
      </x:c>
      <x:c r="P198" t="str"/>
    </x:row>
    <x:row r="199">
      <x:c r="A199" s="12" t="n">
        <x:v>46394</x:v>
      </x:c>
      <x:c r="B199" t="n">
        <x:v>99</x:v>
      </x:c>
      <x:c r="C199" t="str">
        <x:v>Perşembe</x:v>
      </x:c>
      <x:c r="D199" t="str">
        <x:v>Paragraf</x:v>
      </x:c>
      <x:c r="E199" t="str">
        <x:v>Paragraf</x:v>
      </x:c>
      <x:c r="F199" t="n">
        <x:v>25</x:v>
      </x:c>
      <x:c r="G199" t="n">
        <x:v>20</x:v>
      </x:c>
      <x:c r="H199"/>
      <x:c r="I199"/>
      <x:c r="J199"/>
      <x:c r="K199" s="18"/>
      <x:c r="L199" s="20" t="str">
        <x:f>IF(OR(K199="",G199=0),"",K199*86400/G199)</x:f>
      </x:c>
      <x:c r="M199" s="22" t="str">
        <x:f>IF(SUM(H199:J199)=0,"",H199/SUM(H199:J199))</x:f>
      </x:c>
      <x:c r="N199" t="n">
        <x:v>5</x:v>
      </x:c>
      <x:c r="O199" t="str">
        <x:f>IF(SUM(H199:J199)=0,"",SUM(H199:J199)+IF(N199="",0,N199))</x:f>
      </x:c>
      <x:c r="P199" t="str"/>
    </x:row>
    <x:row r="200">
      <x:c r="A200" s="12" t="n">
        <x:v>46395</x:v>
      </x:c>
      <x:c r="B200" t="n">
        <x:v>100</x:v>
      </x:c>
      <x:c r="C200" t="str">
        <x:v>Cuma</x:v>
      </x:c>
      <x:c r="D200" t="str">
        <x:v>Matematik</x:v>
      </x:c>
      <x:c r="E200" t="str">
        <x:v>Eşitsizlikler</x:v>
      </x:c>
      <x:c r="F200" t="n">
        <x:v>25</x:v>
      </x:c>
      <x:c r="G200" t="n">
        <x:v>20</x:v>
      </x:c>
      <x:c r="H200"/>
      <x:c r="I200"/>
      <x:c r="J200"/>
      <x:c r="K200" s="18"/>
      <x:c r="L200" s="20" t="str">
        <x:f>IF(OR(K200="",G200=0),"",K200*86400/G200)</x:f>
      </x:c>
      <x:c r="M200" s="22" t="str">
        <x:f>IF(SUM(H200:J200)=0,"",H200/SUM(H200:J200))</x:f>
      </x:c>
      <x:c r="N200" t="n">
        <x:v>5</x:v>
      </x:c>
      <x:c r="O200" t="str">
        <x:f>IF(SUM(H200:J200)=0,"",SUM(H200:J200)+IF(N200="",0,N200))</x:f>
      </x:c>
      <x:c r="P200" t="str"/>
    </x:row>
    <x:row r="201">
      <x:c r="A201" s="12" t="n">
        <x:v>46395</x:v>
      </x:c>
      <x:c r="B201" t="n">
        <x:v>100</x:v>
      </x:c>
      <x:c r="C201" t="str">
        <x:v>Cuma</x:v>
      </x:c>
      <x:c r="D201" t="str">
        <x:v>Paragraf</x:v>
      </x:c>
      <x:c r="E201" t="str">
        <x:v>Paragraf</x:v>
      </x:c>
      <x:c r="F201" t="n">
        <x:v>25</x:v>
      </x:c>
      <x:c r="G201" t="n">
        <x:v>20</x:v>
      </x:c>
      <x:c r="H201"/>
      <x:c r="I201"/>
      <x:c r="J201"/>
      <x:c r="K201" s="18"/>
      <x:c r="L201" s="20" t="str">
        <x:f>IF(OR(K201="",G201=0),"",K201*86400/G201)</x:f>
      </x:c>
      <x:c r="M201" s="22" t="str">
        <x:f>IF(SUM(H201:J201)=0,"",H201/SUM(H201:J201))</x:f>
      </x:c>
      <x:c r="N201" t="n">
        <x:v>5</x:v>
      </x:c>
      <x:c r="O201" t="str">
        <x:f>IF(SUM(H201:J201)=0,"",SUM(H201:J201)+IF(N201="",0,N201))</x:f>
      </x:c>
      <x:c r="P201" t="str"/>
    </x:row>
    <x:row r="202">
      <x:c r="A202" s="12" t="n">
        <x:v>46396</x:v>
      </x:c>
      <x:c r="B202" t="n">
        <x:v>101</x:v>
      </x:c>
      <x:c r="C202" t="str">
        <x:v>Cumartesi</x:v>
      </x:c>
      <x:c r="D202" t="str">
        <x:v>Matematik</x:v>
      </x:c>
      <x:c r="E202" t="str">
        <x:v>Eşitsizlikler</x:v>
      </x:c>
      <x:c r="F202" t="n">
        <x:v>25</x:v>
      </x:c>
      <x:c r="G202" t="n">
        <x:v>20</x:v>
      </x:c>
      <x:c r="H202"/>
      <x:c r="I202"/>
      <x:c r="J202"/>
      <x:c r="K202" s="18"/>
      <x:c r="L202" s="20" t="str">
        <x:f>IF(OR(K202="",G202=0),"",K202*86400/G202)</x:f>
      </x:c>
      <x:c r="M202" s="22" t="str">
        <x:f>IF(SUM(H202:J202)=0,"",H202/SUM(H202:J202))</x:f>
      </x:c>
      <x:c r="N202" t="n">
        <x:v>5</x:v>
      </x:c>
      <x:c r="O202" t="str">
        <x:f>IF(SUM(H202:J202)=0,"",SUM(H202:J202)+IF(N202="",0,N202))</x:f>
      </x:c>
      <x:c r="P202" t="str"/>
    </x:row>
    <x:row r="203">
      <x:c r="A203" s="12" t="n">
        <x:v>46396</x:v>
      </x:c>
      <x:c r="B203" t="n">
        <x:v>101</x:v>
      </x:c>
      <x:c r="C203" t="str">
        <x:v>Cumartesi</x:v>
      </x:c>
      <x:c r="D203" t="str">
        <x:v>Paragraf</x:v>
      </x:c>
      <x:c r="E203" t="str">
        <x:v>Paragraf</x:v>
      </x:c>
      <x:c r="F203" t="n">
        <x:v>25</x:v>
      </x:c>
      <x:c r="G203" t="n">
        <x:v>20</x:v>
      </x:c>
      <x:c r="H203"/>
      <x:c r="I203"/>
      <x:c r="J203"/>
      <x:c r="K203" s="18"/>
      <x:c r="L203" s="20" t="str">
        <x:f>IF(OR(K203="",G203=0),"",K203*86400/G203)</x:f>
      </x:c>
      <x:c r="M203" s="22" t="str">
        <x:f>IF(SUM(H203:J203)=0,"",H203/SUM(H203:J203))</x:f>
      </x:c>
      <x:c r="N203" t="n">
        <x:v>5</x:v>
      </x:c>
      <x:c r="O203" t="str">
        <x:f>IF(SUM(H203:J203)=0,"",SUM(H203:J203)+IF(N203="",0,N203))</x:f>
      </x:c>
      <x:c r="P203" t="str"/>
    </x:row>
    <x:row r="204">
      <x:c r="A204" s="12" t="n">
        <x:v>46397</x:v>
      </x:c>
      <x:c r="B204" t="n">
        <x:v>102</x:v>
      </x:c>
      <x:c r="C204" t="str">
        <x:v>Pazar</x:v>
      </x:c>
      <x:c r="D204" t="str">
        <x:v>Matematik</x:v>
      </x:c>
      <x:c r="E204" t="str">
        <x:v>Eşitsizlikler</x:v>
      </x:c>
      <x:c r="F204" t="n">
        <x:v>25</x:v>
      </x:c>
      <x:c r="G204" t="n">
        <x:v>20</x:v>
      </x:c>
      <x:c r="H204"/>
      <x:c r="I204"/>
      <x:c r="J204"/>
      <x:c r="K204" s="18"/>
      <x:c r="L204" s="20" t="str">
        <x:f>IF(OR(K204="",G204=0),"",K204*86400/G204)</x:f>
      </x:c>
      <x:c r="M204" s="22" t="str">
        <x:f>IF(SUM(H204:J204)=0,"",H204/SUM(H204:J204))</x:f>
      </x:c>
      <x:c r="N204" t="n">
        <x:v>5</x:v>
      </x:c>
      <x:c r="O204" t="str">
        <x:f>IF(SUM(H204:J204)=0,"",SUM(H204:J204)+IF(N204="",0,N204))</x:f>
      </x:c>
      <x:c r="P204" t="str"/>
    </x:row>
    <x:row r="205">
      <x:c r="A205" s="12" t="n">
        <x:v>46397</x:v>
      </x:c>
      <x:c r="B205" t="n">
        <x:v>102</x:v>
      </x:c>
      <x:c r="C205" t="str">
        <x:v>Pazar</x:v>
      </x:c>
      <x:c r="D205" t="str">
        <x:v>Paragraf</x:v>
      </x:c>
      <x:c r="E205" t="str">
        <x:v>Paragraf</x:v>
      </x:c>
      <x:c r="F205" t="n">
        <x:v>25</x:v>
      </x:c>
      <x:c r="G205" t="n">
        <x:v>20</x:v>
      </x:c>
      <x:c r="H205"/>
      <x:c r="I205"/>
      <x:c r="J205"/>
      <x:c r="K205" s="18"/>
      <x:c r="L205" s="20" t="str">
        <x:f>IF(OR(K205="",G205=0),"",K205*86400/G205)</x:f>
      </x:c>
      <x:c r="M205" s="22" t="str">
        <x:f>IF(SUM(H205:J205)=0,"",H205/SUM(H205:J205))</x:f>
      </x:c>
      <x:c r="N205" t="n">
        <x:v>5</x:v>
      </x:c>
      <x:c r="O205" t="str">
        <x:f>IF(SUM(H205:J205)=0,"",SUM(H205:J205)+IF(N205="",0,N205))</x:f>
      </x:c>
      <x:c r="P205" t="str"/>
    </x:row>
    <x:row r="206">
      <x:c r="A206" s="12" t="n">
        <x:v>46398</x:v>
      </x:c>
      <x:c r="B206" t="n">
        <x:v>103</x:v>
      </x:c>
      <x:c r="C206" t="str">
        <x:v>Pazartesi</x:v>
      </x:c>
      <x:c r="D206" t="str">
        <x:v>Matematik</x:v>
      </x:c>
      <x:c r="E206" t="str">
        <x:v>Eşitsizlikler</x:v>
      </x:c>
      <x:c r="F206" t="n">
        <x:v>25</x:v>
      </x:c>
      <x:c r="G206" t="n">
        <x:v>20</x:v>
      </x:c>
      <x:c r="H206"/>
      <x:c r="I206"/>
      <x:c r="J206"/>
      <x:c r="K206" s="18"/>
      <x:c r="L206" s="20" t="str">
        <x:f>IF(OR(K206="",G206=0),"",K206*86400/G206)</x:f>
      </x:c>
      <x:c r="M206" s="22" t="str">
        <x:f>IF(SUM(H206:J206)=0,"",H206/SUM(H206:J206))</x:f>
      </x:c>
      <x:c r="N206" t="n">
        <x:v>5</x:v>
      </x:c>
      <x:c r="O206" t="str">
        <x:f>IF(SUM(H206:J206)=0,"",SUM(H206:J206)+IF(N206="",0,N206))</x:f>
      </x:c>
      <x:c r="P206" t="str"/>
    </x:row>
    <x:row r="207">
      <x:c r="A207" s="12" t="n">
        <x:v>46398</x:v>
      </x:c>
      <x:c r="B207" t="n">
        <x:v>103</x:v>
      </x:c>
      <x:c r="C207" t="str">
        <x:v>Pazartesi</x:v>
      </x:c>
      <x:c r="D207" t="str">
        <x:v>Paragraf</x:v>
      </x:c>
      <x:c r="E207" t="str">
        <x:v>Paragraf</x:v>
      </x:c>
      <x:c r="F207" t="n">
        <x:v>25</x:v>
      </x:c>
      <x:c r="G207" t="n">
        <x:v>20</x:v>
      </x:c>
      <x:c r="H207"/>
      <x:c r="I207"/>
      <x:c r="J207"/>
      <x:c r="K207" s="18"/>
      <x:c r="L207" s="20" t="str">
        <x:f>IF(OR(K207="",G207=0),"",K207*86400/G207)</x:f>
      </x:c>
      <x:c r="M207" s="22" t="str">
        <x:f>IF(SUM(H207:J207)=0,"",H207/SUM(H207:J207))</x:f>
      </x:c>
      <x:c r="N207" t="n">
        <x:v>5</x:v>
      </x:c>
      <x:c r="O207" t="str">
        <x:f>IF(SUM(H207:J207)=0,"",SUM(H207:J207)+IF(N207="",0,N207))</x:f>
      </x:c>
      <x:c r="P207" t="str"/>
    </x:row>
    <x:row r="208">
      <x:c r="A208" s="12" t="n">
        <x:v>46399</x:v>
      </x:c>
      <x:c r="B208" t="n">
        <x:v>104</x:v>
      </x:c>
      <x:c r="C208" t="str">
        <x:v>Salı</x:v>
      </x:c>
      <x:c r="D208" t="str">
        <x:v>Matematik</x:v>
      </x:c>
      <x:c r="E208" t="str">
        <x:v>Üçgenler</x:v>
      </x:c>
      <x:c r="F208" t="n">
        <x:v>25</x:v>
      </x:c>
      <x:c r="G208" t="n">
        <x:v>20</x:v>
      </x:c>
      <x:c r="H208"/>
      <x:c r="I208"/>
      <x:c r="J208"/>
      <x:c r="K208" s="18"/>
      <x:c r="L208" s="20" t="str">
        <x:f>IF(OR(K208="",G208=0),"",K208*86400/G208)</x:f>
      </x:c>
      <x:c r="M208" s="22" t="str">
        <x:f>IF(SUM(H208:J208)=0,"",H208/SUM(H208:J208))</x:f>
      </x:c>
      <x:c r="N208" t="n">
        <x:v>5</x:v>
      </x:c>
      <x:c r="O208" t="str">
        <x:f>IF(SUM(H208:J208)=0,"",SUM(H208:J208)+IF(N208="",0,N208))</x:f>
      </x:c>
      <x:c r="P208" t="str"/>
    </x:row>
    <x:row r="209">
      <x:c r="A209" s="12" t="n">
        <x:v>46399</x:v>
      </x:c>
      <x:c r="B209" t="n">
        <x:v>104</x:v>
      </x:c>
      <x:c r="C209" t="str">
        <x:v>Salı</x:v>
      </x:c>
      <x:c r="D209" t="str">
        <x:v>Paragraf</x:v>
      </x:c>
      <x:c r="E209" t="str">
        <x:v>Paragraf</x:v>
      </x:c>
      <x:c r="F209" t="n">
        <x:v>25</x:v>
      </x:c>
      <x:c r="G209" t="n">
        <x:v>20</x:v>
      </x:c>
      <x:c r="H209"/>
      <x:c r="I209"/>
      <x:c r="J209"/>
      <x:c r="K209" s="18"/>
      <x:c r="L209" s="20" t="str">
        <x:f>IF(OR(K209="",G209=0),"",K209*86400/G209)</x:f>
      </x:c>
      <x:c r="M209" s="22" t="str">
        <x:f>IF(SUM(H209:J209)=0,"",H209/SUM(H209:J209))</x:f>
      </x:c>
      <x:c r="N209" t="n">
        <x:v>5</x:v>
      </x:c>
      <x:c r="O209" t="str">
        <x:f>IF(SUM(H209:J209)=0,"",SUM(H209:J209)+IF(N209="",0,N209))</x:f>
      </x:c>
      <x:c r="P209" t="str"/>
    </x:row>
    <x:row r="210">
      <x:c r="A210" s="12" t="n">
        <x:v>46400</x:v>
      </x:c>
      <x:c r="B210" t="n">
        <x:v>105</x:v>
      </x:c>
      <x:c r="C210" t="str">
        <x:v>Çarşamba</x:v>
      </x:c>
      <x:c r="D210" t="str">
        <x:v>Matematik</x:v>
      </x:c>
      <x:c r="E210" t="str">
        <x:v>Üçgenler</x:v>
      </x:c>
      <x:c r="F210" t="n">
        <x:v>25</x:v>
      </x:c>
      <x:c r="G210" t="n">
        <x:v>20</x:v>
      </x:c>
      <x:c r="H210"/>
      <x:c r="I210"/>
      <x:c r="J210"/>
      <x:c r="K210" s="18"/>
      <x:c r="L210" s="20" t="str">
        <x:f>IF(OR(K210="",G210=0),"",K210*86400/G210)</x:f>
      </x:c>
      <x:c r="M210" s="22" t="str">
        <x:f>IF(SUM(H210:J210)=0,"",H210/SUM(H210:J210))</x:f>
      </x:c>
      <x:c r="N210" t="n">
        <x:v>5</x:v>
      </x:c>
      <x:c r="O210" t="str">
        <x:f>IF(SUM(H210:J210)=0,"",SUM(H210:J210)+IF(N210="",0,N210))</x:f>
      </x:c>
      <x:c r="P210" t="str"/>
    </x:row>
    <x:row r="211">
      <x:c r="A211" s="12" t="n">
        <x:v>46400</x:v>
      </x:c>
      <x:c r="B211" t="n">
        <x:v>105</x:v>
      </x:c>
      <x:c r="C211" t="str">
        <x:v>Çarşamba</x:v>
      </x:c>
      <x:c r="D211" t="str">
        <x:v>Paragraf</x:v>
      </x:c>
      <x:c r="E211" t="str">
        <x:v>Paragraf</x:v>
      </x:c>
      <x:c r="F211" t="n">
        <x:v>25</x:v>
      </x:c>
      <x:c r="G211" t="n">
        <x:v>20</x:v>
      </x:c>
      <x:c r="H211"/>
      <x:c r="I211"/>
      <x:c r="J211"/>
      <x:c r="K211" s="18"/>
      <x:c r="L211" s="20" t="str">
        <x:f>IF(OR(K211="",G211=0),"",K211*86400/G211)</x:f>
      </x:c>
      <x:c r="M211" s="22" t="str">
        <x:f>IF(SUM(H211:J211)=0,"",H211/SUM(H211:J211))</x:f>
      </x:c>
      <x:c r="N211" t="n">
        <x:v>5</x:v>
      </x:c>
      <x:c r="O211" t="str">
        <x:f>IF(SUM(H211:J211)=0,"",SUM(H211:J211)+IF(N211="",0,N211))</x:f>
      </x:c>
      <x:c r="P211" t="str"/>
    </x:row>
    <x:row r="212">
      <x:c r="A212" s="12" t="n">
        <x:v>46401</x:v>
      </x:c>
      <x:c r="B212" t="n">
        <x:v>106</x:v>
      </x:c>
      <x:c r="C212" t="str">
        <x:v>Perşembe</x:v>
      </x:c>
      <x:c r="D212" t="str">
        <x:v>Matematik</x:v>
      </x:c>
      <x:c r="E212" t="str">
        <x:v>Üçgenler</x:v>
      </x:c>
      <x:c r="F212" t="n">
        <x:v>25</x:v>
      </x:c>
      <x:c r="G212" t="n">
        <x:v>20</x:v>
      </x:c>
      <x:c r="H212"/>
      <x:c r="I212"/>
      <x:c r="J212"/>
      <x:c r="K212" s="18"/>
      <x:c r="L212" s="20" t="str">
        <x:f>IF(OR(K212="",G212=0),"",K212*86400/G212)</x:f>
      </x:c>
      <x:c r="M212" s="22" t="str">
        <x:f>IF(SUM(H212:J212)=0,"",H212/SUM(H212:J212))</x:f>
      </x:c>
      <x:c r="N212" t="n">
        <x:v>5</x:v>
      </x:c>
      <x:c r="O212" t="str">
        <x:f>IF(SUM(H212:J212)=0,"",SUM(H212:J212)+IF(N212="",0,N212))</x:f>
      </x:c>
      <x:c r="P212" t="str"/>
    </x:row>
    <x:row r="213">
      <x:c r="A213" s="12" t="n">
        <x:v>46401</x:v>
      </x:c>
      <x:c r="B213" t="n">
        <x:v>106</x:v>
      </x:c>
      <x:c r="C213" t="str">
        <x:v>Perşembe</x:v>
      </x:c>
      <x:c r="D213" t="str">
        <x:v>Paragraf</x:v>
      </x:c>
      <x:c r="E213" t="str">
        <x:v>Paragraf</x:v>
      </x:c>
      <x:c r="F213" t="n">
        <x:v>25</x:v>
      </x:c>
      <x:c r="G213" t="n">
        <x:v>20</x:v>
      </x:c>
      <x:c r="H213"/>
      <x:c r="I213"/>
      <x:c r="J213"/>
      <x:c r="K213" s="18"/>
      <x:c r="L213" s="20" t="str">
        <x:f>IF(OR(K213="",G213=0),"",K213*86400/G213)</x:f>
      </x:c>
      <x:c r="M213" s="22" t="str">
        <x:f>IF(SUM(H213:J213)=0,"",H213/SUM(H213:J213))</x:f>
      </x:c>
      <x:c r="N213" t="n">
        <x:v>5</x:v>
      </x:c>
      <x:c r="O213" t="str">
        <x:f>IF(SUM(H213:J213)=0,"",SUM(H213:J213)+IF(N213="",0,N213))</x:f>
      </x:c>
      <x:c r="P213" t="str"/>
    </x:row>
    <x:row r="214">
      <x:c r="A214" s="12" t="n">
        <x:v>46402</x:v>
      </x:c>
      <x:c r="B214" t="n">
        <x:v>107</x:v>
      </x:c>
      <x:c r="C214" t="str">
        <x:v>Cuma</x:v>
      </x:c>
      <x:c r="D214" t="str">
        <x:v>Matematik</x:v>
      </x:c>
      <x:c r="E214" t="str">
        <x:v>Üçgenler</x:v>
      </x:c>
      <x:c r="F214" t="n">
        <x:v>25</x:v>
      </x:c>
      <x:c r="G214" t="n">
        <x:v>20</x:v>
      </x:c>
      <x:c r="H214"/>
      <x:c r="I214"/>
      <x:c r="J214"/>
      <x:c r="K214" s="18"/>
      <x:c r="L214" s="20" t="str">
        <x:f>IF(OR(K214="",G214=0),"",K214*86400/G214)</x:f>
      </x:c>
      <x:c r="M214" s="22" t="str">
        <x:f>IF(SUM(H214:J214)=0,"",H214/SUM(H214:J214))</x:f>
      </x:c>
      <x:c r="N214" t="n">
        <x:v>5</x:v>
      </x:c>
      <x:c r="O214" t="str">
        <x:f>IF(SUM(H214:J214)=0,"",SUM(H214:J214)+IF(N214="",0,N214))</x:f>
      </x:c>
      <x:c r="P214" t="str"/>
    </x:row>
    <x:row r="215">
      <x:c r="A215" s="12" t="n">
        <x:v>46402</x:v>
      </x:c>
      <x:c r="B215" t="n">
        <x:v>107</x:v>
      </x:c>
      <x:c r="C215" t="str">
        <x:v>Cuma</x:v>
      </x:c>
      <x:c r="D215" t="str">
        <x:v>Paragraf</x:v>
      </x:c>
      <x:c r="E215" t="str">
        <x:v>Paragraf</x:v>
      </x:c>
      <x:c r="F215" t="n">
        <x:v>25</x:v>
      </x:c>
      <x:c r="G215" t="n">
        <x:v>20</x:v>
      </x:c>
      <x:c r="H215"/>
      <x:c r="I215"/>
      <x:c r="J215"/>
      <x:c r="K215" s="18"/>
      <x:c r="L215" s="20" t="str">
        <x:f>IF(OR(K215="",G215=0),"",K215*86400/G215)</x:f>
      </x:c>
      <x:c r="M215" s="22" t="str">
        <x:f>IF(SUM(H215:J215)=0,"",H215/SUM(H215:J215))</x:f>
      </x:c>
      <x:c r="N215" t="n">
        <x:v>5</x:v>
      </x:c>
      <x:c r="O215" t="str">
        <x:f>IF(SUM(H215:J215)=0,"",SUM(H215:J215)+IF(N215="",0,N215))</x:f>
      </x:c>
      <x:c r="P215" t="str"/>
    </x:row>
    <x:row r="216">
      <x:c r="A216" s="12" t="n">
        <x:v>46403</x:v>
      </x:c>
      <x:c r="B216" t="n">
        <x:v>108</x:v>
      </x:c>
      <x:c r="C216" t="str">
        <x:v>Cumartesi</x:v>
      </x:c>
      <x:c r="D216" t="str">
        <x:v>Matematik</x:v>
      </x:c>
      <x:c r="E216" t="str">
        <x:v>Üçgenler</x:v>
      </x:c>
      <x:c r="F216" t="n">
        <x:v>25</x:v>
      </x:c>
      <x:c r="G216" t="n">
        <x:v>20</x:v>
      </x:c>
      <x:c r="H216"/>
      <x:c r="I216"/>
      <x:c r="J216"/>
      <x:c r="K216" s="18"/>
      <x:c r="L216" s="20" t="str">
        <x:f>IF(OR(K216="",G216=0),"",K216*86400/G216)</x:f>
      </x:c>
      <x:c r="M216" s="22" t="str">
        <x:f>IF(SUM(H216:J216)=0,"",H216/SUM(H216:J216))</x:f>
      </x:c>
      <x:c r="N216" t="n">
        <x:v>5</x:v>
      </x:c>
      <x:c r="O216" t="str">
        <x:f>IF(SUM(H216:J216)=0,"",SUM(H216:J216)+IF(N216="",0,N216))</x:f>
      </x:c>
      <x:c r="P216" t="str"/>
    </x:row>
    <x:row r="217">
      <x:c r="A217" s="12" t="n">
        <x:v>46403</x:v>
      </x:c>
      <x:c r="B217" t="n">
        <x:v>108</x:v>
      </x:c>
      <x:c r="C217" t="str">
        <x:v>Cumartesi</x:v>
      </x:c>
      <x:c r="D217" t="str">
        <x:v>Paragraf</x:v>
      </x:c>
      <x:c r="E217" t="str">
        <x:v>Paragraf</x:v>
      </x:c>
      <x:c r="F217" t="n">
        <x:v>25</x:v>
      </x:c>
      <x:c r="G217" t="n">
        <x:v>20</x:v>
      </x:c>
      <x:c r="H217"/>
      <x:c r="I217"/>
      <x:c r="J217"/>
      <x:c r="K217" s="18"/>
      <x:c r="L217" s="20" t="str">
        <x:f>IF(OR(K217="",G217=0),"",K217*86400/G217)</x:f>
      </x:c>
      <x:c r="M217" s="22" t="str">
        <x:f>IF(SUM(H217:J217)=0,"",H217/SUM(H217:J217))</x:f>
      </x:c>
      <x:c r="N217" t="n">
        <x:v>5</x:v>
      </x:c>
      <x:c r="O217" t="str">
        <x:f>IF(SUM(H217:J217)=0,"",SUM(H217:J217)+IF(N217="",0,N217))</x:f>
      </x:c>
      <x:c r="P217" t="str"/>
    </x:row>
    <x:row r="218">
      <x:c r="A218" s="12" t="n">
        <x:v>46404</x:v>
      </x:c>
      <x:c r="B218" t="n">
        <x:v>109</x:v>
      </x:c>
      <x:c r="C218" t="str">
        <x:v>Pazar</x:v>
      </x:c>
      <x:c r="D218" t="str">
        <x:v>Matematik</x:v>
      </x:c>
      <x:c r="E218" t="str">
        <x:v>Eşlik ve Benzerlik</x:v>
      </x:c>
      <x:c r="F218" t="n">
        <x:v>25</x:v>
      </x:c>
      <x:c r="G218" t="n">
        <x:v>20</x:v>
      </x:c>
      <x:c r="H218"/>
      <x:c r="I218"/>
      <x:c r="J218"/>
      <x:c r="K218" s="18"/>
      <x:c r="L218" s="20" t="str">
        <x:f>IF(OR(K218="",G218=0),"",K218*86400/G218)</x:f>
      </x:c>
      <x:c r="M218" s="22" t="str">
        <x:f>IF(SUM(H218:J218)=0,"",H218/SUM(H218:J218))</x:f>
      </x:c>
      <x:c r="N218" t="n">
        <x:v>5</x:v>
      </x:c>
      <x:c r="O218" t="str">
        <x:f>IF(SUM(H218:J218)=0,"",SUM(H218:J218)+IF(N218="",0,N218))</x:f>
      </x:c>
      <x:c r="P218" t="str"/>
    </x:row>
    <x:row r="219">
      <x:c r="A219" s="12" t="n">
        <x:v>46404</x:v>
      </x:c>
      <x:c r="B219" t="n">
        <x:v>109</x:v>
      </x:c>
      <x:c r="C219" t="str">
        <x:v>Pazar</x:v>
      </x:c>
      <x:c r="D219" t="str">
        <x:v>Paragraf</x:v>
      </x:c>
      <x:c r="E219" t="str">
        <x:v>Paragraf</x:v>
      </x:c>
      <x:c r="F219" t="n">
        <x:v>25</x:v>
      </x:c>
      <x:c r="G219" t="n">
        <x:v>20</x:v>
      </x:c>
      <x:c r="H219"/>
      <x:c r="I219"/>
      <x:c r="J219"/>
      <x:c r="K219" s="18"/>
      <x:c r="L219" s="20" t="str">
        <x:f>IF(OR(K219="",G219=0),"",K219*86400/G219)</x:f>
      </x:c>
      <x:c r="M219" s="22" t="str">
        <x:f>IF(SUM(H219:J219)=0,"",H219/SUM(H219:J219))</x:f>
      </x:c>
      <x:c r="N219" t="n">
        <x:v>5</x:v>
      </x:c>
      <x:c r="O219" t="str">
        <x:f>IF(SUM(H219:J219)=0,"",SUM(H219:J219)+IF(N219="",0,N219))</x:f>
      </x:c>
      <x:c r="P219" t="str"/>
    </x:row>
    <x:row r="220">
      <x:c r="A220" s="12" t="n">
        <x:v>46405</x:v>
      </x:c>
      <x:c r="B220" t="n">
        <x:v>110</x:v>
      </x:c>
      <x:c r="C220" t="str">
        <x:v>Pazartesi</x:v>
      </x:c>
      <x:c r="D220" t="str">
        <x:v>Matematik</x:v>
      </x:c>
      <x:c r="E220" t="str">
        <x:v>Eşlik ve Benzerlik</x:v>
      </x:c>
      <x:c r="F220" t="n">
        <x:v>25</x:v>
      </x:c>
      <x:c r="G220" t="n">
        <x:v>20</x:v>
      </x:c>
      <x:c r="H220"/>
      <x:c r="I220"/>
      <x:c r="J220"/>
      <x:c r="K220" s="18"/>
      <x:c r="L220" s="20" t="str">
        <x:f>IF(OR(K220="",G220=0),"",K220*86400/G220)</x:f>
      </x:c>
      <x:c r="M220" s="22" t="str">
        <x:f>IF(SUM(H220:J220)=0,"",H220/SUM(H220:J220))</x:f>
      </x:c>
      <x:c r="N220" t="n">
        <x:v>5</x:v>
      </x:c>
      <x:c r="O220" t="str">
        <x:f>IF(SUM(H220:J220)=0,"",SUM(H220:J220)+IF(N220="",0,N220))</x:f>
      </x:c>
      <x:c r="P220" t="str"/>
    </x:row>
    <x:row r="221">
      <x:c r="A221" s="12" t="n">
        <x:v>46405</x:v>
      </x:c>
      <x:c r="B221" t="n">
        <x:v>110</x:v>
      </x:c>
      <x:c r="C221" t="str">
        <x:v>Pazartesi</x:v>
      </x:c>
      <x:c r="D221" t="str">
        <x:v>Paragraf</x:v>
      </x:c>
      <x:c r="E221" t="str">
        <x:v>Paragraf</x:v>
      </x:c>
      <x:c r="F221" t="n">
        <x:v>25</x:v>
      </x:c>
      <x:c r="G221" t="n">
        <x:v>20</x:v>
      </x:c>
      <x:c r="H221"/>
      <x:c r="I221"/>
      <x:c r="J221"/>
      <x:c r="K221" s="18"/>
      <x:c r="L221" s="20" t="str">
        <x:f>IF(OR(K221="",G221=0),"",K221*86400/G221)</x:f>
      </x:c>
      <x:c r="M221" s="22" t="str">
        <x:f>IF(SUM(H221:J221)=0,"",H221/SUM(H221:J221))</x:f>
      </x:c>
      <x:c r="N221" t="n">
        <x:v>5</x:v>
      </x:c>
      <x:c r="O221" t="str">
        <x:f>IF(SUM(H221:J221)=0,"",SUM(H221:J221)+IF(N221="",0,N221))</x:f>
      </x:c>
      <x:c r="P221" t="str"/>
    </x:row>
    <x:row r="222">
      <x:c r="A222" s="12" t="n">
        <x:v>46406</x:v>
      </x:c>
      <x:c r="B222" t="n">
        <x:v>111</x:v>
      </x:c>
      <x:c r="C222" t="str">
        <x:v>Salı</x:v>
      </x:c>
      <x:c r="D222" t="str">
        <x:v>Matematik</x:v>
      </x:c>
      <x:c r="E222" t="str">
        <x:v>Eşlik ve Benzerlik</x:v>
      </x:c>
      <x:c r="F222" t="n">
        <x:v>25</x:v>
      </x:c>
      <x:c r="G222" t="n">
        <x:v>20</x:v>
      </x:c>
      <x:c r="H222"/>
      <x:c r="I222"/>
      <x:c r="J222"/>
      <x:c r="K222" s="18"/>
      <x:c r="L222" s="20" t="str">
        <x:f>IF(OR(K222="",G222=0),"",K222*86400/G222)</x:f>
      </x:c>
      <x:c r="M222" s="22" t="str">
        <x:f>IF(SUM(H222:J222)=0,"",H222/SUM(H222:J222))</x:f>
      </x:c>
      <x:c r="N222" t="n">
        <x:v>5</x:v>
      </x:c>
      <x:c r="O222" t="str">
        <x:f>IF(SUM(H222:J222)=0,"",SUM(H222:J222)+IF(N222="",0,N222))</x:f>
      </x:c>
      <x:c r="P222" t="str"/>
    </x:row>
    <x:row r="223">
      <x:c r="A223" s="12" t="n">
        <x:v>46406</x:v>
      </x:c>
      <x:c r="B223" t="n">
        <x:v>111</x:v>
      </x:c>
      <x:c r="C223" t="str">
        <x:v>Salı</x:v>
      </x:c>
      <x:c r="D223" t="str">
        <x:v>Paragraf</x:v>
      </x:c>
      <x:c r="E223" t="str">
        <x:v>Paragraf</x:v>
      </x:c>
      <x:c r="F223" t="n">
        <x:v>25</x:v>
      </x:c>
      <x:c r="G223" t="n">
        <x:v>20</x:v>
      </x:c>
      <x:c r="H223"/>
      <x:c r="I223"/>
      <x:c r="J223"/>
      <x:c r="K223" s="18"/>
      <x:c r="L223" s="20" t="str">
        <x:f>IF(OR(K223="",G223=0),"",K223*86400/G223)</x:f>
      </x:c>
      <x:c r="M223" s="22" t="str">
        <x:f>IF(SUM(H223:J223)=0,"",H223/SUM(H223:J223))</x:f>
      </x:c>
      <x:c r="N223" t="n">
        <x:v>5</x:v>
      </x:c>
      <x:c r="O223" t="str">
        <x:f>IF(SUM(H223:J223)=0,"",SUM(H223:J223)+IF(N223="",0,N223))</x:f>
      </x:c>
      <x:c r="P223" t="str"/>
    </x:row>
    <x:row r="224">
      <x:c r="A224" s="12" t="n">
        <x:v>46407</x:v>
      </x:c>
      <x:c r="B224" t="n">
        <x:v>112</x:v>
      </x:c>
      <x:c r="C224" t="str">
        <x:v>Çarşamba</x:v>
      </x:c>
      <x:c r="D224" t="str">
        <x:v>Matematik</x:v>
      </x:c>
      <x:c r="E224" t="str">
        <x:v>Eşlik ve Benzerlik</x:v>
      </x:c>
      <x:c r="F224" t="n">
        <x:v>25</x:v>
      </x:c>
      <x:c r="G224" t="n">
        <x:v>20</x:v>
      </x:c>
      <x:c r="H224"/>
      <x:c r="I224"/>
      <x:c r="J224"/>
      <x:c r="K224" s="18"/>
      <x:c r="L224" s="20" t="str">
        <x:f>IF(OR(K224="",G224=0),"",K224*86400/G224)</x:f>
      </x:c>
      <x:c r="M224" s="22" t="str">
        <x:f>IF(SUM(H224:J224)=0,"",H224/SUM(H224:J224))</x:f>
      </x:c>
      <x:c r="N224" t="n">
        <x:v>5</x:v>
      </x:c>
      <x:c r="O224" t="str">
        <x:f>IF(SUM(H224:J224)=0,"",SUM(H224:J224)+IF(N224="",0,N224))</x:f>
      </x:c>
      <x:c r="P224" t="str"/>
    </x:row>
    <x:row r="225">
      <x:c r="A225" s="12" t="n">
        <x:v>46407</x:v>
      </x:c>
      <x:c r="B225" t="n">
        <x:v>112</x:v>
      </x:c>
      <x:c r="C225" t="str">
        <x:v>Çarşamba</x:v>
      </x:c>
      <x:c r="D225" t="str">
        <x:v>Paragraf</x:v>
      </x:c>
      <x:c r="E225" t="str">
        <x:v>Paragraf</x:v>
      </x:c>
      <x:c r="F225" t="n">
        <x:v>25</x:v>
      </x:c>
      <x:c r="G225" t="n">
        <x:v>20</x:v>
      </x:c>
      <x:c r="H225"/>
      <x:c r="I225"/>
      <x:c r="J225"/>
      <x:c r="K225" s="18"/>
      <x:c r="L225" s="20" t="str">
        <x:f>IF(OR(K225="",G225=0),"",K225*86400/G225)</x:f>
      </x:c>
      <x:c r="M225" s="22" t="str">
        <x:f>IF(SUM(H225:J225)=0,"",H225/SUM(H225:J225))</x:f>
      </x:c>
      <x:c r="N225" t="n">
        <x:v>5</x:v>
      </x:c>
      <x:c r="O225" t="str">
        <x:f>IF(SUM(H225:J225)=0,"",SUM(H225:J225)+IF(N225="",0,N225))</x:f>
      </x:c>
      <x:c r="P225" t="str"/>
    </x:row>
    <x:row r="226">
      <x:c r="A226" s="12" t="n">
        <x:v>46408</x:v>
      </x:c>
      <x:c r="B226" t="n">
        <x:v>113</x:v>
      </x:c>
      <x:c r="C226" t="str">
        <x:v>Perşembe</x:v>
      </x:c>
      <x:c r="D226" t="str">
        <x:v>Matematik</x:v>
      </x:c>
      <x:c r="E226" t="str">
        <x:v>Dönüşüm Geometrisi</x:v>
      </x:c>
      <x:c r="F226" t="n">
        <x:v>25</x:v>
      </x:c>
      <x:c r="G226" t="n">
        <x:v>20</x:v>
      </x:c>
      <x:c r="H226"/>
      <x:c r="I226"/>
      <x:c r="J226"/>
      <x:c r="K226" s="18"/>
      <x:c r="L226" s="20" t="str">
        <x:f>IF(OR(K226="",G226=0),"",K226*86400/G226)</x:f>
      </x:c>
      <x:c r="M226" s="22" t="str">
        <x:f>IF(SUM(H226:J226)=0,"",H226/SUM(H226:J226))</x:f>
      </x:c>
      <x:c r="N226" t="n">
        <x:v>5</x:v>
      </x:c>
      <x:c r="O226" t="str">
        <x:f>IF(SUM(H226:J226)=0,"",SUM(H226:J226)+IF(N226="",0,N226))</x:f>
      </x:c>
      <x:c r="P226" t="str"/>
    </x:row>
    <x:row r="227">
      <x:c r="A227" s="12" t="n">
        <x:v>46408</x:v>
      </x:c>
      <x:c r="B227" t="n">
        <x:v>113</x:v>
      </x:c>
      <x:c r="C227" t="str">
        <x:v>Perşembe</x:v>
      </x:c>
      <x:c r="D227" t="str">
        <x:v>Paragraf</x:v>
      </x:c>
      <x:c r="E227" t="str">
        <x:v>Paragraf</x:v>
      </x:c>
      <x:c r="F227" t="n">
        <x:v>25</x:v>
      </x:c>
      <x:c r="G227" t="n">
        <x:v>20</x:v>
      </x:c>
      <x:c r="H227"/>
      <x:c r="I227"/>
      <x:c r="J227"/>
      <x:c r="K227" s="18"/>
      <x:c r="L227" s="20" t="str">
        <x:f>IF(OR(K227="",G227=0),"",K227*86400/G227)</x:f>
      </x:c>
      <x:c r="M227" s="22" t="str">
        <x:f>IF(SUM(H227:J227)=0,"",H227/SUM(H227:J227))</x:f>
      </x:c>
      <x:c r="N227" t="n">
        <x:v>5</x:v>
      </x:c>
      <x:c r="O227" t="str">
        <x:f>IF(SUM(H227:J227)=0,"",SUM(H227:J227)+IF(N227="",0,N227))</x:f>
      </x:c>
      <x:c r="P227" t="str"/>
    </x:row>
    <x:row r="228">
      <x:c r="A228" s="12" t="n">
        <x:v>46409</x:v>
      </x:c>
      <x:c r="B228" t="n">
        <x:v>114</x:v>
      </x:c>
      <x:c r="C228" t="str">
        <x:v>Cuma</x:v>
      </x:c>
      <x:c r="D228" t="str">
        <x:v>Matematik</x:v>
      </x:c>
      <x:c r="E228" t="str">
        <x:v>Dönüşüm Geometrisi</x:v>
      </x:c>
      <x:c r="F228" t="n">
        <x:v>25</x:v>
      </x:c>
      <x:c r="G228" t="n">
        <x:v>20</x:v>
      </x:c>
      <x:c r="H228"/>
      <x:c r="I228"/>
      <x:c r="J228"/>
      <x:c r="K228" s="18"/>
      <x:c r="L228" s="20" t="str">
        <x:f>IF(OR(K228="",G228=0),"",K228*86400/G228)</x:f>
      </x:c>
      <x:c r="M228" s="22" t="str">
        <x:f>IF(SUM(H228:J228)=0,"",H228/SUM(H228:J228))</x:f>
      </x:c>
      <x:c r="N228" t="n">
        <x:v>5</x:v>
      </x:c>
      <x:c r="O228" t="str">
        <x:f>IF(SUM(H228:J228)=0,"",SUM(H228:J228)+IF(N228="",0,N228))</x:f>
      </x:c>
      <x:c r="P228" t="str"/>
    </x:row>
    <x:row r="229">
      <x:c r="A229" s="12" t="n">
        <x:v>46409</x:v>
      </x:c>
      <x:c r="B229" t="n">
        <x:v>114</x:v>
      </x:c>
      <x:c r="C229" t="str">
        <x:v>Cuma</x:v>
      </x:c>
      <x:c r="D229" t="str">
        <x:v>Paragraf</x:v>
      </x:c>
      <x:c r="E229" t="str">
        <x:v>Paragraf</x:v>
      </x:c>
      <x:c r="F229" t="n">
        <x:v>25</x:v>
      </x:c>
      <x:c r="G229" t="n">
        <x:v>20</x:v>
      </x:c>
      <x:c r="H229"/>
      <x:c r="I229"/>
      <x:c r="J229"/>
      <x:c r="K229" s="18"/>
      <x:c r="L229" s="20" t="str">
        <x:f>IF(OR(K229="",G229=0),"",K229*86400/G229)</x:f>
      </x:c>
      <x:c r="M229" s="22" t="str">
        <x:f>IF(SUM(H229:J229)=0,"",H229/SUM(H229:J229))</x:f>
      </x:c>
      <x:c r="N229" t="n">
        <x:v>5</x:v>
      </x:c>
      <x:c r="O229" t="str">
        <x:f>IF(SUM(H229:J229)=0,"",SUM(H229:J229)+IF(N229="",0,N229))</x:f>
      </x:c>
      <x:c r="P229" t="str"/>
    </x:row>
    <x:row r="230">
      <x:c r="A230" s="12" t="n">
        <x:v>46410</x:v>
      </x:c>
      <x:c r="B230" t="n">
        <x:v>115</x:v>
      </x:c>
      <x:c r="C230" t="str">
        <x:v>Cumartesi</x:v>
      </x:c>
      <x:c r="D230" t="str">
        <x:v>Matematik</x:v>
      </x:c>
      <x:c r="E230" t="str">
        <x:v>Dönüşüm Geometrisi</x:v>
      </x:c>
      <x:c r="F230" t="n">
        <x:v>25</x:v>
      </x:c>
      <x:c r="G230" t="n">
        <x:v>20</x:v>
      </x:c>
      <x:c r="H230"/>
      <x:c r="I230"/>
      <x:c r="J230"/>
      <x:c r="K230" s="18"/>
      <x:c r="L230" s="20" t="str">
        <x:f>IF(OR(K230="",G230=0),"",K230*86400/G230)</x:f>
      </x:c>
      <x:c r="M230" s="22" t="str">
        <x:f>IF(SUM(H230:J230)=0,"",H230/SUM(H230:J230))</x:f>
      </x:c>
      <x:c r="N230" t="n">
        <x:v>5</x:v>
      </x:c>
      <x:c r="O230" t="str">
        <x:f>IF(SUM(H230:J230)=0,"",SUM(H230:J230)+IF(N230="",0,N230))</x:f>
      </x:c>
      <x:c r="P230" t="str"/>
    </x:row>
    <x:row r="231">
      <x:c r="A231" s="12" t="n">
        <x:v>46410</x:v>
      </x:c>
      <x:c r="B231" t="n">
        <x:v>115</x:v>
      </x:c>
      <x:c r="C231" t="str">
        <x:v>Cumartesi</x:v>
      </x:c>
      <x:c r="D231" t="str">
        <x:v>Paragraf</x:v>
      </x:c>
      <x:c r="E231" t="str">
        <x:v>Paragraf</x:v>
      </x:c>
      <x:c r="F231" t="n">
        <x:v>25</x:v>
      </x:c>
      <x:c r="G231" t="n">
        <x:v>20</x:v>
      </x:c>
      <x:c r="H231"/>
      <x:c r="I231"/>
      <x:c r="J231"/>
      <x:c r="K231" s="18"/>
      <x:c r="L231" s="20" t="str">
        <x:f>IF(OR(K231="",G231=0),"",K231*86400/G231)</x:f>
      </x:c>
      <x:c r="M231" s="22" t="str">
        <x:f>IF(SUM(H231:J231)=0,"",H231/SUM(H231:J231))</x:f>
      </x:c>
      <x:c r="N231" t="n">
        <x:v>5</x:v>
      </x:c>
      <x:c r="O231" t="str">
        <x:f>IF(SUM(H231:J231)=0,"",SUM(H231:J231)+IF(N231="",0,N231))</x:f>
      </x:c>
      <x:c r="P231" t="str"/>
    </x:row>
    <x:row r="232">
      <x:c r="A232" s="12" t="n">
        <x:v>46411</x:v>
      </x:c>
      <x:c r="B232" t="n">
        <x:v>116</x:v>
      </x:c>
      <x:c r="C232" t="str">
        <x:v>Pazar</x:v>
      </x:c>
      <x:c r="D232" t="str">
        <x:v>Matematik</x:v>
      </x:c>
      <x:c r="E232" t="str">
        <x:v>Dönüşüm Geometrisi</x:v>
      </x:c>
      <x:c r="F232" t="n">
        <x:v>25</x:v>
      </x:c>
      <x:c r="G232" t="n">
        <x:v>20</x:v>
      </x:c>
      <x:c r="H232"/>
      <x:c r="I232"/>
      <x:c r="J232"/>
      <x:c r="K232" s="18"/>
      <x:c r="L232" s="20" t="str">
        <x:f>IF(OR(K232="",G232=0),"",K232*86400/G232)</x:f>
      </x:c>
      <x:c r="M232" s="22" t="str">
        <x:f>IF(SUM(H232:J232)=0,"",H232/SUM(H232:J232))</x:f>
      </x:c>
      <x:c r="N232" t="n">
        <x:v>5</x:v>
      </x:c>
      <x:c r="O232" t="str">
        <x:f>IF(SUM(H232:J232)=0,"",SUM(H232:J232)+IF(N232="",0,N232))</x:f>
      </x:c>
      <x:c r="P232" t="str"/>
    </x:row>
    <x:row r="233">
      <x:c r="A233" s="12" t="n">
        <x:v>46411</x:v>
      </x:c>
      <x:c r="B233" t="n">
        <x:v>116</x:v>
      </x:c>
      <x:c r="C233" t="str">
        <x:v>Pazar</x:v>
      </x:c>
      <x:c r="D233" t="str">
        <x:v>Paragraf</x:v>
      </x:c>
      <x:c r="E233" t="str">
        <x:v>Paragraf</x:v>
      </x:c>
      <x:c r="F233" t="n">
        <x:v>25</x:v>
      </x:c>
      <x:c r="G233" t="n">
        <x:v>20</x:v>
      </x:c>
      <x:c r="H233"/>
      <x:c r="I233"/>
      <x:c r="J233"/>
      <x:c r="K233" s="18"/>
      <x:c r="L233" s="20" t="str">
        <x:f>IF(OR(K233="",G233=0),"",K233*86400/G233)</x:f>
      </x:c>
      <x:c r="M233" s="22" t="str">
        <x:f>IF(SUM(H233:J233)=0,"",H233/SUM(H233:J233))</x:f>
      </x:c>
      <x:c r="N233" t="n">
        <x:v>5</x:v>
      </x:c>
      <x:c r="O233" t="str">
        <x:f>IF(SUM(H233:J233)=0,"",SUM(H233:J233)+IF(N233="",0,N233))</x:f>
      </x:c>
      <x:c r="P233" t="str"/>
    </x:row>
    <x:row r="234">
      <x:c r="A234" s="12" t="n">
        <x:v>46412</x:v>
      </x:c>
      <x:c r="B234" t="n">
        <x:v>117</x:v>
      </x:c>
      <x:c r="C234" t="str">
        <x:v>Pazartesi</x:v>
      </x:c>
      <x:c r="D234" t="str">
        <x:v>Matematik</x:v>
      </x:c>
      <x:c r="E234" t="str">
        <x:v>Geometrik Cisimler</x:v>
      </x:c>
      <x:c r="F234" t="n">
        <x:v>25</x:v>
      </x:c>
      <x:c r="G234" t="n">
        <x:v>20</x:v>
      </x:c>
      <x:c r="H234"/>
      <x:c r="I234"/>
      <x:c r="J234"/>
      <x:c r="K234" s="18"/>
      <x:c r="L234" s="20" t="str">
        <x:f>IF(OR(K234="",G234=0),"",K234*86400/G234)</x:f>
      </x:c>
      <x:c r="M234" s="22" t="str">
        <x:f>IF(SUM(H234:J234)=0,"",H234/SUM(H234:J234))</x:f>
      </x:c>
      <x:c r="N234" t="n">
        <x:v>5</x:v>
      </x:c>
      <x:c r="O234" t="str">
        <x:f>IF(SUM(H234:J234)=0,"",SUM(H234:J234)+IF(N234="",0,N234))</x:f>
      </x:c>
      <x:c r="P234" t="str"/>
    </x:row>
    <x:row r="235">
      <x:c r="A235" s="12" t="n">
        <x:v>46412</x:v>
      </x:c>
      <x:c r="B235" t="n">
        <x:v>117</x:v>
      </x:c>
      <x:c r="C235" t="str">
        <x:v>Pazartesi</x:v>
      </x:c>
      <x:c r="D235" t="str">
        <x:v>Paragraf</x:v>
      </x:c>
      <x:c r="E235" t="str">
        <x:v>Paragraf</x:v>
      </x:c>
      <x:c r="F235" t="n">
        <x:v>25</x:v>
      </x:c>
      <x:c r="G235" t="n">
        <x:v>20</x:v>
      </x:c>
      <x:c r="H235"/>
      <x:c r="I235"/>
      <x:c r="J235"/>
      <x:c r="K235" s="18"/>
      <x:c r="L235" s="20" t="str">
        <x:f>IF(OR(K235="",G235=0),"",K235*86400/G235)</x:f>
      </x:c>
      <x:c r="M235" s="22" t="str">
        <x:f>IF(SUM(H235:J235)=0,"",H235/SUM(H235:J235))</x:f>
      </x:c>
      <x:c r="N235" t="n">
        <x:v>5</x:v>
      </x:c>
      <x:c r="O235" t="str">
        <x:f>IF(SUM(H235:J235)=0,"",SUM(H235:J235)+IF(N235="",0,N235))</x:f>
      </x:c>
      <x:c r="P235" t="str"/>
    </x:row>
    <x:row r="236">
      <x:c r="A236" s="12" t="n">
        <x:v>46413</x:v>
      </x:c>
      <x:c r="B236" t="n">
        <x:v>118</x:v>
      </x:c>
      <x:c r="C236" t="str">
        <x:v>Salı</x:v>
      </x:c>
      <x:c r="D236" t="str">
        <x:v>Matematik</x:v>
      </x:c>
      <x:c r="E236" t="str">
        <x:v>Geometrik Cisimler</x:v>
      </x:c>
      <x:c r="F236" t="n">
        <x:v>25</x:v>
      </x:c>
      <x:c r="G236" t="n">
        <x:v>20</x:v>
      </x:c>
      <x:c r="H236"/>
      <x:c r="I236"/>
      <x:c r="J236"/>
      <x:c r="K236" s="18"/>
      <x:c r="L236" s="20" t="str">
        <x:f>IF(OR(K236="",G236=0),"",K236*86400/G236)</x:f>
      </x:c>
      <x:c r="M236" s="22" t="str">
        <x:f>IF(SUM(H236:J236)=0,"",H236/SUM(H236:J236))</x:f>
      </x:c>
      <x:c r="N236" t="n">
        <x:v>5</x:v>
      </x:c>
      <x:c r="O236" t="str">
        <x:f>IF(SUM(H236:J236)=0,"",SUM(H236:J236)+IF(N236="",0,N236))</x:f>
      </x:c>
      <x:c r="P236" t="str"/>
    </x:row>
    <x:row r="237">
      <x:c r="A237" s="12" t="n">
        <x:v>46413</x:v>
      </x:c>
      <x:c r="B237" t="n">
        <x:v>118</x:v>
      </x:c>
      <x:c r="C237" t="str">
        <x:v>Salı</x:v>
      </x:c>
      <x:c r="D237" t="str">
        <x:v>Paragraf</x:v>
      </x:c>
      <x:c r="E237" t="str">
        <x:v>Paragraf</x:v>
      </x:c>
      <x:c r="F237" t="n">
        <x:v>25</x:v>
      </x:c>
      <x:c r="G237" t="n">
        <x:v>20</x:v>
      </x:c>
      <x:c r="H237"/>
      <x:c r="I237"/>
      <x:c r="J237"/>
      <x:c r="K237" s="18"/>
      <x:c r="L237" s="20" t="str">
        <x:f>IF(OR(K237="",G237=0),"",K237*86400/G237)</x:f>
      </x:c>
      <x:c r="M237" s="22" t="str">
        <x:f>IF(SUM(H237:J237)=0,"",H237/SUM(H237:J237))</x:f>
      </x:c>
      <x:c r="N237" t="n">
        <x:v>5</x:v>
      </x:c>
      <x:c r="O237" t="str">
        <x:f>IF(SUM(H237:J237)=0,"",SUM(H237:J237)+IF(N237="",0,N237))</x:f>
      </x:c>
      <x:c r="P237" t="str"/>
    </x:row>
    <x:row r="238">
      <x:c r="A238" s="12" t="n">
        <x:v>46414</x:v>
      </x:c>
      <x:c r="B238" t="n">
        <x:v>119</x:v>
      </x:c>
      <x:c r="C238" t="str">
        <x:v>Çarşamba</x:v>
      </x:c>
      <x:c r="D238" t="str">
        <x:v>Matematik</x:v>
      </x:c>
      <x:c r="E238" t="str">
        <x:v>Geometrik Cisimler</x:v>
      </x:c>
      <x:c r="F238" t="n">
        <x:v>25</x:v>
      </x:c>
      <x:c r="G238" t="n">
        <x:v>20</x:v>
      </x:c>
      <x:c r="H238"/>
      <x:c r="I238"/>
      <x:c r="J238"/>
      <x:c r="K238" s="18"/>
      <x:c r="L238" s="20" t="str">
        <x:f>IF(OR(K238="",G238=0),"",K238*86400/G238)</x:f>
      </x:c>
      <x:c r="M238" s="22" t="str">
        <x:f>IF(SUM(H238:J238)=0,"",H238/SUM(H238:J238))</x:f>
      </x:c>
      <x:c r="N238" t="n">
        <x:v>5</x:v>
      </x:c>
      <x:c r="O238" t="str">
        <x:f>IF(SUM(H238:J238)=0,"",SUM(H238:J238)+IF(N238="",0,N238))</x:f>
      </x:c>
      <x:c r="P238" t="str"/>
    </x:row>
    <x:row r="239">
      <x:c r="A239" s="12" t="n">
        <x:v>46414</x:v>
      </x:c>
      <x:c r="B239" t="n">
        <x:v>119</x:v>
      </x:c>
      <x:c r="C239" t="str">
        <x:v>Çarşamba</x:v>
      </x:c>
      <x:c r="D239" t="str">
        <x:v>Paragraf</x:v>
      </x:c>
      <x:c r="E239" t="str">
        <x:v>Paragraf</x:v>
      </x:c>
      <x:c r="F239" t="n">
        <x:v>25</x:v>
      </x:c>
      <x:c r="G239" t="n">
        <x:v>20</x:v>
      </x:c>
      <x:c r="H239"/>
      <x:c r="I239"/>
      <x:c r="J239"/>
      <x:c r="K239" s="18"/>
      <x:c r="L239" s="20" t="str">
        <x:f>IF(OR(K239="",G239=0),"",K239*86400/G239)</x:f>
      </x:c>
      <x:c r="M239" s="22" t="str">
        <x:f>IF(SUM(H239:J239)=0,"",H239/SUM(H239:J239))</x:f>
      </x:c>
      <x:c r="N239" t="n">
        <x:v>5</x:v>
      </x:c>
      <x:c r="O239" t="str">
        <x:f>IF(SUM(H239:J239)=0,"",SUM(H239:J239)+IF(N239="",0,N239))</x:f>
      </x:c>
      <x:c r="P239" t="str"/>
    </x:row>
    <x:row r="240">
      <x:c r="A240" s="12" t="n">
        <x:v>46415</x:v>
      </x:c>
      <x:c r="B240" t="n">
        <x:v>120</x:v>
      </x:c>
      <x:c r="C240" t="str">
        <x:v>Perşembe</x:v>
      </x:c>
      <x:c r="D240" t="str">
        <x:v>Matematik</x:v>
      </x:c>
      <x:c r="E240" t="str">
        <x:v>Geometrik Cisimler</x:v>
      </x:c>
      <x:c r="F240" t="n">
        <x:v>25</x:v>
      </x:c>
      <x:c r="G240" t="n">
        <x:v>20</x:v>
      </x:c>
      <x:c r="H240"/>
      <x:c r="I240"/>
      <x:c r="J240"/>
      <x:c r="K240" s="18"/>
      <x:c r="L240" s="20" t="str">
        <x:f>IF(OR(K240="",G240=0),"",K240*86400/G240)</x:f>
      </x:c>
      <x:c r="M240" s="22" t="str">
        <x:f>IF(SUM(H240:J240)=0,"",H240/SUM(H240:J240))</x:f>
      </x:c>
      <x:c r="N240" t="n">
        <x:v>5</x:v>
      </x:c>
      <x:c r="O240" t="str">
        <x:f>IF(SUM(H240:J240)=0,"",SUM(H240:J240)+IF(N240="",0,N240))</x:f>
      </x:c>
      <x:c r="P240" t="str"/>
    </x:row>
    <x:row r="241">
      <x:c r="A241" s="12" t="n">
        <x:v>46415</x:v>
      </x:c>
      <x:c r="B241" t="n">
        <x:v>120</x:v>
      </x:c>
      <x:c r="C241" t="str">
        <x:v>Perşembe</x:v>
      </x:c>
      <x:c r="D241" t="str">
        <x:v>Paragraf</x:v>
      </x:c>
      <x:c r="E241" t="str">
        <x:v>Paragraf</x:v>
      </x:c>
      <x:c r="F241" t="n">
        <x:v>25</x:v>
      </x:c>
      <x:c r="G241" t="n">
        <x:v>20</x:v>
      </x:c>
      <x:c r="H241"/>
      <x:c r="I241"/>
      <x:c r="J241"/>
      <x:c r="K241" s="18"/>
      <x:c r="L241" s="20" t="str">
        <x:f>IF(OR(K241="",G241=0),"",K241*86400/G241)</x:f>
      </x:c>
      <x:c r="M241" s="22" t="str">
        <x:f>IF(SUM(H241:J241)=0,"",H241/SUM(H241:J241))</x:f>
      </x:c>
      <x:c r="N241" t="n">
        <x:v>5</x:v>
      </x:c>
      <x:c r="O241" t="str">
        <x:f>IF(SUM(H241:J241)=0,"",SUM(H241:J241)+IF(N241="",0,N241))</x:f>
      </x:c>
      <x:c r="P241" t="str"/>
    </x:row>
    <x:row r="242">
      <x:c r="A242" s="12" t="n">
        <x:v>46416</x:v>
      </x:c>
      <x:c r="B242" t="n">
        <x:v>121</x:v>
      </x:c>
      <x:c r="C242" t="str">
        <x:v>Cuma</x:v>
      </x:c>
      <x:c r="D242" t="str">
        <x:v>Matematik</x:v>
      </x:c>
      <x:c r="E242" t="str">
        <x:v>Geometrik Cisimler</x:v>
      </x:c>
      <x:c r="F242" t="n">
        <x:v>25</x:v>
      </x:c>
      <x:c r="G242" t="n">
        <x:v>20</x:v>
      </x:c>
      <x:c r="H242"/>
      <x:c r="I242"/>
      <x:c r="J242"/>
      <x:c r="K242" s="18"/>
      <x:c r="L242" s="20" t="str">
        <x:f>IF(OR(K242="",G242=0),"",K242*86400/G242)</x:f>
      </x:c>
      <x:c r="M242" s="22" t="str">
        <x:f>IF(SUM(H242:J242)=0,"",H242/SUM(H242:J242))</x:f>
      </x:c>
      <x:c r="N242" t="n">
        <x:v>5</x:v>
      </x:c>
      <x:c r="O242" t="str">
        <x:f>IF(SUM(H242:J242)=0,"",SUM(H242:J242)+IF(N242="",0,N242))</x:f>
      </x:c>
      <x:c r="P242" t="str"/>
    </x:row>
    <x:row r="243">
      <x:c r="A243" s="12" t="n">
        <x:v>46416</x:v>
      </x:c>
      <x:c r="B243" t="n">
        <x:v>121</x:v>
      </x:c>
      <x:c r="C243" t="str">
        <x:v>Cuma</x:v>
      </x:c>
      <x:c r="D243" t="str">
        <x:v>Paragraf</x:v>
      </x:c>
      <x:c r="E243" t="str">
        <x:v>Paragraf</x:v>
      </x:c>
      <x:c r="F243" t="n">
        <x:v>25</x:v>
      </x:c>
      <x:c r="G243" t="n">
        <x:v>20</x:v>
      </x:c>
      <x:c r="H243"/>
      <x:c r="I243"/>
      <x:c r="J243"/>
      <x:c r="K243" s="18"/>
      <x:c r="L243" s="20" t="str">
        <x:f>IF(OR(K243="",G243=0),"",K243*86400/G243)</x:f>
      </x:c>
      <x:c r="M243" s="22" t="str">
        <x:f>IF(SUM(H243:J243)=0,"",H243/SUM(H243:J243))</x:f>
      </x:c>
      <x:c r="N243" t="n">
        <x:v>5</x:v>
      </x:c>
      <x:c r="O243" t="str">
        <x:f>IF(SUM(H243:J243)=0,"",SUM(H243:J243)+IF(N243="",0,N243))</x:f>
      </x:c>
      <x:c r="P243" t="str"/>
    </x:row>
    <x:row r="244">
      <x:c r="A244" s="12" t="n">
        <x:v>46417</x:v>
      </x:c>
      <x:c r="B244" t="n">
        <x:v>122</x:v>
      </x:c>
      <x:c r="C244" t="str">
        <x:v>Cumartesi</x:v>
      </x:c>
      <x:c r="D244" t="str">
        <x:v>Matematik</x:v>
      </x:c>
      <x:c r="E244" t="str">
        <x:v>Kaynak Tamamlama / Zayıf Konu</x:v>
      </x:c>
      <x:c r="F244" t="n">
        <x:v>25</x:v>
      </x:c>
      <x:c r="G244" t="n">
        <x:v>20</x:v>
      </x:c>
      <x:c r="H244"/>
      <x:c r="I244"/>
      <x:c r="J244"/>
      <x:c r="K244" s="18"/>
      <x:c r="L244" s="20" t="str">
        <x:f>IF(OR(K244="",G244=0),"",K244*86400/G244)</x:f>
      </x:c>
      <x:c r="M244" s="22" t="str">
        <x:f>IF(SUM(H244:J244)=0,"",H244/SUM(H244:J244))</x:f>
      </x:c>
      <x:c r="N244" t="n">
        <x:v>5</x:v>
      </x:c>
      <x:c r="O244" t="str">
        <x:f>IF(SUM(H244:J244)=0,"",SUM(H244:J244)+IF(N244="",0,N244))</x:f>
      </x:c>
      <x:c r="P244" t="str"/>
    </x:row>
    <x:row r="245">
      <x:c r="A245" s="12" t="n">
        <x:v>46417</x:v>
      </x:c>
      <x:c r="B245" t="n">
        <x:v>122</x:v>
      </x:c>
      <x:c r="C245" t="str">
        <x:v>Cumartesi</x:v>
      </x:c>
      <x:c r="D245" t="str">
        <x:v>Paragraf</x:v>
      </x:c>
      <x:c r="E245" t="str">
        <x:v>Paragraf</x:v>
      </x:c>
      <x:c r="F245" t="n">
        <x:v>25</x:v>
      </x:c>
      <x:c r="G245" t="n">
        <x:v>20</x:v>
      </x:c>
      <x:c r="H245"/>
      <x:c r="I245"/>
      <x:c r="J245"/>
      <x:c r="K245" s="18"/>
      <x:c r="L245" s="20" t="str">
        <x:f>IF(OR(K245="",G245=0),"",K245*86400/G245)</x:f>
      </x:c>
      <x:c r="M245" s="22" t="str">
        <x:f>IF(SUM(H245:J245)=0,"",H245/SUM(H245:J245))</x:f>
      </x:c>
      <x:c r="N245" t="n">
        <x:v>5</x:v>
      </x:c>
      <x:c r="O245" t="str">
        <x:f>IF(SUM(H245:J245)=0,"",SUM(H245:J245)+IF(N245="",0,N245))</x:f>
      </x:c>
      <x:c r="P245" t="str"/>
    </x:row>
    <x:row r="246">
      <x:c r="A246" s="12" t="n">
        <x:v>46418</x:v>
      </x:c>
      <x:c r="B246" t="n">
        <x:v>123</x:v>
      </x:c>
      <x:c r="C246" t="str">
        <x:v>Pazar</x:v>
      </x:c>
      <x:c r="D246" t="str">
        <x:v>Matematik</x:v>
      </x:c>
      <x:c r="E246" t="str">
        <x:v>Kaynak Tamamlama / Zayıf Konu</x:v>
      </x:c>
      <x:c r="F246" t="n">
        <x:v>25</x:v>
      </x:c>
      <x:c r="G246" t="n">
        <x:v>20</x:v>
      </x:c>
      <x:c r="H246"/>
      <x:c r="I246"/>
      <x:c r="J246"/>
      <x:c r="K246" s="18"/>
      <x:c r="L246" s="20" t="str">
        <x:f>IF(OR(K246="",G246=0),"",K246*86400/G246)</x:f>
      </x:c>
      <x:c r="M246" s="22" t="str">
        <x:f>IF(SUM(H246:J246)=0,"",H246/SUM(H246:J246))</x:f>
      </x:c>
      <x:c r="N246" t="n">
        <x:v>5</x:v>
      </x:c>
      <x:c r="O246" t="str">
        <x:f>IF(SUM(H246:J246)=0,"",SUM(H246:J246)+IF(N246="",0,N246))</x:f>
      </x:c>
      <x:c r="P246" t="str"/>
    </x:row>
    <x:row r="247">
      <x:c r="A247" s="12" t="n">
        <x:v>46418</x:v>
      </x:c>
      <x:c r="B247" t="n">
        <x:v>123</x:v>
      </x:c>
      <x:c r="C247" t="str">
        <x:v>Pazar</x:v>
      </x:c>
      <x:c r="D247" t="str">
        <x:v>Paragraf</x:v>
      </x:c>
      <x:c r="E247" t="str">
        <x:v>Paragraf</x:v>
      </x:c>
      <x:c r="F247" t="n">
        <x:v>25</x:v>
      </x:c>
      <x:c r="G247" t="n">
        <x:v>20</x:v>
      </x:c>
      <x:c r="H247"/>
      <x:c r="I247"/>
      <x:c r="J247"/>
      <x:c r="K247" s="18"/>
      <x:c r="L247" s="20" t="str">
        <x:f>IF(OR(K247="",G247=0),"",K247*86400/G247)</x:f>
      </x:c>
      <x:c r="M247" s="22" t="str">
        <x:f>IF(SUM(H247:J247)=0,"",H247/SUM(H247:J247))</x:f>
      </x:c>
      <x:c r="N247" t="n">
        <x:v>5</x:v>
      </x:c>
      <x:c r="O247" t="str">
        <x:f>IF(SUM(H247:J247)=0,"",SUM(H247:J247)+IF(N247="",0,N247))</x:f>
      </x:c>
      <x:c r="P247" t="str"/>
    </x:row>
    <x:row r="248">
      <x:c r="A248" s="12" t="n">
        <x:v>46419</x:v>
      </x:c>
      <x:c r="B248" t="n">
        <x:v>124</x:v>
      </x:c>
      <x:c r="C248" t="str">
        <x:v>Pazartesi</x:v>
      </x:c>
      <x:c r="D248" t="str">
        <x:v>Matematik</x:v>
      </x:c>
      <x:c r="E248" t="str">
        <x:v>Kaynak Tamamlama / Zayıf Konu</x:v>
      </x:c>
      <x:c r="F248" t="n">
        <x:v>30</x:v>
      </x:c>
      <x:c r="G248" t="n">
        <x:v>20</x:v>
      </x:c>
      <x:c r="H248"/>
      <x:c r="I248"/>
      <x:c r="J248"/>
      <x:c r="K248" s="18"/>
      <x:c r="L248" s="20" t="str">
        <x:f>IF(OR(K248="",G248=0),"",K248*86400/G248)</x:f>
      </x:c>
      <x:c r="M248" s="22" t="str">
        <x:f>IF(SUM(H248:J248)=0,"",H248/SUM(H248:J248))</x:f>
      </x:c>
      <x:c r="N248" t="n">
        <x:v>10</x:v>
      </x:c>
      <x:c r="O248" t="str">
        <x:f>IF(SUM(H248:J248)=0,"",SUM(H248:J248)+IF(N248="",0,N248))</x:f>
      </x:c>
      <x:c r="P248" t="str"/>
    </x:row>
    <x:row r="249">
      <x:c r="A249" s="12" t="n">
        <x:v>46419</x:v>
      </x:c>
      <x:c r="B249" t="n">
        <x:v>124</x:v>
      </x:c>
      <x:c r="C249" t="str">
        <x:v>Pazartesi</x:v>
      </x:c>
      <x:c r="D249" t="str">
        <x:v>Paragraf</x:v>
      </x:c>
      <x:c r="E249" t="str">
        <x:v>Paragraf</x:v>
      </x:c>
      <x:c r="F249" t="n">
        <x:v>30</x:v>
      </x:c>
      <x:c r="G249" t="n">
        <x:v>20</x:v>
      </x:c>
      <x:c r="H249"/>
      <x:c r="I249"/>
      <x:c r="J249"/>
      <x:c r="K249" s="18"/>
      <x:c r="L249" s="20" t="str">
        <x:f>IF(OR(K249="",G249=0),"",K249*86400/G249)</x:f>
      </x:c>
      <x:c r="M249" s="22" t="str">
        <x:f>IF(SUM(H249:J249)=0,"",H249/SUM(H249:J249))</x:f>
      </x:c>
      <x:c r="N249" t="n">
        <x:v>10</x:v>
      </x:c>
      <x:c r="O249" t="str">
        <x:f>IF(SUM(H249:J249)=0,"",SUM(H249:J249)+IF(N249="",0,N249))</x:f>
      </x:c>
      <x:c r="P249" t="str"/>
    </x:row>
    <x:row r="250">
      <x:c r="A250" s="12" t="n">
        <x:v>46420</x:v>
      </x:c>
      <x:c r="B250" t="n">
        <x:v>125</x:v>
      </x:c>
      <x:c r="C250" t="str">
        <x:v>Salı</x:v>
      </x:c>
      <x:c r="D250" t="str">
        <x:v>Matematik</x:v>
      </x:c>
      <x:c r="E250" t="str">
        <x:v>Kaynak Tamamlama / Zayıf Konu</x:v>
      </x:c>
      <x:c r="F250" t="n">
        <x:v>30</x:v>
      </x:c>
      <x:c r="G250" t="n">
        <x:v>20</x:v>
      </x:c>
      <x:c r="H250"/>
      <x:c r="I250"/>
      <x:c r="J250"/>
      <x:c r="K250" s="18"/>
      <x:c r="L250" s="20" t="str">
        <x:f>IF(OR(K250="",G250=0),"",K250*86400/G250)</x:f>
      </x:c>
      <x:c r="M250" s="22" t="str">
        <x:f>IF(SUM(H250:J250)=0,"",H250/SUM(H250:J250))</x:f>
      </x:c>
      <x:c r="N250" t="n">
        <x:v>10</x:v>
      </x:c>
      <x:c r="O250" t="str">
        <x:f>IF(SUM(H250:J250)=0,"",SUM(H250:J250)+IF(N250="",0,N250))</x:f>
      </x:c>
      <x:c r="P250" t="str"/>
    </x:row>
    <x:row r="251">
      <x:c r="A251" s="12" t="n">
        <x:v>46420</x:v>
      </x:c>
      <x:c r="B251" t="n">
        <x:v>125</x:v>
      </x:c>
      <x:c r="C251" t="str">
        <x:v>Salı</x:v>
      </x:c>
      <x:c r="D251" t="str">
        <x:v>Paragraf</x:v>
      </x:c>
      <x:c r="E251" t="str">
        <x:v>Paragraf</x:v>
      </x:c>
      <x:c r="F251" t="n">
        <x:v>30</x:v>
      </x:c>
      <x:c r="G251" t="n">
        <x:v>20</x:v>
      </x:c>
      <x:c r="H251"/>
      <x:c r="I251"/>
      <x:c r="J251"/>
      <x:c r="K251" s="18"/>
      <x:c r="L251" s="20" t="str">
        <x:f>IF(OR(K251="",G251=0),"",K251*86400/G251)</x:f>
      </x:c>
      <x:c r="M251" s="22" t="str">
        <x:f>IF(SUM(H251:J251)=0,"",H251/SUM(H251:J251))</x:f>
      </x:c>
      <x:c r="N251" t="n">
        <x:v>10</x:v>
      </x:c>
      <x:c r="O251" t="str">
        <x:f>IF(SUM(H251:J251)=0,"",SUM(H251:J251)+IF(N251="",0,N251))</x:f>
      </x:c>
      <x:c r="P251" t="str"/>
    </x:row>
    <x:row r="252">
      <x:c r="A252" s="12" t="n">
        <x:v>46421</x:v>
      </x:c>
      <x:c r="B252" t="n">
        <x:v>126</x:v>
      </x:c>
      <x:c r="C252" t="str">
        <x:v>Çarşamba</x:v>
      </x:c>
      <x:c r="D252" t="str">
        <x:v>Matematik</x:v>
      </x:c>
      <x:c r="E252" t="str">
        <x:v>Kaynak Tamamlama / Zayıf Konu</x:v>
      </x:c>
      <x:c r="F252" t="n">
        <x:v>30</x:v>
      </x:c>
      <x:c r="G252" t="n">
        <x:v>20</x:v>
      </x:c>
      <x:c r="H252"/>
      <x:c r="I252"/>
      <x:c r="J252"/>
      <x:c r="K252" s="18"/>
      <x:c r="L252" s="20" t="str">
        <x:f>IF(OR(K252="",G252=0),"",K252*86400/G252)</x:f>
      </x:c>
      <x:c r="M252" s="22" t="str">
        <x:f>IF(SUM(H252:J252)=0,"",H252/SUM(H252:J252))</x:f>
      </x:c>
      <x:c r="N252" t="n">
        <x:v>10</x:v>
      </x:c>
      <x:c r="O252" t="str">
        <x:f>IF(SUM(H252:J252)=0,"",SUM(H252:J252)+IF(N252="",0,N252))</x:f>
      </x:c>
      <x:c r="P252" t="str"/>
    </x:row>
    <x:row r="253">
      <x:c r="A253" s="12" t="n">
        <x:v>46421</x:v>
      </x:c>
      <x:c r="B253" t="n">
        <x:v>126</x:v>
      </x:c>
      <x:c r="C253" t="str">
        <x:v>Çarşamba</x:v>
      </x:c>
      <x:c r="D253" t="str">
        <x:v>Paragraf</x:v>
      </x:c>
      <x:c r="E253" t="str">
        <x:v>Paragraf</x:v>
      </x:c>
      <x:c r="F253" t="n">
        <x:v>30</x:v>
      </x:c>
      <x:c r="G253" t="n">
        <x:v>20</x:v>
      </x:c>
      <x:c r="H253"/>
      <x:c r="I253"/>
      <x:c r="J253"/>
      <x:c r="K253" s="18"/>
      <x:c r="L253" s="20" t="str">
        <x:f>IF(OR(K253="",G253=0),"",K253*86400/G253)</x:f>
      </x:c>
      <x:c r="M253" s="22" t="str">
        <x:f>IF(SUM(H253:J253)=0,"",H253/SUM(H253:J253))</x:f>
      </x:c>
      <x:c r="N253" t="n">
        <x:v>10</x:v>
      </x:c>
      <x:c r="O253" t="str">
        <x:f>IF(SUM(H253:J253)=0,"",SUM(H253:J253)+IF(N253="",0,N253))</x:f>
      </x:c>
      <x:c r="P253" t="str"/>
    </x:row>
    <x:row r="254">
      <x:c r="A254" s="12" t="n">
        <x:v>46422</x:v>
      </x:c>
      <x:c r="B254" t="n">
        <x:v>127</x:v>
      </x:c>
      <x:c r="C254" t="str">
        <x:v>Perşembe</x:v>
      </x:c>
      <x:c r="D254" t="str">
        <x:v>Matematik</x:v>
      </x:c>
      <x:c r="E254" t="str">
        <x:v>Kaynak Tamamlama / Zayıf Konu</x:v>
      </x:c>
      <x:c r="F254" t="n">
        <x:v>30</x:v>
      </x:c>
      <x:c r="G254" t="n">
        <x:v>20</x:v>
      </x:c>
      <x:c r="H254"/>
      <x:c r="I254"/>
      <x:c r="J254"/>
      <x:c r="K254" s="18"/>
      <x:c r="L254" s="20" t="str">
        <x:f>IF(OR(K254="",G254=0),"",K254*86400/G254)</x:f>
      </x:c>
      <x:c r="M254" s="22" t="str">
        <x:f>IF(SUM(H254:J254)=0,"",H254/SUM(H254:J254))</x:f>
      </x:c>
      <x:c r="N254" t="n">
        <x:v>10</x:v>
      </x:c>
      <x:c r="O254" t="str">
        <x:f>IF(SUM(H254:J254)=0,"",SUM(H254:J254)+IF(N254="",0,N254))</x:f>
      </x:c>
      <x:c r="P254" t="str"/>
    </x:row>
    <x:row r="255">
      <x:c r="A255" s="12" t="n">
        <x:v>46422</x:v>
      </x:c>
      <x:c r="B255" t="n">
        <x:v>127</x:v>
      </x:c>
      <x:c r="C255" t="str">
        <x:v>Perşembe</x:v>
      </x:c>
      <x:c r="D255" t="str">
        <x:v>Paragraf</x:v>
      </x:c>
      <x:c r="E255" t="str">
        <x:v>Paragraf</x:v>
      </x:c>
      <x:c r="F255" t="n">
        <x:v>30</x:v>
      </x:c>
      <x:c r="G255" t="n">
        <x:v>20</x:v>
      </x:c>
      <x:c r="H255"/>
      <x:c r="I255"/>
      <x:c r="J255"/>
      <x:c r="K255" s="18"/>
      <x:c r="L255" s="20" t="str">
        <x:f>IF(OR(K255="",G255=0),"",K255*86400/G255)</x:f>
      </x:c>
      <x:c r="M255" s="22" t="str">
        <x:f>IF(SUM(H255:J255)=0,"",H255/SUM(H255:J255))</x:f>
      </x:c>
      <x:c r="N255" t="n">
        <x:v>10</x:v>
      </x:c>
      <x:c r="O255" t="str">
        <x:f>IF(SUM(H255:J255)=0,"",SUM(H255:J255)+IF(N255="",0,N255))</x:f>
      </x:c>
      <x:c r="P255" t="str"/>
    </x:row>
    <x:row r="256">
      <x:c r="A256" s="12" t="n">
        <x:v>46423</x:v>
      </x:c>
      <x:c r="B256" t="n">
        <x:v>128</x:v>
      </x:c>
      <x:c r="C256" t="str">
        <x:v>Cuma</x:v>
      </x:c>
      <x:c r="D256" t="str">
        <x:v>Matematik</x:v>
      </x:c>
      <x:c r="E256" t="str">
        <x:v>Kaynak Tamamlama / Zayıf Konu</x:v>
      </x:c>
      <x:c r="F256" t="n">
        <x:v>30</x:v>
      </x:c>
      <x:c r="G256" t="n">
        <x:v>20</x:v>
      </x:c>
      <x:c r="H256"/>
      <x:c r="I256"/>
      <x:c r="J256"/>
      <x:c r="K256" s="18"/>
      <x:c r="L256" s="20" t="str">
        <x:f>IF(OR(K256="",G256=0),"",K256*86400/G256)</x:f>
      </x:c>
      <x:c r="M256" s="22" t="str">
        <x:f>IF(SUM(H256:J256)=0,"",H256/SUM(H256:J256))</x:f>
      </x:c>
      <x:c r="N256" t="n">
        <x:v>10</x:v>
      </x:c>
      <x:c r="O256" t="str">
        <x:f>IF(SUM(H256:J256)=0,"",SUM(H256:J256)+IF(N256="",0,N256))</x:f>
      </x:c>
      <x:c r="P256" t="str"/>
    </x:row>
    <x:row r="257">
      <x:c r="A257" s="12" t="n">
        <x:v>46423</x:v>
      </x:c>
      <x:c r="B257" t="n">
        <x:v>128</x:v>
      </x:c>
      <x:c r="C257" t="str">
        <x:v>Cuma</x:v>
      </x:c>
      <x:c r="D257" t="str">
        <x:v>Paragraf</x:v>
      </x:c>
      <x:c r="E257" t="str">
        <x:v>Paragraf</x:v>
      </x:c>
      <x:c r="F257" t="n">
        <x:v>30</x:v>
      </x:c>
      <x:c r="G257" t="n">
        <x:v>20</x:v>
      </x:c>
      <x:c r="H257"/>
      <x:c r="I257"/>
      <x:c r="J257"/>
      <x:c r="K257" s="18"/>
      <x:c r="L257" s="20" t="str">
        <x:f>IF(OR(K257="",G257=0),"",K257*86400/G257)</x:f>
      </x:c>
      <x:c r="M257" s="22" t="str">
        <x:f>IF(SUM(H257:J257)=0,"",H257/SUM(H257:J257))</x:f>
      </x:c>
      <x:c r="N257" t="n">
        <x:v>10</x:v>
      </x:c>
      <x:c r="O257" t="str">
        <x:f>IF(SUM(H257:J257)=0,"",SUM(H257:J257)+IF(N257="",0,N257))</x:f>
      </x:c>
      <x:c r="P257" t="str"/>
    </x:row>
    <x:row r="258">
      <x:c r="A258" s="12" t="n">
        <x:v>46424</x:v>
      </x:c>
      <x:c r="B258" t="n">
        <x:v>129</x:v>
      </x:c>
      <x:c r="C258" t="str">
        <x:v>Cumartesi</x:v>
      </x:c>
      <x:c r="D258" t="str">
        <x:v>Matematik</x:v>
      </x:c>
      <x:c r="E258" t="str">
        <x:v>Kaynak Tamamlama / Zayıf Konu</x:v>
      </x:c>
      <x:c r="F258" t="n">
        <x:v>30</x:v>
      </x:c>
      <x:c r="G258" t="n">
        <x:v>20</x:v>
      </x:c>
      <x:c r="H258"/>
      <x:c r="I258"/>
      <x:c r="J258"/>
      <x:c r="K258" s="18"/>
      <x:c r="L258" s="20" t="str">
        <x:f>IF(OR(K258="",G258=0),"",K258*86400/G258)</x:f>
      </x:c>
      <x:c r="M258" s="22" t="str">
        <x:f>IF(SUM(H258:J258)=0,"",H258/SUM(H258:J258))</x:f>
      </x:c>
      <x:c r="N258" t="n">
        <x:v>10</x:v>
      </x:c>
      <x:c r="O258" t="str">
        <x:f>IF(SUM(H258:J258)=0,"",SUM(H258:J258)+IF(N258="",0,N258))</x:f>
      </x:c>
      <x:c r="P258" t="str"/>
    </x:row>
    <x:row r="259">
      <x:c r="A259" s="12" t="n">
        <x:v>46424</x:v>
      </x:c>
      <x:c r="B259" t="n">
        <x:v>129</x:v>
      </x:c>
      <x:c r="C259" t="str">
        <x:v>Cumartesi</x:v>
      </x:c>
      <x:c r="D259" t="str">
        <x:v>Paragraf</x:v>
      </x:c>
      <x:c r="E259" t="str">
        <x:v>Paragraf</x:v>
      </x:c>
      <x:c r="F259" t="n">
        <x:v>30</x:v>
      </x:c>
      <x:c r="G259" t="n">
        <x:v>20</x:v>
      </x:c>
      <x:c r="H259"/>
      <x:c r="I259"/>
      <x:c r="J259"/>
      <x:c r="K259" s="18"/>
      <x:c r="L259" s="20" t="str">
        <x:f>IF(OR(K259="",G259=0),"",K259*86400/G259)</x:f>
      </x:c>
      <x:c r="M259" s="22" t="str">
        <x:f>IF(SUM(H259:J259)=0,"",H259/SUM(H259:J259))</x:f>
      </x:c>
      <x:c r="N259" t="n">
        <x:v>10</x:v>
      </x:c>
      <x:c r="O259" t="str">
        <x:f>IF(SUM(H259:J259)=0,"",SUM(H259:J259)+IF(N259="",0,N259))</x:f>
      </x:c>
      <x:c r="P259" t="str"/>
    </x:row>
    <x:row r="260">
      <x:c r="A260" s="12" t="n">
        <x:v>46425</x:v>
      </x:c>
      <x:c r="B260" t="n">
        <x:v>130</x:v>
      </x:c>
      <x:c r="C260" t="str">
        <x:v>Pazar</x:v>
      </x:c>
      <x:c r="D260" t="str">
        <x:v>Matematik</x:v>
      </x:c>
      <x:c r="E260" t="str">
        <x:v>Kaynak Tamamlama / Zayıf Konu</x:v>
      </x:c>
      <x:c r="F260" t="n">
        <x:v>30</x:v>
      </x:c>
      <x:c r="G260" t="n">
        <x:v>20</x:v>
      </x:c>
      <x:c r="H260"/>
      <x:c r="I260"/>
      <x:c r="J260"/>
      <x:c r="K260" s="18"/>
      <x:c r="L260" s="20" t="str">
        <x:f>IF(OR(K260="",G260=0),"",K260*86400/G260)</x:f>
      </x:c>
      <x:c r="M260" s="22" t="str">
        <x:f>IF(SUM(H260:J260)=0,"",H260/SUM(H260:J260))</x:f>
      </x:c>
      <x:c r="N260" t="n">
        <x:v>10</x:v>
      </x:c>
      <x:c r="O260" t="str">
        <x:f>IF(SUM(H260:J260)=0,"",SUM(H260:J260)+IF(N260="",0,N260))</x:f>
      </x:c>
      <x:c r="P260" t="str"/>
    </x:row>
    <x:row r="261">
      <x:c r="A261" s="12" t="n">
        <x:v>46425</x:v>
      </x:c>
      <x:c r="B261" t="n">
        <x:v>130</x:v>
      </x:c>
      <x:c r="C261" t="str">
        <x:v>Pazar</x:v>
      </x:c>
      <x:c r="D261" t="str">
        <x:v>Paragraf</x:v>
      </x:c>
      <x:c r="E261" t="str">
        <x:v>Paragraf</x:v>
      </x:c>
      <x:c r="F261" t="n">
        <x:v>30</x:v>
      </x:c>
      <x:c r="G261" t="n">
        <x:v>20</x:v>
      </x:c>
      <x:c r="H261"/>
      <x:c r="I261"/>
      <x:c r="J261"/>
      <x:c r="K261" s="18"/>
      <x:c r="L261" s="20" t="str">
        <x:f>IF(OR(K261="",G261=0),"",K261*86400/G261)</x:f>
      </x:c>
      <x:c r="M261" s="22" t="str">
        <x:f>IF(SUM(H261:J261)=0,"",H261/SUM(H261:J261))</x:f>
      </x:c>
      <x:c r="N261" t="n">
        <x:v>10</x:v>
      </x:c>
      <x:c r="O261" t="str">
        <x:f>IF(SUM(H261:J261)=0,"",SUM(H261:J261)+IF(N261="",0,N261))</x:f>
      </x:c>
      <x:c r="P261" t="str"/>
    </x:row>
    <x:row r="262">
      <x:c r="A262" s="12" t="n">
        <x:v>46426</x:v>
      </x:c>
      <x:c r="B262" t="n">
        <x:v>131</x:v>
      </x:c>
      <x:c r="C262" t="str">
        <x:v>Pazartesi</x:v>
      </x:c>
      <x:c r="D262" t="str">
        <x:v>Matematik</x:v>
      </x:c>
      <x:c r="E262" t="str">
        <x:v>Kaynak Tamamlama / Zayıf Konu</x:v>
      </x:c>
      <x:c r="F262" t="n">
        <x:v>30</x:v>
      </x:c>
      <x:c r="G262" t="n">
        <x:v>20</x:v>
      </x:c>
      <x:c r="H262"/>
      <x:c r="I262"/>
      <x:c r="J262"/>
      <x:c r="K262" s="18"/>
      <x:c r="L262" s="20" t="str">
        <x:f>IF(OR(K262="",G262=0),"",K262*86400/G262)</x:f>
      </x:c>
      <x:c r="M262" s="22" t="str">
        <x:f>IF(SUM(H262:J262)=0,"",H262/SUM(H262:J262))</x:f>
      </x:c>
      <x:c r="N262" t="n">
        <x:v>10</x:v>
      </x:c>
      <x:c r="O262" t="str">
        <x:f>IF(SUM(H262:J262)=0,"",SUM(H262:J262)+IF(N262="",0,N262))</x:f>
      </x:c>
      <x:c r="P262" t="str"/>
    </x:row>
    <x:row r="263">
      <x:c r="A263" s="12" t="n">
        <x:v>46426</x:v>
      </x:c>
      <x:c r="B263" t="n">
        <x:v>131</x:v>
      </x:c>
      <x:c r="C263" t="str">
        <x:v>Pazartesi</x:v>
      </x:c>
      <x:c r="D263" t="str">
        <x:v>Paragraf</x:v>
      </x:c>
      <x:c r="E263" t="str">
        <x:v>Paragraf</x:v>
      </x:c>
      <x:c r="F263" t="n">
        <x:v>30</x:v>
      </x:c>
      <x:c r="G263" t="n">
        <x:v>20</x:v>
      </x:c>
      <x:c r="H263"/>
      <x:c r="I263"/>
      <x:c r="J263"/>
      <x:c r="K263" s="18"/>
      <x:c r="L263" s="20" t="str">
        <x:f>IF(OR(K263="",G263=0),"",K263*86400/G263)</x:f>
      </x:c>
      <x:c r="M263" s="22" t="str">
        <x:f>IF(SUM(H263:J263)=0,"",H263/SUM(H263:J263))</x:f>
      </x:c>
      <x:c r="N263" t="n">
        <x:v>10</x:v>
      </x:c>
      <x:c r="O263" t="str">
        <x:f>IF(SUM(H263:J263)=0,"",SUM(H263:J263)+IF(N263="",0,N263))</x:f>
      </x:c>
      <x:c r="P263" t="str"/>
    </x:row>
    <x:row r="264">
      <x:c r="A264" s="12" t="n">
        <x:v>46427</x:v>
      </x:c>
      <x:c r="B264" t="n">
        <x:v>132</x:v>
      </x:c>
      <x:c r="C264" t="str">
        <x:v>Salı</x:v>
      </x:c>
      <x:c r="D264" t="str">
        <x:v>Matematik</x:v>
      </x:c>
      <x:c r="E264" t="str">
        <x:v>Kaynak Tamamlama / Zayıf Konu</x:v>
      </x:c>
      <x:c r="F264" t="n">
        <x:v>30</x:v>
      </x:c>
      <x:c r="G264" t="n">
        <x:v>20</x:v>
      </x:c>
      <x:c r="H264"/>
      <x:c r="I264"/>
      <x:c r="J264"/>
      <x:c r="K264" s="18"/>
      <x:c r="L264" s="20" t="str">
        <x:f>IF(OR(K264="",G264=0),"",K264*86400/G264)</x:f>
      </x:c>
      <x:c r="M264" s="22" t="str">
        <x:f>IF(SUM(H264:J264)=0,"",H264/SUM(H264:J264))</x:f>
      </x:c>
      <x:c r="N264" t="n">
        <x:v>10</x:v>
      </x:c>
      <x:c r="O264" t="str">
        <x:f>IF(SUM(H264:J264)=0,"",SUM(H264:J264)+IF(N264="",0,N264))</x:f>
      </x:c>
      <x:c r="P264" t="str"/>
    </x:row>
    <x:row r="265">
      <x:c r="A265" s="12" t="n">
        <x:v>46427</x:v>
      </x:c>
      <x:c r="B265" t="n">
        <x:v>132</x:v>
      </x:c>
      <x:c r="C265" t="str">
        <x:v>Salı</x:v>
      </x:c>
      <x:c r="D265" t="str">
        <x:v>Paragraf</x:v>
      </x:c>
      <x:c r="E265" t="str">
        <x:v>Paragraf</x:v>
      </x:c>
      <x:c r="F265" t="n">
        <x:v>30</x:v>
      </x:c>
      <x:c r="G265" t="n">
        <x:v>20</x:v>
      </x:c>
      <x:c r="H265"/>
      <x:c r="I265"/>
      <x:c r="J265"/>
      <x:c r="K265" s="18"/>
      <x:c r="L265" s="20" t="str">
        <x:f>IF(OR(K265="",G265=0),"",K265*86400/G265)</x:f>
      </x:c>
      <x:c r="M265" s="22" t="str">
        <x:f>IF(SUM(H265:J265)=0,"",H265/SUM(H265:J265))</x:f>
      </x:c>
      <x:c r="N265" t="n">
        <x:v>10</x:v>
      </x:c>
      <x:c r="O265" t="str">
        <x:f>IF(SUM(H265:J265)=0,"",SUM(H265:J265)+IF(N265="",0,N265))</x:f>
      </x:c>
      <x:c r="P265" t="str"/>
    </x:row>
    <x:row r="266">
      <x:c r="A266" s="12" t="n">
        <x:v>46428</x:v>
      </x:c>
      <x:c r="B266" t="n">
        <x:v>133</x:v>
      </x:c>
      <x:c r="C266" t="str">
        <x:v>Çarşamba</x:v>
      </x:c>
      <x:c r="D266" t="str">
        <x:v>Matematik</x:v>
      </x:c>
      <x:c r="E266" t="str">
        <x:v>Kaynak Tamamlama / Zayıf Konu</x:v>
      </x:c>
      <x:c r="F266" t="n">
        <x:v>30</x:v>
      </x:c>
      <x:c r="G266" t="n">
        <x:v>20</x:v>
      </x:c>
      <x:c r="H266"/>
      <x:c r="I266"/>
      <x:c r="J266"/>
      <x:c r="K266" s="18"/>
      <x:c r="L266" s="20" t="str">
        <x:f>IF(OR(K266="",G266=0),"",K266*86400/G266)</x:f>
      </x:c>
      <x:c r="M266" s="22" t="str">
        <x:f>IF(SUM(H266:J266)=0,"",H266/SUM(H266:J266))</x:f>
      </x:c>
      <x:c r="N266" t="n">
        <x:v>10</x:v>
      </x:c>
      <x:c r="O266" t="str">
        <x:f>IF(SUM(H266:J266)=0,"",SUM(H266:J266)+IF(N266="",0,N266))</x:f>
      </x:c>
      <x:c r="P266" t="str"/>
    </x:row>
    <x:row r="267">
      <x:c r="A267" s="12" t="n">
        <x:v>46428</x:v>
      </x:c>
      <x:c r="B267" t="n">
        <x:v>133</x:v>
      </x:c>
      <x:c r="C267" t="str">
        <x:v>Çarşamba</x:v>
      </x:c>
      <x:c r="D267" t="str">
        <x:v>Paragraf</x:v>
      </x:c>
      <x:c r="E267" t="str">
        <x:v>Paragraf</x:v>
      </x:c>
      <x:c r="F267" t="n">
        <x:v>30</x:v>
      </x:c>
      <x:c r="G267" t="n">
        <x:v>20</x:v>
      </x:c>
      <x:c r="H267"/>
      <x:c r="I267"/>
      <x:c r="J267"/>
      <x:c r="K267" s="18"/>
      <x:c r="L267" s="20" t="str">
        <x:f>IF(OR(K267="",G267=0),"",K267*86400/G267)</x:f>
      </x:c>
      <x:c r="M267" s="22" t="str">
        <x:f>IF(SUM(H267:J267)=0,"",H267/SUM(H267:J267))</x:f>
      </x:c>
      <x:c r="N267" t="n">
        <x:v>10</x:v>
      </x:c>
      <x:c r="O267" t="str">
        <x:f>IF(SUM(H267:J267)=0,"",SUM(H267:J267)+IF(N267="",0,N267))</x:f>
      </x:c>
      <x:c r="P267" t="str"/>
    </x:row>
    <x:row r="268">
      <x:c r="A268" s="12" t="n">
        <x:v>46429</x:v>
      </x:c>
      <x:c r="B268" t="n">
        <x:v>134</x:v>
      </x:c>
      <x:c r="C268" t="str">
        <x:v>Perşembe</x:v>
      </x:c>
      <x:c r="D268" t="str">
        <x:v>Matematik</x:v>
      </x:c>
      <x:c r="E268" t="str">
        <x:v>Kaynak Tamamlama / Zayıf Konu</x:v>
      </x:c>
      <x:c r="F268" t="n">
        <x:v>30</x:v>
      </x:c>
      <x:c r="G268" t="n">
        <x:v>20</x:v>
      </x:c>
      <x:c r="H268"/>
      <x:c r="I268"/>
      <x:c r="J268"/>
      <x:c r="K268" s="18"/>
      <x:c r="L268" s="20" t="str">
        <x:f>IF(OR(K268="",G268=0),"",K268*86400/G268)</x:f>
      </x:c>
      <x:c r="M268" s="22" t="str">
        <x:f>IF(SUM(H268:J268)=0,"",H268/SUM(H268:J268))</x:f>
      </x:c>
      <x:c r="N268" t="n">
        <x:v>10</x:v>
      </x:c>
      <x:c r="O268" t="str">
        <x:f>IF(SUM(H268:J268)=0,"",SUM(H268:J268)+IF(N268="",0,N268))</x:f>
      </x:c>
      <x:c r="P268" t="str"/>
    </x:row>
    <x:row r="269">
      <x:c r="A269" s="12" t="n">
        <x:v>46429</x:v>
      </x:c>
      <x:c r="B269" t="n">
        <x:v>134</x:v>
      </x:c>
      <x:c r="C269" t="str">
        <x:v>Perşembe</x:v>
      </x:c>
      <x:c r="D269" t="str">
        <x:v>Paragraf</x:v>
      </x:c>
      <x:c r="E269" t="str">
        <x:v>Paragraf</x:v>
      </x:c>
      <x:c r="F269" t="n">
        <x:v>30</x:v>
      </x:c>
      <x:c r="G269" t="n">
        <x:v>20</x:v>
      </x:c>
      <x:c r="H269"/>
      <x:c r="I269"/>
      <x:c r="J269"/>
      <x:c r="K269" s="18"/>
      <x:c r="L269" s="20" t="str">
        <x:f>IF(OR(K269="",G269=0),"",K269*86400/G269)</x:f>
      </x:c>
      <x:c r="M269" s="22" t="str">
        <x:f>IF(SUM(H269:J269)=0,"",H269/SUM(H269:J269))</x:f>
      </x:c>
      <x:c r="N269" t="n">
        <x:v>10</x:v>
      </x:c>
      <x:c r="O269" t="str">
        <x:f>IF(SUM(H269:J269)=0,"",SUM(H269:J269)+IF(N269="",0,N269))</x:f>
      </x:c>
      <x:c r="P269" t="str"/>
    </x:row>
    <x:row r="270">
      <x:c r="A270" s="12" t="n">
        <x:v>46430</x:v>
      </x:c>
      <x:c r="B270" t="n">
        <x:v>135</x:v>
      </x:c>
      <x:c r="C270" t="str">
        <x:v>Cuma</x:v>
      </x:c>
      <x:c r="D270" t="str">
        <x:v>Matematik</x:v>
      </x:c>
      <x:c r="E270" t="str">
        <x:v>Kaynak Tamamlama / Zayıf Konu</x:v>
      </x:c>
      <x:c r="F270" t="n">
        <x:v>30</x:v>
      </x:c>
      <x:c r="G270" t="n">
        <x:v>20</x:v>
      </x:c>
      <x:c r="H270"/>
      <x:c r="I270"/>
      <x:c r="J270"/>
      <x:c r="K270" s="18"/>
      <x:c r="L270" s="20" t="str">
        <x:f>IF(OR(K270="",G270=0),"",K270*86400/G270)</x:f>
      </x:c>
      <x:c r="M270" s="22" t="str">
        <x:f>IF(SUM(H270:J270)=0,"",H270/SUM(H270:J270))</x:f>
      </x:c>
      <x:c r="N270" t="n">
        <x:v>10</x:v>
      </x:c>
      <x:c r="O270" t="str">
        <x:f>IF(SUM(H270:J270)=0,"",SUM(H270:J270)+IF(N270="",0,N270))</x:f>
      </x:c>
      <x:c r="P270" t="str"/>
    </x:row>
    <x:row r="271">
      <x:c r="A271" s="12" t="n">
        <x:v>46430</x:v>
      </x:c>
      <x:c r="B271" t="n">
        <x:v>135</x:v>
      </x:c>
      <x:c r="C271" t="str">
        <x:v>Cuma</x:v>
      </x:c>
      <x:c r="D271" t="str">
        <x:v>Paragraf</x:v>
      </x:c>
      <x:c r="E271" t="str">
        <x:v>Paragraf</x:v>
      </x:c>
      <x:c r="F271" t="n">
        <x:v>30</x:v>
      </x:c>
      <x:c r="G271" t="n">
        <x:v>20</x:v>
      </x:c>
      <x:c r="H271"/>
      <x:c r="I271"/>
      <x:c r="J271"/>
      <x:c r="K271" s="18"/>
      <x:c r="L271" s="20" t="str">
        <x:f>IF(OR(K271="",G271=0),"",K271*86400/G271)</x:f>
      </x:c>
      <x:c r="M271" s="22" t="str">
        <x:f>IF(SUM(H271:J271)=0,"",H271/SUM(H271:J271))</x:f>
      </x:c>
      <x:c r="N271" t="n">
        <x:v>10</x:v>
      </x:c>
      <x:c r="O271" t="str">
        <x:f>IF(SUM(H271:J271)=0,"",SUM(H271:J271)+IF(N271="",0,N271))</x:f>
      </x:c>
      <x:c r="P271" t="str"/>
    </x:row>
    <x:row r="272">
      <x:c r="A272" s="12" t="n">
        <x:v>46431</x:v>
      </x:c>
      <x:c r="B272" t="n">
        <x:v>136</x:v>
      </x:c>
      <x:c r="C272" t="str">
        <x:v>Cumartesi</x:v>
      </x:c>
      <x:c r="D272" t="str">
        <x:v>Matematik</x:v>
      </x:c>
      <x:c r="E272" t="str">
        <x:v>Kaynak Tamamlama / Zayıf Konu</x:v>
      </x:c>
      <x:c r="F272" t="n">
        <x:v>30</x:v>
      </x:c>
      <x:c r="G272" t="n">
        <x:v>20</x:v>
      </x:c>
      <x:c r="H272"/>
      <x:c r="I272"/>
      <x:c r="J272"/>
      <x:c r="K272" s="18"/>
      <x:c r="L272" s="20" t="str">
        <x:f>IF(OR(K272="",G272=0),"",K272*86400/G272)</x:f>
      </x:c>
      <x:c r="M272" s="22" t="str">
        <x:f>IF(SUM(H272:J272)=0,"",H272/SUM(H272:J272))</x:f>
      </x:c>
      <x:c r="N272" t="n">
        <x:v>10</x:v>
      </x:c>
      <x:c r="O272" t="str">
        <x:f>IF(SUM(H272:J272)=0,"",SUM(H272:J272)+IF(N272="",0,N272))</x:f>
      </x:c>
      <x:c r="P272" t="str"/>
    </x:row>
    <x:row r="273">
      <x:c r="A273" s="12" t="n">
        <x:v>46431</x:v>
      </x:c>
      <x:c r="B273" t="n">
        <x:v>136</x:v>
      </x:c>
      <x:c r="C273" t="str">
        <x:v>Cumartesi</x:v>
      </x:c>
      <x:c r="D273" t="str">
        <x:v>Paragraf</x:v>
      </x:c>
      <x:c r="E273" t="str">
        <x:v>Paragraf</x:v>
      </x:c>
      <x:c r="F273" t="n">
        <x:v>30</x:v>
      </x:c>
      <x:c r="G273" t="n">
        <x:v>20</x:v>
      </x:c>
      <x:c r="H273"/>
      <x:c r="I273"/>
      <x:c r="J273"/>
      <x:c r="K273" s="18"/>
      <x:c r="L273" s="20" t="str">
        <x:f>IF(OR(K273="",G273=0),"",K273*86400/G273)</x:f>
      </x:c>
      <x:c r="M273" s="22" t="str">
        <x:f>IF(SUM(H273:J273)=0,"",H273/SUM(H273:J273))</x:f>
      </x:c>
      <x:c r="N273" t="n">
        <x:v>10</x:v>
      </x:c>
      <x:c r="O273" t="str">
        <x:f>IF(SUM(H273:J273)=0,"",SUM(H273:J273)+IF(N273="",0,N273))</x:f>
      </x:c>
      <x:c r="P273" t="str"/>
    </x:row>
    <x:row r="274">
      <x:c r="A274" s="12" t="n">
        <x:v>46432</x:v>
      </x:c>
      <x:c r="B274" t="n">
        <x:v>137</x:v>
      </x:c>
      <x:c r="C274" t="str">
        <x:v>Pazar</x:v>
      </x:c>
      <x:c r="D274" t="str">
        <x:v>Matematik</x:v>
      </x:c>
      <x:c r="E274" t="str">
        <x:v>Kaynak Tamamlama / Zayıf Konu</x:v>
      </x:c>
      <x:c r="F274" t="n">
        <x:v>30</x:v>
      </x:c>
      <x:c r="G274" t="n">
        <x:v>20</x:v>
      </x:c>
      <x:c r="H274"/>
      <x:c r="I274"/>
      <x:c r="J274"/>
      <x:c r="K274" s="18"/>
      <x:c r="L274" s="20" t="str">
        <x:f>IF(OR(K274="",G274=0),"",K274*86400/G274)</x:f>
      </x:c>
      <x:c r="M274" s="22" t="str">
        <x:f>IF(SUM(H274:J274)=0,"",H274/SUM(H274:J274))</x:f>
      </x:c>
      <x:c r="N274" t="n">
        <x:v>10</x:v>
      </x:c>
      <x:c r="O274" t="str">
        <x:f>IF(SUM(H274:J274)=0,"",SUM(H274:J274)+IF(N274="",0,N274))</x:f>
      </x:c>
      <x:c r="P274" t="str"/>
    </x:row>
    <x:row r="275">
      <x:c r="A275" s="12" t="n">
        <x:v>46432</x:v>
      </x:c>
      <x:c r="B275" t="n">
        <x:v>137</x:v>
      </x:c>
      <x:c r="C275" t="str">
        <x:v>Pazar</x:v>
      </x:c>
      <x:c r="D275" t="str">
        <x:v>Paragraf</x:v>
      </x:c>
      <x:c r="E275" t="str">
        <x:v>Paragraf</x:v>
      </x:c>
      <x:c r="F275" t="n">
        <x:v>30</x:v>
      </x:c>
      <x:c r="G275" t="n">
        <x:v>20</x:v>
      </x:c>
      <x:c r="H275"/>
      <x:c r="I275"/>
      <x:c r="J275"/>
      <x:c r="K275" s="18"/>
      <x:c r="L275" s="20" t="str">
        <x:f>IF(OR(K275="",G275=0),"",K275*86400/G275)</x:f>
      </x:c>
      <x:c r="M275" s="22" t="str">
        <x:f>IF(SUM(H275:J275)=0,"",H275/SUM(H275:J275))</x:f>
      </x:c>
      <x:c r="N275" t="n">
        <x:v>10</x:v>
      </x:c>
      <x:c r="O275" t="str">
        <x:f>IF(SUM(H275:J275)=0,"",SUM(H275:J275)+IF(N275="",0,N275))</x:f>
      </x:c>
      <x:c r="P275" t="str"/>
    </x:row>
    <x:row r="276">
      <x:c r="A276" s="12" t="n">
        <x:v>46433</x:v>
      </x:c>
      <x:c r="B276" t="n">
        <x:v>138</x:v>
      </x:c>
      <x:c r="C276" t="str">
        <x:v>Pazartesi</x:v>
      </x:c>
      <x:c r="D276" t="str">
        <x:v>Matematik</x:v>
      </x:c>
      <x:c r="E276" t="str">
        <x:v>Kaynak Tamamlama / Zayıf Konu</x:v>
      </x:c>
      <x:c r="F276" t="n">
        <x:v>30</x:v>
      </x:c>
      <x:c r="G276" t="n">
        <x:v>20</x:v>
      </x:c>
      <x:c r="H276"/>
      <x:c r="I276"/>
      <x:c r="J276"/>
      <x:c r="K276" s="18"/>
      <x:c r="L276" s="20" t="str">
        <x:f>IF(OR(K276="",G276=0),"",K276*86400/G276)</x:f>
      </x:c>
      <x:c r="M276" s="22" t="str">
        <x:f>IF(SUM(H276:J276)=0,"",H276/SUM(H276:J276))</x:f>
      </x:c>
      <x:c r="N276" t="n">
        <x:v>10</x:v>
      </x:c>
      <x:c r="O276" t="str">
        <x:f>IF(SUM(H276:J276)=0,"",SUM(H276:J276)+IF(N276="",0,N276))</x:f>
      </x:c>
      <x:c r="P276" t="str"/>
    </x:row>
    <x:row r="277">
      <x:c r="A277" s="12" t="n">
        <x:v>46433</x:v>
      </x:c>
      <x:c r="B277" t="n">
        <x:v>138</x:v>
      </x:c>
      <x:c r="C277" t="str">
        <x:v>Pazartesi</x:v>
      </x:c>
      <x:c r="D277" t="str">
        <x:v>Paragraf</x:v>
      </x:c>
      <x:c r="E277" t="str">
        <x:v>Paragraf</x:v>
      </x:c>
      <x:c r="F277" t="n">
        <x:v>30</x:v>
      </x:c>
      <x:c r="G277" t="n">
        <x:v>20</x:v>
      </x:c>
      <x:c r="H277"/>
      <x:c r="I277"/>
      <x:c r="J277"/>
      <x:c r="K277" s="18"/>
      <x:c r="L277" s="20" t="str">
        <x:f>IF(OR(K277="",G277=0),"",K277*86400/G277)</x:f>
      </x:c>
      <x:c r="M277" s="22" t="str">
        <x:f>IF(SUM(H277:J277)=0,"",H277/SUM(H277:J277))</x:f>
      </x:c>
      <x:c r="N277" t="n">
        <x:v>10</x:v>
      </x:c>
      <x:c r="O277" t="str">
        <x:f>IF(SUM(H277:J277)=0,"",SUM(H277:J277)+IF(N277="",0,N277))</x:f>
      </x:c>
      <x:c r="P277" t="str"/>
    </x:row>
    <x:row r="278">
      <x:c r="A278" s="12" t="n">
        <x:v>46434</x:v>
      </x:c>
      <x:c r="B278" t="n">
        <x:v>139</x:v>
      </x:c>
      <x:c r="C278" t="str">
        <x:v>Salı</x:v>
      </x:c>
      <x:c r="D278" t="str">
        <x:v>Matematik</x:v>
      </x:c>
      <x:c r="E278" t="str">
        <x:v>Kaynak Tamamlama / Zayıf Konu</x:v>
      </x:c>
      <x:c r="F278" t="n">
        <x:v>30</x:v>
      </x:c>
      <x:c r="G278" t="n">
        <x:v>20</x:v>
      </x:c>
      <x:c r="H278"/>
      <x:c r="I278"/>
      <x:c r="J278"/>
      <x:c r="K278" s="18"/>
      <x:c r="L278" s="20" t="str">
        <x:f>IF(OR(K278="",G278=0),"",K278*86400/G278)</x:f>
      </x:c>
      <x:c r="M278" s="22" t="str">
        <x:f>IF(SUM(H278:J278)=0,"",H278/SUM(H278:J278))</x:f>
      </x:c>
      <x:c r="N278" t="n">
        <x:v>10</x:v>
      </x:c>
      <x:c r="O278" t="str">
        <x:f>IF(SUM(H278:J278)=0,"",SUM(H278:J278)+IF(N278="",0,N278))</x:f>
      </x:c>
      <x:c r="P278" t="str"/>
    </x:row>
    <x:row r="279">
      <x:c r="A279" s="12" t="n">
        <x:v>46434</x:v>
      </x:c>
      <x:c r="B279" t="n">
        <x:v>139</x:v>
      </x:c>
      <x:c r="C279" t="str">
        <x:v>Salı</x:v>
      </x:c>
      <x:c r="D279" t="str">
        <x:v>Paragraf</x:v>
      </x:c>
      <x:c r="E279" t="str">
        <x:v>Paragraf</x:v>
      </x:c>
      <x:c r="F279" t="n">
        <x:v>30</x:v>
      </x:c>
      <x:c r="G279" t="n">
        <x:v>20</x:v>
      </x:c>
      <x:c r="H279"/>
      <x:c r="I279"/>
      <x:c r="J279"/>
      <x:c r="K279" s="18"/>
      <x:c r="L279" s="20" t="str">
        <x:f>IF(OR(K279="",G279=0),"",K279*86400/G279)</x:f>
      </x:c>
      <x:c r="M279" s="22" t="str">
        <x:f>IF(SUM(H279:J279)=0,"",H279/SUM(H279:J279))</x:f>
      </x:c>
      <x:c r="N279" t="n">
        <x:v>10</x:v>
      </x:c>
      <x:c r="O279" t="str">
        <x:f>IF(SUM(H279:J279)=0,"",SUM(H279:J279)+IF(N279="",0,N279))</x:f>
      </x:c>
      <x:c r="P279" t="str"/>
    </x:row>
    <x:row r="280">
      <x:c r="A280" s="12" t="n">
        <x:v>46435</x:v>
      </x:c>
      <x:c r="B280" t="n">
        <x:v>140</x:v>
      </x:c>
      <x:c r="C280" t="str">
        <x:v>Çarşamba</x:v>
      </x:c>
      <x:c r="D280" t="str">
        <x:v>Matematik</x:v>
      </x:c>
      <x:c r="E280" t="str">
        <x:v>Kaynak Tamamlama / Zayıf Konu</x:v>
      </x:c>
      <x:c r="F280" t="n">
        <x:v>30</x:v>
      </x:c>
      <x:c r="G280" t="n">
        <x:v>20</x:v>
      </x:c>
      <x:c r="H280"/>
      <x:c r="I280"/>
      <x:c r="J280"/>
      <x:c r="K280" s="18"/>
      <x:c r="L280" s="20" t="str">
        <x:f>IF(OR(K280="",G280=0),"",K280*86400/G280)</x:f>
      </x:c>
      <x:c r="M280" s="22" t="str">
        <x:f>IF(SUM(H280:J280)=0,"",H280/SUM(H280:J280))</x:f>
      </x:c>
      <x:c r="N280" t="n">
        <x:v>10</x:v>
      </x:c>
      <x:c r="O280" t="str">
        <x:f>IF(SUM(H280:J280)=0,"",SUM(H280:J280)+IF(N280="",0,N280))</x:f>
      </x:c>
      <x:c r="P280" t="str"/>
    </x:row>
    <x:row r="281">
      <x:c r="A281" s="12" t="n">
        <x:v>46435</x:v>
      </x:c>
      <x:c r="B281" t="n">
        <x:v>140</x:v>
      </x:c>
      <x:c r="C281" t="str">
        <x:v>Çarşamba</x:v>
      </x:c>
      <x:c r="D281" t="str">
        <x:v>Paragraf</x:v>
      </x:c>
      <x:c r="E281" t="str">
        <x:v>Paragraf</x:v>
      </x:c>
      <x:c r="F281" t="n">
        <x:v>30</x:v>
      </x:c>
      <x:c r="G281" t="n">
        <x:v>20</x:v>
      </x:c>
      <x:c r="H281"/>
      <x:c r="I281"/>
      <x:c r="J281"/>
      <x:c r="K281" s="18"/>
      <x:c r="L281" s="20" t="str">
        <x:f>IF(OR(K281="",G281=0),"",K281*86400/G281)</x:f>
      </x:c>
      <x:c r="M281" s="22" t="str">
        <x:f>IF(SUM(H281:J281)=0,"",H281/SUM(H281:J281))</x:f>
      </x:c>
      <x:c r="N281" t="n">
        <x:v>10</x:v>
      </x:c>
      <x:c r="O281" t="str">
        <x:f>IF(SUM(H281:J281)=0,"",SUM(H281:J281)+IF(N281="",0,N281))</x:f>
      </x:c>
      <x:c r="P281" t="str"/>
    </x:row>
    <x:row r="282">
      <x:c r="A282" s="12" t="n">
        <x:v>46436</x:v>
      </x:c>
      <x:c r="B282" t="n">
        <x:v>141</x:v>
      </x:c>
      <x:c r="C282" t="str">
        <x:v>Perşembe</x:v>
      </x:c>
      <x:c r="D282" t="str">
        <x:v>Matematik</x:v>
      </x:c>
      <x:c r="E282" t="str">
        <x:v>Kaynak Tamamlama / Zayıf Konu</x:v>
      </x:c>
      <x:c r="F282" t="n">
        <x:v>30</x:v>
      </x:c>
      <x:c r="G282" t="n">
        <x:v>20</x:v>
      </x:c>
      <x:c r="H282"/>
      <x:c r="I282"/>
      <x:c r="J282"/>
      <x:c r="K282" s="18"/>
      <x:c r="L282" s="20" t="str">
        <x:f>IF(OR(K282="",G282=0),"",K282*86400/G282)</x:f>
      </x:c>
      <x:c r="M282" s="22" t="str">
        <x:f>IF(SUM(H282:J282)=0,"",H282/SUM(H282:J282))</x:f>
      </x:c>
      <x:c r="N282" t="n">
        <x:v>10</x:v>
      </x:c>
      <x:c r="O282" t="str">
        <x:f>IF(SUM(H282:J282)=0,"",SUM(H282:J282)+IF(N282="",0,N282))</x:f>
      </x:c>
      <x:c r="P282" t="str"/>
    </x:row>
    <x:row r="283">
      <x:c r="A283" s="12" t="n">
        <x:v>46436</x:v>
      </x:c>
      <x:c r="B283" t="n">
        <x:v>141</x:v>
      </x:c>
      <x:c r="C283" t="str">
        <x:v>Perşembe</x:v>
      </x:c>
      <x:c r="D283" t="str">
        <x:v>Paragraf</x:v>
      </x:c>
      <x:c r="E283" t="str">
        <x:v>Paragraf</x:v>
      </x:c>
      <x:c r="F283" t="n">
        <x:v>30</x:v>
      </x:c>
      <x:c r="G283" t="n">
        <x:v>20</x:v>
      </x:c>
      <x:c r="H283"/>
      <x:c r="I283"/>
      <x:c r="J283"/>
      <x:c r="K283" s="18"/>
      <x:c r="L283" s="20" t="str">
        <x:f>IF(OR(K283="",G283=0),"",K283*86400/G283)</x:f>
      </x:c>
      <x:c r="M283" s="22" t="str">
        <x:f>IF(SUM(H283:J283)=0,"",H283/SUM(H283:J283))</x:f>
      </x:c>
      <x:c r="N283" t="n">
        <x:v>10</x:v>
      </x:c>
      <x:c r="O283" t="str">
        <x:f>IF(SUM(H283:J283)=0,"",SUM(H283:J283)+IF(N283="",0,N283))</x:f>
      </x:c>
      <x:c r="P283" t="str"/>
    </x:row>
    <x:row r="284">
      <x:c r="A284" s="12" t="n">
        <x:v>46437</x:v>
      </x:c>
      <x:c r="B284" t="n">
        <x:v>142</x:v>
      </x:c>
      <x:c r="C284" t="str">
        <x:v>Cuma</x:v>
      </x:c>
      <x:c r="D284" t="str">
        <x:v>Matematik</x:v>
      </x:c>
      <x:c r="E284" t="str">
        <x:v>Kaynak Tamamlama / Zayıf Konu</x:v>
      </x:c>
      <x:c r="F284" t="n">
        <x:v>30</x:v>
      </x:c>
      <x:c r="G284" t="n">
        <x:v>20</x:v>
      </x:c>
      <x:c r="H284"/>
      <x:c r="I284"/>
      <x:c r="J284"/>
      <x:c r="K284" s="18"/>
      <x:c r="L284" s="20" t="str">
        <x:f>IF(OR(K284="",G284=0),"",K284*86400/G284)</x:f>
      </x:c>
      <x:c r="M284" s="22" t="str">
        <x:f>IF(SUM(H284:J284)=0,"",H284/SUM(H284:J284))</x:f>
      </x:c>
      <x:c r="N284" t="n">
        <x:v>10</x:v>
      </x:c>
      <x:c r="O284" t="str">
        <x:f>IF(SUM(H284:J284)=0,"",SUM(H284:J284)+IF(N284="",0,N284))</x:f>
      </x:c>
      <x:c r="P284" t="str"/>
    </x:row>
    <x:row r="285">
      <x:c r="A285" s="12" t="n">
        <x:v>46437</x:v>
      </x:c>
      <x:c r="B285" t="n">
        <x:v>142</x:v>
      </x:c>
      <x:c r="C285" t="str">
        <x:v>Cuma</x:v>
      </x:c>
      <x:c r="D285" t="str">
        <x:v>Paragraf</x:v>
      </x:c>
      <x:c r="E285" t="str">
        <x:v>Paragraf</x:v>
      </x:c>
      <x:c r="F285" t="n">
        <x:v>30</x:v>
      </x:c>
      <x:c r="G285" t="n">
        <x:v>20</x:v>
      </x:c>
      <x:c r="H285"/>
      <x:c r="I285"/>
      <x:c r="J285"/>
      <x:c r="K285" s="18"/>
      <x:c r="L285" s="20" t="str">
        <x:f>IF(OR(K285="",G285=0),"",K285*86400/G285)</x:f>
      </x:c>
      <x:c r="M285" s="22" t="str">
        <x:f>IF(SUM(H285:J285)=0,"",H285/SUM(H285:J285))</x:f>
      </x:c>
      <x:c r="N285" t="n">
        <x:v>10</x:v>
      </x:c>
      <x:c r="O285" t="str">
        <x:f>IF(SUM(H285:J285)=0,"",SUM(H285:J285)+IF(N285="",0,N285))</x:f>
      </x:c>
      <x:c r="P285" t="str"/>
    </x:row>
    <x:row r="286">
      <x:c r="A286" s="12" t="n">
        <x:v>46438</x:v>
      </x:c>
      <x:c r="B286" t="n">
        <x:v>143</x:v>
      </x:c>
      <x:c r="C286" t="str">
        <x:v>Cumartesi</x:v>
      </x:c>
      <x:c r="D286" t="str">
        <x:v>Matematik</x:v>
      </x:c>
      <x:c r="E286" t="str">
        <x:v>Kaynak Tamamlama / Zayıf Konu</x:v>
      </x:c>
      <x:c r="F286" t="n">
        <x:v>30</x:v>
      </x:c>
      <x:c r="G286" t="n">
        <x:v>20</x:v>
      </x:c>
      <x:c r="H286"/>
      <x:c r="I286"/>
      <x:c r="J286"/>
      <x:c r="K286" s="18"/>
      <x:c r="L286" s="20" t="str">
        <x:f>IF(OR(K286="",G286=0),"",K286*86400/G286)</x:f>
      </x:c>
      <x:c r="M286" s="22" t="str">
        <x:f>IF(SUM(H286:J286)=0,"",H286/SUM(H286:J286))</x:f>
      </x:c>
      <x:c r="N286" t="n">
        <x:v>10</x:v>
      </x:c>
      <x:c r="O286" t="str">
        <x:f>IF(SUM(H286:J286)=0,"",SUM(H286:J286)+IF(N286="",0,N286))</x:f>
      </x:c>
      <x:c r="P286" t="str"/>
    </x:row>
    <x:row r="287">
      <x:c r="A287" s="12" t="n">
        <x:v>46438</x:v>
      </x:c>
      <x:c r="B287" t="n">
        <x:v>143</x:v>
      </x:c>
      <x:c r="C287" t="str">
        <x:v>Cumartesi</x:v>
      </x:c>
      <x:c r="D287" t="str">
        <x:v>Paragraf</x:v>
      </x:c>
      <x:c r="E287" t="str">
        <x:v>Paragraf</x:v>
      </x:c>
      <x:c r="F287" t="n">
        <x:v>30</x:v>
      </x:c>
      <x:c r="G287" t="n">
        <x:v>20</x:v>
      </x:c>
      <x:c r="H287"/>
      <x:c r="I287"/>
      <x:c r="J287"/>
      <x:c r="K287" s="18"/>
      <x:c r="L287" s="20" t="str">
        <x:f>IF(OR(K287="",G287=0),"",K287*86400/G287)</x:f>
      </x:c>
      <x:c r="M287" s="22" t="str">
        <x:f>IF(SUM(H287:J287)=0,"",H287/SUM(H287:J287))</x:f>
      </x:c>
      <x:c r="N287" t="n">
        <x:v>10</x:v>
      </x:c>
      <x:c r="O287" t="str">
        <x:f>IF(SUM(H287:J287)=0,"",SUM(H287:J287)+IF(N287="",0,N287))</x:f>
      </x:c>
      <x:c r="P287" t="str"/>
    </x:row>
    <x:row r="288">
      <x:c r="A288" s="12" t="n">
        <x:v>46439</x:v>
      </x:c>
      <x:c r="B288" t="n">
        <x:v>144</x:v>
      </x:c>
      <x:c r="C288" t="str">
        <x:v>Pazar</x:v>
      </x:c>
      <x:c r="D288" t="str">
        <x:v>Matematik</x:v>
      </x:c>
      <x:c r="E288" t="str">
        <x:v>Kaynak Tamamlama / Zayıf Konu</x:v>
      </x:c>
      <x:c r="F288" t="n">
        <x:v>30</x:v>
      </x:c>
      <x:c r="G288" t="n">
        <x:v>20</x:v>
      </x:c>
      <x:c r="H288"/>
      <x:c r="I288"/>
      <x:c r="J288"/>
      <x:c r="K288" s="18"/>
      <x:c r="L288" s="20" t="str">
        <x:f>IF(OR(K288="",G288=0),"",K288*86400/G288)</x:f>
      </x:c>
      <x:c r="M288" s="22" t="str">
        <x:f>IF(SUM(H288:J288)=0,"",H288/SUM(H288:J288))</x:f>
      </x:c>
      <x:c r="N288" t="n">
        <x:v>10</x:v>
      </x:c>
      <x:c r="O288" t="str">
        <x:f>IF(SUM(H288:J288)=0,"",SUM(H288:J288)+IF(N288="",0,N288))</x:f>
      </x:c>
      <x:c r="P288" t="str"/>
    </x:row>
    <x:row r="289">
      <x:c r="A289" s="12" t="n">
        <x:v>46439</x:v>
      </x:c>
      <x:c r="B289" t="n">
        <x:v>144</x:v>
      </x:c>
      <x:c r="C289" t="str">
        <x:v>Pazar</x:v>
      </x:c>
      <x:c r="D289" t="str">
        <x:v>Paragraf</x:v>
      </x:c>
      <x:c r="E289" t="str">
        <x:v>Paragraf</x:v>
      </x:c>
      <x:c r="F289" t="n">
        <x:v>30</x:v>
      </x:c>
      <x:c r="G289" t="n">
        <x:v>20</x:v>
      </x:c>
      <x:c r="H289"/>
      <x:c r="I289"/>
      <x:c r="J289"/>
      <x:c r="K289" s="18"/>
      <x:c r="L289" s="20" t="str">
        <x:f>IF(OR(K289="",G289=0),"",K289*86400/G289)</x:f>
      </x:c>
      <x:c r="M289" s="22" t="str">
        <x:f>IF(SUM(H289:J289)=0,"",H289/SUM(H289:J289))</x:f>
      </x:c>
      <x:c r="N289" t="n">
        <x:v>10</x:v>
      </x:c>
      <x:c r="O289" t="str">
        <x:f>IF(SUM(H289:J289)=0,"",SUM(H289:J289)+IF(N289="",0,N289))</x:f>
      </x:c>
      <x:c r="P289" t="str"/>
    </x:row>
    <x:row r="290">
      <x:c r="A290" s="12" t="n">
        <x:v>46440</x:v>
      </x:c>
      <x:c r="B290" t="n">
        <x:v>145</x:v>
      </x:c>
      <x:c r="C290" t="str">
        <x:v>Pazartesi</x:v>
      </x:c>
      <x:c r="D290" t="str">
        <x:v>Matematik</x:v>
      </x:c>
      <x:c r="E290" t="str">
        <x:v>Kaynak Tamamlama / Zayıf Konu</x:v>
      </x:c>
      <x:c r="F290" t="n">
        <x:v>30</x:v>
      </x:c>
      <x:c r="G290" t="n">
        <x:v>20</x:v>
      </x:c>
      <x:c r="H290"/>
      <x:c r="I290"/>
      <x:c r="J290"/>
      <x:c r="K290" s="18"/>
      <x:c r="L290" s="20" t="str">
        <x:f>IF(OR(K290="",G290=0),"",K290*86400/G290)</x:f>
      </x:c>
      <x:c r="M290" s="22" t="str">
        <x:f>IF(SUM(H290:J290)=0,"",H290/SUM(H290:J290))</x:f>
      </x:c>
      <x:c r="N290" t="n">
        <x:v>10</x:v>
      </x:c>
      <x:c r="O290" t="str">
        <x:f>IF(SUM(H290:J290)=0,"",SUM(H290:J290)+IF(N290="",0,N290))</x:f>
      </x:c>
      <x:c r="P290" t="str"/>
    </x:row>
    <x:row r="291">
      <x:c r="A291" s="12" t="n">
        <x:v>46440</x:v>
      </x:c>
      <x:c r="B291" t="n">
        <x:v>145</x:v>
      </x:c>
      <x:c r="C291" t="str">
        <x:v>Pazartesi</x:v>
      </x:c>
      <x:c r="D291" t="str">
        <x:v>Paragraf</x:v>
      </x:c>
      <x:c r="E291" t="str">
        <x:v>Paragraf</x:v>
      </x:c>
      <x:c r="F291" t="n">
        <x:v>30</x:v>
      </x:c>
      <x:c r="G291" t="n">
        <x:v>20</x:v>
      </x:c>
      <x:c r="H291"/>
      <x:c r="I291"/>
      <x:c r="J291"/>
      <x:c r="K291" s="18"/>
      <x:c r="L291" s="20" t="str">
        <x:f>IF(OR(K291="",G291=0),"",K291*86400/G291)</x:f>
      </x:c>
      <x:c r="M291" s="22" t="str">
        <x:f>IF(SUM(H291:J291)=0,"",H291/SUM(H291:J291))</x:f>
      </x:c>
      <x:c r="N291" t="n">
        <x:v>10</x:v>
      </x:c>
      <x:c r="O291" t="str">
        <x:f>IF(SUM(H291:J291)=0,"",SUM(H291:J291)+IF(N291="",0,N291))</x:f>
      </x:c>
      <x:c r="P291" t="str"/>
    </x:row>
    <x:row r="292">
      <x:c r="A292" s="12" t="n">
        <x:v>46441</x:v>
      </x:c>
      <x:c r="B292" t="n">
        <x:v>146</x:v>
      </x:c>
      <x:c r="C292" t="str">
        <x:v>Salı</x:v>
      </x:c>
      <x:c r="D292" t="str">
        <x:v>Matematik</x:v>
      </x:c>
      <x:c r="E292" t="str">
        <x:v>Kaynak Tamamlama / Zayıf Konu</x:v>
      </x:c>
      <x:c r="F292" t="n">
        <x:v>30</x:v>
      </x:c>
      <x:c r="G292" t="n">
        <x:v>20</x:v>
      </x:c>
      <x:c r="H292"/>
      <x:c r="I292"/>
      <x:c r="J292"/>
      <x:c r="K292" s="18"/>
      <x:c r="L292" s="20" t="str">
        <x:f>IF(OR(K292="",G292=0),"",K292*86400/G292)</x:f>
      </x:c>
      <x:c r="M292" s="22" t="str">
        <x:f>IF(SUM(H292:J292)=0,"",H292/SUM(H292:J292))</x:f>
      </x:c>
      <x:c r="N292" t="n">
        <x:v>10</x:v>
      </x:c>
      <x:c r="O292" t="str">
        <x:f>IF(SUM(H292:J292)=0,"",SUM(H292:J292)+IF(N292="",0,N292))</x:f>
      </x:c>
      <x:c r="P292" t="str"/>
    </x:row>
    <x:row r="293">
      <x:c r="A293" s="12" t="n">
        <x:v>46441</x:v>
      </x:c>
      <x:c r="B293" t="n">
        <x:v>146</x:v>
      </x:c>
      <x:c r="C293" t="str">
        <x:v>Salı</x:v>
      </x:c>
      <x:c r="D293" t="str">
        <x:v>Paragraf</x:v>
      </x:c>
      <x:c r="E293" t="str">
        <x:v>Paragraf</x:v>
      </x:c>
      <x:c r="F293" t="n">
        <x:v>30</x:v>
      </x:c>
      <x:c r="G293" t="n">
        <x:v>20</x:v>
      </x:c>
      <x:c r="H293"/>
      <x:c r="I293"/>
      <x:c r="J293"/>
      <x:c r="K293" s="18"/>
      <x:c r="L293" s="20" t="str">
        <x:f>IF(OR(K293="",G293=0),"",K293*86400/G293)</x:f>
      </x:c>
      <x:c r="M293" s="22" t="str">
        <x:f>IF(SUM(H293:J293)=0,"",H293/SUM(H293:J293))</x:f>
      </x:c>
      <x:c r="N293" t="n">
        <x:v>10</x:v>
      </x:c>
      <x:c r="O293" t="str">
        <x:f>IF(SUM(H293:J293)=0,"",SUM(H293:J293)+IF(N293="",0,N293))</x:f>
      </x:c>
      <x:c r="P293" t="str"/>
    </x:row>
    <x:row r="294">
      <x:c r="A294" s="12" t="n">
        <x:v>46442</x:v>
      </x:c>
      <x:c r="B294" t="n">
        <x:v>147</x:v>
      </x:c>
      <x:c r="C294" t="str">
        <x:v>Çarşamba</x:v>
      </x:c>
      <x:c r="D294" t="str">
        <x:v>Matematik</x:v>
      </x:c>
      <x:c r="E294" t="str">
        <x:v>Kaynak Tamamlama / Zayıf Konu</x:v>
      </x:c>
      <x:c r="F294" t="n">
        <x:v>30</x:v>
      </x:c>
      <x:c r="G294" t="n">
        <x:v>20</x:v>
      </x:c>
      <x:c r="H294"/>
      <x:c r="I294"/>
      <x:c r="J294"/>
      <x:c r="K294" s="18"/>
      <x:c r="L294" s="20" t="str">
        <x:f>IF(OR(K294="",G294=0),"",K294*86400/G294)</x:f>
      </x:c>
      <x:c r="M294" s="22" t="str">
        <x:f>IF(SUM(H294:J294)=0,"",H294/SUM(H294:J294))</x:f>
      </x:c>
      <x:c r="N294" t="n">
        <x:v>10</x:v>
      </x:c>
      <x:c r="O294" t="str">
        <x:f>IF(SUM(H294:J294)=0,"",SUM(H294:J294)+IF(N294="",0,N294))</x:f>
      </x:c>
      <x:c r="P294" t="str"/>
    </x:row>
    <x:row r="295">
      <x:c r="A295" s="12" t="n">
        <x:v>46442</x:v>
      </x:c>
      <x:c r="B295" t="n">
        <x:v>147</x:v>
      </x:c>
      <x:c r="C295" t="str">
        <x:v>Çarşamba</x:v>
      </x:c>
      <x:c r="D295" t="str">
        <x:v>Paragraf</x:v>
      </x:c>
      <x:c r="E295" t="str">
        <x:v>Paragraf</x:v>
      </x:c>
      <x:c r="F295" t="n">
        <x:v>30</x:v>
      </x:c>
      <x:c r="G295" t="n">
        <x:v>20</x:v>
      </x:c>
      <x:c r="H295"/>
      <x:c r="I295"/>
      <x:c r="J295"/>
      <x:c r="K295" s="18"/>
      <x:c r="L295" s="20" t="str">
        <x:f>IF(OR(K295="",G295=0),"",K295*86400/G295)</x:f>
      </x:c>
      <x:c r="M295" s="22" t="str">
        <x:f>IF(SUM(H295:J295)=0,"",H295/SUM(H295:J295))</x:f>
      </x:c>
      <x:c r="N295" t="n">
        <x:v>10</x:v>
      </x:c>
      <x:c r="O295" t="str">
        <x:f>IF(SUM(H295:J295)=0,"",SUM(H295:J295)+IF(N295="",0,N295))</x:f>
      </x:c>
      <x:c r="P295" t="str"/>
    </x:row>
    <x:row r="296">
      <x:c r="A296" s="12" t="n">
        <x:v>46443</x:v>
      </x:c>
      <x:c r="B296" t="n">
        <x:v>148</x:v>
      </x:c>
      <x:c r="C296" t="str">
        <x:v>Perşembe</x:v>
      </x:c>
      <x:c r="D296" t="str">
        <x:v>Matematik</x:v>
      </x:c>
      <x:c r="E296" t="str">
        <x:v>Kaynak Tamamlama / Zayıf Konu</x:v>
      </x:c>
      <x:c r="F296" t="n">
        <x:v>30</x:v>
      </x:c>
      <x:c r="G296" t="n">
        <x:v>20</x:v>
      </x:c>
      <x:c r="H296"/>
      <x:c r="I296"/>
      <x:c r="J296"/>
      <x:c r="K296" s="18"/>
      <x:c r="L296" s="20" t="str">
        <x:f>IF(OR(K296="",G296=0),"",K296*86400/G296)</x:f>
      </x:c>
      <x:c r="M296" s="22" t="str">
        <x:f>IF(SUM(H296:J296)=0,"",H296/SUM(H296:J296))</x:f>
      </x:c>
      <x:c r="N296" t="n">
        <x:v>10</x:v>
      </x:c>
      <x:c r="O296" t="str">
        <x:f>IF(SUM(H296:J296)=0,"",SUM(H296:J296)+IF(N296="",0,N296))</x:f>
      </x:c>
      <x:c r="P296" t="str"/>
    </x:row>
    <x:row r="297">
      <x:c r="A297" s="12" t="n">
        <x:v>46443</x:v>
      </x:c>
      <x:c r="B297" t="n">
        <x:v>148</x:v>
      </x:c>
      <x:c r="C297" t="str">
        <x:v>Perşembe</x:v>
      </x:c>
      <x:c r="D297" t="str">
        <x:v>Paragraf</x:v>
      </x:c>
      <x:c r="E297" t="str">
        <x:v>Paragraf</x:v>
      </x:c>
      <x:c r="F297" t="n">
        <x:v>30</x:v>
      </x:c>
      <x:c r="G297" t="n">
        <x:v>20</x:v>
      </x:c>
      <x:c r="H297"/>
      <x:c r="I297"/>
      <x:c r="J297"/>
      <x:c r="K297" s="18"/>
      <x:c r="L297" s="20" t="str">
        <x:f>IF(OR(K297="",G297=0),"",K297*86400/G297)</x:f>
      </x:c>
      <x:c r="M297" s="22" t="str">
        <x:f>IF(SUM(H297:J297)=0,"",H297/SUM(H297:J297))</x:f>
      </x:c>
      <x:c r="N297" t="n">
        <x:v>10</x:v>
      </x:c>
      <x:c r="O297" t="str">
        <x:f>IF(SUM(H297:J297)=0,"",SUM(H297:J297)+IF(N297="",0,N297))</x:f>
      </x:c>
      <x:c r="P297" t="str"/>
    </x:row>
    <x:row r="298">
      <x:c r="A298" s="12" t="n">
        <x:v>46444</x:v>
      </x:c>
      <x:c r="B298" t="n">
        <x:v>149</x:v>
      </x:c>
      <x:c r="C298" t="str">
        <x:v>Cuma</x:v>
      </x:c>
      <x:c r="D298" t="str">
        <x:v>Matematik</x:v>
      </x:c>
      <x:c r="E298" t="str">
        <x:v>Kaynak Tamamlama / Zayıf Konu</x:v>
      </x:c>
      <x:c r="F298" t="n">
        <x:v>30</x:v>
      </x:c>
      <x:c r="G298" t="n">
        <x:v>20</x:v>
      </x:c>
      <x:c r="H298"/>
      <x:c r="I298"/>
      <x:c r="J298"/>
      <x:c r="K298" s="18"/>
      <x:c r="L298" s="20" t="str">
        <x:f>IF(OR(K298="",G298=0),"",K298*86400/G298)</x:f>
      </x:c>
      <x:c r="M298" s="22" t="str">
        <x:f>IF(SUM(H298:J298)=0,"",H298/SUM(H298:J298))</x:f>
      </x:c>
      <x:c r="N298" t="n">
        <x:v>10</x:v>
      </x:c>
      <x:c r="O298" t="str">
        <x:f>IF(SUM(H298:J298)=0,"",SUM(H298:J298)+IF(N298="",0,N298))</x:f>
      </x:c>
      <x:c r="P298" t="str"/>
    </x:row>
    <x:row r="299">
      <x:c r="A299" s="12" t="n">
        <x:v>46444</x:v>
      </x:c>
      <x:c r="B299" t="n">
        <x:v>149</x:v>
      </x:c>
      <x:c r="C299" t="str">
        <x:v>Cuma</x:v>
      </x:c>
      <x:c r="D299" t="str">
        <x:v>Paragraf</x:v>
      </x:c>
      <x:c r="E299" t="str">
        <x:v>Paragraf</x:v>
      </x:c>
      <x:c r="F299" t="n">
        <x:v>30</x:v>
      </x:c>
      <x:c r="G299" t="n">
        <x:v>20</x:v>
      </x:c>
      <x:c r="H299"/>
      <x:c r="I299"/>
      <x:c r="J299"/>
      <x:c r="K299" s="18"/>
      <x:c r="L299" s="20" t="str">
        <x:f>IF(OR(K299="",G299=0),"",K299*86400/G299)</x:f>
      </x:c>
      <x:c r="M299" s="22" t="str">
        <x:f>IF(SUM(H299:J299)=0,"",H299/SUM(H299:J299))</x:f>
      </x:c>
      <x:c r="N299" t="n">
        <x:v>10</x:v>
      </x:c>
      <x:c r="O299" t="str">
        <x:f>IF(SUM(H299:J299)=0,"",SUM(H299:J299)+IF(N299="",0,N299))</x:f>
      </x:c>
      <x:c r="P299" t="str"/>
    </x:row>
    <x:row r="300">
      <x:c r="A300" s="12" t="n">
        <x:v>46445</x:v>
      </x:c>
      <x:c r="B300" t="n">
        <x:v>150</x:v>
      </x:c>
      <x:c r="C300" t="str">
        <x:v>Cumartesi</x:v>
      </x:c>
      <x:c r="D300" t="str">
        <x:v>Matematik</x:v>
      </x:c>
      <x:c r="E300" t="str">
        <x:v>Kaynak Tamamlama / Zayıf Konu</x:v>
      </x:c>
      <x:c r="F300" t="n">
        <x:v>30</x:v>
      </x:c>
      <x:c r="G300" t="n">
        <x:v>20</x:v>
      </x:c>
      <x:c r="H300"/>
      <x:c r="I300"/>
      <x:c r="J300"/>
      <x:c r="K300" s="18"/>
      <x:c r="L300" s="20" t="str">
        <x:f>IF(OR(K300="",G300=0),"",K300*86400/G300)</x:f>
      </x:c>
      <x:c r="M300" s="22" t="str">
        <x:f>IF(SUM(H300:J300)=0,"",H300/SUM(H300:J300))</x:f>
      </x:c>
      <x:c r="N300" t="n">
        <x:v>10</x:v>
      </x:c>
      <x:c r="O300" t="str">
        <x:f>IF(SUM(H300:J300)=0,"",SUM(H300:J300)+IF(N300="",0,N300))</x:f>
      </x:c>
      <x:c r="P300" t="str"/>
    </x:row>
    <x:row r="301">
      <x:c r="A301" s="12" t="n">
        <x:v>46445</x:v>
      </x:c>
      <x:c r="B301" t="n">
        <x:v>150</x:v>
      </x:c>
      <x:c r="C301" t="str">
        <x:v>Cumartesi</x:v>
      </x:c>
      <x:c r="D301" t="str">
        <x:v>Paragraf</x:v>
      </x:c>
      <x:c r="E301" t="str">
        <x:v>Paragraf</x:v>
      </x:c>
      <x:c r="F301" t="n">
        <x:v>30</x:v>
      </x:c>
      <x:c r="G301" t="n">
        <x:v>20</x:v>
      </x:c>
      <x:c r="H301"/>
      <x:c r="I301"/>
      <x:c r="J301"/>
      <x:c r="K301" s="18"/>
      <x:c r="L301" s="20" t="str">
        <x:f>IF(OR(K301="",G301=0),"",K301*86400/G301)</x:f>
      </x:c>
      <x:c r="M301" s="22" t="str">
        <x:f>IF(SUM(H301:J301)=0,"",H301/SUM(H301:J301))</x:f>
      </x:c>
      <x:c r="N301" t="n">
        <x:v>10</x:v>
      </x:c>
      <x:c r="O301" t="str">
        <x:f>IF(SUM(H301:J301)=0,"",SUM(H301:J301)+IF(N301="",0,N301))</x:f>
      </x:c>
      <x:c r="P301" t="str"/>
    </x:row>
    <x:row r="302">
      <x:c r="A302" s="12" t="n">
        <x:v>46446</x:v>
      </x:c>
      <x:c r="B302" t="n">
        <x:v>151</x:v>
      </x:c>
      <x:c r="C302" t="str">
        <x:v>Pazar</x:v>
      </x:c>
      <x:c r="D302" t="str">
        <x:v>Matematik</x:v>
      </x:c>
      <x:c r="E302" t="str">
        <x:v>Kaynak Tamamlama / Zayıf Konu</x:v>
      </x:c>
      <x:c r="F302" t="n">
        <x:v>30</x:v>
      </x:c>
      <x:c r="G302" t="n">
        <x:v>20</x:v>
      </x:c>
      <x:c r="H302"/>
      <x:c r="I302"/>
      <x:c r="J302"/>
      <x:c r="K302" s="18"/>
      <x:c r="L302" s="20" t="str">
        <x:f>IF(OR(K302="",G302=0),"",K302*86400/G302)</x:f>
      </x:c>
      <x:c r="M302" s="22" t="str">
        <x:f>IF(SUM(H302:J302)=0,"",H302/SUM(H302:J302))</x:f>
      </x:c>
      <x:c r="N302" t="n">
        <x:v>10</x:v>
      </x:c>
      <x:c r="O302" t="str">
        <x:f>IF(SUM(H302:J302)=0,"",SUM(H302:J302)+IF(N302="",0,N302))</x:f>
      </x:c>
      <x:c r="P302" t="str"/>
    </x:row>
    <x:row r="303">
      <x:c r="A303" s="12" t="n">
        <x:v>46446</x:v>
      </x:c>
      <x:c r="B303" t="n">
        <x:v>151</x:v>
      </x:c>
      <x:c r="C303" t="str">
        <x:v>Pazar</x:v>
      </x:c>
      <x:c r="D303" t="str">
        <x:v>Paragraf</x:v>
      </x:c>
      <x:c r="E303" t="str">
        <x:v>Paragraf</x:v>
      </x:c>
      <x:c r="F303" t="n">
        <x:v>30</x:v>
      </x:c>
      <x:c r="G303" t="n">
        <x:v>20</x:v>
      </x:c>
      <x:c r="H303"/>
      <x:c r="I303"/>
      <x:c r="J303"/>
      <x:c r="K303" s="18"/>
      <x:c r="L303" s="20" t="str">
        <x:f>IF(OR(K303="",G303=0),"",K303*86400/G303)</x:f>
      </x:c>
      <x:c r="M303" s="22" t="str">
        <x:f>IF(SUM(H303:J303)=0,"",H303/SUM(H303:J303))</x:f>
      </x:c>
      <x:c r="N303" t="n">
        <x:v>10</x:v>
      </x:c>
      <x:c r="O303" t="str">
        <x:f>IF(SUM(H303:J303)=0,"",SUM(H303:J303)+IF(N303="",0,N303))</x:f>
      </x:c>
      <x:c r="P303" t="str"/>
    </x:row>
    <x:row r="304">
      <x:c r="A304" s="12" t="n">
        <x:v>46447</x:v>
      </x:c>
      <x:c r="B304" t="n">
        <x:v>152</x:v>
      </x:c>
      <x:c r="C304" t="str">
        <x:v>Pazartesi</x:v>
      </x:c>
      <x:c r="D304" t="str">
        <x:v>Matematik</x:v>
      </x:c>
      <x:c r="E304" t="str">
        <x:v>Kaynak Tamamlama / Zayıf Konu</x:v>
      </x:c>
      <x:c r="F304" t="n">
        <x:v>30</x:v>
      </x:c>
      <x:c r="G304" t="n">
        <x:v>20</x:v>
      </x:c>
      <x:c r="H304"/>
      <x:c r="I304"/>
      <x:c r="J304"/>
      <x:c r="K304" s="18"/>
      <x:c r="L304" s="20" t="str">
        <x:f>IF(OR(K304="",G304=0),"",K304*86400/G304)</x:f>
      </x:c>
      <x:c r="M304" s="22" t="str">
        <x:f>IF(SUM(H304:J304)=0,"",H304/SUM(H304:J304))</x:f>
      </x:c>
      <x:c r="N304" t="n">
        <x:v>10</x:v>
      </x:c>
      <x:c r="O304" t="str">
        <x:f>IF(SUM(H304:J304)=0,"",SUM(H304:J304)+IF(N304="",0,N304))</x:f>
      </x:c>
      <x:c r="P304" t="str"/>
    </x:row>
    <x:row r="305">
      <x:c r="A305" s="12" t="n">
        <x:v>46447</x:v>
      </x:c>
      <x:c r="B305" t="n">
        <x:v>152</x:v>
      </x:c>
      <x:c r="C305" t="str">
        <x:v>Pazartesi</x:v>
      </x:c>
      <x:c r="D305" t="str">
        <x:v>Paragraf</x:v>
      </x:c>
      <x:c r="E305" t="str">
        <x:v>Paragraf</x:v>
      </x:c>
      <x:c r="F305" t="n">
        <x:v>30</x:v>
      </x:c>
      <x:c r="G305" t="n">
        <x:v>20</x:v>
      </x:c>
      <x:c r="H305"/>
      <x:c r="I305"/>
      <x:c r="J305"/>
      <x:c r="K305" s="18"/>
      <x:c r="L305" s="20" t="str">
        <x:f>IF(OR(K305="",G305=0),"",K305*86400/G305)</x:f>
      </x:c>
      <x:c r="M305" s="22" t="str">
        <x:f>IF(SUM(H305:J305)=0,"",H305/SUM(H305:J305))</x:f>
      </x:c>
      <x:c r="N305" t="n">
        <x:v>10</x:v>
      </x:c>
      <x:c r="O305" t="str">
        <x:f>IF(SUM(H305:J305)=0,"",SUM(H305:J305)+IF(N305="",0,N305))</x:f>
      </x:c>
      <x:c r="P305" t="str"/>
    </x:row>
    <x:row r="306">
      <x:c r="A306" s="12" t="n">
        <x:v>46448</x:v>
      </x:c>
      <x:c r="B306" t="n">
        <x:v>153</x:v>
      </x:c>
      <x:c r="C306" t="str">
        <x:v>Salı</x:v>
      </x:c>
      <x:c r="D306" t="str">
        <x:v>Matematik</x:v>
      </x:c>
      <x:c r="E306" t="str">
        <x:v>Kaynak Tamamlama / Zayıf Konu</x:v>
      </x:c>
      <x:c r="F306" t="n">
        <x:v>30</x:v>
      </x:c>
      <x:c r="G306" t="n">
        <x:v>20</x:v>
      </x:c>
      <x:c r="H306"/>
      <x:c r="I306"/>
      <x:c r="J306"/>
      <x:c r="K306" s="18"/>
      <x:c r="L306" s="20" t="str">
        <x:f>IF(OR(K306="",G306=0),"",K306*86400/G306)</x:f>
      </x:c>
      <x:c r="M306" s="22" t="str">
        <x:f>IF(SUM(H306:J306)=0,"",H306/SUM(H306:J306))</x:f>
      </x:c>
      <x:c r="N306" t="n">
        <x:v>10</x:v>
      </x:c>
      <x:c r="O306" t="str">
        <x:f>IF(SUM(H306:J306)=0,"",SUM(H306:J306)+IF(N306="",0,N306))</x:f>
      </x:c>
      <x:c r="P306" t="str"/>
    </x:row>
    <x:row r="307">
      <x:c r="A307" s="12" t="n">
        <x:v>46448</x:v>
      </x:c>
      <x:c r="B307" t="n">
        <x:v>153</x:v>
      </x:c>
      <x:c r="C307" t="str">
        <x:v>Salı</x:v>
      </x:c>
      <x:c r="D307" t="str">
        <x:v>Paragraf</x:v>
      </x:c>
      <x:c r="E307" t="str">
        <x:v>Paragraf</x:v>
      </x:c>
      <x:c r="F307" t="n">
        <x:v>30</x:v>
      </x:c>
      <x:c r="G307" t="n">
        <x:v>20</x:v>
      </x:c>
      <x:c r="H307"/>
      <x:c r="I307"/>
      <x:c r="J307"/>
      <x:c r="K307" s="18"/>
      <x:c r="L307" s="20" t="str">
        <x:f>IF(OR(K307="",G307=0),"",K307*86400/G307)</x:f>
      </x:c>
      <x:c r="M307" s="22" t="str">
        <x:f>IF(SUM(H307:J307)=0,"",H307/SUM(H307:J307))</x:f>
      </x:c>
      <x:c r="N307" t="n">
        <x:v>10</x:v>
      </x:c>
      <x:c r="O307" t="str">
        <x:f>IF(SUM(H307:J307)=0,"",SUM(H307:J307)+IF(N307="",0,N307))</x:f>
      </x:c>
      <x:c r="P307" t="str"/>
    </x:row>
    <x:row r="308">
      <x:c r="A308" s="12" t="n">
        <x:v>46449</x:v>
      </x:c>
      <x:c r="B308" t="n">
        <x:v>154</x:v>
      </x:c>
      <x:c r="C308" t="str">
        <x:v>Çarşamba</x:v>
      </x:c>
      <x:c r="D308" t="str">
        <x:v>Matematik</x:v>
      </x:c>
      <x:c r="E308" t="str">
        <x:v>Kaynak Tamamlama / Zayıf Konu</x:v>
      </x:c>
      <x:c r="F308" t="n">
        <x:v>30</x:v>
      </x:c>
      <x:c r="G308" t="n">
        <x:v>20</x:v>
      </x:c>
      <x:c r="H308"/>
      <x:c r="I308"/>
      <x:c r="J308"/>
      <x:c r="K308" s="18"/>
      <x:c r="L308" s="20" t="str">
        <x:f>IF(OR(K308="",G308=0),"",K308*86400/G308)</x:f>
      </x:c>
      <x:c r="M308" s="22" t="str">
        <x:f>IF(SUM(H308:J308)=0,"",H308/SUM(H308:J308))</x:f>
      </x:c>
      <x:c r="N308" t="n">
        <x:v>10</x:v>
      </x:c>
      <x:c r="O308" t="str">
        <x:f>IF(SUM(H308:J308)=0,"",SUM(H308:J308)+IF(N308="",0,N308))</x:f>
      </x:c>
      <x:c r="P308" t="str"/>
    </x:row>
    <x:row r="309">
      <x:c r="A309" s="12" t="n">
        <x:v>46449</x:v>
      </x:c>
      <x:c r="B309" t="n">
        <x:v>154</x:v>
      </x:c>
      <x:c r="C309" t="str">
        <x:v>Çarşamba</x:v>
      </x:c>
      <x:c r="D309" t="str">
        <x:v>Paragraf</x:v>
      </x:c>
      <x:c r="E309" t="str">
        <x:v>Paragraf</x:v>
      </x:c>
      <x:c r="F309" t="n">
        <x:v>30</x:v>
      </x:c>
      <x:c r="G309" t="n">
        <x:v>20</x:v>
      </x:c>
      <x:c r="H309"/>
      <x:c r="I309"/>
      <x:c r="J309"/>
      <x:c r="K309" s="18"/>
      <x:c r="L309" s="20" t="str">
        <x:f>IF(OR(K309="",G309=0),"",K309*86400/G309)</x:f>
      </x:c>
      <x:c r="M309" s="22" t="str">
        <x:f>IF(SUM(H309:J309)=0,"",H309/SUM(H309:J309))</x:f>
      </x:c>
      <x:c r="N309" t="n">
        <x:v>10</x:v>
      </x:c>
      <x:c r="O309" t="str">
        <x:f>IF(SUM(H309:J309)=0,"",SUM(H309:J309)+IF(N309="",0,N309))</x:f>
      </x:c>
      <x:c r="P309" t="str"/>
    </x:row>
    <x:row r="310">
      <x:c r="A310" s="12" t="n">
        <x:v>46450</x:v>
      </x:c>
      <x:c r="B310" t="n">
        <x:v>155</x:v>
      </x:c>
      <x:c r="C310" t="str">
        <x:v>Perşembe</x:v>
      </x:c>
      <x:c r="D310" t="str">
        <x:v>Matematik</x:v>
      </x:c>
      <x:c r="E310" t="str">
        <x:v>Kaynak Tamamlama / Zayıf Konu</x:v>
      </x:c>
      <x:c r="F310" t="n">
        <x:v>30</x:v>
      </x:c>
      <x:c r="G310" t="n">
        <x:v>20</x:v>
      </x:c>
      <x:c r="H310"/>
      <x:c r="I310"/>
      <x:c r="J310"/>
      <x:c r="K310" s="18"/>
      <x:c r="L310" s="20" t="str">
        <x:f>IF(OR(K310="",G310=0),"",K310*86400/G310)</x:f>
      </x:c>
      <x:c r="M310" s="22" t="str">
        <x:f>IF(SUM(H310:J310)=0,"",H310/SUM(H310:J310))</x:f>
      </x:c>
      <x:c r="N310" t="n">
        <x:v>10</x:v>
      </x:c>
      <x:c r="O310" t="str">
        <x:f>IF(SUM(H310:J310)=0,"",SUM(H310:J310)+IF(N310="",0,N310))</x:f>
      </x:c>
      <x:c r="P310" t="str"/>
    </x:row>
    <x:row r="311">
      <x:c r="A311" s="12" t="n">
        <x:v>46450</x:v>
      </x:c>
      <x:c r="B311" t="n">
        <x:v>155</x:v>
      </x:c>
      <x:c r="C311" t="str">
        <x:v>Perşembe</x:v>
      </x:c>
      <x:c r="D311" t="str">
        <x:v>Paragraf</x:v>
      </x:c>
      <x:c r="E311" t="str">
        <x:v>Paragraf</x:v>
      </x:c>
      <x:c r="F311" t="n">
        <x:v>30</x:v>
      </x:c>
      <x:c r="G311" t="n">
        <x:v>20</x:v>
      </x:c>
      <x:c r="H311"/>
      <x:c r="I311"/>
      <x:c r="J311"/>
      <x:c r="K311" s="18"/>
      <x:c r="L311" s="20" t="str">
        <x:f>IF(OR(K311="",G311=0),"",K311*86400/G311)</x:f>
      </x:c>
      <x:c r="M311" s="22" t="str">
        <x:f>IF(SUM(H311:J311)=0,"",H311/SUM(H311:J311))</x:f>
      </x:c>
      <x:c r="N311" t="n">
        <x:v>10</x:v>
      </x:c>
      <x:c r="O311" t="str">
        <x:f>IF(SUM(H311:J311)=0,"",SUM(H311:J311)+IF(N311="",0,N311))</x:f>
      </x:c>
      <x:c r="P311" t="str"/>
    </x:row>
    <x:row r="312">
      <x:c r="A312" s="12" t="n">
        <x:v>46451</x:v>
      </x:c>
      <x:c r="B312" t="n">
        <x:v>156</x:v>
      </x:c>
      <x:c r="C312" t="str">
        <x:v>Cuma</x:v>
      </x:c>
      <x:c r="D312" t="str">
        <x:v>Matematik</x:v>
      </x:c>
      <x:c r="E312" t="str">
        <x:v>Kaynak Tamamlama / Zayıf Konu</x:v>
      </x:c>
      <x:c r="F312" t="n">
        <x:v>30</x:v>
      </x:c>
      <x:c r="G312" t="n">
        <x:v>20</x:v>
      </x:c>
      <x:c r="H312"/>
      <x:c r="I312"/>
      <x:c r="J312"/>
      <x:c r="K312" s="18"/>
      <x:c r="L312" s="20" t="str">
        <x:f>IF(OR(K312="",G312=0),"",K312*86400/G312)</x:f>
      </x:c>
      <x:c r="M312" s="22" t="str">
        <x:f>IF(SUM(H312:J312)=0,"",H312/SUM(H312:J312))</x:f>
      </x:c>
      <x:c r="N312" t="n">
        <x:v>10</x:v>
      </x:c>
      <x:c r="O312" t="str">
        <x:f>IF(SUM(H312:J312)=0,"",SUM(H312:J312)+IF(N312="",0,N312))</x:f>
      </x:c>
      <x:c r="P312" t="str"/>
    </x:row>
    <x:row r="313">
      <x:c r="A313" s="12" t="n">
        <x:v>46451</x:v>
      </x:c>
      <x:c r="B313" t="n">
        <x:v>156</x:v>
      </x:c>
      <x:c r="C313" t="str">
        <x:v>Cuma</x:v>
      </x:c>
      <x:c r="D313" t="str">
        <x:v>Paragraf</x:v>
      </x:c>
      <x:c r="E313" t="str">
        <x:v>Paragraf</x:v>
      </x:c>
      <x:c r="F313" t="n">
        <x:v>30</x:v>
      </x:c>
      <x:c r="G313" t="n">
        <x:v>20</x:v>
      </x:c>
      <x:c r="H313"/>
      <x:c r="I313"/>
      <x:c r="J313"/>
      <x:c r="K313" s="18"/>
      <x:c r="L313" s="20" t="str">
        <x:f>IF(OR(K313="",G313=0),"",K313*86400/G313)</x:f>
      </x:c>
      <x:c r="M313" s="22" t="str">
        <x:f>IF(SUM(H313:J313)=0,"",H313/SUM(H313:J313))</x:f>
      </x:c>
      <x:c r="N313" t="n">
        <x:v>10</x:v>
      </x:c>
      <x:c r="O313" t="str">
        <x:f>IF(SUM(H313:J313)=0,"",SUM(H313:J313)+IF(N313="",0,N313))</x:f>
      </x:c>
      <x:c r="P313" t="str"/>
    </x:row>
    <x:row r="314">
      <x:c r="A314" s="12" t="n">
        <x:v>46452</x:v>
      </x:c>
      <x:c r="B314" t="n">
        <x:v>157</x:v>
      </x:c>
      <x:c r="C314" t="str">
        <x:v>Cumartesi</x:v>
      </x:c>
      <x:c r="D314" t="str">
        <x:v>Matematik</x:v>
      </x:c>
      <x:c r="E314" t="str">
        <x:v>Kaynak Tamamlama / Zayıf Konu</x:v>
      </x:c>
      <x:c r="F314" t="n">
        <x:v>30</x:v>
      </x:c>
      <x:c r="G314" t="n">
        <x:v>20</x:v>
      </x:c>
      <x:c r="H314"/>
      <x:c r="I314"/>
      <x:c r="J314"/>
      <x:c r="K314" s="18"/>
      <x:c r="L314" s="20" t="str">
        <x:f>IF(OR(K314="",G314=0),"",K314*86400/G314)</x:f>
      </x:c>
      <x:c r="M314" s="22" t="str">
        <x:f>IF(SUM(H314:J314)=0,"",H314/SUM(H314:J314))</x:f>
      </x:c>
      <x:c r="N314" t="n">
        <x:v>10</x:v>
      </x:c>
      <x:c r="O314" t="str">
        <x:f>IF(SUM(H314:J314)=0,"",SUM(H314:J314)+IF(N314="",0,N314))</x:f>
      </x:c>
      <x:c r="P314" t="str"/>
    </x:row>
    <x:row r="315">
      <x:c r="A315" s="12" t="n">
        <x:v>46452</x:v>
      </x:c>
      <x:c r="B315" t="n">
        <x:v>157</x:v>
      </x:c>
      <x:c r="C315" t="str">
        <x:v>Cumartesi</x:v>
      </x:c>
      <x:c r="D315" t="str">
        <x:v>Paragraf</x:v>
      </x:c>
      <x:c r="E315" t="str">
        <x:v>Paragraf</x:v>
      </x:c>
      <x:c r="F315" t="n">
        <x:v>30</x:v>
      </x:c>
      <x:c r="G315" t="n">
        <x:v>20</x:v>
      </x:c>
      <x:c r="H315"/>
      <x:c r="I315"/>
      <x:c r="J315"/>
      <x:c r="K315" s="18"/>
      <x:c r="L315" s="20" t="str">
        <x:f>IF(OR(K315="",G315=0),"",K315*86400/G315)</x:f>
      </x:c>
      <x:c r="M315" s="22" t="str">
        <x:f>IF(SUM(H315:J315)=0,"",H315/SUM(H315:J315))</x:f>
      </x:c>
      <x:c r="N315" t="n">
        <x:v>10</x:v>
      </x:c>
      <x:c r="O315" t="str">
        <x:f>IF(SUM(H315:J315)=0,"",SUM(H315:J315)+IF(N315="",0,N315))</x:f>
      </x:c>
      <x:c r="P315" t="str"/>
    </x:row>
    <x:row r="316">
      <x:c r="A316" s="12" t="n">
        <x:v>46453</x:v>
      </x:c>
      <x:c r="B316" t="n">
        <x:v>158</x:v>
      </x:c>
      <x:c r="C316" t="str">
        <x:v>Pazar</x:v>
      </x:c>
      <x:c r="D316" t="str">
        <x:v>Matematik</x:v>
      </x:c>
      <x:c r="E316" t="str">
        <x:v>Kaynak Tamamlama / Zayıf Konu</x:v>
      </x:c>
      <x:c r="F316" t="n">
        <x:v>30</x:v>
      </x:c>
      <x:c r="G316" t="n">
        <x:v>20</x:v>
      </x:c>
      <x:c r="H316"/>
      <x:c r="I316"/>
      <x:c r="J316"/>
      <x:c r="K316" s="18"/>
      <x:c r="L316" s="20" t="str">
        <x:f>IF(OR(K316="",G316=0),"",K316*86400/G316)</x:f>
      </x:c>
      <x:c r="M316" s="22" t="str">
        <x:f>IF(SUM(H316:J316)=0,"",H316/SUM(H316:J316))</x:f>
      </x:c>
      <x:c r="N316" t="n">
        <x:v>10</x:v>
      </x:c>
      <x:c r="O316" t="str">
        <x:f>IF(SUM(H316:J316)=0,"",SUM(H316:J316)+IF(N316="",0,N316))</x:f>
      </x:c>
      <x:c r="P316" t="str"/>
    </x:row>
    <x:row r="317">
      <x:c r="A317" s="12" t="n">
        <x:v>46453</x:v>
      </x:c>
      <x:c r="B317" t="n">
        <x:v>158</x:v>
      </x:c>
      <x:c r="C317" t="str">
        <x:v>Pazar</x:v>
      </x:c>
      <x:c r="D317" t="str">
        <x:v>Paragraf</x:v>
      </x:c>
      <x:c r="E317" t="str">
        <x:v>Paragraf</x:v>
      </x:c>
      <x:c r="F317" t="n">
        <x:v>30</x:v>
      </x:c>
      <x:c r="G317" t="n">
        <x:v>20</x:v>
      </x:c>
      <x:c r="H317"/>
      <x:c r="I317"/>
      <x:c r="J317"/>
      <x:c r="K317" s="18"/>
      <x:c r="L317" s="20" t="str">
        <x:f>IF(OR(K317="",G317=0),"",K317*86400/G317)</x:f>
      </x:c>
      <x:c r="M317" s="22" t="str">
        <x:f>IF(SUM(H317:J317)=0,"",H317/SUM(H317:J317))</x:f>
      </x:c>
      <x:c r="N317" t="n">
        <x:v>10</x:v>
      </x:c>
      <x:c r="O317" t="str">
        <x:f>IF(SUM(H317:J317)=0,"",SUM(H317:J317)+IF(N317="",0,N317))</x:f>
      </x:c>
      <x:c r="P317" t="str"/>
    </x:row>
    <x:row r="318">
      <x:c r="A318" s="12" t="n">
        <x:v>46454</x:v>
      </x:c>
      <x:c r="B318" t="n">
        <x:v>159</x:v>
      </x:c>
      <x:c r="C318" t="str">
        <x:v>Pazartesi</x:v>
      </x:c>
      <x:c r="D318" t="str">
        <x:v>Matematik</x:v>
      </x:c>
      <x:c r="E318" t="str">
        <x:v>Kaynak Tamamlama / Zayıf Konu</x:v>
      </x:c>
      <x:c r="F318" t="n">
        <x:v>30</x:v>
      </x:c>
      <x:c r="G318" t="n">
        <x:v>20</x:v>
      </x:c>
      <x:c r="H318"/>
      <x:c r="I318"/>
      <x:c r="J318"/>
      <x:c r="K318" s="18"/>
      <x:c r="L318" s="20" t="str">
        <x:f>IF(OR(K318="",G318=0),"",K318*86400/G318)</x:f>
      </x:c>
      <x:c r="M318" s="22" t="str">
        <x:f>IF(SUM(H318:J318)=0,"",H318/SUM(H318:J318))</x:f>
      </x:c>
      <x:c r="N318" t="n">
        <x:v>10</x:v>
      </x:c>
      <x:c r="O318" t="str">
        <x:f>IF(SUM(H318:J318)=0,"",SUM(H318:J318)+IF(N318="",0,N318))</x:f>
      </x:c>
      <x:c r="P318" t="str"/>
    </x:row>
    <x:row r="319">
      <x:c r="A319" s="12" t="n">
        <x:v>46454</x:v>
      </x:c>
      <x:c r="B319" t="n">
        <x:v>159</x:v>
      </x:c>
      <x:c r="C319" t="str">
        <x:v>Pazartesi</x:v>
      </x:c>
      <x:c r="D319" t="str">
        <x:v>Paragraf</x:v>
      </x:c>
      <x:c r="E319" t="str">
        <x:v>Paragraf</x:v>
      </x:c>
      <x:c r="F319" t="n">
        <x:v>30</x:v>
      </x:c>
      <x:c r="G319" t="n">
        <x:v>20</x:v>
      </x:c>
      <x:c r="H319"/>
      <x:c r="I319"/>
      <x:c r="J319"/>
      <x:c r="K319" s="18"/>
      <x:c r="L319" s="20" t="str">
        <x:f>IF(OR(K319="",G319=0),"",K319*86400/G319)</x:f>
      </x:c>
      <x:c r="M319" s="22" t="str">
        <x:f>IF(SUM(H319:J319)=0,"",H319/SUM(H319:J319))</x:f>
      </x:c>
      <x:c r="N319" t="n">
        <x:v>10</x:v>
      </x:c>
      <x:c r="O319" t="str">
        <x:f>IF(SUM(H319:J319)=0,"",SUM(H319:J319)+IF(N319="",0,N319))</x:f>
      </x:c>
      <x:c r="P319" t="str"/>
    </x:row>
    <x:row r="320">
      <x:c r="A320" s="12" t="n">
        <x:v>46455</x:v>
      </x:c>
      <x:c r="B320" t="n">
        <x:v>160</x:v>
      </x:c>
      <x:c r="C320" t="str">
        <x:v>Salı</x:v>
      </x:c>
      <x:c r="D320" t="str">
        <x:v>Matematik</x:v>
      </x:c>
      <x:c r="E320" t="str">
        <x:v>Kaynak Tamamlama / Zayıf Konu</x:v>
      </x:c>
      <x:c r="F320" t="n">
        <x:v>30</x:v>
      </x:c>
      <x:c r="G320" t="n">
        <x:v>20</x:v>
      </x:c>
      <x:c r="H320"/>
      <x:c r="I320"/>
      <x:c r="J320"/>
      <x:c r="K320" s="18"/>
      <x:c r="L320" s="20" t="str">
        <x:f>IF(OR(K320="",G320=0),"",K320*86400/G320)</x:f>
      </x:c>
      <x:c r="M320" s="22" t="str">
        <x:f>IF(SUM(H320:J320)=0,"",H320/SUM(H320:J320))</x:f>
      </x:c>
      <x:c r="N320" t="n">
        <x:v>10</x:v>
      </x:c>
      <x:c r="O320" t="str">
        <x:f>IF(SUM(H320:J320)=0,"",SUM(H320:J320)+IF(N320="",0,N320))</x:f>
      </x:c>
      <x:c r="P320" t="str"/>
    </x:row>
    <x:row r="321">
      <x:c r="A321" s="12" t="n">
        <x:v>46455</x:v>
      </x:c>
      <x:c r="B321" t="n">
        <x:v>160</x:v>
      </x:c>
      <x:c r="C321" t="str">
        <x:v>Salı</x:v>
      </x:c>
      <x:c r="D321" t="str">
        <x:v>Paragraf</x:v>
      </x:c>
      <x:c r="E321" t="str">
        <x:v>Paragraf</x:v>
      </x:c>
      <x:c r="F321" t="n">
        <x:v>30</x:v>
      </x:c>
      <x:c r="G321" t="n">
        <x:v>20</x:v>
      </x:c>
      <x:c r="H321"/>
      <x:c r="I321"/>
      <x:c r="J321"/>
      <x:c r="K321" s="18"/>
      <x:c r="L321" s="20" t="str">
        <x:f>IF(OR(K321="",G321=0),"",K321*86400/G321)</x:f>
      </x:c>
      <x:c r="M321" s="22" t="str">
        <x:f>IF(SUM(H321:J321)=0,"",H321/SUM(H321:J321))</x:f>
      </x:c>
      <x:c r="N321" t="n">
        <x:v>10</x:v>
      </x:c>
      <x:c r="O321" t="str">
        <x:f>IF(SUM(H321:J321)=0,"",SUM(H321:J321)+IF(N321="",0,N321))</x:f>
      </x:c>
      <x:c r="P321" t="str"/>
    </x:row>
    <x:row r="322">
      <x:c r="A322" s="12" t="n">
        <x:v>46456</x:v>
      </x:c>
      <x:c r="B322" t="n">
        <x:v>161</x:v>
      </x:c>
      <x:c r="C322" t="str">
        <x:v>Çarşamba</x:v>
      </x:c>
      <x:c r="D322" t="str">
        <x:v>Matematik</x:v>
      </x:c>
      <x:c r="E322" t="str">
        <x:v>Kaynak Tamamlama / Zayıf Konu</x:v>
      </x:c>
      <x:c r="F322" t="n">
        <x:v>30</x:v>
      </x:c>
      <x:c r="G322" t="n">
        <x:v>20</x:v>
      </x:c>
      <x:c r="H322"/>
      <x:c r="I322"/>
      <x:c r="J322"/>
      <x:c r="K322" s="18"/>
      <x:c r="L322" s="20" t="str">
        <x:f>IF(OR(K322="",G322=0),"",K322*86400/G322)</x:f>
      </x:c>
      <x:c r="M322" s="22" t="str">
        <x:f>IF(SUM(H322:J322)=0,"",H322/SUM(H322:J322))</x:f>
      </x:c>
      <x:c r="N322" t="n">
        <x:v>10</x:v>
      </x:c>
      <x:c r="O322" t="str">
        <x:f>IF(SUM(H322:J322)=0,"",SUM(H322:J322)+IF(N322="",0,N322))</x:f>
      </x:c>
      <x:c r="P322" t="str"/>
    </x:row>
    <x:row r="323">
      <x:c r="A323" s="12" t="n">
        <x:v>46456</x:v>
      </x:c>
      <x:c r="B323" t="n">
        <x:v>161</x:v>
      </x:c>
      <x:c r="C323" t="str">
        <x:v>Çarşamba</x:v>
      </x:c>
      <x:c r="D323" t="str">
        <x:v>Paragraf</x:v>
      </x:c>
      <x:c r="E323" t="str">
        <x:v>Paragraf</x:v>
      </x:c>
      <x:c r="F323" t="n">
        <x:v>30</x:v>
      </x:c>
      <x:c r="G323" t="n">
        <x:v>20</x:v>
      </x:c>
      <x:c r="H323"/>
      <x:c r="I323"/>
      <x:c r="J323"/>
      <x:c r="K323" s="18"/>
      <x:c r="L323" s="20" t="str">
        <x:f>IF(OR(K323="",G323=0),"",K323*86400/G323)</x:f>
      </x:c>
      <x:c r="M323" s="22" t="str">
        <x:f>IF(SUM(H323:J323)=0,"",H323/SUM(H323:J323))</x:f>
      </x:c>
      <x:c r="N323" t="n">
        <x:v>10</x:v>
      </x:c>
      <x:c r="O323" t="str">
        <x:f>IF(SUM(H323:J323)=0,"",SUM(H323:J323)+IF(N323="",0,N323))</x:f>
      </x:c>
      <x:c r="P323" t="str"/>
    </x:row>
    <x:row r="324">
      <x:c r="A324" s="12" t="n">
        <x:v>46457</x:v>
      </x:c>
      <x:c r="B324" t="n">
        <x:v>162</x:v>
      </x:c>
      <x:c r="C324" t="str">
        <x:v>Perşembe</x:v>
      </x:c>
      <x:c r="D324" t="str">
        <x:v>Matematik</x:v>
      </x:c>
      <x:c r="E324" t="str">
        <x:v>Kaynak Tamamlama / Zayıf Konu</x:v>
      </x:c>
      <x:c r="F324" t="n">
        <x:v>30</x:v>
      </x:c>
      <x:c r="G324" t="n">
        <x:v>20</x:v>
      </x:c>
      <x:c r="H324"/>
      <x:c r="I324"/>
      <x:c r="J324"/>
      <x:c r="K324" s="18"/>
      <x:c r="L324" s="20" t="str">
        <x:f>IF(OR(K324="",G324=0),"",K324*86400/G324)</x:f>
      </x:c>
      <x:c r="M324" s="22" t="str">
        <x:f>IF(SUM(H324:J324)=0,"",H324/SUM(H324:J324))</x:f>
      </x:c>
      <x:c r="N324" t="n">
        <x:v>10</x:v>
      </x:c>
      <x:c r="O324" t="str">
        <x:f>IF(SUM(H324:J324)=0,"",SUM(H324:J324)+IF(N324="",0,N324))</x:f>
      </x:c>
      <x:c r="P324" t="str"/>
    </x:row>
    <x:row r="325">
      <x:c r="A325" s="12" t="n">
        <x:v>46457</x:v>
      </x:c>
      <x:c r="B325" t="n">
        <x:v>162</x:v>
      </x:c>
      <x:c r="C325" t="str">
        <x:v>Perşembe</x:v>
      </x:c>
      <x:c r="D325" t="str">
        <x:v>Paragraf</x:v>
      </x:c>
      <x:c r="E325" t="str">
        <x:v>Paragraf</x:v>
      </x:c>
      <x:c r="F325" t="n">
        <x:v>30</x:v>
      </x:c>
      <x:c r="G325" t="n">
        <x:v>20</x:v>
      </x:c>
      <x:c r="H325"/>
      <x:c r="I325"/>
      <x:c r="J325"/>
      <x:c r="K325" s="18"/>
      <x:c r="L325" s="20" t="str">
        <x:f>IF(OR(K325="",G325=0),"",K325*86400/G325)</x:f>
      </x:c>
      <x:c r="M325" s="22" t="str">
        <x:f>IF(SUM(H325:J325)=0,"",H325/SUM(H325:J325))</x:f>
      </x:c>
      <x:c r="N325" t="n">
        <x:v>10</x:v>
      </x:c>
      <x:c r="O325" t="str">
        <x:f>IF(SUM(H325:J325)=0,"",SUM(H325:J325)+IF(N325="",0,N325))</x:f>
      </x:c>
      <x:c r="P325" t="str"/>
    </x:row>
    <x:row r="326">
      <x:c r="A326" s="12" t="n">
        <x:v>46458</x:v>
      </x:c>
      <x:c r="B326" t="n">
        <x:v>163</x:v>
      </x:c>
      <x:c r="C326" t="str">
        <x:v>Cuma</x:v>
      </x:c>
      <x:c r="D326" t="str">
        <x:v>Matematik</x:v>
      </x:c>
      <x:c r="E326" t="str">
        <x:v>Kaynak Tamamlama / Zayıf Konu</x:v>
      </x:c>
      <x:c r="F326" t="n">
        <x:v>30</x:v>
      </x:c>
      <x:c r="G326" t="n">
        <x:v>20</x:v>
      </x:c>
      <x:c r="H326"/>
      <x:c r="I326"/>
      <x:c r="J326"/>
      <x:c r="K326" s="18"/>
      <x:c r="L326" s="20" t="str">
        <x:f>IF(OR(K326="",G326=0),"",K326*86400/G326)</x:f>
      </x:c>
      <x:c r="M326" s="22" t="str">
        <x:f>IF(SUM(H326:J326)=0,"",H326/SUM(H326:J326))</x:f>
      </x:c>
      <x:c r="N326" t="n">
        <x:v>10</x:v>
      </x:c>
      <x:c r="O326" t="str">
        <x:f>IF(SUM(H326:J326)=0,"",SUM(H326:J326)+IF(N326="",0,N326))</x:f>
      </x:c>
      <x:c r="P326" t="str"/>
    </x:row>
    <x:row r="327">
      <x:c r="A327" s="12" t="n">
        <x:v>46458</x:v>
      </x:c>
      <x:c r="B327" t="n">
        <x:v>163</x:v>
      </x:c>
      <x:c r="C327" t="str">
        <x:v>Cuma</x:v>
      </x:c>
      <x:c r="D327" t="str">
        <x:v>Paragraf</x:v>
      </x:c>
      <x:c r="E327" t="str">
        <x:v>Paragraf</x:v>
      </x:c>
      <x:c r="F327" t="n">
        <x:v>30</x:v>
      </x:c>
      <x:c r="G327" t="n">
        <x:v>20</x:v>
      </x:c>
      <x:c r="H327"/>
      <x:c r="I327"/>
      <x:c r="J327"/>
      <x:c r="K327" s="18"/>
      <x:c r="L327" s="20" t="str">
        <x:f>IF(OR(K327="",G327=0),"",K327*86400/G327)</x:f>
      </x:c>
      <x:c r="M327" s="22" t="str">
        <x:f>IF(SUM(H327:J327)=0,"",H327/SUM(H327:J327))</x:f>
      </x:c>
      <x:c r="N327" t="n">
        <x:v>10</x:v>
      </x:c>
      <x:c r="O327" t="str">
        <x:f>IF(SUM(H327:J327)=0,"",SUM(H327:J327)+IF(N327="",0,N327))</x:f>
      </x:c>
      <x:c r="P327" t="str"/>
    </x:row>
    <x:row r="328">
      <x:c r="A328" s="12" t="n">
        <x:v>46459</x:v>
      </x:c>
      <x:c r="B328" t="n">
        <x:v>164</x:v>
      </x:c>
      <x:c r="C328" t="str">
        <x:v>Cumartesi</x:v>
      </x:c>
      <x:c r="D328" t="str">
        <x:v>Matematik</x:v>
      </x:c>
      <x:c r="E328" t="str">
        <x:v>Kaynak Tamamlama / Zayıf Konu</x:v>
      </x:c>
      <x:c r="F328" t="n">
        <x:v>30</x:v>
      </x:c>
      <x:c r="G328" t="n">
        <x:v>20</x:v>
      </x:c>
      <x:c r="H328"/>
      <x:c r="I328"/>
      <x:c r="J328"/>
      <x:c r="K328" s="18"/>
      <x:c r="L328" s="20" t="str">
        <x:f>IF(OR(K328="",G328=0),"",K328*86400/G328)</x:f>
      </x:c>
      <x:c r="M328" s="22" t="str">
        <x:f>IF(SUM(H328:J328)=0,"",H328/SUM(H328:J328))</x:f>
      </x:c>
      <x:c r="N328" t="n">
        <x:v>10</x:v>
      </x:c>
      <x:c r="O328" t="str">
        <x:f>IF(SUM(H328:J328)=0,"",SUM(H328:J328)+IF(N328="",0,N328))</x:f>
      </x:c>
      <x:c r="P328" t="str"/>
    </x:row>
    <x:row r="329">
      <x:c r="A329" s="12" t="n">
        <x:v>46459</x:v>
      </x:c>
      <x:c r="B329" t="n">
        <x:v>164</x:v>
      </x:c>
      <x:c r="C329" t="str">
        <x:v>Cumartesi</x:v>
      </x:c>
      <x:c r="D329" t="str">
        <x:v>Paragraf</x:v>
      </x:c>
      <x:c r="E329" t="str">
        <x:v>Paragraf</x:v>
      </x:c>
      <x:c r="F329" t="n">
        <x:v>30</x:v>
      </x:c>
      <x:c r="G329" t="n">
        <x:v>20</x:v>
      </x:c>
      <x:c r="H329"/>
      <x:c r="I329"/>
      <x:c r="J329"/>
      <x:c r="K329" s="18"/>
      <x:c r="L329" s="20" t="str">
        <x:f>IF(OR(K329="",G329=0),"",K329*86400/G329)</x:f>
      </x:c>
      <x:c r="M329" s="22" t="str">
        <x:f>IF(SUM(H329:J329)=0,"",H329/SUM(H329:J329))</x:f>
      </x:c>
      <x:c r="N329" t="n">
        <x:v>10</x:v>
      </x:c>
      <x:c r="O329" t="str">
        <x:f>IF(SUM(H329:J329)=0,"",SUM(H329:J329)+IF(N329="",0,N329))</x:f>
      </x:c>
      <x:c r="P329" t="str"/>
    </x:row>
    <x:row r="330">
      <x:c r="A330" s="12" t="n">
        <x:v>46460</x:v>
      </x:c>
      <x:c r="B330" t="n">
        <x:v>165</x:v>
      </x:c>
      <x:c r="C330" t="str">
        <x:v>Pazar</x:v>
      </x:c>
      <x:c r="D330" t="str">
        <x:v>Matematik</x:v>
      </x:c>
      <x:c r="E330" t="str">
        <x:v>Kaynak Tamamlama / Zayıf Konu</x:v>
      </x:c>
      <x:c r="F330" t="n">
        <x:v>30</x:v>
      </x:c>
      <x:c r="G330" t="n">
        <x:v>20</x:v>
      </x:c>
      <x:c r="H330"/>
      <x:c r="I330"/>
      <x:c r="J330"/>
      <x:c r="K330" s="18"/>
      <x:c r="L330" s="20" t="str">
        <x:f>IF(OR(K330="",G330=0),"",K330*86400/G330)</x:f>
      </x:c>
      <x:c r="M330" s="22" t="str">
        <x:f>IF(SUM(H330:J330)=0,"",H330/SUM(H330:J330))</x:f>
      </x:c>
      <x:c r="N330" t="n">
        <x:v>10</x:v>
      </x:c>
      <x:c r="O330" t="str">
        <x:f>IF(SUM(H330:J330)=0,"",SUM(H330:J330)+IF(N330="",0,N330))</x:f>
      </x:c>
      <x:c r="P330" t="str"/>
    </x:row>
    <x:row r="331">
      <x:c r="A331" s="12" t="n">
        <x:v>46460</x:v>
      </x:c>
      <x:c r="B331" t="n">
        <x:v>165</x:v>
      </x:c>
      <x:c r="C331" t="str">
        <x:v>Pazar</x:v>
      </x:c>
      <x:c r="D331" t="str">
        <x:v>Paragraf</x:v>
      </x:c>
      <x:c r="E331" t="str">
        <x:v>Paragraf</x:v>
      </x:c>
      <x:c r="F331" t="n">
        <x:v>30</x:v>
      </x:c>
      <x:c r="G331" t="n">
        <x:v>20</x:v>
      </x:c>
      <x:c r="H331"/>
      <x:c r="I331"/>
      <x:c r="J331"/>
      <x:c r="K331" s="18"/>
      <x:c r="L331" s="20" t="str">
        <x:f>IF(OR(K331="",G331=0),"",K331*86400/G331)</x:f>
      </x:c>
      <x:c r="M331" s="22" t="str">
        <x:f>IF(SUM(H331:J331)=0,"",H331/SUM(H331:J331))</x:f>
      </x:c>
      <x:c r="N331" t="n">
        <x:v>10</x:v>
      </x:c>
      <x:c r="O331" t="str">
        <x:f>IF(SUM(H331:J331)=0,"",SUM(H331:J331)+IF(N331="",0,N331))</x:f>
      </x:c>
      <x:c r="P331" t="str"/>
    </x:row>
    <x:row r="332">
      <x:c r="A332" s="12" t="n">
        <x:v>46461</x:v>
      </x:c>
      <x:c r="B332" t="n">
        <x:v>166</x:v>
      </x:c>
      <x:c r="C332" t="str">
        <x:v>Pazartesi</x:v>
      </x:c>
      <x:c r="D332" t="str">
        <x:v>Matematik</x:v>
      </x:c>
      <x:c r="E332" t="str">
        <x:v>Kaynak Tamamlama / Zayıf Konu</x:v>
      </x:c>
      <x:c r="F332" t="n">
        <x:v>30</x:v>
      </x:c>
      <x:c r="G332" t="n">
        <x:v>20</x:v>
      </x:c>
      <x:c r="H332"/>
      <x:c r="I332"/>
      <x:c r="J332"/>
      <x:c r="K332" s="18"/>
      <x:c r="L332" s="20" t="str">
        <x:f>IF(OR(K332="",G332=0),"",K332*86400/G332)</x:f>
      </x:c>
      <x:c r="M332" s="22" t="str">
        <x:f>IF(SUM(H332:J332)=0,"",H332/SUM(H332:J332))</x:f>
      </x:c>
      <x:c r="N332" t="n">
        <x:v>10</x:v>
      </x:c>
      <x:c r="O332" t="str">
        <x:f>IF(SUM(H332:J332)=0,"",SUM(H332:J332)+IF(N332="",0,N332))</x:f>
      </x:c>
      <x:c r="P332" t="str"/>
    </x:row>
    <x:row r="333">
      <x:c r="A333" s="12" t="n">
        <x:v>46461</x:v>
      </x:c>
      <x:c r="B333" t="n">
        <x:v>166</x:v>
      </x:c>
      <x:c r="C333" t="str">
        <x:v>Pazartesi</x:v>
      </x:c>
      <x:c r="D333" t="str">
        <x:v>Paragraf</x:v>
      </x:c>
      <x:c r="E333" t="str">
        <x:v>Paragraf</x:v>
      </x:c>
      <x:c r="F333" t="n">
        <x:v>30</x:v>
      </x:c>
      <x:c r="G333" t="n">
        <x:v>20</x:v>
      </x:c>
      <x:c r="H333"/>
      <x:c r="I333"/>
      <x:c r="J333"/>
      <x:c r="K333" s="18"/>
      <x:c r="L333" s="20" t="str">
        <x:f>IF(OR(K333="",G333=0),"",K333*86400/G333)</x:f>
      </x:c>
      <x:c r="M333" s="22" t="str">
        <x:f>IF(SUM(H333:J333)=0,"",H333/SUM(H333:J333))</x:f>
      </x:c>
      <x:c r="N333" t="n">
        <x:v>10</x:v>
      </x:c>
      <x:c r="O333" t="str">
        <x:f>IF(SUM(H333:J333)=0,"",SUM(H333:J333)+IF(N333="",0,N333))</x:f>
      </x:c>
      <x:c r="P333" t="str"/>
    </x:row>
    <x:row r="334">
      <x:c r="A334" s="12" t="n">
        <x:v>46462</x:v>
      </x:c>
      <x:c r="B334" t="n">
        <x:v>167</x:v>
      </x:c>
      <x:c r="C334" t="str">
        <x:v>Salı</x:v>
      </x:c>
      <x:c r="D334" t="str">
        <x:v>Matematik</x:v>
      </x:c>
      <x:c r="E334" t="str">
        <x:v>Kaynak Tamamlama / Zayıf Konu</x:v>
      </x:c>
      <x:c r="F334" t="n">
        <x:v>30</x:v>
      </x:c>
      <x:c r="G334" t="n">
        <x:v>20</x:v>
      </x:c>
      <x:c r="H334"/>
      <x:c r="I334"/>
      <x:c r="J334"/>
      <x:c r="K334" s="18"/>
      <x:c r="L334" s="20" t="str">
        <x:f>IF(OR(K334="",G334=0),"",K334*86400/G334)</x:f>
      </x:c>
      <x:c r="M334" s="22" t="str">
        <x:f>IF(SUM(H334:J334)=0,"",H334/SUM(H334:J334))</x:f>
      </x:c>
      <x:c r="N334" t="n">
        <x:v>10</x:v>
      </x:c>
      <x:c r="O334" t="str">
        <x:f>IF(SUM(H334:J334)=0,"",SUM(H334:J334)+IF(N334="",0,N334))</x:f>
      </x:c>
      <x:c r="P334" t="str"/>
    </x:row>
    <x:row r="335">
      <x:c r="A335" s="12" t="n">
        <x:v>46462</x:v>
      </x:c>
      <x:c r="B335" t="n">
        <x:v>167</x:v>
      </x:c>
      <x:c r="C335" t="str">
        <x:v>Salı</x:v>
      </x:c>
      <x:c r="D335" t="str">
        <x:v>Paragraf</x:v>
      </x:c>
      <x:c r="E335" t="str">
        <x:v>Paragraf</x:v>
      </x:c>
      <x:c r="F335" t="n">
        <x:v>30</x:v>
      </x:c>
      <x:c r="G335" t="n">
        <x:v>20</x:v>
      </x:c>
      <x:c r="H335"/>
      <x:c r="I335"/>
      <x:c r="J335"/>
      <x:c r="K335" s="18"/>
      <x:c r="L335" s="20" t="str">
        <x:f>IF(OR(K335="",G335=0),"",K335*86400/G335)</x:f>
      </x:c>
      <x:c r="M335" s="22" t="str">
        <x:f>IF(SUM(H335:J335)=0,"",H335/SUM(H335:J335))</x:f>
      </x:c>
      <x:c r="N335" t="n">
        <x:v>10</x:v>
      </x:c>
      <x:c r="O335" t="str">
        <x:f>IF(SUM(H335:J335)=0,"",SUM(H335:J335)+IF(N335="",0,N335))</x:f>
      </x:c>
      <x:c r="P335" t="str"/>
    </x:row>
    <x:row r="336">
      <x:c r="A336" s="12" t="n">
        <x:v>46463</x:v>
      </x:c>
      <x:c r="B336" t="n">
        <x:v>168</x:v>
      </x:c>
      <x:c r="C336" t="str">
        <x:v>Çarşamba</x:v>
      </x:c>
      <x:c r="D336" t="str">
        <x:v>Matematik</x:v>
      </x:c>
      <x:c r="E336" t="str">
        <x:v>Kaynak Tamamlama / Zayıf Konu</x:v>
      </x:c>
      <x:c r="F336" t="n">
        <x:v>30</x:v>
      </x:c>
      <x:c r="G336" t="n">
        <x:v>20</x:v>
      </x:c>
      <x:c r="H336"/>
      <x:c r="I336"/>
      <x:c r="J336"/>
      <x:c r="K336" s="18"/>
      <x:c r="L336" s="20" t="str">
        <x:f>IF(OR(K336="",G336=0),"",K336*86400/G336)</x:f>
      </x:c>
      <x:c r="M336" s="22" t="str">
        <x:f>IF(SUM(H336:J336)=0,"",H336/SUM(H336:J336))</x:f>
      </x:c>
      <x:c r="N336" t="n">
        <x:v>10</x:v>
      </x:c>
      <x:c r="O336" t="str">
        <x:f>IF(SUM(H336:J336)=0,"",SUM(H336:J336)+IF(N336="",0,N336))</x:f>
      </x:c>
      <x:c r="P336" t="str"/>
    </x:row>
    <x:row r="337">
      <x:c r="A337" s="12" t="n">
        <x:v>46463</x:v>
      </x:c>
      <x:c r="B337" t="n">
        <x:v>168</x:v>
      </x:c>
      <x:c r="C337" t="str">
        <x:v>Çarşamba</x:v>
      </x:c>
      <x:c r="D337" t="str">
        <x:v>Paragraf</x:v>
      </x:c>
      <x:c r="E337" t="str">
        <x:v>Paragraf</x:v>
      </x:c>
      <x:c r="F337" t="n">
        <x:v>30</x:v>
      </x:c>
      <x:c r="G337" t="n">
        <x:v>20</x:v>
      </x:c>
      <x:c r="H337"/>
      <x:c r="I337"/>
      <x:c r="J337"/>
      <x:c r="K337" s="18"/>
      <x:c r="L337" s="20" t="str">
        <x:f>IF(OR(K337="",G337=0),"",K337*86400/G337)</x:f>
      </x:c>
      <x:c r="M337" s="22" t="str">
        <x:f>IF(SUM(H337:J337)=0,"",H337/SUM(H337:J337))</x:f>
      </x:c>
      <x:c r="N337" t="n">
        <x:v>10</x:v>
      </x:c>
      <x:c r="O337" t="str">
        <x:f>IF(SUM(H337:J337)=0,"",SUM(H337:J337)+IF(N337="",0,N337))</x:f>
      </x:c>
      <x:c r="P337" t="str"/>
    </x:row>
    <x:row r="338">
      <x:c r="A338" s="12" t="n">
        <x:v>46464</x:v>
      </x:c>
      <x:c r="B338" t="n">
        <x:v>169</x:v>
      </x:c>
      <x:c r="C338" t="str">
        <x:v>Perşembe</x:v>
      </x:c>
      <x:c r="D338" t="str">
        <x:v>Matematik</x:v>
      </x:c>
      <x:c r="E338" t="str">
        <x:v>Kaynak Tamamlama / Zayıf Konu</x:v>
      </x:c>
      <x:c r="F338" t="n">
        <x:v>30</x:v>
      </x:c>
      <x:c r="G338" t="n">
        <x:v>20</x:v>
      </x:c>
      <x:c r="H338"/>
      <x:c r="I338"/>
      <x:c r="J338"/>
      <x:c r="K338" s="18"/>
      <x:c r="L338" s="20" t="str">
        <x:f>IF(OR(K338="",G338=0),"",K338*86400/G338)</x:f>
      </x:c>
      <x:c r="M338" s="22" t="str">
        <x:f>IF(SUM(H338:J338)=0,"",H338/SUM(H338:J338))</x:f>
      </x:c>
      <x:c r="N338" t="n">
        <x:v>10</x:v>
      </x:c>
      <x:c r="O338" t="str">
        <x:f>IF(SUM(H338:J338)=0,"",SUM(H338:J338)+IF(N338="",0,N338))</x:f>
      </x:c>
      <x:c r="P338" t="str"/>
    </x:row>
    <x:row r="339">
      <x:c r="A339" s="12" t="n">
        <x:v>46464</x:v>
      </x:c>
      <x:c r="B339" t="n">
        <x:v>169</x:v>
      </x:c>
      <x:c r="C339" t="str">
        <x:v>Perşembe</x:v>
      </x:c>
      <x:c r="D339" t="str">
        <x:v>Paragraf</x:v>
      </x:c>
      <x:c r="E339" t="str">
        <x:v>Paragraf</x:v>
      </x:c>
      <x:c r="F339" t="n">
        <x:v>30</x:v>
      </x:c>
      <x:c r="G339" t="n">
        <x:v>20</x:v>
      </x:c>
      <x:c r="H339"/>
      <x:c r="I339"/>
      <x:c r="J339"/>
      <x:c r="K339" s="18"/>
      <x:c r="L339" s="20" t="str">
        <x:f>IF(OR(K339="",G339=0),"",K339*86400/G339)</x:f>
      </x:c>
      <x:c r="M339" s="22" t="str">
        <x:f>IF(SUM(H339:J339)=0,"",H339/SUM(H339:J339))</x:f>
      </x:c>
      <x:c r="N339" t="n">
        <x:v>10</x:v>
      </x:c>
      <x:c r="O339" t="str">
        <x:f>IF(SUM(H339:J339)=0,"",SUM(H339:J339)+IF(N339="",0,N339))</x:f>
      </x:c>
      <x:c r="P339" t="str"/>
    </x:row>
    <x:row r="340">
      <x:c r="A340" s="12" t="n">
        <x:v>46465</x:v>
      </x:c>
      <x:c r="B340" t="n">
        <x:v>170</x:v>
      </x:c>
      <x:c r="C340" t="str">
        <x:v>Cuma</x:v>
      </x:c>
      <x:c r="D340" t="str">
        <x:v>Matematik</x:v>
      </x:c>
      <x:c r="E340" t="str">
        <x:v>Kaynak Tamamlama / Zayıf Konu</x:v>
      </x:c>
      <x:c r="F340" t="n">
        <x:v>30</x:v>
      </x:c>
      <x:c r="G340" t="n">
        <x:v>20</x:v>
      </x:c>
      <x:c r="H340"/>
      <x:c r="I340"/>
      <x:c r="J340"/>
      <x:c r="K340" s="18"/>
      <x:c r="L340" s="20" t="str">
        <x:f>IF(OR(K340="",G340=0),"",K340*86400/G340)</x:f>
      </x:c>
      <x:c r="M340" s="22" t="str">
        <x:f>IF(SUM(H340:J340)=0,"",H340/SUM(H340:J340))</x:f>
      </x:c>
      <x:c r="N340" t="n">
        <x:v>10</x:v>
      </x:c>
      <x:c r="O340" t="str">
        <x:f>IF(SUM(H340:J340)=0,"",SUM(H340:J340)+IF(N340="",0,N340))</x:f>
      </x:c>
      <x:c r="P340" t="str"/>
    </x:row>
    <x:row r="341">
      <x:c r="A341" s="12" t="n">
        <x:v>46465</x:v>
      </x:c>
      <x:c r="B341" t="n">
        <x:v>170</x:v>
      </x:c>
      <x:c r="C341" t="str">
        <x:v>Cuma</x:v>
      </x:c>
      <x:c r="D341" t="str">
        <x:v>Paragraf</x:v>
      </x:c>
      <x:c r="E341" t="str">
        <x:v>Paragraf</x:v>
      </x:c>
      <x:c r="F341" t="n">
        <x:v>30</x:v>
      </x:c>
      <x:c r="G341" t="n">
        <x:v>20</x:v>
      </x:c>
      <x:c r="H341"/>
      <x:c r="I341"/>
      <x:c r="J341"/>
      <x:c r="K341" s="18"/>
      <x:c r="L341" s="20" t="str">
        <x:f>IF(OR(K341="",G341=0),"",K341*86400/G341)</x:f>
      </x:c>
      <x:c r="M341" s="22" t="str">
        <x:f>IF(SUM(H341:J341)=0,"",H341/SUM(H341:J341))</x:f>
      </x:c>
      <x:c r="N341" t="n">
        <x:v>10</x:v>
      </x:c>
      <x:c r="O341" t="str">
        <x:f>IF(SUM(H341:J341)=0,"",SUM(H341:J341)+IF(N341="",0,N341))</x:f>
      </x:c>
      <x:c r="P341" t="str"/>
    </x:row>
    <x:row r="342">
      <x:c r="A342" s="12" t="n">
        <x:v>46466</x:v>
      </x:c>
      <x:c r="B342" t="n">
        <x:v>171</x:v>
      </x:c>
      <x:c r="C342" t="str">
        <x:v>Cumartesi</x:v>
      </x:c>
      <x:c r="D342" t="str">
        <x:v>Matematik</x:v>
      </x:c>
      <x:c r="E342" t="str">
        <x:v>Kaynak Tamamlama / Zayıf Konu</x:v>
      </x:c>
      <x:c r="F342" t="n">
        <x:v>30</x:v>
      </x:c>
      <x:c r="G342" t="n">
        <x:v>20</x:v>
      </x:c>
      <x:c r="H342"/>
      <x:c r="I342"/>
      <x:c r="J342"/>
      <x:c r="K342" s="18"/>
      <x:c r="L342" s="20" t="str">
        <x:f>IF(OR(K342="",G342=0),"",K342*86400/G342)</x:f>
      </x:c>
      <x:c r="M342" s="22" t="str">
        <x:f>IF(SUM(H342:J342)=0,"",H342/SUM(H342:J342))</x:f>
      </x:c>
      <x:c r="N342" t="n">
        <x:v>10</x:v>
      </x:c>
      <x:c r="O342" t="str">
        <x:f>IF(SUM(H342:J342)=0,"",SUM(H342:J342)+IF(N342="",0,N342))</x:f>
      </x:c>
      <x:c r="P342" t="str"/>
    </x:row>
    <x:row r="343">
      <x:c r="A343" s="12" t="n">
        <x:v>46466</x:v>
      </x:c>
      <x:c r="B343" t="n">
        <x:v>171</x:v>
      </x:c>
      <x:c r="C343" t="str">
        <x:v>Cumartesi</x:v>
      </x:c>
      <x:c r="D343" t="str">
        <x:v>Paragraf</x:v>
      </x:c>
      <x:c r="E343" t="str">
        <x:v>Paragraf</x:v>
      </x:c>
      <x:c r="F343" t="n">
        <x:v>30</x:v>
      </x:c>
      <x:c r="G343" t="n">
        <x:v>20</x:v>
      </x:c>
      <x:c r="H343"/>
      <x:c r="I343"/>
      <x:c r="J343"/>
      <x:c r="K343" s="18"/>
      <x:c r="L343" s="20" t="str">
        <x:f>IF(OR(K343="",G343=0),"",K343*86400/G343)</x:f>
      </x:c>
      <x:c r="M343" s="22" t="str">
        <x:f>IF(SUM(H343:J343)=0,"",H343/SUM(H343:J343))</x:f>
      </x:c>
      <x:c r="N343" t="n">
        <x:v>10</x:v>
      </x:c>
      <x:c r="O343" t="str">
        <x:f>IF(SUM(H343:J343)=0,"",SUM(H343:J343)+IF(N343="",0,N343))</x:f>
      </x:c>
      <x:c r="P343" t="str"/>
    </x:row>
    <x:row r="344">
      <x:c r="A344" s="12" t="n">
        <x:v>46467</x:v>
      </x:c>
      <x:c r="B344" t="n">
        <x:v>172</x:v>
      </x:c>
      <x:c r="C344" t="str">
        <x:v>Pazar</x:v>
      </x:c>
      <x:c r="D344" t="str">
        <x:v>Matematik</x:v>
      </x:c>
      <x:c r="E344" t="str">
        <x:v>Kaynak Tamamlama / Zayıf Konu</x:v>
      </x:c>
      <x:c r="F344" t="n">
        <x:v>30</x:v>
      </x:c>
      <x:c r="G344" t="n">
        <x:v>20</x:v>
      </x:c>
      <x:c r="H344"/>
      <x:c r="I344"/>
      <x:c r="J344"/>
      <x:c r="K344" s="18"/>
      <x:c r="L344" s="20" t="str">
        <x:f>IF(OR(K344="",G344=0),"",K344*86400/G344)</x:f>
      </x:c>
      <x:c r="M344" s="22" t="str">
        <x:f>IF(SUM(H344:J344)=0,"",H344/SUM(H344:J344))</x:f>
      </x:c>
      <x:c r="N344" t="n">
        <x:v>10</x:v>
      </x:c>
      <x:c r="O344" t="str">
        <x:f>IF(SUM(H344:J344)=0,"",SUM(H344:J344)+IF(N344="",0,N344))</x:f>
      </x:c>
      <x:c r="P344" t="str"/>
    </x:row>
    <x:row r="345">
      <x:c r="A345" s="12" t="n">
        <x:v>46467</x:v>
      </x:c>
      <x:c r="B345" t="n">
        <x:v>172</x:v>
      </x:c>
      <x:c r="C345" t="str">
        <x:v>Pazar</x:v>
      </x:c>
      <x:c r="D345" t="str">
        <x:v>Paragraf</x:v>
      </x:c>
      <x:c r="E345" t="str">
        <x:v>Paragraf</x:v>
      </x:c>
      <x:c r="F345" t="n">
        <x:v>30</x:v>
      </x:c>
      <x:c r="G345" t="n">
        <x:v>20</x:v>
      </x:c>
      <x:c r="H345"/>
      <x:c r="I345"/>
      <x:c r="J345"/>
      <x:c r="K345" s="18"/>
      <x:c r="L345" s="20" t="str">
        <x:f>IF(OR(K345="",G345=0),"",K345*86400/G345)</x:f>
      </x:c>
      <x:c r="M345" s="22" t="str">
        <x:f>IF(SUM(H345:J345)=0,"",H345/SUM(H345:J345))</x:f>
      </x:c>
      <x:c r="N345" t="n">
        <x:v>10</x:v>
      </x:c>
      <x:c r="O345" t="str">
        <x:f>IF(SUM(H345:J345)=0,"",SUM(H345:J345)+IF(N345="",0,N345))</x:f>
      </x:c>
      <x:c r="P345" t="str"/>
    </x:row>
    <x:row r="346">
      <x:c r="A346" s="12" t="n">
        <x:v>46468</x:v>
      </x:c>
      <x:c r="B346" t="n">
        <x:v>173</x:v>
      </x:c>
      <x:c r="C346" t="str">
        <x:v>Pazartesi</x:v>
      </x:c>
      <x:c r="D346" t="str">
        <x:v>Matematik</x:v>
      </x:c>
      <x:c r="E346" t="str">
        <x:v>Kaynak Tamamlama / Zayıf Konu</x:v>
      </x:c>
      <x:c r="F346" t="n">
        <x:v>30</x:v>
      </x:c>
      <x:c r="G346" t="n">
        <x:v>20</x:v>
      </x:c>
      <x:c r="H346"/>
      <x:c r="I346"/>
      <x:c r="J346"/>
      <x:c r="K346" s="18"/>
      <x:c r="L346" s="20" t="str">
        <x:f>IF(OR(K346="",G346=0),"",K346*86400/G346)</x:f>
      </x:c>
      <x:c r="M346" s="22" t="str">
        <x:f>IF(SUM(H346:J346)=0,"",H346/SUM(H346:J346))</x:f>
      </x:c>
      <x:c r="N346" t="n">
        <x:v>10</x:v>
      </x:c>
      <x:c r="O346" t="str">
        <x:f>IF(SUM(H346:J346)=0,"",SUM(H346:J346)+IF(N346="",0,N346))</x:f>
      </x:c>
      <x:c r="P346" t="str"/>
    </x:row>
    <x:row r="347">
      <x:c r="A347" s="12" t="n">
        <x:v>46468</x:v>
      </x:c>
      <x:c r="B347" t="n">
        <x:v>173</x:v>
      </x:c>
      <x:c r="C347" t="str">
        <x:v>Pazartesi</x:v>
      </x:c>
      <x:c r="D347" t="str">
        <x:v>Paragraf</x:v>
      </x:c>
      <x:c r="E347" t="str">
        <x:v>Paragraf</x:v>
      </x:c>
      <x:c r="F347" t="n">
        <x:v>30</x:v>
      </x:c>
      <x:c r="G347" t="n">
        <x:v>20</x:v>
      </x:c>
      <x:c r="H347"/>
      <x:c r="I347"/>
      <x:c r="J347"/>
      <x:c r="K347" s="18"/>
      <x:c r="L347" s="20" t="str">
        <x:f>IF(OR(K347="",G347=0),"",K347*86400/G347)</x:f>
      </x:c>
      <x:c r="M347" s="22" t="str">
        <x:f>IF(SUM(H347:J347)=0,"",H347/SUM(H347:J347))</x:f>
      </x:c>
      <x:c r="N347" t="n">
        <x:v>10</x:v>
      </x:c>
      <x:c r="O347" t="str">
        <x:f>IF(SUM(H347:J347)=0,"",SUM(H347:J347)+IF(N347="",0,N347))</x:f>
      </x:c>
      <x:c r="P347" t="str"/>
    </x:row>
    <x:row r="348">
      <x:c r="A348" s="12" t="n">
        <x:v>46469</x:v>
      </x:c>
      <x:c r="B348" t="n">
        <x:v>174</x:v>
      </x:c>
      <x:c r="C348" t="str">
        <x:v>Salı</x:v>
      </x:c>
      <x:c r="D348" t="str">
        <x:v>Matematik</x:v>
      </x:c>
      <x:c r="E348" t="str">
        <x:v>Kaynak Tamamlama / Zayıf Konu</x:v>
      </x:c>
      <x:c r="F348" t="n">
        <x:v>30</x:v>
      </x:c>
      <x:c r="G348" t="n">
        <x:v>20</x:v>
      </x:c>
      <x:c r="H348"/>
      <x:c r="I348"/>
      <x:c r="J348"/>
      <x:c r="K348" s="18"/>
      <x:c r="L348" s="20" t="str">
        <x:f>IF(OR(K348="",G348=0),"",K348*86400/G348)</x:f>
      </x:c>
      <x:c r="M348" s="22" t="str">
        <x:f>IF(SUM(H348:J348)=0,"",H348/SUM(H348:J348))</x:f>
      </x:c>
      <x:c r="N348" t="n">
        <x:v>10</x:v>
      </x:c>
      <x:c r="O348" t="str">
        <x:f>IF(SUM(H348:J348)=0,"",SUM(H348:J348)+IF(N348="",0,N348))</x:f>
      </x:c>
      <x:c r="P348" t="str"/>
    </x:row>
    <x:row r="349">
      <x:c r="A349" s="12" t="n">
        <x:v>46469</x:v>
      </x:c>
      <x:c r="B349" t="n">
        <x:v>174</x:v>
      </x:c>
      <x:c r="C349" t="str">
        <x:v>Salı</x:v>
      </x:c>
      <x:c r="D349" t="str">
        <x:v>Paragraf</x:v>
      </x:c>
      <x:c r="E349" t="str">
        <x:v>Paragraf</x:v>
      </x:c>
      <x:c r="F349" t="n">
        <x:v>30</x:v>
      </x:c>
      <x:c r="G349" t="n">
        <x:v>20</x:v>
      </x:c>
      <x:c r="H349"/>
      <x:c r="I349"/>
      <x:c r="J349"/>
      <x:c r="K349" s="18"/>
      <x:c r="L349" s="20" t="str">
        <x:f>IF(OR(K349="",G349=0),"",K349*86400/G349)</x:f>
      </x:c>
      <x:c r="M349" s="22" t="str">
        <x:f>IF(SUM(H349:J349)=0,"",H349/SUM(H349:J349))</x:f>
      </x:c>
      <x:c r="N349" t="n">
        <x:v>10</x:v>
      </x:c>
      <x:c r="O349" t="str">
        <x:f>IF(SUM(H349:J349)=0,"",SUM(H349:J349)+IF(N349="",0,N349))</x:f>
      </x:c>
      <x:c r="P349" t="str"/>
    </x:row>
    <x:row r="350">
      <x:c r="A350" s="12" t="n">
        <x:v>46470</x:v>
      </x:c>
      <x:c r="B350" t="n">
        <x:v>175</x:v>
      </x:c>
      <x:c r="C350" t="str">
        <x:v>Çarşamba</x:v>
      </x:c>
      <x:c r="D350" t="str">
        <x:v>Matematik</x:v>
      </x:c>
      <x:c r="E350" t="str">
        <x:v>Kaynak Tamamlama / Zayıf Konu</x:v>
      </x:c>
      <x:c r="F350" t="n">
        <x:v>30</x:v>
      </x:c>
      <x:c r="G350" t="n">
        <x:v>20</x:v>
      </x:c>
      <x:c r="H350"/>
      <x:c r="I350"/>
      <x:c r="J350"/>
      <x:c r="K350" s="18"/>
      <x:c r="L350" s="20" t="str">
        <x:f>IF(OR(K350="",G350=0),"",K350*86400/G350)</x:f>
      </x:c>
      <x:c r="M350" s="22" t="str">
        <x:f>IF(SUM(H350:J350)=0,"",H350/SUM(H350:J350))</x:f>
      </x:c>
      <x:c r="N350" t="n">
        <x:v>10</x:v>
      </x:c>
      <x:c r="O350" t="str">
        <x:f>IF(SUM(H350:J350)=0,"",SUM(H350:J350)+IF(N350="",0,N350))</x:f>
      </x:c>
      <x:c r="P350" t="str"/>
    </x:row>
    <x:row r="351">
      <x:c r="A351" s="12" t="n">
        <x:v>46470</x:v>
      </x:c>
      <x:c r="B351" t="n">
        <x:v>175</x:v>
      </x:c>
      <x:c r="C351" t="str">
        <x:v>Çarşamba</x:v>
      </x:c>
      <x:c r="D351" t="str">
        <x:v>Paragraf</x:v>
      </x:c>
      <x:c r="E351" t="str">
        <x:v>Paragraf</x:v>
      </x:c>
      <x:c r="F351" t="n">
        <x:v>30</x:v>
      </x:c>
      <x:c r="G351" t="n">
        <x:v>20</x:v>
      </x:c>
      <x:c r="H351"/>
      <x:c r="I351"/>
      <x:c r="J351"/>
      <x:c r="K351" s="18"/>
      <x:c r="L351" s="20" t="str">
        <x:f>IF(OR(K351="",G351=0),"",K351*86400/G351)</x:f>
      </x:c>
      <x:c r="M351" s="22" t="str">
        <x:f>IF(SUM(H351:J351)=0,"",H351/SUM(H351:J351))</x:f>
      </x:c>
      <x:c r="N351" t="n">
        <x:v>10</x:v>
      </x:c>
      <x:c r="O351" t="str">
        <x:f>IF(SUM(H351:J351)=0,"",SUM(H351:J351)+IF(N351="",0,N351))</x:f>
      </x:c>
      <x:c r="P351" t="str"/>
    </x:row>
    <x:row r="352">
      <x:c r="A352" s="12" t="n">
        <x:v>46471</x:v>
      </x:c>
      <x:c r="B352" t="n">
        <x:v>176</x:v>
      </x:c>
      <x:c r="C352" t="str">
        <x:v>Perşembe</x:v>
      </x:c>
      <x:c r="D352" t="str">
        <x:v>Matematik</x:v>
      </x:c>
      <x:c r="E352" t="str">
        <x:v>Kaynak Tamamlama / Zayıf Konu</x:v>
      </x:c>
      <x:c r="F352" t="n">
        <x:v>30</x:v>
      </x:c>
      <x:c r="G352" t="n">
        <x:v>20</x:v>
      </x:c>
      <x:c r="H352"/>
      <x:c r="I352"/>
      <x:c r="J352"/>
      <x:c r="K352" s="18"/>
      <x:c r="L352" s="20" t="str">
        <x:f>IF(OR(K352="",G352=0),"",K352*86400/G352)</x:f>
      </x:c>
      <x:c r="M352" s="22" t="str">
        <x:f>IF(SUM(H352:J352)=0,"",H352/SUM(H352:J352))</x:f>
      </x:c>
      <x:c r="N352" t="n">
        <x:v>10</x:v>
      </x:c>
      <x:c r="O352" t="str">
        <x:f>IF(SUM(H352:J352)=0,"",SUM(H352:J352)+IF(N352="",0,N352))</x:f>
      </x:c>
      <x:c r="P352" t="str"/>
    </x:row>
    <x:row r="353">
      <x:c r="A353" s="12" t="n">
        <x:v>46471</x:v>
      </x:c>
      <x:c r="B353" t="n">
        <x:v>176</x:v>
      </x:c>
      <x:c r="C353" t="str">
        <x:v>Perşembe</x:v>
      </x:c>
      <x:c r="D353" t="str">
        <x:v>Paragraf</x:v>
      </x:c>
      <x:c r="E353" t="str">
        <x:v>Paragraf</x:v>
      </x:c>
      <x:c r="F353" t="n">
        <x:v>30</x:v>
      </x:c>
      <x:c r="G353" t="n">
        <x:v>20</x:v>
      </x:c>
      <x:c r="H353"/>
      <x:c r="I353"/>
      <x:c r="J353"/>
      <x:c r="K353" s="18"/>
      <x:c r="L353" s="20" t="str">
        <x:f>IF(OR(K353="",G353=0),"",K353*86400/G353)</x:f>
      </x:c>
      <x:c r="M353" s="22" t="str">
        <x:f>IF(SUM(H353:J353)=0,"",H353/SUM(H353:J353))</x:f>
      </x:c>
      <x:c r="N353" t="n">
        <x:v>10</x:v>
      </x:c>
      <x:c r="O353" t="str">
        <x:f>IF(SUM(H353:J353)=0,"",SUM(H353:J353)+IF(N353="",0,N353))</x:f>
      </x:c>
      <x:c r="P353" t="str"/>
    </x:row>
    <x:row r="354">
      <x:c r="A354" s="12" t="n">
        <x:v>46472</x:v>
      </x:c>
      <x:c r="B354" t="n">
        <x:v>177</x:v>
      </x:c>
      <x:c r="C354" t="str">
        <x:v>Cuma</x:v>
      </x:c>
      <x:c r="D354" t="str">
        <x:v>Matematik</x:v>
      </x:c>
      <x:c r="E354" t="str">
        <x:v>Kaynak Tamamlama / Zayıf Konu</x:v>
      </x:c>
      <x:c r="F354" t="n">
        <x:v>30</x:v>
      </x:c>
      <x:c r="G354" t="n">
        <x:v>20</x:v>
      </x:c>
      <x:c r="H354"/>
      <x:c r="I354"/>
      <x:c r="J354"/>
      <x:c r="K354" s="18"/>
      <x:c r="L354" s="20" t="str">
        <x:f>IF(OR(K354="",G354=0),"",K354*86400/G354)</x:f>
      </x:c>
      <x:c r="M354" s="22" t="str">
        <x:f>IF(SUM(H354:J354)=0,"",H354/SUM(H354:J354))</x:f>
      </x:c>
      <x:c r="N354" t="n">
        <x:v>10</x:v>
      </x:c>
      <x:c r="O354" t="str">
        <x:f>IF(SUM(H354:J354)=0,"",SUM(H354:J354)+IF(N354="",0,N354))</x:f>
      </x:c>
      <x:c r="P354" t="str"/>
    </x:row>
    <x:row r="355">
      <x:c r="A355" s="12" t="n">
        <x:v>46472</x:v>
      </x:c>
      <x:c r="B355" t="n">
        <x:v>177</x:v>
      </x:c>
      <x:c r="C355" t="str">
        <x:v>Cuma</x:v>
      </x:c>
      <x:c r="D355" t="str">
        <x:v>Paragraf</x:v>
      </x:c>
      <x:c r="E355" t="str">
        <x:v>Paragraf</x:v>
      </x:c>
      <x:c r="F355" t="n">
        <x:v>30</x:v>
      </x:c>
      <x:c r="G355" t="n">
        <x:v>20</x:v>
      </x:c>
      <x:c r="H355"/>
      <x:c r="I355"/>
      <x:c r="J355"/>
      <x:c r="K355" s="18"/>
      <x:c r="L355" s="20" t="str">
        <x:f>IF(OR(K355="",G355=0),"",K355*86400/G355)</x:f>
      </x:c>
      <x:c r="M355" s="22" t="str">
        <x:f>IF(SUM(H355:J355)=0,"",H355/SUM(H355:J355))</x:f>
      </x:c>
      <x:c r="N355" t="n">
        <x:v>10</x:v>
      </x:c>
      <x:c r="O355" t="str">
        <x:f>IF(SUM(H355:J355)=0,"",SUM(H355:J355)+IF(N355="",0,N355))</x:f>
      </x:c>
      <x:c r="P355" t="str"/>
    </x:row>
    <x:row r="356">
      <x:c r="A356" s="12" t="n">
        <x:v>46473</x:v>
      </x:c>
      <x:c r="B356" t="n">
        <x:v>178</x:v>
      </x:c>
      <x:c r="C356" t="str">
        <x:v>Cumartesi</x:v>
      </x:c>
      <x:c r="D356" t="str">
        <x:v>Matematik</x:v>
      </x:c>
      <x:c r="E356" t="str">
        <x:v>Kaynak Tamamlama / Zayıf Konu</x:v>
      </x:c>
      <x:c r="F356" t="n">
        <x:v>30</x:v>
      </x:c>
      <x:c r="G356" t="n">
        <x:v>20</x:v>
      </x:c>
      <x:c r="H356"/>
      <x:c r="I356"/>
      <x:c r="J356"/>
      <x:c r="K356" s="18"/>
      <x:c r="L356" s="20" t="str">
        <x:f>IF(OR(K356="",G356=0),"",K356*86400/G356)</x:f>
      </x:c>
      <x:c r="M356" s="22" t="str">
        <x:f>IF(SUM(H356:J356)=0,"",H356/SUM(H356:J356))</x:f>
      </x:c>
      <x:c r="N356" t="n">
        <x:v>10</x:v>
      </x:c>
      <x:c r="O356" t="str">
        <x:f>IF(SUM(H356:J356)=0,"",SUM(H356:J356)+IF(N356="",0,N356))</x:f>
      </x:c>
      <x:c r="P356" t="str"/>
    </x:row>
    <x:row r="357">
      <x:c r="A357" s="12" t="n">
        <x:v>46473</x:v>
      </x:c>
      <x:c r="B357" t="n">
        <x:v>178</x:v>
      </x:c>
      <x:c r="C357" t="str">
        <x:v>Cumartesi</x:v>
      </x:c>
      <x:c r="D357" t="str">
        <x:v>Paragraf</x:v>
      </x:c>
      <x:c r="E357" t="str">
        <x:v>Paragraf</x:v>
      </x:c>
      <x:c r="F357" t="n">
        <x:v>30</x:v>
      </x:c>
      <x:c r="G357" t="n">
        <x:v>20</x:v>
      </x:c>
      <x:c r="H357"/>
      <x:c r="I357"/>
      <x:c r="J357"/>
      <x:c r="K357" s="18"/>
      <x:c r="L357" s="20" t="str">
        <x:f>IF(OR(K357="",G357=0),"",K357*86400/G357)</x:f>
      </x:c>
      <x:c r="M357" s="22" t="str">
        <x:f>IF(SUM(H357:J357)=0,"",H357/SUM(H357:J357))</x:f>
      </x:c>
      <x:c r="N357" t="n">
        <x:v>10</x:v>
      </x:c>
      <x:c r="O357" t="str">
        <x:f>IF(SUM(H357:J357)=0,"",SUM(H357:J357)+IF(N357="",0,N357))</x:f>
      </x:c>
      <x:c r="P357" t="str"/>
    </x:row>
    <x:row r="358">
      <x:c r="A358" s="12" t="n">
        <x:v>46474</x:v>
      </x:c>
      <x:c r="B358" t="n">
        <x:v>179</x:v>
      </x:c>
      <x:c r="C358" t="str">
        <x:v>Pazar</x:v>
      </x:c>
      <x:c r="D358" t="str">
        <x:v>Matematik</x:v>
      </x:c>
      <x:c r="E358" t="str">
        <x:v>Kaynak Tamamlama / Zayıf Konu</x:v>
      </x:c>
      <x:c r="F358" t="n">
        <x:v>30</x:v>
      </x:c>
      <x:c r="G358" t="n">
        <x:v>20</x:v>
      </x:c>
      <x:c r="H358"/>
      <x:c r="I358"/>
      <x:c r="J358"/>
      <x:c r="K358" s="18"/>
      <x:c r="L358" s="20" t="str">
        <x:f>IF(OR(K358="",G358=0),"",K358*86400/G358)</x:f>
      </x:c>
      <x:c r="M358" s="22" t="str">
        <x:f>IF(SUM(H358:J358)=0,"",H358/SUM(H358:J358))</x:f>
      </x:c>
      <x:c r="N358" t="n">
        <x:v>10</x:v>
      </x:c>
      <x:c r="O358" t="str">
        <x:f>IF(SUM(H358:J358)=0,"",SUM(H358:J358)+IF(N358="",0,N358))</x:f>
      </x:c>
      <x:c r="P358" t="str"/>
    </x:row>
    <x:row r="359">
      <x:c r="A359" s="12" t="n">
        <x:v>46474</x:v>
      </x:c>
      <x:c r="B359" t="n">
        <x:v>179</x:v>
      </x:c>
      <x:c r="C359" t="str">
        <x:v>Pazar</x:v>
      </x:c>
      <x:c r="D359" t="str">
        <x:v>Paragraf</x:v>
      </x:c>
      <x:c r="E359" t="str">
        <x:v>Paragraf</x:v>
      </x:c>
      <x:c r="F359" t="n">
        <x:v>30</x:v>
      </x:c>
      <x:c r="G359" t="n">
        <x:v>20</x:v>
      </x:c>
      <x:c r="H359"/>
      <x:c r="I359"/>
      <x:c r="J359"/>
      <x:c r="K359" s="18"/>
      <x:c r="L359" s="20" t="str">
        <x:f>IF(OR(K359="",G359=0),"",K359*86400/G359)</x:f>
      </x:c>
      <x:c r="M359" s="22" t="str">
        <x:f>IF(SUM(H359:J359)=0,"",H359/SUM(H359:J359))</x:f>
      </x:c>
      <x:c r="N359" t="n">
        <x:v>10</x:v>
      </x:c>
      <x:c r="O359" t="str">
        <x:f>IF(SUM(H359:J359)=0,"",SUM(H359:J359)+IF(N359="",0,N359))</x:f>
      </x:c>
      <x:c r="P359" t="str"/>
    </x:row>
    <x:row r="360">
      <x:c r="A360" s="12" t="n">
        <x:v>46475</x:v>
      </x:c>
      <x:c r="B360" t="n">
        <x:v>180</x:v>
      </x:c>
      <x:c r="C360" t="str">
        <x:v>Pazartesi</x:v>
      </x:c>
      <x:c r="D360" t="str">
        <x:v>Matematik</x:v>
      </x:c>
      <x:c r="E360" t="str">
        <x:v>Kaynak Tamamlama / Zayıf Konu</x:v>
      </x:c>
      <x:c r="F360" t="n">
        <x:v>30</x:v>
      </x:c>
      <x:c r="G360" t="n">
        <x:v>20</x:v>
      </x:c>
      <x:c r="H360"/>
      <x:c r="I360"/>
      <x:c r="J360"/>
      <x:c r="K360" s="18"/>
      <x:c r="L360" s="20" t="str">
        <x:f>IF(OR(K360="",G360=0),"",K360*86400/G360)</x:f>
      </x:c>
      <x:c r="M360" s="22" t="str">
        <x:f>IF(SUM(H360:J360)=0,"",H360/SUM(H360:J360))</x:f>
      </x:c>
      <x:c r="N360" t="n">
        <x:v>10</x:v>
      </x:c>
      <x:c r="O360" t="str">
        <x:f>IF(SUM(H360:J360)=0,"",SUM(H360:J360)+IF(N360="",0,N360))</x:f>
      </x:c>
      <x:c r="P360" t="str"/>
    </x:row>
    <x:row r="361">
      <x:c r="A361" s="12" t="n">
        <x:v>46475</x:v>
      </x:c>
      <x:c r="B361" t="n">
        <x:v>180</x:v>
      </x:c>
      <x:c r="C361" t="str">
        <x:v>Pazartesi</x:v>
      </x:c>
      <x:c r="D361" t="str">
        <x:v>Paragraf</x:v>
      </x:c>
      <x:c r="E361" t="str">
        <x:v>Paragraf</x:v>
      </x:c>
      <x:c r="F361" t="n">
        <x:v>30</x:v>
      </x:c>
      <x:c r="G361" t="n">
        <x:v>20</x:v>
      </x:c>
      <x:c r="H361"/>
      <x:c r="I361"/>
      <x:c r="J361"/>
      <x:c r="K361" s="18"/>
      <x:c r="L361" s="20" t="str">
        <x:f>IF(OR(K361="",G361=0),"",K361*86400/G361)</x:f>
      </x:c>
      <x:c r="M361" s="22" t="str">
        <x:f>IF(SUM(H361:J361)=0,"",H361/SUM(H361:J361))</x:f>
      </x:c>
      <x:c r="N361" t="n">
        <x:v>10</x:v>
      </x:c>
      <x:c r="O361" t="str">
        <x:f>IF(SUM(H361:J361)=0,"",SUM(H361:J361)+IF(N361="",0,N361))</x:f>
      </x:c>
      <x:c r="P361" t="str"/>
    </x:row>
    <x:row r="362">
      <x:c r="A362" s="12" t="n">
        <x:v>46476</x:v>
      </x:c>
      <x:c r="B362" t="n">
        <x:v>181</x:v>
      </x:c>
      <x:c r="C362" t="str">
        <x:v>Salı</x:v>
      </x:c>
      <x:c r="D362" t="str">
        <x:v>Matematik</x:v>
      </x:c>
      <x:c r="E362" t="str">
        <x:v>Kaynak Tamamlama / Zayıf Konu</x:v>
      </x:c>
      <x:c r="F362" t="n">
        <x:v>30</x:v>
      </x:c>
      <x:c r="G362" t="n">
        <x:v>20</x:v>
      </x:c>
      <x:c r="H362"/>
      <x:c r="I362"/>
      <x:c r="J362"/>
      <x:c r="K362" s="18"/>
      <x:c r="L362" s="20" t="str">
        <x:f>IF(OR(K362="",G362=0),"",K362*86400/G362)</x:f>
      </x:c>
      <x:c r="M362" s="22" t="str">
        <x:f>IF(SUM(H362:J362)=0,"",H362/SUM(H362:J362))</x:f>
      </x:c>
      <x:c r="N362" t="n">
        <x:v>10</x:v>
      </x:c>
      <x:c r="O362" t="str">
        <x:f>IF(SUM(H362:J362)=0,"",SUM(H362:J362)+IF(N362="",0,N362))</x:f>
      </x:c>
      <x:c r="P362" t="str"/>
    </x:row>
    <x:row r="363">
      <x:c r="A363" s="12" t="n">
        <x:v>46476</x:v>
      </x:c>
      <x:c r="B363" t="n">
        <x:v>181</x:v>
      </x:c>
      <x:c r="C363" t="str">
        <x:v>Salı</x:v>
      </x:c>
      <x:c r="D363" t="str">
        <x:v>Paragraf</x:v>
      </x:c>
      <x:c r="E363" t="str">
        <x:v>Paragraf</x:v>
      </x:c>
      <x:c r="F363" t="n">
        <x:v>30</x:v>
      </x:c>
      <x:c r="G363" t="n">
        <x:v>20</x:v>
      </x:c>
      <x:c r="H363"/>
      <x:c r="I363"/>
      <x:c r="J363"/>
      <x:c r="K363" s="18"/>
      <x:c r="L363" s="20" t="str">
        <x:f>IF(OR(K363="",G363=0),"",K363*86400/G363)</x:f>
      </x:c>
      <x:c r="M363" s="22" t="str">
        <x:f>IF(SUM(H363:J363)=0,"",H363/SUM(H363:J363))</x:f>
      </x:c>
      <x:c r="N363" t="n">
        <x:v>10</x:v>
      </x:c>
      <x:c r="O363" t="str">
        <x:f>IF(SUM(H363:J363)=0,"",SUM(H363:J363)+IF(N363="",0,N363))</x:f>
      </x:c>
      <x:c r="P363" t="str"/>
    </x:row>
    <x:row r="364">
      <x:c r="A364" s="12" t="n">
        <x:v>46477</x:v>
      </x:c>
      <x:c r="B364" t="n">
        <x:v>182</x:v>
      </x:c>
      <x:c r="C364" t="str">
        <x:v>Çarşamba</x:v>
      </x:c>
      <x:c r="D364" t="str">
        <x:v>Matematik</x:v>
      </x:c>
      <x:c r="E364" t="str">
        <x:v>Kaynak Tamamlama / Zayıf Konu</x:v>
      </x:c>
      <x:c r="F364" t="n">
        <x:v>30</x:v>
      </x:c>
      <x:c r="G364" t="n">
        <x:v>20</x:v>
      </x:c>
      <x:c r="H364"/>
      <x:c r="I364"/>
      <x:c r="J364"/>
      <x:c r="K364" s="18"/>
      <x:c r="L364" s="20" t="str">
        <x:f>IF(OR(K364="",G364=0),"",K364*86400/G364)</x:f>
      </x:c>
      <x:c r="M364" s="22" t="str">
        <x:f>IF(SUM(H364:J364)=0,"",H364/SUM(H364:J364))</x:f>
      </x:c>
      <x:c r="N364" t="n">
        <x:v>10</x:v>
      </x:c>
      <x:c r="O364" t="str">
        <x:f>IF(SUM(H364:J364)=0,"",SUM(H364:J364)+IF(N364="",0,N364))</x:f>
      </x:c>
      <x:c r="P364" t="str"/>
    </x:row>
    <x:row r="365">
      <x:c r="A365" s="12" t="n">
        <x:v>46477</x:v>
      </x:c>
      <x:c r="B365" t="n">
        <x:v>182</x:v>
      </x:c>
      <x:c r="C365" t="str">
        <x:v>Çarşamba</x:v>
      </x:c>
      <x:c r="D365" t="str">
        <x:v>Paragraf</x:v>
      </x:c>
      <x:c r="E365" t="str">
        <x:v>Paragraf</x:v>
      </x:c>
      <x:c r="F365" t="n">
        <x:v>30</x:v>
      </x:c>
      <x:c r="G365" t="n">
        <x:v>20</x:v>
      </x:c>
      <x:c r="H365"/>
      <x:c r="I365"/>
      <x:c r="J365"/>
      <x:c r="K365" s="18"/>
      <x:c r="L365" s="20" t="str">
        <x:f>IF(OR(K365="",G365=0),"",K365*86400/G365)</x:f>
      </x:c>
      <x:c r="M365" s="22" t="str">
        <x:f>IF(SUM(H365:J365)=0,"",H365/SUM(H365:J365))</x:f>
      </x:c>
      <x:c r="N365" t="n">
        <x:v>10</x:v>
      </x:c>
      <x:c r="O365" t="str">
        <x:f>IF(SUM(H365:J365)=0,"",SUM(H365:J365)+IF(N365="",0,N365))</x:f>
      </x:c>
      <x:c r="P365" t="str"/>
    </x:row>
    <x:row r="366">
      <x:c r="A366" s="12" t="n">
        <x:v>46478</x:v>
      </x:c>
      <x:c r="B366" t="n">
        <x:v>183</x:v>
      </x:c>
      <x:c r="C366" t="str">
        <x:v>Perşembe</x:v>
      </x:c>
      <x:c r="D366" t="str">
        <x:v>Matematik</x:v>
      </x:c>
      <x:c r="E366" t="str">
        <x:v>Kaynak Tamamlama / Zayıf Konu</x:v>
      </x:c>
      <x:c r="F366" t="n">
        <x:v>30</x:v>
      </x:c>
      <x:c r="G366" t="n">
        <x:v>20</x:v>
      </x:c>
      <x:c r="H366"/>
      <x:c r="I366"/>
      <x:c r="J366"/>
      <x:c r="K366" s="18"/>
      <x:c r="L366" s="20" t="str">
        <x:f>IF(OR(K366="",G366=0),"",K366*86400/G366)</x:f>
      </x:c>
      <x:c r="M366" s="22" t="str">
        <x:f>IF(SUM(H366:J366)=0,"",H366/SUM(H366:J366))</x:f>
      </x:c>
      <x:c r="N366" t="n">
        <x:v>10</x:v>
      </x:c>
      <x:c r="O366" t="str">
        <x:f>IF(SUM(H366:J366)=0,"",SUM(H366:J366)+IF(N366="",0,N366))</x:f>
      </x:c>
      <x:c r="P366" t="str"/>
    </x:row>
    <x:row r="367">
      <x:c r="A367" s="12" t="n">
        <x:v>46478</x:v>
      </x:c>
      <x:c r="B367" t="n">
        <x:v>183</x:v>
      </x:c>
      <x:c r="C367" t="str">
        <x:v>Perşembe</x:v>
      </x:c>
      <x:c r="D367" t="str">
        <x:v>Paragraf</x:v>
      </x:c>
      <x:c r="E367" t="str">
        <x:v>Paragraf</x:v>
      </x:c>
      <x:c r="F367" t="n">
        <x:v>30</x:v>
      </x:c>
      <x:c r="G367" t="n">
        <x:v>20</x:v>
      </x:c>
      <x:c r="H367"/>
      <x:c r="I367"/>
      <x:c r="J367"/>
      <x:c r="K367" s="18"/>
      <x:c r="L367" s="20" t="str">
        <x:f>IF(OR(K367="",G367=0),"",K367*86400/G367)</x:f>
      </x:c>
      <x:c r="M367" s="22" t="str">
        <x:f>IF(SUM(H367:J367)=0,"",H367/SUM(H367:J367))</x:f>
      </x:c>
      <x:c r="N367" t="n">
        <x:v>10</x:v>
      </x:c>
      <x:c r="O367" t="str">
        <x:f>IF(SUM(H367:J367)=0,"",SUM(H367:J367)+IF(N367="",0,N367))</x:f>
      </x:c>
      <x:c r="P367" t="str"/>
    </x:row>
    <x:row r="368">
      <x:c r="A368" s="12" t="n">
        <x:v>46479</x:v>
      </x:c>
      <x:c r="B368" t="n">
        <x:v>184</x:v>
      </x:c>
      <x:c r="C368" t="str">
        <x:v>Cuma</x:v>
      </x:c>
      <x:c r="D368" t="str">
        <x:v>Matematik</x:v>
      </x:c>
      <x:c r="E368" t="str">
        <x:v>Kaynak Tamamlama / Zayıf Konu</x:v>
      </x:c>
      <x:c r="F368" t="n">
        <x:v>30</x:v>
      </x:c>
      <x:c r="G368" t="n">
        <x:v>20</x:v>
      </x:c>
      <x:c r="H368"/>
      <x:c r="I368"/>
      <x:c r="J368"/>
      <x:c r="K368" s="18"/>
      <x:c r="L368" s="20" t="str">
        <x:f>IF(OR(K368="",G368=0),"",K368*86400/G368)</x:f>
      </x:c>
      <x:c r="M368" s="22" t="str">
        <x:f>IF(SUM(H368:J368)=0,"",H368/SUM(H368:J368))</x:f>
      </x:c>
      <x:c r="N368" t="n">
        <x:v>10</x:v>
      </x:c>
      <x:c r="O368" t="str">
        <x:f>IF(SUM(H368:J368)=0,"",SUM(H368:J368)+IF(N368="",0,N368))</x:f>
      </x:c>
      <x:c r="P368" t="str"/>
    </x:row>
    <x:row r="369">
      <x:c r="A369" s="12" t="n">
        <x:v>46479</x:v>
      </x:c>
      <x:c r="B369" t="n">
        <x:v>184</x:v>
      </x:c>
      <x:c r="C369" t="str">
        <x:v>Cuma</x:v>
      </x:c>
      <x:c r="D369" t="str">
        <x:v>Paragraf</x:v>
      </x:c>
      <x:c r="E369" t="str">
        <x:v>Paragraf</x:v>
      </x:c>
      <x:c r="F369" t="n">
        <x:v>30</x:v>
      </x:c>
      <x:c r="G369" t="n">
        <x:v>20</x:v>
      </x:c>
      <x:c r="H369"/>
      <x:c r="I369"/>
      <x:c r="J369"/>
      <x:c r="K369" s="18"/>
      <x:c r="L369" s="20" t="str">
        <x:f>IF(OR(K369="",G369=0),"",K369*86400/G369)</x:f>
      </x:c>
      <x:c r="M369" s="22" t="str">
        <x:f>IF(SUM(H369:J369)=0,"",H369/SUM(H369:J369))</x:f>
      </x:c>
      <x:c r="N369" t="n">
        <x:v>10</x:v>
      </x:c>
      <x:c r="O369" t="str">
        <x:f>IF(SUM(H369:J369)=0,"",SUM(H369:J369)+IF(N369="",0,N369))</x:f>
      </x:c>
      <x:c r="P369" t="str"/>
    </x:row>
    <x:row r="370">
      <x:c r="A370" s="12" t="n">
        <x:v>46480</x:v>
      </x:c>
      <x:c r="B370" t="n">
        <x:v>185</x:v>
      </x:c>
      <x:c r="C370" t="str">
        <x:v>Cumartesi</x:v>
      </x:c>
      <x:c r="D370" t="str">
        <x:v>Matematik</x:v>
      </x:c>
      <x:c r="E370" t="str">
        <x:v>Kaynak Tamamlama / Zayıf Konu</x:v>
      </x:c>
      <x:c r="F370" t="n">
        <x:v>30</x:v>
      </x:c>
      <x:c r="G370" t="n">
        <x:v>20</x:v>
      </x:c>
      <x:c r="H370"/>
      <x:c r="I370"/>
      <x:c r="J370"/>
      <x:c r="K370" s="18"/>
      <x:c r="L370" s="20" t="str">
        <x:f>IF(OR(K370="",G370=0),"",K370*86400/G370)</x:f>
      </x:c>
      <x:c r="M370" s="22" t="str">
        <x:f>IF(SUM(H370:J370)=0,"",H370/SUM(H370:J370))</x:f>
      </x:c>
      <x:c r="N370" t="n">
        <x:v>10</x:v>
      </x:c>
      <x:c r="O370" t="str">
        <x:f>IF(SUM(H370:J370)=0,"",SUM(H370:J370)+IF(N370="",0,N370))</x:f>
      </x:c>
      <x:c r="P370" t="str"/>
    </x:row>
    <x:row r="371">
      <x:c r="A371" s="12" t="n">
        <x:v>46480</x:v>
      </x:c>
      <x:c r="B371" t="n">
        <x:v>185</x:v>
      </x:c>
      <x:c r="C371" t="str">
        <x:v>Cumartesi</x:v>
      </x:c>
      <x:c r="D371" t="str">
        <x:v>Paragraf</x:v>
      </x:c>
      <x:c r="E371" t="str">
        <x:v>Paragraf</x:v>
      </x:c>
      <x:c r="F371" t="n">
        <x:v>30</x:v>
      </x:c>
      <x:c r="G371" t="n">
        <x:v>20</x:v>
      </x:c>
      <x:c r="H371"/>
      <x:c r="I371"/>
      <x:c r="J371"/>
      <x:c r="K371" s="18"/>
      <x:c r="L371" s="20" t="str">
        <x:f>IF(OR(K371="",G371=0),"",K371*86400/G371)</x:f>
      </x:c>
      <x:c r="M371" s="22" t="str">
        <x:f>IF(SUM(H371:J371)=0,"",H371/SUM(H371:J371))</x:f>
      </x:c>
      <x:c r="N371" t="n">
        <x:v>10</x:v>
      </x:c>
      <x:c r="O371" t="str">
        <x:f>IF(SUM(H371:J371)=0,"",SUM(H371:J371)+IF(N371="",0,N371))</x:f>
      </x:c>
      <x:c r="P371" t="str"/>
    </x:row>
    <x:row r="372">
      <x:c r="A372" s="12" t="n">
        <x:v>46481</x:v>
      </x:c>
      <x:c r="B372" t="n">
        <x:v>186</x:v>
      </x:c>
      <x:c r="C372" t="str">
        <x:v>Pazar</x:v>
      </x:c>
      <x:c r="D372" t="str">
        <x:v>Matematik</x:v>
      </x:c>
      <x:c r="E372" t="str">
        <x:v>Kaynak Tamamlama / Zayıf Konu</x:v>
      </x:c>
      <x:c r="F372" t="n">
        <x:v>30</x:v>
      </x:c>
      <x:c r="G372" t="n">
        <x:v>20</x:v>
      </x:c>
      <x:c r="H372"/>
      <x:c r="I372"/>
      <x:c r="J372"/>
      <x:c r="K372" s="18"/>
      <x:c r="L372" s="20" t="str">
        <x:f>IF(OR(K372="",G372=0),"",K372*86400/G372)</x:f>
      </x:c>
      <x:c r="M372" s="22" t="str">
        <x:f>IF(SUM(H372:J372)=0,"",H372/SUM(H372:J372))</x:f>
      </x:c>
      <x:c r="N372" t="n">
        <x:v>10</x:v>
      </x:c>
      <x:c r="O372" t="str">
        <x:f>IF(SUM(H372:J372)=0,"",SUM(H372:J372)+IF(N372="",0,N372))</x:f>
      </x:c>
      <x:c r="P372" t="str"/>
    </x:row>
    <x:row r="373">
      <x:c r="A373" s="12" t="n">
        <x:v>46481</x:v>
      </x:c>
      <x:c r="B373" t="n">
        <x:v>186</x:v>
      </x:c>
      <x:c r="C373" t="str">
        <x:v>Pazar</x:v>
      </x:c>
      <x:c r="D373" t="str">
        <x:v>Paragraf</x:v>
      </x:c>
      <x:c r="E373" t="str">
        <x:v>Paragraf</x:v>
      </x:c>
      <x:c r="F373" t="n">
        <x:v>30</x:v>
      </x:c>
      <x:c r="G373" t="n">
        <x:v>20</x:v>
      </x:c>
      <x:c r="H373"/>
      <x:c r="I373"/>
      <x:c r="J373"/>
      <x:c r="K373" s="18"/>
      <x:c r="L373" s="20" t="str">
        <x:f>IF(OR(K373="",G373=0),"",K373*86400/G373)</x:f>
      </x:c>
      <x:c r="M373" s="22" t="str">
        <x:f>IF(SUM(H373:J373)=0,"",H373/SUM(H373:J373))</x:f>
      </x:c>
      <x:c r="N373" t="n">
        <x:v>10</x:v>
      </x:c>
      <x:c r="O373" t="str">
        <x:f>IF(SUM(H373:J373)=0,"",SUM(H373:J373)+IF(N373="",0,N373))</x:f>
      </x:c>
      <x:c r="P373" t="str"/>
    </x:row>
    <x:row r="374">
      <x:c r="A374" s="12" t="n">
        <x:v>46482</x:v>
      </x:c>
      <x:c r="B374" t="n">
        <x:v>187</x:v>
      </x:c>
      <x:c r="C374" t="str">
        <x:v>Pazartesi</x:v>
      </x:c>
      <x:c r="D374" t="str">
        <x:v>Matematik</x:v>
      </x:c>
      <x:c r="E374" t="str">
        <x:v>Kaynak Tamamlama / Zayıf Konu</x:v>
      </x:c>
      <x:c r="F374" t="n">
        <x:v>30</x:v>
      </x:c>
      <x:c r="G374" t="n">
        <x:v>20</x:v>
      </x:c>
      <x:c r="H374"/>
      <x:c r="I374"/>
      <x:c r="J374"/>
      <x:c r="K374" s="18"/>
      <x:c r="L374" s="20" t="str">
        <x:f>IF(OR(K374="",G374=0),"",K374*86400/G374)</x:f>
      </x:c>
      <x:c r="M374" s="22" t="str">
        <x:f>IF(SUM(H374:J374)=0,"",H374/SUM(H374:J374))</x:f>
      </x:c>
      <x:c r="N374" t="n">
        <x:v>10</x:v>
      </x:c>
      <x:c r="O374" t="str">
        <x:f>IF(SUM(H374:J374)=0,"",SUM(H374:J374)+IF(N374="",0,N374))</x:f>
      </x:c>
      <x:c r="P374" t="str"/>
    </x:row>
    <x:row r="375">
      <x:c r="A375" s="12" t="n">
        <x:v>46482</x:v>
      </x:c>
      <x:c r="B375" t="n">
        <x:v>187</x:v>
      </x:c>
      <x:c r="C375" t="str">
        <x:v>Pazartesi</x:v>
      </x:c>
      <x:c r="D375" t="str">
        <x:v>Paragraf</x:v>
      </x:c>
      <x:c r="E375" t="str">
        <x:v>Paragraf</x:v>
      </x:c>
      <x:c r="F375" t="n">
        <x:v>30</x:v>
      </x:c>
      <x:c r="G375" t="n">
        <x:v>20</x:v>
      </x:c>
      <x:c r="H375"/>
      <x:c r="I375"/>
      <x:c r="J375"/>
      <x:c r="K375" s="18"/>
      <x:c r="L375" s="20" t="str">
        <x:f>IF(OR(K375="",G375=0),"",K375*86400/G375)</x:f>
      </x:c>
      <x:c r="M375" s="22" t="str">
        <x:f>IF(SUM(H375:J375)=0,"",H375/SUM(H375:J375))</x:f>
      </x:c>
      <x:c r="N375" t="n">
        <x:v>10</x:v>
      </x:c>
      <x:c r="O375" t="str">
        <x:f>IF(SUM(H375:J375)=0,"",SUM(H375:J375)+IF(N375="",0,N375))</x:f>
      </x:c>
      <x:c r="P375" t="str"/>
    </x:row>
    <x:row r="376">
      <x:c r="A376" s="12" t="n">
        <x:v>46483</x:v>
      </x:c>
      <x:c r="B376" t="n">
        <x:v>188</x:v>
      </x:c>
      <x:c r="C376" t="str">
        <x:v>Salı</x:v>
      </x:c>
      <x:c r="D376" t="str">
        <x:v>Matematik</x:v>
      </x:c>
      <x:c r="E376" t="str">
        <x:v>Kaynak Tamamlama / Zayıf Konu</x:v>
      </x:c>
      <x:c r="F376" t="n">
        <x:v>30</x:v>
      </x:c>
      <x:c r="G376" t="n">
        <x:v>20</x:v>
      </x:c>
      <x:c r="H376"/>
      <x:c r="I376"/>
      <x:c r="J376"/>
      <x:c r="K376" s="18"/>
      <x:c r="L376" s="20" t="str">
        <x:f>IF(OR(K376="",G376=0),"",K376*86400/G376)</x:f>
      </x:c>
      <x:c r="M376" s="22" t="str">
        <x:f>IF(SUM(H376:J376)=0,"",H376/SUM(H376:J376))</x:f>
      </x:c>
      <x:c r="N376" t="n">
        <x:v>10</x:v>
      </x:c>
      <x:c r="O376" t="str">
        <x:f>IF(SUM(H376:J376)=0,"",SUM(H376:J376)+IF(N376="",0,N376))</x:f>
      </x:c>
      <x:c r="P376" t="str"/>
    </x:row>
    <x:row r="377">
      <x:c r="A377" s="12" t="n">
        <x:v>46483</x:v>
      </x:c>
      <x:c r="B377" t="n">
        <x:v>188</x:v>
      </x:c>
      <x:c r="C377" t="str">
        <x:v>Salı</x:v>
      </x:c>
      <x:c r="D377" t="str">
        <x:v>Paragraf</x:v>
      </x:c>
      <x:c r="E377" t="str">
        <x:v>Paragraf</x:v>
      </x:c>
      <x:c r="F377" t="n">
        <x:v>30</x:v>
      </x:c>
      <x:c r="G377" t="n">
        <x:v>20</x:v>
      </x:c>
      <x:c r="H377"/>
      <x:c r="I377"/>
      <x:c r="J377"/>
      <x:c r="K377" s="18"/>
      <x:c r="L377" s="20" t="str">
        <x:f>IF(OR(K377="",G377=0),"",K377*86400/G377)</x:f>
      </x:c>
      <x:c r="M377" s="22" t="str">
        <x:f>IF(SUM(H377:J377)=0,"",H377/SUM(H377:J377))</x:f>
      </x:c>
      <x:c r="N377" t="n">
        <x:v>10</x:v>
      </x:c>
      <x:c r="O377" t="str">
        <x:f>IF(SUM(H377:J377)=0,"",SUM(H377:J377)+IF(N377="",0,N377))</x:f>
      </x:c>
      <x:c r="P377" t="str"/>
    </x:row>
    <x:row r="378">
      <x:c r="A378" s="12" t="n">
        <x:v>46484</x:v>
      </x:c>
      <x:c r="B378" t="n">
        <x:v>189</x:v>
      </x:c>
      <x:c r="C378" t="str">
        <x:v>Çarşamba</x:v>
      </x:c>
      <x:c r="D378" t="str">
        <x:v>Matematik</x:v>
      </x:c>
      <x:c r="E378" t="str">
        <x:v>Kaynak Tamamlama / Zayıf Konu</x:v>
      </x:c>
      <x:c r="F378" t="n">
        <x:v>30</x:v>
      </x:c>
      <x:c r="G378" t="n">
        <x:v>20</x:v>
      </x:c>
      <x:c r="H378"/>
      <x:c r="I378"/>
      <x:c r="J378"/>
      <x:c r="K378" s="18"/>
      <x:c r="L378" s="20" t="str">
        <x:f>IF(OR(K378="",G378=0),"",K378*86400/G378)</x:f>
      </x:c>
      <x:c r="M378" s="22" t="str">
        <x:f>IF(SUM(H378:J378)=0,"",H378/SUM(H378:J378))</x:f>
      </x:c>
      <x:c r="N378" t="n">
        <x:v>10</x:v>
      </x:c>
      <x:c r="O378" t="str">
        <x:f>IF(SUM(H378:J378)=0,"",SUM(H378:J378)+IF(N378="",0,N378))</x:f>
      </x:c>
      <x:c r="P378" t="str"/>
    </x:row>
    <x:row r="379">
      <x:c r="A379" s="12" t="n">
        <x:v>46484</x:v>
      </x:c>
      <x:c r="B379" t="n">
        <x:v>189</x:v>
      </x:c>
      <x:c r="C379" t="str">
        <x:v>Çarşamba</x:v>
      </x:c>
      <x:c r="D379" t="str">
        <x:v>Paragraf</x:v>
      </x:c>
      <x:c r="E379" t="str">
        <x:v>Paragraf</x:v>
      </x:c>
      <x:c r="F379" t="n">
        <x:v>30</x:v>
      </x:c>
      <x:c r="G379" t="n">
        <x:v>20</x:v>
      </x:c>
      <x:c r="H379"/>
      <x:c r="I379"/>
      <x:c r="J379"/>
      <x:c r="K379" s="18"/>
      <x:c r="L379" s="20" t="str">
        <x:f>IF(OR(K379="",G379=0),"",K379*86400/G379)</x:f>
      </x:c>
      <x:c r="M379" s="22" t="str">
        <x:f>IF(SUM(H379:J379)=0,"",H379/SUM(H379:J379))</x:f>
      </x:c>
      <x:c r="N379" t="n">
        <x:v>10</x:v>
      </x:c>
      <x:c r="O379" t="str">
        <x:f>IF(SUM(H379:J379)=0,"",SUM(H379:J379)+IF(N379="",0,N379))</x:f>
      </x:c>
      <x:c r="P379" t="str"/>
    </x:row>
    <x:row r="380">
      <x:c r="A380" s="12" t="n">
        <x:v>46485</x:v>
      </x:c>
      <x:c r="B380" t="n">
        <x:v>190</x:v>
      </x:c>
      <x:c r="C380" t="str">
        <x:v>Perşembe</x:v>
      </x:c>
      <x:c r="D380" t="str">
        <x:v>Matematik</x:v>
      </x:c>
      <x:c r="E380" t="str">
        <x:v>Kaynak Tamamlama / Zayıf Konu</x:v>
      </x:c>
      <x:c r="F380" t="n">
        <x:v>30</x:v>
      </x:c>
      <x:c r="G380" t="n">
        <x:v>20</x:v>
      </x:c>
      <x:c r="H380"/>
      <x:c r="I380"/>
      <x:c r="J380"/>
      <x:c r="K380" s="18"/>
      <x:c r="L380" s="20" t="str">
        <x:f>IF(OR(K380="",G380=0),"",K380*86400/G380)</x:f>
      </x:c>
      <x:c r="M380" s="22" t="str">
        <x:f>IF(SUM(H380:J380)=0,"",H380/SUM(H380:J380))</x:f>
      </x:c>
      <x:c r="N380" t="n">
        <x:v>10</x:v>
      </x:c>
      <x:c r="O380" t="str">
        <x:f>IF(SUM(H380:J380)=0,"",SUM(H380:J380)+IF(N380="",0,N380))</x:f>
      </x:c>
      <x:c r="P380" t="str"/>
    </x:row>
    <x:row r="381">
      <x:c r="A381" s="12" t="n">
        <x:v>46485</x:v>
      </x:c>
      <x:c r="B381" t="n">
        <x:v>190</x:v>
      </x:c>
      <x:c r="C381" t="str">
        <x:v>Perşembe</x:v>
      </x:c>
      <x:c r="D381" t="str">
        <x:v>Paragraf</x:v>
      </x:c>
      <x:c r="E381" t="str">
        <x:v>Paragraf</x:v>
      </x:c>
      <x:c r="F381" t="n">
        <x:v>30</x:v>
      </x:c>
      <x:c r="G381" t="n">
        <x:v>20</x:v>
      </x:c>
      <x:c r="H381"/>
      <x:c r="I381"/>
      <x:c r="J381"/>
      <x:c r="K381" s="18"/>
      <x:c r="L381" s="20" t="str">
        <x:f>IF(OR(K381="",G381=0),"",K381*86400/G381)</x:f>
      </x:c>
      <x:c r="M381" s="22" t="str">
        <x:f>IF(SUM(H381:J381)=0,"",H381/SUM(H381:J381))</x:f>
      </x:c>
      <x:c r="N381" t="n">
        <x:v>10</x:v>
      </x:c>
      <x:c r="O381" t="str">
        <x:f>IF(SUM(H381:J381)=0,"",SUM(H381:J381)+IF(N381="",0,N381))</x:f>
      </x:c>
      <x:c r="P381" t="str"/>
    </x:row>
    <x:row r="382">
      <x:c r="A382" s="12" t="n">
        <x:v>46486</x:v>
      </x:c>
      <x:c r="B382" t="n">
        <x:v>191</x:v>
      </x:c>
      <x:c r="C382" t="str">
        <x:v>Cuma</x:v>
      </x:c>
      <x:c r="D382" t="str">
        <x:v>Matematik</x:v>
      </x:c>
      <x:c r="E382" t="str">
        <x:v>Kaynak Tamamlama / Zayıf Konu</x:v>
      </x:c>
      <x:c r="F382" t="n">
        <x:v>30</x:v>
      </x:c>
      <x:c r="G382" t="n">
        <x:v>20</x:v>
      </x:c>
      <x:c r="H382"/>
      <x:c r="I382"/>
      <x:c r="J382"/>
      <x:c r="K382" s="18"/>
      <x:c r="L382" s="20" t="str">
        <x:f>IF(OR(K382="",G382=0),"",K382*86400/G382)</x:f>
      </x:c>
      <x:c r="M382" s="22" t="str">
        <x:f>IF(SUM(H382:J382)=0,"",H382/SUM(H382:J382))</x:f>
      </x:c>
      <x:c r="N382" t="n">
        <x:v>10</x:v>
      </x:c>
      <x:c r="O382" t="str">
        <x:f>IF(SUM(H382:J382)=0,"",SUM(H382:J382)+IF(N382="",0,N382))</x:f>
      </x:c>
      <x:c r="P382" t="str"/>
    </x:row>
    <x:row r="383">
      <x:c r="A383" s="12" t="n">
        <x:v>46486</x:v>
      </x:c>
      <x:c r="B383" t="n">
        <x:v>191</x:v>
      </x:c>
      <x:c r="C383" t="str">
        <x:v>Cuma</x:v>
      </x:c>
      <x:c r="D383" t="str">
        <x:v>Paragraf</x:v>
      </x:c>
      <x:c r="E383" t="str">
        <x:v>Paragraf</x:v>
      </x:c>
      <x:c r="F383" t="n">
        <x:v>30</x:v>
      </x:c>
      <x:c r="G383" t="n">
        <x:v>20</x:v>
      </x:c>
      <x:c r="H383"/>
      <x:c r="I383"/>
      <x:c r="J383"/>
      <x:c r="K383" s="18"/>
      <x:c r="L383" s="20" t="str">
        <x:f>IF(OR(K383="",G383=0),"",K383*86400/G383)</x:f>
      </x:c>
      <x:c r="M383" s="22" t="str">
        <x:f>IF(SUM(H383:J383)=0,"",H383/SUM(H383:J383))</x:f>
      </x:c>
      <x:c r="N383" t="n">
        <x:v>10</x:v>
      </x:c>
      <x:c r="O383" t="str">
        <x:f>IF(SUM(H383:J383)=0,"",SUM(H383:J383)+IF(N383="",0,N383))</x:f>
      </x:c>
      <x:c r="P383" t="str"/>
    </x:row>
    <x:row r="384">
      <x:c r="A384" s="12" t="n">
        <x:v>46487</x:v>
      </x:c>
      <x:c r="B384" t="n">
        <x:v>192</x:v>
      </x:c>
      <x:c r="C384" t="str">
        <x:v>Cumartesi</x:v>
      </x:c>
      <x:c r="D384" t="str">
        <x:v>Matematik</x:v>
      </x:c>
      <x:c r="E384" t="str">
        <x:v>Kaynak Tamamlama / Zayıf Konu</x:v>
      </x:c>
      <x:c r="F384" t="n">
        <x:v>30</x:v>
      </x:c>
      <x:c r="G384" t="n">
        <x:v>20</x:v>
      </x:c>
      <x:c r="H384"/>
      <x:c r="I384"/>
      <x:c r="J384"/>
      <x:c r="K384" s="18"/>
      <x:c r="L384" s="20" t="str">
        <x:f>IF(OR(K384="",G384=0),"",K384*86400/G384)</x:f>
      </x:c>
      <x:c r="M384" s="22" t="str">
        <x:f>IF(SUM(H384:J384)=0,"",H384/SUM(H384:J384))</x:f>
      </x:c>
      <x:c r="N384" t="n">
        <x:v>10</x:v>
      </x:c>
      <x:c r="O384" t="str">
        <x:f>IF(SUM(H384:J384)=0,"",SUM(H384:J384)+IF(N384="",0,N384))</x:f>
      </x:c>
      <x:c r="P384" t="str"/>
    </x:row>
    <x:row r="385">
      <x:c r="A385" s="12" t="n">
        <x:v>46487</x:v>
      </x:c>
      <x:c r="B385" t="n">
        <x:v>192</x:v>
      </x:c>
      <x:c r="C385" t="str">
        <x:v>Cumartesi</x:v>
      </x:c>
      <x:c r="D385" t="str">
        <x:v>Paragraf</x:v>
      </x:c>
      <x:c r="E385" t="str">
        <x:v>Paragraf</x:v>
      </x:c>
      <x:c r="F385" t="n">
        <x:v>30</x:v>
      </x:c>
      <x:c r="G385" t="n">
        <x:v>20</x:v>
      </x:c>
      <x:c r="H385"/>
      <x:c r="I385"/>
      <x:c r="J385"/>
      <x:c r="K385" s="18"/>
      <x:c r="L385" s="20" t="str">
        <x:f>IF(OR(K385="",G385=0),"",K385*86400/G385)</x:f>
      </x:c>
      <x:c r="M385" s="22" t="str">
        <x:f>IF(SUM(H385:J385)=0,"",H385/SUM(H385:J385))</x:f>
      </x:c>
      <x:c r="N385" t="n">
        <x:v>10</x:v>
      </x:c>
      <x:c r="O385" t="str">
        <x:f>IF(SUM(H385:J385)=0,"",SUM(H385:J385)+IF(N385="",0,N385))</x:f>
      </x:c>
      <x:c r="P385" t="str"/>
    </x:row>
    <x:row r="386">
      <x:c r="A386" s="12" t="n">
        <x:v>46488</x:v>
      </x:c>
      <x:c r="B386" t="n">
        <x:v>193</x:v>
      </x:c>
      <x:c r="C386" t="str">
        <x:v>Pazar</x:v>
      </x:c>
      <x:c r="D386" t="str">
        <x:v>Matematik</x:v>
      </x:c>
      <x:c r="E386" t="str">
        <x:v>Kaynak Tamamlama / Zayıf Konu</x:v>
      </x:c>
      <x:c r="F386" t="n">
        <x:v>30</x:v>
      </x:c>
      <x:c r="G386" t="n">
        <x:v>20</x:v>
      </x:c>
      <x:c r="H386"/>
      <x:c r="I386"/>
      <x:c r="J386"/>
      <x:c r="K386" s="18"/>
      <x:c r="L386" s="20" t="str">
        <x:f>IF(OR(K386="",G386=0),"",K386*86400/G386)</x:f>
      </x:c>
      <x:c r="M386" s="22" t="str">
        <x:f>IF(SUM(H386:J386)=0,"",H386/SUM(H386:J386))</x:f>
      </x:c>
      <x:c r="N386" t="n">
        <x:v>10</x:v>
      </x:c>
      <x:c r="O386" t="str">
        <x:f>IF(SUM(H386:J386)=0,"",SUM(H386:J386)+IF(N386="",0,N386))</x:f>
      </x:c>
      <x:c r="P386" t="str"/>
    </x:row>
    <x:row r="387">
      <x:c r="A387" s="12" t="n">
        <x:v>46488</x:v>
      </x:c>
      <x:c r="B387" t="n">
        <x:v>193</x:v>
      </x:c>
      <x:c r="C387" t="str">
        <x:v>Pazar</x:v>
      </x:c>
      <x:c r="D387" t="str">
        <x:v>Paragraf</x:v>
      </x:c>
      <x:c r="E387" t="str">
        <x:v>Paragraf</x:v>
      </x:c>
      <x:c r="F387" t="n">
        <x:v>30</x:v>
      </x:c>
      <x:c r="G387" t="n">
        <x:v>20</x:v>
      </x:c>
      <x:c r="H387"/>
      <x:c r="I387"/>
      <x:c r="J387"/>
      <x:c r="K387" s="18"/>
      <x:c r="L387" s="20" t="str">
        <x:f>IF(OR(K387="",G387=0),"",K387*86400/G387)</x:f>
      </x:c>
      <x:c r="M387" s="22" t="str">
        <x:f>IF(SUM(H387:J387)=0,"",H387/SUM(H387:J387))</x:f>
      </x:c>
      <x:c r="N387" t="n">
        <x:v>10</x:v>
      </x:c>
      <x:c r="O387" t="str">
        <x:f>IF(SUM(H387:J387)=0,"",SUM(H387:J387)+IF(N387="",0,N387))</x:f>
      </x:c>
      <x:c r="P387" t="str"/>
    </x:row>
    <x:row r="388">
      <x:c r="A388" s="12" t="n">
        <x:v>46489</x:v>
      </x:c>
      <x:c r="B388" t="n">
        <x:v>194</x:v>
      </x:c>
      <x:c r="C388" t="str">
        <x:v>Pazartesi</x:v>
      </x:c>
      <x:c r="D388" t="str">
        <x:v>Matematik</x:v>
      </x:c>
      <x:c r="E388" t="str">
        <x:v>Kaynak Tamamlama / Zayıf Konu</x:v>
      </x:c>
      <x:c r="F388" t="n">
        <x:v>30</x:v>
      </x:c>
      <x:c r="G388" t="n">
        <x:v>20</x:v>
      </x:c>
      <x:c r="H388"/>
      <x:c r="I388"/>
      <x:c r="J388"/>
      <x:c r="K388" s="18"/>
      <x:c r="L388" s="20" t="str">
        <x:f>IF(OR(K388="",G388=0),"",K388*86400/G388)</x:f>
      </x:c>
      <x:c r="M388" s="22" t="str">
        <x:f>IF(SUM(H388:J388)=0,"",H388/SUM(H388:J388))</x:f>
      </x:c>
      <x:c r="N388" t="n">
        <x:v>10</x:v>
      </x:c>
      <x:c r="O388" t="str">
        <x:f>IF(SUM(H388:J388)=0,"",SUM(H388:J388)+IF(N388="",0,N388))</x:f>
      </x:c>
      <x:c r="P388" t="str"/>
    </x:row>
    <x:row r="389">
      <x:c r="A389" s="12" t="n">
        <x:v>46489</x:v>
      </x:c>
      <x:c r="B389" t="n">
        <x:v>194</x:v>
      </x:c>
      <x:c r="C389" t="str">
        <x:v>Pazartesi</x:v>
      </x:c>
      <x:c r="D389" t="str">
        <x:v>Paragraf</x:v>
      </x:c>
      <x:c r="E389" t="str">
        <x:v>Paragraf</x:v>
      </x:c>
      <x:c r="F389" t="n">
        <x:v>30</x:v>
      </x:c>
      <x:c r="G389" t="n">
        <x:v>20</x:v>
      </x:c>
      <x:c r="H389"/>
      <x:c r="I389"/>
      <x:c r="J389"/>
      <x:c r="K389" s="18"/>
      <x:c r="L389" s="20" t="str">
        <x:f>IF(OR(K389="",G389=0),"",K389*86400/G389)</x:f>
      </x:c>
      <x:c r="M389" s="22" t="str">
        <x:f>IF(SUM(H389:J389)=0,"",H389/SUM(H389:J389))</x:f>
      </x:c>
      <x:c r="N389" t="n">
        <x:v>10</x:v>
      </x:c>
      <x:c r="O389" t="str">
        <x:f>IF(SUM(H389:J389)=0,"",SUM(H389:J389)+IF(N389="",0,N389))</x:f>
      </x:c>
      <x:c r="P389" t="str"/>
    </x:row>
    <x:row r="390">
      <x:c r="A390" s="12" t="n">
        <x:v>46490</x:v>
      </x:c>
      <x:c r="B390" t="n">
        <x:v>195</x:v>
      </x:c>
      <x:c r="C390" t="str">
        <x:v>Salı</x:v>
      </x:c>
      <x:c r="D390" t="str">
        <x:v>Matematik</x:v>
      </x:c>
      <x:c r="E390" t="str">
        <x:v>Kaynak Tamamlama / Zayıf Konu</x:v>
      </x:c>
      <x:c r="F390" t="n">
        <x:v>30</x:v>
      </x:c>
      <x:c r="G390" t="n">
        <x:v>20</x:v>
      </x:c>
      <x:c r="H390"/>
      <x:c r="I390"/>
      <x:c r="J390"/>
      <x:c r="K390" s="18"/>
      <x:c r="L390" s="20" t="str">
        <x:f>IF(OR(K390="",G390=0),"",K390*86400/G390)</x:f>
      </x:c>
      <x:c r="M390" s="22" t="str">
        <x:f>IF(SUM(H390:J390)=0,"",H390/SUM(H390:J390))</x:f>
      </x:c>
      <x:c r="N390" t="n">
        <x:v>10</x:v>
      </x:c>
      <x:c r="O390" t="str">
        <x:f>IF(SUM(H390:J390)=0,"",SUM(H390:J390)+IF(N390="",0,N390))</x:f>
      </x:c>
      <x:c r="P390" t="str"/>
    </x:row>
    <x:row r="391">
      <x:c r="A391" s="12" t="n">
        <x:v>46490</x:v>
      </x:c>
      <x:c r="B391" t="n">
        <x:v>195</x:v>
      </x:c>
      <x:c r="C391" t="str">
        <x:v>Salı</x:v>
      </x:c>
      <x:c r="D391" t="str">
        <x:v>Paragraf</x:v>
      </x:c>
      <x:c r="E391" t="str">
        <x:v>Paragraf</x:v>
      </x:c>
      <x:c r="F391" t="n">
        <x:v>30</x:v>
      </x:c>
      <x:c r="G391" t="n">
        <x:v>20</x:v>
      </x:c>
      <x:c r="H391"/>
      <x:c r="I391"/>
      <x:c r="J391"/>
      <x:c r="K391" s="18"/>
      <x:c r="L391" s="20" t="str">
        <x:f>IF(OR(K391="",G391=0),"",K391*86400/G391)</x:f>
      </x:c>
      <x:c r="M391" s="22" t="str">
        <x:f>IF(SUM(H391:J391)=0,"",H391/SUM(H391:J391))</x:f>
      </x:c>
      <x:c r="N391" t="n">
        <x:v>10</x:v>
      </x:c>
      <x:c r="O391" t="str">
        <x:f>IF(SUM(H391:J391)=0,"",SUM(H391:J391)+IF(N391="",0,N391))</x:f>
      </x:c>
      <x:c r="P391" t="str"/>
    </x:row>
  </x:sheetData>
  <x:pageMargins left="0.7" right="0.7" top="0.75" bottom="0.75" header="0.3" footer="0.3"/>
  <x:tableParts count="1">
    <x:tablePart xmlns:r="http://schemas.openxmlformats.org/officeDocument/2006/relationships" r:id="Rc32f80119e3742a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28" hidden="0" customWidth="1"/>
    <x:col min="34" max="34" width="28" hidden="0" customWidth="1"/>
    <x:col min="35" max="35" width="28" hidden="0" customWidth="1"/>
    <x:col min="36" max="36" width="14" hidden="0" customWidth="1"/>
    <x:col min="37" max="37" width="18" hidden="0" customWidth="1"/>
    <x:col min="38" max="38" width="14" hidden="0" customWidth="1"/>
    <x:col min="39" max="39" width="18" hidden="0" customWidth="1"/>
    <x:col min="40" max="40" width="48" hidden="0" customWidth="1"/>
  </x:cols>
  <x:sheetData>
    <x:row r="1">
      <x:c r="A1" s="6" t="str">
        <x:v>Deneme No</x:v>
      </x:c>
      <x:c r="B1" s="6" t="str">
        <x:v>Tarih</x:v>
      </x:c>
      <x:c r="C1" s="6" t="str">
        <x:v>Gün</x:v>
      </x:c>
      <x:c r="D1" s="6" t="str">
        <x:v>Tür</x:v>
      </x:c>
      <x:c r="E1" s="6" t="str">
        <x:v>Sözel Plan dk</x:v>
      </x:c>
      <x:c r="F1" s="6" t="str">
        <x:v>Sayısal Plan dk</x:v>
      </x:c>
      <x:c r="G1" s="6" t="str">
        <x:v>Türkçe D</x:v>
      </x:c>
      <x:c r="H1" s="6" t="str">
        <x:v>Türkçe Y</x:v>
      </x:c>
      <x:c r="I1" s="6" t="str">
        <x:v>Türkçe B</x:v>
      </x:c>
      <x:c r="J1" s="6" t="str">
        <x:v>Türkçe Net</x:v>
      </x:c>
      <x:c r="K1" s="6" t="str">
        <x:v>İnkılap D</x:v>
      </x:c>
      <x:c r="L1" s="6" t="str">
        <x:v>İnkılap Y</x:v>
      </x:c>
      <x:c r="M1" s="6" t="str">
        <x:v>İnkılap B</x:v>
      </x:c>
      <x:c r="N1" s="6" t="str">
        <x:v>İnkılap Net</x:v>
      </x:c>
      <x:c r="O1" s="6" t="str">
        <x:v>Din D</x:v>
      </x:c>
      <x:c r="P1" s="6" t="str">
        <x:v>Din Y</x:v>
      </x:c>
      <x:c r="Q1" s="6" t="str">
        <x:v>Din B</x:v>
      </x:c>
      <x:c r="R1" s="6" t="str">
        <x:v>Din Net</x:v>
      </x:c>
      <x:c r="S1" s="6" t="str">
        <x:v>İngilizce D</x:v>
      </x:c>
      <x:c r="T1" s="6" t="str">
        <x:v>İngilizce Y</x:v>
      </x:c>
      <x:c r="U1" s="6" t="str">
        <x:v>İngilizce B</x:v>
      </x:c>
      <x:c r="V1" s="6" t="str">
        <x:v>İngilizce Net</x:v>
      </x:c>
      <x:c r="W1" s="6" t="str">
        <x:v>Matematik D</x:v>
      </x:c>
      <x:c r="X1" s="6" t="str">
        <x:v>Matematik Y</x:v>
      </x:c>
      <x:c r="Y1" s="6" t="str">
        <x:v>Matematik B</x:v>
      </x:c>
      <x:c r="Z1" s="6" t="str">
        <x:v>Matematik Net</x:v>
      </x:c>
      <x:c r="AA1" s="6" t="str">
        <x:v>Fen D</x:v>
      </x:c>
      <x:c r="AB1" s="6" t="str">
        <x:v>Fen Y</x:v>
      </x:c>
      <x:c r="AC1" s="6" t="str">
        <x:v>Fen B</x:v>
      </x:c>
      <x:c r="AD1" s="6" t="str">
        <x:v>Fen Net</x:v>
      </x:c>
      <x:c r="AE1" s="6" t="str">
        <x:v>Toplam Net</x:v>
      </x:c>
      <x:c r="AF1" s="6" t="str">
        <x:v>Deneme Puanı</x:v>
      </x:c>
      <x:c r="AG1" s="6" t="str">
        <x:v>En Kritik Eksik 1</x:v>
      </x:c>
      <x:c r="AH1" s="6" t="str">
        <x:v>En Kritik Eksik 2</x:v>
      </x:c>
      <x:c r="AI1" s="6" t="str">
        <x:v>En Kritik Eksik 3</x:v>
      </x:c>
      <x:c r="AJ1" s="6" t="str">
        <x:v>Analiz Bitti?</x:v>
      </x:c>
      <x:c r="AK1" s="6" t="str">
        <x:v>Hedefli Telafi Bitti?</x:v>
      </x:c>
      <x:c r="AL1" s="6" t="str">
        <x:v>Yorgunluk 1-5</x:v>
      </x:c>
      <x:c r="AM1" s="6" t="str">
        <x:v>Durum</x:v>
      </x:c>
      <x:c r="AN1" s="6" t="str">
        <x:v>Not</x:v>
      </x:c>
    </x:row>
    <x:row r="2">
      <x:c r="A2" t="n">
        <x:v>1</x:v>
      </x:c>
      <x:c r="B2" s="12" t="n">
        <x:v>46491</x:v>
      </x:c>
      <x:c r="C2" t="str">
        <x:v>Çarşamba</x:v>
      </x:c>
      <x:c r="D2" t="str">
        <x:v>Tam LGS</x:v>
      </x:c>
      <x:c r="E2" t="n">
        <x:v>75</x:v>
      </x:c>
      <x:c r="F2" t="n">
        <x:v>80</x:v>
      </x:c>
      <x:c r="G2"/>
      <x:c r="H2"/>
      <x:c r="I2"/>
      <x:c r="J2" t="str">
        <x:f>IF(COUNTA(G2:H2)=0,"",G2-H2/3)</x:f>
      </x:c>
      <x:c r="K2"/>
      <x:c r="L2"/>
      <x:c r="M2"/>
      <x:c r="N2" t="str">
        <x:f>IF(COUNTA(K2:L2)=0,"",K2-L2/3)</x:f>
      </x:c>
      <x:c r="O2"/>
      <x:c r="P2"/>
      <x:c r="Q2"/>
      <x:c r="R2" t="str">
        <x:f>IF(COUNTA(O2:P2)=0,"",O2-P2/3)</x:f>
      </x:c>
      <x:c r="S2"/>
      <x:c r="T2"/>
      <x:c r="U2"/>
      <x:c r="V2" t="str">
        <x:f>IF(COUNTA(S2:T2)=0,"",S2-T2/3)</x:f>
      </x:c>
      <x:c r="W2"/>
      <x:c r="X2"/>
      <x:c r="Y2"/>
      <x:c r="Z2" t="str">
        <x:f>IF(COUNTA(W2:X2)=0,"",W2-X2/3)</x:f>
      </x:c>
      <x:c r="AA2"/>
      <x:c r="AB2"/>
      <x:c r="AC2"/>
      <x:c r="AD2" t="str">
        <x:f>IF(COUNTA(AA2:AB2)=0,"",AA2-AB2/3)</x:f>
      </x:c>
      <x:c r="AE2" t="str">
        <x:f>IF(COUNTA(G2:I2,K2:M2,O2:Q2,S2:U2,W2:Y2,AA2:AC2)=0,"",SUM(J2,N2,R2,V2,Z2,AD2))</x:f>
      </x:c>
      <x:c r="AF2"/>
      <x:c r="AG2" t="str"/>
      <x:c r="AH2" t="str"/>
      <x:c r="AI2" t="str"/>
      <x:c r="AJ2" t="str">
        <x:v>Hayır</x:v>
      </x:c>
      <x:c r="AK2" t="str">
        <x:v>Hayır</x:v>
      </x:c>
      <x:c r="AL2"/>
      <x:c r="AM2" t="str">
        <x:v>Planlandı</x:v>
      </x:c>
      <x:c r="AN2" t="str"/>
    </x:row>
    <x:row r="3">
      <x:c r="A3" t="n">
        <x:v>2</x:v>
      </x:c>
      <x:c r="B3" s="12" t="n">
        <x:v>46492</x:v>
      </x:c>
      <x:c r="C3" t="str">
        <x:v>Perşembe</x:v>
      </x:c>
      <x:c r="D3" t="str">
        <x:v>Tam LGS</x:v>
      </x:c>
      <x:c r="E3" t="n">
        <x:v>75</x:v>
      </x:c>
      <x:c r="F3" t="n">
        <x:v>80</x:v>
      </x:c>
      <x:c r="G3"/>
      <x:c r="H3"/>
      <x:c r="I3"/>
      <x:c r="J3" t="str">
        <x:f>IF(COUNTA(G3:H3)=0,"",G3-H3/3)</x:f>
      </x:c>
      <x:c r="K3"/>
      <x:c r="L3"/>
      <x:c r="M3"/>
      <x:c r="N3" t="str">
        <x:f>IF(COUNTA(K3:L3)=0,"",K3-L3/3)</x:f>
      </x:c>
      <x:c r="O3"/>
      <x:c r="P3"/>
      <x:c r="Q3"/>
      <x:c r="R3" t="str">
        <x:f>IF(COUNTA(O3:P3)=0,"",O3-P3/3)</x:f>
      </x:c>
      <x:c r="S3"/>
      <x:c r="T3"/>
      <x:c r="U3"/>
      <x:c r="V3" t="str">
        <x:f>IF(COUNTA(S3:T3)=0,"",S3-T3/3)</x:f>
      </x:c>
      <x:c r="W3"/>
      <x:c r="X3"/>
      <x:c r="Y3"/>
      <x:c r="Z3" t="str">
        <x:f>IF(COUNTA(W3:X3)=0,"",W3-X3/3)</x:f>
      </x:c>
      <x:c r="AA3"/>
      <x:c r="AB3"/>
      <x:c r="AC3"/>
      <x:c r="AD3" t="str">
        <x:f>IF(COUNTA(AA3:AB3)=0,"",AA3-AB3/3)</x:f>
      </x:c>
      <x:c r="AE3" t="str">
        <x:f>IF(COUNTA(G3:I3,K3:M3,O3:Q3,S3:U3,W3:Y3,AA3:AC3)=0,"",SUM(J3,N3,R3,V3,Z3,AD3))</x:f>
      </x:c>
      <x:c r="AF3"/>
      <x:c r="AG3" t="str"/>
      <x:c r="AH3" t="str"/>
      <x:c r="AI3" t="str"/>
      <x:c r="AJ3" t="str">
        <x:v>Hayır</x:v>
      </x:c>
      <x:c r="AK3" t="str">
        <x:v>Hayır</x:v>
      </x:c>
      <x:c r="AL3"/>
      <x:c r="AM3" t="str">
        <x:v>Planlandı</x:v>
      </x:c>
      <x:c r="AN3" t="str"/>
    </x:row>
    <x:row r="4">
      <x:c r="A4" t="n">
        <x:v>3</x:v>
      </x:c>
      <x:c r="B4" s="12" t="n">
        <x:v>46493</x:v>
      </x:c>
      <x:c r="C4" t="str">
        <x:v>Cuma</x:v>
      </x:c>
      <x:c r="D4" t="str">
        <x:v>Tam LGS</x:v>
      </x:c>
      <x:c r="E4" t="n">
        <x:v>75</x:v>
      </x:c>
      <x:c r="F4" t="n">
        <x:v>80</x:v>
      </x:c>
      <x:c r="G4"/>
      <x:c r="H4"/>
      <x:c r="I4"/>
      <x:c r="J4" t="str">
        <x:f>IF(COUNTA(G4:H4)=0,"",G4-H4/3)</x:f>
      </x:c>
      <x:c r="K4"/>
      <x:c r="L4"/>
      <x:c r="M4"/>
      <x:c r="N4" t="str">
        <x:f>IF(COUNTA(K4:L4)=0,"",K4-L4/3)</x:f>
      </x:c>
      <x:c r="O4"/>
      <x:c r="P4"/>
      <x:c r="Q4"/>
      <x:c r="R4" t="str">
        <x:f>IF(COUNTA(O4:P4)=0,"",O4-P4/3)</x:f>
      </x:c>
      <x:c r="S4"/>
      <x:c r="T4"/>
      <x:c r="U4"/>
      <x:c r="V4" t="str">
        <x:f>IF(COUNTA(S4:T4)=0,"",S4-T4/3)</x:f>
      </x:c>
      <x:c r="W4"/>
      <x:c r="X4"/>
      <x:c r="Y4"/>
      <x:c r="Z4" t="str">
        <x:f>IF(COUNTA(W4:X4)=0,"",W4-X4/3)</x:f>
      </x:c>
      <x:c r="AA4"/>
      <x:c r="AB4"/>
      <x:c r="AC4"/>
      <x:c r="AD4" t="str">
        <x:f>IF(COUNTA(AA4:AB4)=0,"",AA4-AB4/3)</x:f>
      </x:c>
      <x:c r="AE4" t="str">
        <x:f>IF(COUNTA(G4:I4,K4:M4,O4:Q4,S4:U4,W4:Y4,AA4:AC4)=0,"",SUM(J4,N4,R4,V4,Z4,AD4))</x:f>
      </x:c>
      <x:c r="AF4"/>
      <x:c r="AG4" t="str"/>
      <x:c r="AH4" t="str"/>
      <x:c r="AI4" t="str"/>
      <x:c r="AJ4" t="str">
        <x:v>Hayır</x:v>
      </x:c>
      <x:c r="AK4" t="str">
        <x:v>Hayır</x:v>
      </x:c>
      <x:c r="AL4"/>
      <x:c r="AM4" t="str">
        <x:v>Planlandı</x:v>
      </x:c>
      <x:c r="AN4" t="str"/>
    </x:row>
    <x:row r="5">
      <x:c r="A5" t="n">
        <x:v>4</x:v>
      </x:c>
      <x:c r="B5" s="12" t="n">
        <x:v>46494</x:v>
      </x:c>
      <x:c r="C5" t="str">
        <x:v>Cumartesi</x:v>
      </x:c>
      <x:c r="D5" t="str">
        <x:v>Tam LGS</x:v>
      </x:c>
      <x:c r="E5" t="n">
        <x:v>75</x:v>
      </x:c>
      <x:c r="F5" t="n">
        <x:v>80</x:v>
      </x:c>
      <x:c r="G5"/>
      <x:c r="H5"/>
      <x:c r="I5"/>
      <x:c r="J5" t="str">
        <x:f>IF(COUNTA(G5:H5)=0,"",G5-H5/3)</x:f>
      </x:c>
      <x:c r="K5"/>
      <x:c r="L5"/>
      <x:c r="M5"/>
      <x:c r="N5" t="str">
        <x:f>IF(COUNTA(K5:L5)=0,"",K5-L5/3)</x:f>
      </x:c>
      <x:c r="O5"/>
      <x:c r="P5"/>
      <x:c r="Q5"/>
      <x:c r="R5" t="str">
        <x:f>IF(COUNTA(O5:P5)=0,"",O5-P5/3)</x:f>
      </x:c>
      <x:c r="S5"/>
      <x:c r="T5"/>
      <x:c r="U5"/>
      <x:c r="V5" t="str">
        <x:f>IF(COUNTA(S5:T5)=0,"",S5-T5/3)</x:f>
      </x:c>
      <x:c r="W5"/>
      <x:c r="X5"/>
      <x:c r="Y5"/>
      <x:c r="Z5" t="str">
        <x:f>IF(COUNTA(W5:X5)=0,"",W5-X5/3)</x:f>
      </x:c>
      <x:c r="AA5"/>
      <x:c r="AB5"/>
      <x:c r="AC5"/>
      <x:c r="AD5" t="str">
        <x:f>IF(COUNTA(AA5:AB5)=0,"",AA5-AB5/3)</x:f>
      </x:c>
      <x:c r="AE5" t="str">
        <x:f>IF(COUNTA(G5:I5,K5:M5,O5:Q5,S5:U5,W5:Y5,AA5:AC5)=0,"",SUM(J5,N5,R5,V5,Z5,AD5))</x:f>
      </x:c>
      <x:c r="AF5"/>
      <x:c r="AG5" t="str"/>
      <x:c r="AH5" t="str"/>
      <x:c r="AI5" t="str"/>
      <x:c r="AJ5" t="str">
        <x:v>Hayır</x:v>
      </x:c>
      <x:c r="AK5" t="str">
        <x:v>Hayır</x:v>
      </x:c>
      <x:c r="AL5"/>
      <x:c r="AM5" t="str">
        <x:v>Planlandı</x:v>
      </x:c>
      <x:c r="AN5" t="str"/>
    </x:row>
    <x:row r="6">
      <x:c r="A6" t="n">
        <x:v>5</x:v>
      </x:c>
      <x:c r="B6" s="12" t="n">
        <x:v>46495</x:v>
      </x:c>
      <x:c r="C6" t="str">
        <x:v>Pazar</x:v>
      </x:c>
      <x:c r="D6" t="str">
        <x:v>Tam LGS</x:v>
      </x:c>
      <x:c r="E6" t="n">
        <x:v>75</x:v>
      </x:c>
      <x:c r="F6" t="n">
        <x:v>80</x:v>
      </x:c>
      <x:c r="G6"/>
      <x:c r="H6"/>
      <x:c r="I6"/>
      <x:c r="J6" t="str">
        <x:f>IF(COUNTA(G6:H6)=0,"",G6-H6/3)</x:f>
      </x:c>
      <x:c r="K6"/>
      <x:c r="L6"/>
      <x:c r="M6"/>
      <x:c r="N6" t="str">
        <x:f>IF(COUNTA(K6:L6)=0,"",K6-L6/3)</x:f>
      </x:c>
      <x:c r="O6"/>
      <x:c r="P6"/>
      <x:c r="Q6"/>
      <x:c r="R6" t="str">
        <x:f>IF(COUNTA(O6:P6)=0,"",O6-P6/3)</x:f>
      </x:c>
      <x:c r="S6"/>
      <x:c r="T6"/>
      <x:c r="U6"/>
      <x:c r="V6" t="str">
        <x:f>IF(COUNTA(S6:T6)=0,"",S6-T6/3)</x:f>
      </x:c>
      <x:c r="W6"/>
      <x:c r="X6"/>
      <x:c r="Y6"/>
      <x:c r="Z6" t="str">
        <x:f>IF(COUNTA(W6:X6)=0,"",W6-X6/3)</x:f>
      </x:c>
      <x:c r="AA6"/>
      <x:c r="AB6"/>
      <x:c r="AC6"/>
      <x:c r="AD6" t="str">
        <x:f>IF(COUNTA(AA6:AB6)=0,"",AA6-AB6/3)</x:f>
      </x:c>
      <x:c r="AE6" t="str">
        <x:f>IF(COUNTA(G6:I6,K6:M6,O6:Q6,S6:U6,W6:Y6,AA6:AC6)=0,"",SUM(J6,N6,R6,V6,Z6,AD6))</x:f>
      </x:c>
      <x:c r="AF6"/>
      <x:c r="AG6" t="str"/>
      <x:c r="AH6" t="str"/>
      <x:c r="AI6" t="str"/>
      <x:c r="AJ6" t="str">
        <x:v>Hayır</x:v>
      </x:c>
      <x:c r="AK6" t="str">
        <x:v>Hayır</x:v>
      </x:c>
      <x:c r="AL6"/>
      <x:c r="AM6" t="str">
        <x:v>Planlandı</x:v>
      </x:c>
      <x:c r="AN6" t="str"/>
    </x:row>
    <x:row r="7">
      <x:c r="A7" t="n">
        <x:v>6</x:v>
      </x:c>
      <x:c r="B7" s="12" t="n">
        <x:v>46496</x:v>
      </x:c>
      <x:c r="C7" t="str">
        <x:v>Pazartesi</x:v>
      </x:c>
      <x:c r="D7" t="str">
        <x:v>Tam LGS</x:v>
      </x:c>
      <x:c r="E7" t="n">
        <x:v>75</x:v>
      </x:c>
      <x:c r="F7" t="n">
        <x:v>80</x:v>
      </x:c>
      <x:c r="G7"/>
      <x:c r="H7"/>
      <x:c r="I7"/>
      <x:c r="J7" t="str">
        <x:f>IF(COUNTA(G7:H7)=0,"",G7-H7/3)</x:f>
      </x:c>
      <x:c r="K7"/>
      <x:c r="L7"/>
      <x:c r="M7"/>
      <x:c r="N7" t="str">
        <x:f>IF(COUNTA(K7:L7)=0,"",K7-L7/3)</x:f>
      </x:c>
      <x:c r="O7"/>
      <x:c r="P7"/>
      <x:c r="Q7"/>
      <x:c r="R7" t="str">
        <x:f>IF(COUNTA(O7:P7)=0,"",O7-P7/3)</x:f>
      </x:c>
      <x:c r="S7"/>
      <x:c r="T7"/>
      <x:c r="U7"/>
      <x:c r="V7" t="str">
        <x:f>IF(COUNTA(S7:T7)=0,"",S7-T7/3)</x:f>
      </x:c>
      <x:c r="W7"/>
      <x:c r="X7"/>
      <x:c r="Y7"/>
      <x:c r="Z7" t="str">
        <x:f>IF(COUNTA(W7:X7)=0,"",W7-X7/3)</x:f>
      </x:c>
      <x:c r="AA7"/>
      <x:c r="AB7"/>
      <x:c r="AC7"/>
      <x:c r="AD7" t="str">
        <x:f>IF(COUNTA(AA7:AB7)=0,"",AA7-AB7/3)</x:f>
      </x:c>
      <x:c r="AE7" t="str">
        <x:f>IF(COUNTA(G7:I7,K7:M7,O7:Q7,S7:U7,W7:Y7,AA7:AC7)=0,"",SUM(J7,N7,R7,V7,Z7,AD7))</x:f>
      </x:c>
      <x:c r="AF7"/>
      <x:c r="AG7" t="str"/>
      <x:c r="AH7" t="str"/>
      <x:c r="AI7" t="str"/>
      <x:c r="AJ7" t="str">
        <x:v>Hayır</x:v>
      </x:c>
      <x:c r="AK7" t="str">
        <x:v>Hayır</x:v>
      </x:c>
      <x:c r="AL7"/>
      <x:c r="AM7" t="str">
        <x:v>Planlandı</x:v>
      </x:c>
      <x:c r="AN7" t="str"/>
    </x:row>
    <x:row r="8">
      <x:c r="A8" t="n">
        <x:v>7</x:v>
      </x:c>
      <x:c r="B8" s="12" t="n">
        <x:v>46497</x:v>
      </x:c>
      <x:c r="C8" t="str">
        <x:v>Salı</x:v>
      </x:c>
      <x:c r="D8" t="str">
        <x:v>Tam LGS</x:v>
      </x:c>
      <x:c r="E8" t="n">
        <x:v>75</x:v>
      </x:c>
      <x:c r="F8" t="n">
        <x:v>80</x:v>
      </x:c>
      <x:c r="G8"/>
      <x:c r="H8"/>
      <x:c r="I8"/>
      <x:c r="J8" t="str">
        <x:f>IF(COUNTA(G8:H8)=0,"",G8-H8/3)</x:f>
      </x:c>
      <x:c r="K8"/>
      <x:c r="L8"/>
      <x:c r="M8"/>
      <x:c r="N8" t="str">
        <x:f>IF(COUNTA(K8:L8)=0,"",K8-L8/3)</x:f>
      </x:c>
      <x:c r="O8"/>
      <x:c r="P8"/>
      <x:c r="Q8"/>
      <x:c r="R8" t="str">
        <x:f>IF(COUNTA(O8:P8)=0,"",O8-P8/3)</x:f>
      </x:c>
      <x:c r="S8"/>
      <x:c r="T8"/>
      <x:c r="U8"/>
      <x:c r="V8" t="str">
        <x:f>IF(COUNTA(S8:T8)=0,"",S8-T8/3)</x:f>
      </x:c>
      <x:c r="W8"/>
      <x:c r="X8"/>
      <x:c r="Y8"/>
      <x:c r="Z8" t="str">
        <x:f>IF(COUNTA(W8:X8)=0,"",W8-X8/3)</x:f>
      </x:c>
      <x:c r="AA8"/>
      <x:c r="AB8"/>
      <x:c r="AC8"/>
      <x:c r="AD8" t="str">
        <x:f>IF(COUNTA(AA8:AB8)=0,"",AA8-AB8/3)</x:f>
      </x:c>
      <x:c r="AE8" t="str">
        <x:f>IF(COUNTA(G8:I8,K8:M8,O8:Q8,S8:U8,W8:Y8,AA8:AC8)=0,"",SUM(J8,N8,R8,V8,Z8,AD8))</x:f>
      </x:c>
      <x:c r="AF8"/>
      <x:c r="AG8" t="str"/>
      <x:c r="AH8" t="str"/>
      <x:c r="AI8" t="str"/>
      <x:c r="AJ8" t="str">
        <x:v>Hayır</x:v>
      </x:c>
      <x:c r="AK8" t="str">
        <x:v>Hayır</x:v>
      </x:c>
      <x:c r="AL8"/>
      <x:c r="AM8" t="str">
        <x:v>Planlandı</x:v>
      </x:c>
      <x:c r="AN8" t="str"/>
    </x:row>
    <x:row r="9">
      <x:c r="A9" t="n">
        <x:v>8</x:v>
      </x:c>
      <x:c r="B9" s="12" t="n">
        <x:v>46498</x:v>
      </x:c>
      <x:c r="C9" t="str">
        <x:v>Çarşamba</x:v>
      </x:c>
      <x:c r="D9" t="str">
        <x:v>Tam LGS</x:v>
      </x:c>
      <x:c r="E9" t="n">
        <x:v>75</x:v>
      </x:c>
      <x:c r="F9" t="n">
        <x:v>80</x:v>
      </x:c>
      <x:c r="G9"/>
      <x:c r="H9"/>
      <x:c r="I9"/>
      <x:c r="J9" t="str">
        <x:f>IF(COUNTA(G9:H9)=0,"",G9-H9/3)</x:f>
      </x:c>
      <x:c r="K9"/>
      <x:c r="L9"/>
      <x:c r="M9"/>
      <x:c r="N9" t="str">
        <x:f>IF(COUNTA(K9:L9)=0,"",K9-L9/3)</x:f>
      </x:c>
      <x:c r="O9"/>
      <x:c r="P9"/>
      <x:c r="Q9"/>
      <x:c r="R9" t="str">
        <x:f>IF(COUNTA(O9:P9)=0,"",O9-P9/3)</x:f>
      </x:c>
      <x:c r="S9"/>
      <x:c r="T9"/>
      <x:c r="U9"/>
      <x:c r="V9" t="str">
        <x:f>IF(COUNTA(S9:T9)=0,"",S9-T9/3)</x:f>
      </x:c>
      <x:c r="W9"/>
      <x:c r="X9"/>
      <x:c r="Y9"/>
      <x:c r="Z9" t="str">
        <x:f>IF(COUNTA(W9:X9)=0,"",W9-X9/3)</x:f>
      </x:c>
      <x:c r="AA9"/>
      <x:c r="AB9"/>
      <x:c r="AC9"/>
      <x:c r="AD9" t="str">
        <x:f>IF(COUNTA(AA9:AB9)=0,"",AA9-AB9/3)</x:f>
      </x:c>
      <x:c r="AE9" t="str">
        <x:f>IF(COUNTA(G9:I9,K9:M9,O9:Q9,S9:U9,W9:Y9,AA9:AC9)=0,"",SUM(J9,N9,R9,V9,Z9,AD9))</x:f>
      </x:c>
      <x:c r="AF9"/>
      <x:c r="AG9" t="str"/>
      <x:c r="AH9" t="str"/>
      <x:c r="AI9" t="str"/>
      <x:c r="AJ9" t="str">
        <x:v>Hayır</x:v>
      </x:c>
      <x:c r="AK9" t="str">
        <x:v>Hayır</x:v>
      </x:c>
      <x:c r="AL9"/>
      <x:c r="AM9" t="str">
        <x:v>Planlandı</x:v>
      </x:c>
      <x:c r="AN9" t="str"/>
    </x:row>
    <x:row r="10">
      <x:c r="A10" t="n">
        <x:v>9</x:v>
      </x:c>
      <x:c r="B10" s="12" t="n">
        <x:v>46499</x:v>
      </x:c>
      <x:c r="C10" t="str">
        <x:v>Perşembe</x:v>
      </x:c>
      <x:c r="D10" t="str">
        <x:v>Tam LGS</x:v>
      </x:c>
      <x:c r="E10" t="n">
        <x:v>75</x:v>
      </x:c>
      <x:c r="F10" t="n">
        <x:v>80</x:v>
      </x:c>
      <x:c r="G10"/>
      <x:c r="H10"/>
      <x:c r="I10"/>
      <x:c r="J10" t="str">
        <x:f>IF(COUNTA(G10:H10)=0,"",G10-H10/3)</x:f>
      </x:c>
      <x:c r="K10"/>
      <x:c r="L10"/>
      <x:c r="M10"/>
      <x:c r="N10" t="str">
        <x:f>IF(COUNTA(K10:L10)=0,"",K10-L10/3)</x:f>
      </x:c>
      <x:c r="O10"/>
      <x:c r="P10"/>
      <x:c r="Q10"/>
      <x:c r="R10" t="str">
        <x:f>IF(COUNTA(O10:P10)=0,"",O10-P10/3)</x:f>
      </x:c>
      <x:c r="S10"/>
      <x:c r="T10"/>
      <x:c r="U10"/>
      <x:c r="V10" t="str">
        <x:f>IF(COUNTA(S10:T10)=0,"",S10-T10/3)</x:f>
      </x:c>
      <x:c r="W10"/>
      <x:c r="X10"/>
      <x:c r="Y10"/>
      <x:c r="Z10" t="str">
        <x:f>IF(COUNTA(W10:X10)=0,"",W10-X10/3)</x:f>
      </x:c>
      <x:c r="AA10"/>
      <x:c r="AB10"/>
      <x:c r="AC10"/>
      <x:c r="AD10" t="str">
        <x:f>IF(COUNTA(AA10:AB10)=0,"",AA10-AB10/3)</x:f>
      </x:c>
      <x:c r="AE10" t="str">
        <x:f>IF(COUNTA(G10:I10,K10:M10,O10:Q10,S10:U10,W10:Y10,AA10:AC10)=0,"",SUM(J10,N10,R10,V10,Z10,AD10))</x:f>
      </x:c>
      <x:c r="AF10"/>
      <x:c r="AG10" t="str"/>
      <x:c r="AH10" t="str"/>
      <x:c r="AI10" t="str"/>
      <x:c r="AJ10" t="str">
        <x:v>Hayır</x:v>
      </x:c>
      <x:c r="AK10" t="str">
        <x:v>Hayır</x:v>
      </x:c>
      <x:c r="AL10"/>
      <x:c r="AM10" t="str">
        <x:v>Planlandı</x:v>
      </x:c>
      <x:c r="AN10" t="str"/>
    </x:row>
    <x:row r="11">
      <x:c r="A11" t="n">
        <x:v>10</x:v>
      </x:c>
      <x:c r="B11" s="12" t="n">
        <x:v>46500</x:v>
      </x:c>
      <x:c r="C11" t="str">
        <x:v>Cuma</x:v>
      </x:c>
      <x:c r="D11" t="str">
        <x:v>Tam LGS</x:v>
      </x:c>
      <x:c r="E11" t="n">
        <x:v>75</x:v>
      </x:c>
      <x:c r="F11" t="n">
        <x:v>80</x:v>
      </x:c>
      <x:c r="G11"/>
      <x:c r="H11"/>
      <x:c r="I11"/>
      <x:c r="J11" t="str">
        <x:f>IF(COUNTA(G11:H11)=0,"",G11-H11/3)</x:f>
      </x:c>
      <x:c r="K11"/>
      <x:c r="L11"/>
      <x:c r="M11"/>
      <x:c r="N11" t="str">
        <x:f>IF(COUNTA(K11:L11)=0,"",K11-L11/3)</x:f>
      </x:c>
      <x:c r="O11"/>
      <x:c r="P11"/>
      <x:c r="Q11"/>
      <x:c r="R11" t="str">
        <x:f>IF(COUNTA(O11:P11)=0,"",O11-P11/3)</x:f>
      </x:c>
      <x:c r="S11"/>
      <x:c r="T11"/>
      <x:c r="U11"/>
      <x:c r="V11" t="str">
        <x:f>IF(COUNTA(S11:T11)=0,"",S11-T11/3)</x:f>
      </x:c>
      <x:c r="W11"/>
      <x:c r="X11"/>
      <x:c r="Y11"/>
      <x:c r="Z11" t="str">
        <x:f>IF(COUNTA(W11:X11)=0,"",W11-X11/3)</x:f>
      </x:c>
      <x:c r="AA11"/>
      <x:c r="AB11"/>
      <x:c r="AC11"/>
      <x:c r="AD11" t="str">
        <x:f>IF(COUNTA(AA11:AB11)=0,"",AA11-AB11/3)</x:f>
      </x:c>
      <x:c r="AE11" t="str">
        <x:f>IF(COUNTA(G11:I11,K11:M11,O11:Q11,S11:U11,W11:Y11,AA11:AC11)=0,"",SUM(J11,N11,R11,V11,Z11,AD11))</x:f>
      </x:c>
      <x:c r="AF11"/>
      <x:c r="AG11" t="str"/>
      <x:c r="AH11" t="str"/>
      <x:c r="AI11" t="str"/>
      <x:c r="AJ11" t="str">
        <x:v>Hayır</x:v>
      </x:c>
      <x:c r="AK11" t="str">
        <x:v>Hayır</x:v>
      </x:c>
      <x:c r="AL11"/>
      <x:c r="AM11" t="str">
        <x:v>Planlandı</x:v>
      </x:c>
      <x:c r="AN11" t="str"/>
    </x:row>
    <x:row r="12">
      <x:c r="A12" t="n">
        <x:v>11</x:v>
      </x:c>
      <x:c r="B12" s="12" t="n">
        <x:v>46501</x:v>
      </x:c>
      <x:c r="C12" t="str">
        <x:v>Cumartesi</x:v>
      </x:c>
      <x:c r="D12" t="str">
        <x:v>Tam LGS</x:v>
      </x:c>
      <x:c r="E12" t="n">
        <x:v>75</x:v>
      </x:c>
      <x:c r="F12" t="n">
        <x:v>80</x:v>
      </x:c>
      <x:c r="G12"/>
      <x:c r="H12"/>
      <x:c r="I12"/>
      <x:c r="J12" t="str">
        <x:f>IF(COUNTA(G12:H12)=0,"",G12-H12/3)</x:f>
      </x:c>
      <x:c r="K12"/>
      <x:c r="L12"/>
      <x:c r="M12"/>
      <x:c r="N12" t="str">
        <x:f>IF(COUNTA(K12:L12)=0,"",K12-L12/3)</x:f>
      </x:c>
      <x:c r="O12"/>
      <x:c r="P12"/>
      <x:c r="Q12"/>
      <x:c r="R12" t="str">
        <x:f>IF(COUNTA(O12:P12)=0,"",O12-P12/3)</x:f>
      </x:c>
      <x:c r="S12"/>
      <x:c r="T12"/>
      <x:c r="U12"/>
      <x:c r="V12" t="str">
        <x:f>IF(COUNTA(S12:T12)=0,"",S12-T12/3)</x:f>
      </x:c>
      <x:c r="W12"/>
      <x:c r="X12"/>
      <x:c r="Y12"/>
      <x:c r="Z12" t="str">
        <x:f>IF(COUNTA(W12:X12)=0,"",W12-X12/3)</x:f>
      </x:c>
      <x:c r="AA12"/>
      <x:c r="AB12"/>
      <x:c r="AC12"/>
      <x:c r="AD12" t="str">
        <x:f>IF(COUNTA(AA12:AB12)=0,"",AA12-AB12/3)</x:f>
      </x:c>
      <x:c r="AE12" t="str">
        <x:f>IF(COUNTA(G12:I12,K12:M12,O12:Q12,S12:U12,W12:Y12,AA12:AC12)=0,"",SUM(J12,N12,R12,V12,Z12,AD12))</x:f>
      </x:c>
      <x:c r="AF12"/>
      <x:c r="AG12" t="str"/>
      <x:c r="AH12" t="str"/>
      <x:c r="AI12" t="str"/>
      <x:c r="AJ12" t="str">
        <x:v>Hayır</x:v>
      </x:c>
      <x:c r="AK12" t="str">
        <x:v>Hayır</x:v>
      </x:c>
      <x:c r="AL12"/>
      <x:c r="AM12" t="str">
        <x:v>Planlandı</x:v>
      </x:c>
      <x:c r="AN12" t="str"/>
    </x:row>
    <x:row r="13">
      <x:c r="A13" t="n">
        <x:v>12</x:v>
      </x:c>
      <x:c r="B13" s="12" t="n">
        <x:v>46502</x:v>
      </x:c>
      <x:c r="C13" t="str">
        <x:v>Pazar</x:v>
      </x:c>
      <x:c r="D13" t="str">
        <x:v>Tam LGS</x:v>
      </x:c>
      <x:c r="E13" t="n">
        <x:v>75</x:v>
      </x:c>
      <x:c r="F13" t="n">
        <x:v>80</x:v>
      </x:c>
      <x:c r="G13"/>
      <x:c r="H13"/>
      <x:c r="I13"/>
      <x:c r="J13" t="str">
        <x:f>IF(COUNTA(G13:H13)=0,"",G13-H13/3)</x:f>
      </x:c>
      <x:c r="K13"/>
      <x:c r="L13"/>
      <x:c r="M13"/>
      <x:c r="N13" t="str">
        <x:f>IF(COUNTA(K13:L13)=0,"",K13-L13/3)</x:f>
      </x:c>
      <x:c r="O13"/>
      <x:c r="P13"/>
      <x:c r="Q13"/>
      <x:c r="R13" t="str">
        <x:f>IF(COUNTA(O13:P13)=0,"",O13-P13/3)</x:f>
      </x:c>
      <x:c r="S13"/>
      <x:c r="T13"/>
      <x:c r="U13"/>
      <x:c r="V13" t="str">
        <x:f>IF(COUNTA(S13:T13)=0,"",S13-T13/3)</x:f>
      </x:c>
      <x:c r="W13"/>
      <x:c r="X13"/>
      <x:c r="Y13"/>
      <x:c r="Z13" t="str">
        <x:f>IF(COUNTA(W13:X13)=0,"",W13-X13/3)</x:f>
      </x:c>
      <x:c r="AA13"/>
      <x:c r="AB13"/>
      <x:c r="AC13"/>
      <x:c r="AD13" t="str">
        <x:f>IF(COUNTA(AA13:AB13)=0,"",AA13-AB13/3)</x:f>
      </x:c>
      <x:c r="AE13" t="str">
        <x:f>IF(COUNTA(G13:I13,K13:M13,O13:Q13,S13:U13,W13:Y13,AA13:AC13)=0,"",SUM(J13,N13,R13,V13,Z13,AD13))</x:f>
      </x:c>
      <x:c r="AF13"/>
      <x:c r="AG13" t="str"/>
      <x:c r="AH13" t="str"/>
      <x:c r="AI13" t="str"/>
      <x:c r="AJ13" t="str">
        <x:v>Hayır</x:v>
      </x:c>
      <x:c r="AK13" t="str">
        <x:v>Hayır</x:v>
      </x:c>
      <x:c r="AL13"/>
      <x:c r="AM13" t="str">
        <x:v>Planlandı</x:v>
      </x:c>
      <x:c r="AN13" t="str"/>
    </x:row>
    <x:row r="14">
      <x:c r="A14" t="n">
        <x:v>13</x:v>
      </x:c>
      <x:c r="B14" s="12" t="n">
        <x:v>46503</x:v>
      </x:c>
      <x:c r="C14" t="str">
        <x:v>Pazartesi</x:v>
      </x:c>
      <x:c r="D14" t="str">
        <x:v>Tam LGS</x:v>
      </x:c>
      <x:c r="E14" t="n">
        <x:v>75</x:v>
      </x:c>
      <x:c r="F14" t="n">
        <x:v>80</x:v>
      </x:c>
      <x:c r="G14"/>
      <x:c r="H14"/>
      <x:c r="I14"/>
      <x:c r="J14" t="str">
        <x:f>IF(COUNTA(G14:H14)=0,"",G14-H14/3)</x:f>
      </x:c>
      <x:c r="K14"/>
      <x:c r="L14"/>
      <x:c r="M14"/>
      <x:c r="N14" t="str">
        <x:f>IF(COUNTA(K14:L14)=0,"",K14-L14/3)</x:f>
      </x:c>
      <x:c r="O14"/>
      <x:c r="P14"/>
      <x:c r="Q14"/>
      <x:c r="R14" t="str">
        <x:f>IF(COUNTA(O14:P14)=0,"",O14-P14/3)</x:f>
      </x:c>
      <x:c r="S14"/>
      <x:c r="T14"/>
      <x:c r="U14"/>
      <x:c r="V14" t="str">
        <x:f>IF(COUNTA(S14:T14)=0,"",S14-T14/3)</x:f>
      </x:c>
      <x:c r="W14"/>
      <x:c r="X14"/>
      <x:c r="Y14"/>
      <x:c r="Z14" t="str">
        <x:f>IF(COUNTA(W14:X14)=0,"",W14-X14/3)</x:f>
      </x:c>
      <x:c r="AA14"/>
      <x:c r="AB14"/>
      <x:c r="AC14"/>
      <x:c r="AD14" t="str">
        <x:f>IF(COUNTA(AA14:AB14)=0,"",AA14-AB14/3)</x:f>
      </x:c>
      <x:c r="AE14" t="str">
        <x:f>IF(COUNTA(G14:I14,K14:M14,O14:Q14,S14:U14,W14:Y14,AA14:AC14)=0,"",SUM(J14,N14,R14,V14,Z14,AD14))</x:f>
      </x:c>
      <x:c r="AF14"/>
      <x:c r="AG14" t="str"/>
      <x:c r="AH14" t="str"/>
      <x:c r="AI14" t="str"/>
      <x:c r="AJ14" t="str">
        <x:v>Hayır</x:v>
      </x:c>
      <x:c r="AK14" t="str">
        <x:v>Hayır</x:v>
      </x:c>
      <x:c r="AL14"/>
      <x:c r="AM14" t="str">
        <x:v>Planlandı</x:v>
      </x:c>
      <x:c r="AN14" t="str"/>
    </x:row>
    <x:row r="15">
      <x:c r="A15" t="n">
        <x:v>14</x:v>
      </x:c>
      <x:c r="B15" s="12" t="n">
        <x:v>46504</x:v>
      </x:c>
      <x:c r="C15" t="str">
        <x:v>Salı</x:v>
      </x:c>
      <x:c r="D15" t="str">
        <x:v>Tam LGS</x:v>
      </x:c>
      <x:c r="E15" t="n">
        <x:v>75</x:v>
      </x:c>
      <x:c r="F15" t="n">
        <x:v>80</x:v>
      </x:c>
      <x:c r="G15"/>
      <x:c r="H15"/>
      <x:c r="I15"/>
      <x:c r="J15" t="str">
        <x:f>IF(COUNTA(G15:H15)=0,"",G15-H15/3)</x:f>
      </x:c>
      <x:c r="K15"/>
      <x:c r="L15"/>
      <x:c r="M15"/>
      <x:c r="N15" t="str">
        <x:f>IF(COUNTA(K15:L15)=0,"",K15-L15/3)</x:f>
      </x:c>
      <x:c r="O15"/>
      <x:c r="P15"/>
      <x:c r="Q15"/>
      <x:c r="R15" t="str">
        <x:f>IF(COUNTA(O15:P15)=0,"",O15-P15/3)</x:f>
      </x:c>
      <x:c r="S15"/>
      <x:c r="T15"/>
      <x:c r="U15"/>
      <x:c r="V15" t="str">
        <x:f>IF(COUNTA(S15:T15)=0,"",S15-T15/3)</x:f>
      </x:c>
      <x:c r="W15"/>
      <x:c r="X15"/>
      <x:c r="Y15"/>
      <x:c r="Z15" t="str">
        <x:f>IF(COUNTA(W15:X15)=0,"",W15-X15/3)</x:f>
      </x:c>
      <x:c r="AA15"/>
      <x:c r="AB15"/>
      <x:c r="AC15"/>
      <x:c r="AD15" t="str">
        <x:f>IF(COUNTA(AA15:AB15)=0,"",AA15-AB15/3)</x:f>
      </x:c>
      <x:c r="AE15" t="str">
        <x:f>IF(COUNTA(G15:I15,K15:M15,O15:Q15,S15:U15,W15:Y15,AA15:AC15)=0,"",SUM(J15,N15,R15,V15,Z15,AD15))</x:f>
      </x:c>
      <x:c r="AF15"/>
      <x:c r="AG15" t="str"/>
      <x:c r="AH15" t="str"/>
      <x:c r="AI15" t="str"/>
      <x:c r="AJ15" t="str">
        <x:v>Hayır</x:v>
      </x:c>
      <x:c r="AK15" t="str">
        <x:v>Hayır</x:v>
      </x:c>
      <x:c r="AL15"/>
      <x:c r="AM15" t="str">
        <x:v>Planlandı</x:v>
      </x:c>
      <x:c r="AN15" t="str"/>
    </x:row>
    <x:row r="16">
      <x:c r="A16" t="n">
        <x:v>15</x:v>
      </x:c>
      <x:c r="B16" s="12" t="n">
        <x:v>46505</x:v>
      </x:c>
      <x:c r="C16" t="str">
        <x:v>Çarşamba</x:v>
      </x:c>
      <x:c r="D16" t="str">
        <x:v>Tam LGS</x:v>
      </x:c>
      <x:c r="E16" t="n">
        <x:v>75</x:v>
      </x:c>
      <x:c r="F16" t="n">
        <x:v>80</x:v>
      </x:c>
      <x:c r="G16"/>
      <x:c r="H16"/>
      <x:c r="I16"/>
      <x:c r="J16" t="str">
        <x:f>IF(COUNTA(G16:H16)=0,"",G16-H16/3)</x:f>
      </x:c>
      <x:c r="K16"/>
      <x:c r="L16"/>
      <x:c r="M16"/>
      <x:c r="N16" t="str">
        <x:f>IF(COUNTA(K16:L16)=0,"",K16-L16/3)</x:f>
      </x:c>
      <x:c r="O16"/>
      <x:c r="P16"/>
      <x:c r="Q16"/>
      <x:c r="R16" t="str">
        <x:f>IF(COUNTA(O16:P16)=0,"",O16-P16/3)</x:f>
      </x:c>
      <x:c r="S16"/>
      <x:c r="T16"/>
      <x:c r="U16"/>
      <x:c r="V16" t="str">
        <x:f>IF(COUNTA(S16:T16)=0,"",S16-T16/3)</x:f>
      </x:c>
      <x:c r="W16"/>
      <x:c r="X16"/>
      <x:c r="Y16"/>
      <x:c r="Z16" t="str">
        <x:f>IF(COUNTA(W16:X16)=0,"",W16-X16/3)</x:f>
      </x:c>
      <x:c r="AA16"/>
      <x:c r="AB16"/>
      <x:c r="AC16"/>
      <x:c r="AD16" t="str">
        <x:f>IF(COUNTA(AA16:AB16)=0,"",AA16-AB16/3)</x:f>
      </x:c>
      <x:c r="AE16" t="str">
        <x:f>IF(COUNTA(G16:I16,K16:M16,O16:Q16,S16:U16,W16:Y16,AA16:AC16)=0,"",SUM(J16,N16,R16,V16,Z16,AD16))</x:f>
      </x:c>
      <x:c r="AF16"/>
      <x:c r="AG16" t="str"/>
      <x:c r="AH16" t="str"/>
      <x:c r="AI16" t="str"/>
      <x:c r="AJ16" t="str">
        <x:v>Hayır</x:v>
      </x:c>
      <x:c r="AK16" t="str">
        <x:v>Hayır</x:v>
      </x:c>
      <x:c r="AL16"/>
      <x:c r="AM16" t="str">
        <x:v>Planlandı</x:v>
      </x:c>
      <x:c r="AN16" t="str"/>
    </x:row>
    <x:row r="17">
      <x:c r="A17" t="n">
        <x:v>16</x:v>
      </x:c>
      <x:c r="B17" s="12" t="n">
        <x:v>46506</x:v>
      </x:c>
      <x:c r="C17" t="str">
        <x:v>Perşembe</x:v>
      </x:c>
      <x:c r="D17" t="str">
        <x:v>Tam LGS</x:v>
      </x:c>
      <x:c r="E17" t="n">
        <x:v>75</x:v>
      </x:c>
      <x:c r="F17" t="n">
        <x:v>80</x:v>
      </x:c>
      <x:c r="G17"/>
      <x:c r="H17"/>
      <x:c r="I17"/>
      <x:c r="J17" t="str">
        <x:f>IF(COUNTA(G17:H17)=0,"",G17-H17/3)</x:f>
      </x:c>
      <x:c r="K17"/>
      <x:c r="L17"/>
      <x:c r="M17"/>
      <x:c r="N17" t="str">
        <x:f>IF(COUNTA(K17:L17)=0,"",K17-L17/3)</x:f>
      </x:c>
      <x:c r="O17"/>
      <x:c r="P17"/>
      <x:c r="Q17"/>
      <x:c r="R17" t="str">
        <x:f>IF(COUNTA(O17:P17)=0,"",O17-P17/3)</x:f>
      </x:c>
      <x:c r="S17"/>
      <x:c r="T17"/>
      <x:c r="U17"/>
      <x:c r="V17" t="str">
        <x:f>IF(COUNTA(S17:T17)=0,"",S17-T17/3)</x:f>
      </x:c>
      <x:c r="W17"/>
      <x:c r="X17"/>
      <x:c r="Y17"/>
      <x:c r="Z17" t="str">
        <x:f>IF(COUNTA(W17:X17)=0,"",W17-X17/3)</x:f>
      </x:c>
      <x:c r="AA17"/>
      <x:c r="AB17"/>
      <x:c r="AC17"/>
      <x:c r="AD17" t="str">
        <x:f>IF(COUNTA(AA17:AB17)=0,"",AA17-AB17/3)</x:f>
      </x:c>
      <x:c r="AE17" t="str">
        <x:f>IF(COUNTA(G17:I17,K17:M17,O17:Q17,S17:U17,W17:Y17,AA17:AC17)=0,"",SUM(J17,N17,R17,V17,Z17,AD17))</x:f>
      </x:c>
      <x:c r="AF17"/>
      <x:c r="AG17" t="str"/>
      <x:c r="AH17" t="str"/>
      <x:c r="AI17" t="str"/>
      <x:c r="AJ17" t="str">
        <x:v>Hayır</x:v>
      </x:c>
      <x:c r="AK17" t="str">
        <x:v>Hayır</x:v>
      </x:c>
      <x:c r="AL17"/>
      <x:c r="AM17" t="str">
        <x:v>Planlandı</x:v>
      </x:c>
      <x:c r="AN17" t="str"/>
    </x:row>
    <x:row r="18">
      <x:c r="A18" t="n">
        <x:v>17</x:v>
      </x:c>
      <x:c r="B18" s="12" t="n">
        <x:v>46507</x:v>
      </x:c>
      <x:c r="C18" t="str">
        <x:v>Cuma</x:v>
      </x:c>
      <x:c r="D18" t="str">
        <x:v>Tam LGS</x:v>
      </x:c>
      <x:c r="E18" t="n">
        <x:v>75</x:v>
      </x:c>
      <x:c r="F18" t="n">
        <x:v>80</x:v>
      </x:c>
      <x:c r="G18"/>
      <x:c r="H18"/>
      <x:c r="I18"/>
      <x:c r="J18" t="str">
        <x:f>IF(COUNTA(G18:H18)=0,"",G18-H18/3)</x:f>
      </x:c>
      <x:c r="K18"/>
      <x:c r="L18"/>
      <x:c r="M18"/>
      <x:c r="N18" t="str">
        <x:f>IF(COUNTA(K18:L18)=0,"",K18-L18/3)</x:f>
      </x:c>
      <x:c r="O18"/>
      <x:c r="P18"/>
      <x:c r="Q18"/>
      <x:c r="R18" t="str">
        <x:f>IF(COUNTA(O18:P18)=0,"",O18-P18/3)</x:f>
      </x:c>
      <x:c r="S18"/>
      <x:c r="T18"/>
      <x:c r="U18"/>
      <x:c r="V18" t="str">
        <x:f>IF(COUNTA(S18:T18)=0,"",S18-T18/3)</x:f>
      </x:c>
      <x:c r="W18"/>
      <x:c r="X18"/>
      <x:c r="Y18"/>
      <x:c r="Z18" t="str">
        <x:f>IF(COUNTA(W18:X18)=0,"",W18-X18/3)</x:f>
      </x:c>
      <x:c r="AA18"/>
      <x:c r="AB18"/>
      <x:c r="AC18"/>
      <x:c r="AD18" t="str">
        <x:f>IF(COUNTA(AA18:AB18)=0,"",AA18-AB18/3)</x:f>
      </x:c>
      <x:c r="AE18" t="str">
        <x:f>IF(COUNTA(G18:I18,K18:M18,O18:Q18,S18:U18,W18:Y18,AA18:AC18)=0,"",SUM(J18,N18,R18,V18,Z18,AD18))</x:f>
      </x:c>
      <x:c r="AF18"/>
      <x:c r="AG18" t="str"/>
      <x:c r="AH18" t="str"/>
      <x:c r="AI18" t="str"/>
      <x:c r="AJ18" t="str">
        <x:v>Hayır</x:v>
      </x:c>
      <x:c r="AK18" t="str">
        <x:v>Hayır</x:v>
      </x:c>
      <x:c r="AL18"/>
      <x:c r="AM18" t="str">
        <x:v>Planlandı</x:v>
      </x:c>
      <x:c r="AN18" t="str"/>
    </x:row>
    <x:row r="19">
      <x:c r="A19" t="n">
        <x:v>18</x:v>
      </x:c>
      <x:c r="B19" s="12" t="n">
        <x:v>46508</x:v>
      </x:c>
      <x:c r="C19" t="str">
        <x:v>Cumartesi</x:v>
      </x:c>
      <x:c r="D19" t="str">
        <x:v>Tam LGS</x:v>
      </x:c>
      <x:c r="E19" t="n">
        <x:v>75</x:v>
      </x:c>
      <x:c r="F19" t="n">
        <x:v>80</x:v>
      </x:c>
      <x:c r="G19"/>
      <x:c r="H19"/>
      <x:c r="I19"/>
      <x:c r="J19" t="str">
        <x:f>IF(COUNTA(G19:H19)=0,"",G19-H19/3)</x:f>
      </x:c>
      <x:c r="K19"/>
      <x:c r="L19"/>
      <x:c r="M19"/>
      <x:c r="N19" t="str">
        <x:f>IF(COUNTA(K19:L19)=0,"",K19-L19/3)</x:f>
      </x:c>
      <x:c r="O19"/>
      <x:c r="P19"/>
      <x:c r="Q19"/>
      <x:c r="R19" t="str">
        <x:f>IF(COUNTA(O19:P19)=0,"",O19-P19/3)</x:f>
      </x:c>
      <x:c r="S19"/>
      <x:c r="T19"/>
      <x:c r="U19"/>
      <x:c r="V19" t="str">
        <x:f>IF(COUNTA(S19:T19)=0,"",S19-T19/3)</x:f>
      </x:c>
      <x:c r="W19"/>
      <x:c r="X19"/>
      <x:c r="Y19"/>
      <x:c r="Z19" t="str">
        <x:f>IF(COUNTA(W19:X19)=0,"",W19-X19/3)</x:f>
      </x:c>
      <x:c r="AA19"/>
      <x:c r="AB19"/>
      <x:c r="AC19"/>
      <x:c r="AD19" t="str">
        <x:f>IF(COUNTA(AA19:AB19)=0,"",AA19-AB19/3)</x:f>
      </x:c>
      <x:c r="AE19" t="str">
        <x:f>IF(COUNTA(G19:I19,K19:M19,O19:Q19,S19:U19,W19:Y19,AA19:AC19)=0,"",SUM(J19,N19,R19,V19,Z19,AD19))</x:f>
      </x:c>
      <x:c r="AF19"/>
      <x:c r="AG19" t="str"/>
      <x:c r="AH19" t="str"/>
      <x:c r="AI19" t="str"/>
      <x:c r="AJ19" t="str">
        <x:v>Hayır</x:v>
      </x:c>
      <x:c r="AK19" t="str">
        <x:v>Hayır</x:v>
      </x:c>
      <x:c r="AL19"/>
      <x:c r="AM19" t="str">
        <x:v>Planlandı</x:v>
      </x:c>
      <x:c r="AN19" t="str"/>
    </x:row>
    <x:row r="20">
      <x:c r="A20" t="n">
        <x:v>19</x:v>
      </x:c>
      <x:c r="B20" s="12" t="n">
        <x:v>46509</x:v>
      </x:c>
      <x:c r="C20" t="str">
        <x:v>Pazar</x:v>
      </x:c>
      <x:c r="D20" t="str">
        <x:v>Tam LGS</x:v>
      </x:c>
      <x:c r="E20" t="n">
        <x:v>75</x:v>
      </x:c>
      <x:c r="F20" t="n">
        <x:v>80</x:v>
      </x:c>
      <x:c r="G20"/>
      <x:c r="H20"/>
      <x:c r="I20"/>
      <x:c r="J20" t="str">
        <x:f>IF(COUNTA(G20:H20)=0,"",G20-H20/3)</x:f>
      </x:c>
      <x:c r="K20"/>
      <x:c r="L20"/>
      <x:c r="M20"/>
      <x:c r="N20" t="str">
        <x:f>IF(COUNTA(K20:L20)=0,"",K20-L20/3)</x:f>
      </x:c>
      <x:c r="O20"/>
      <x:c r="P20"/>
      <x:c r="Q20"/>
      <x:c r="R20" t="str">
        <x:f>IF(COUNTA(O20:P20)=0,"",O20-P20/3)</x:f>
      </x:c>
      <x:c r="S20"/>
      <x:c r="T20"/>
      <x:c r="U20"/>
      <x:c r="V20" t="str">
        <x:f>IF(COUNTA(S20:T20)=0,"",S20-T20/3)</x:f>
      </x:c>
      <x:c r="W20"/>
      <x:c r="X20"/>
      <x:c r="Y20"/>
      <x:c r="Z20" t="str">
        <x:f>IF(COUNTA(W20:X20)=0,"",W20-X20/3)</x:f>
      </x:c>
      <x:c r="AA20"/>
      <x:c r="AB20"/>
      <x:c r="AC20"/>
      <x:c r="AD20" t="str">
        <x:f>IF(COUNTA(AA20:AB20)=0,"",AA20-AB20/3)</x:f>
      </x:c>
      <x:c r="AE20" t="str">
        <x:f>IF(COUNTA(G20:I20,K20:M20,O20:Q20,S20:U20,W20:Y20,AA20:AC20)=0,"",SUM(J20,N20,R20,V20,Z20,AD20))</x:f>
      </x:c>
      <x:c r="AF20"/>
      <x:c r="AG20" t="str"/>
      <x:c r="AH20" t="str"/>
      <x:c r="AI20" t="str"/>
      <x:c r="AJ20" t="str">
        <x:v>Hayır</x:v>
      </x:c>
      <x:c r="AK20" t="str">
        <x:v>Hayır</x:v>
      </x:c>
      <x:c r="AL20"/>
      <x:c r="AM20" t="str">
        <x:v>Planlandı</x:v>
      </x:c>
      <x:c r="AN20" t="str"/>
    </x:row>
    <x:row r="21">
      <x:c r="A21" t="n">
        <x:v>20</x:v>
      </x:c>
      <x:c r="B21" s="12" t="n">
        <x:v>46510</x:v>
      </x:c>
      <x:c r="C21" t="str">
        <x:v>Pazartesi</x:v>
      </x:c>
      <x:c r="D21" t="str">
        <x:v>Tam LGS</x:v>
      </x:c>
      <x:c r="E21" t="n">
        <x:v>75</x:v>
      </x:c>
      <x:c r="F21" t="n">
        <x:v>80</x:v>
      </x:c>
      <x:c r="G21"/>
      <x:c r="H21"/>
      <x:c r="I21"/>
      <x:c r="J21" t="str">
        <x:f>IF(COUNTA(G21:H21)=0,"",G21-H21/3)</x:f>
      </x:c>
      <x:c r="K21"/>
      <x:c r="L21"/>
      <x:c r="M21"/>
      <x:c r="N21" t="str">
        <x:f>IF(COUNTA(K21:L21)=0,"",K21-L21/3)</x:f>
      </x:c>
      <x:c r="O21"/>
      <x:c r="P21"/>
      <x:c r="Q21"/>
      <x:c r="R21" t="str">
        <x:f>IF(COUNTA(O21:P21)=0,"",O21-P21/3)</x:f>
      </x:c>
      <x:c r="S21"/>
      <x:c r="T21"/>
      <x:c r="U21"/>
      <x:c r="V21" t="str">
        <x:f>IF(COUNTA(S21:T21)=0,"",S21-T21/3)</x:f>
      </x:c>
      <x:c r="W21"/>
      <x:c r="X21"/>
      <x:c r="Y21"/>
      <x:c r="Z21" t="str">
        <x:f>IF(COUNTA(W21:X21)=0,"",W21-X21/3)</x:f>
      </x:c>
      <x:c r="AA21"/>
      <x:c r="AB21"/>
      <x:c r="AC21"/>
      <x:c r="AD21" t="str">
        <x:f>IF(COUNTA(AA21:AB21)=0,"",AA21-AB21/3)</x:f>
      </x:c>
      <x:c r="AE21" t="str">
        <x:f>IF(COUNTA(G21:I21,K21:M21,O21:Q21,S21:U21,W21:Y21,AA21:AC21)=0,"",SUM(J21,N21,R21,V21,Z21,AD21))</x:f>
      </x:c>
      <x:c r="AF21"/>
      <x:c r="AG21" t="str"/>
      <x:c r="AH21" t="str"/>
      <x:c r="AI21" t="str"/>
      <x:c r="AJ21" t="str">
        <x:v>Hayır</x:v>
      </x:c>
      <x:c r="AK21" t="str">
        <x:v>Hayır</x:v>
      </x:c>
      <x:c r="AL21"/>
      <x:c r="AM21" t="str">
        <x:v>Planlandı</x:v>
      </x:c>
      <x:c r="AN21" t="str"/>
    </x:row>
    <x:row r="22">
      <x:c r="A22" t="n">
        <x:v>21</x:v>
      </x:c>
      <x:c r="B22" s="12" t="n">
        <x:v>46511</x:v>
      </x:c>
      <x:c r="C22" t="str">
        <x:v>Salı</x:v>
      </x:c>
      <x:c r="D22" t="str">
        <x:v>Tam LGS</x:v>
      </x:c>
      <x:c r="E22" t="n">
        <x:v>75</x:v>
      </x:c>
      <x:c r="F22" t="n">
        <x:v>80</x:v>
      </x:c>
      <x:c r="G22"/>
      <x:c r="H22"/>
      <x:c r="I22"/>
      <x:c r="J22" t="str">
        <x:f>IF(COUNTA(G22:H22)=0,"",G22-H22/3)</x:f>
      </x:c>
      <x:c r="K22"/>
      <x:c r="L22"/>
      <x:c r="M22"/>
      <x:c r="N22" t="str">
        <x:f>IF(COUNTA(K22:L22)=0,"",K22-L22/3)</x:f>
      </x:c>
      <x:c r="O22"/>
      <x:c r="P22"/>
      <x:c r="Q22"/>
      <x:c r="R22" t="str">
        <x:f>IF(COUNTA(O22:P22)=0,"",O22-P22/3)</x:f>
      </x:c>
      <x:c r="S22"/>
      <x:c r="T22"/>
      <x:c r="U22"/>
      <x:c r="V22" t="str">
        <x:f>IF(COUNTA(S22:T22)=0,"",S22-T22/3)</x:f>
      </x:c>
      <x:c r="W22"/>
      <x:c r="X22"/>
      <x:c r="Y22"/>
      <x:c r="Z22" t="str">
        <x:f>IF(COUNTA(W22:X22)=0,"",W22-X22/3)</x:f>
      </x:c>
      <x:c r="AA22"/>
      <x:c r="AB22"/>
      <x:c r="AC22"/>
      <x:c r="AD22" t="str">
        <x:f>IF(COUNTA(AA22:AB22)=0,"",AA22-AB22/3)</x:f>
      </x:c>
      <x:c r="AE22" t="str">
        <x:f>IF(COUNTA(G22:I22,K22:M22,O22:Q22,S22:U22,W22:Y22,AA22:AC22)=0,"",SUM(J22,N22,R22,V22,Z22,AD22))</x:f>
      </x:c>
      <x:c r="AF22"/>
      <x:c r="AG22" t="str"/>
      <x:c r="AH22" t="str"/>
      <x:c r="AI22" t="str"/>
      <x:c r="AJ22" t="str">
        <x:v>Hayır</x:v>
      </x:c>
      <x:c r="AK22" t="str">
        <x:v>Hayır</x:v>
      </x:c>
      <x:c r="AL22"/>
      <x:c r="AM22" t="str">
        <x:v>Planlandı</x:v>
      </x:c>
      <x:c r="AN22" t="str"/>
    </x:row>
    <x:row r="23">
      <x:c r="A23" t="n">
        <x:v>22</x:v>
      </x:c>
      <x:c r="B23" s="12" t="n">
        <x:v>46512</x:v>
      </x:c>
      <x:c r="C23" t="str">
        <x:v>Çarşamba</x:v>
      </x:c>
      <x:c r="D23" t="str">
        <x:v>Tam LGS</x:v>
      </x:c>
      <x:c r="E23" t="n">
        <x:v>75</x:v>
      </x:c>
      <x:c r="F23" t="n">
        <x:v>80</x:v>
      </x:c>
      <x:c r="G23"/>
      <x:c r="H23"/>
      <x:c r="I23"/>
      <x:c r="J23" t="str">
        <x:f>IF(COUNTA(G23:H23)=0,"",G23-H23/3)</x:f>
      </x:c>
      <x:c r="K23"/>
      <x:c r="L23"/>
      <x:c r="M23"/>
      <x:c r="N23" t="str">
        <x:f>IF(COUNTA(K23:L23)=0,"",K23-L23/3)</x:f>
      </x:c>
      <x:c r="O23"/>
      <x:c r="P23"/>
      <x:c r="Q23"/>
      <x:c r="R23" t="str">
        <x:f>IF(COUNTA(O23:P23)=0,"",O23-P23/3)</x:f>
      </x:c>
      <x:c r="S23"/>
      <x:c r="T23"/>
      <x:c r="U23"/>
      <x:c r="V23" t="str">
        <x:f>IF(COUNTA(S23:T23)=0,"",S23-T23/3)</x:f>
      </x:c>
      <x:c r="W23"/>
      <x:c r="X23"/>
      <x:c r="Y23"/>
      <x:c r="Z23" t="str">
        <x:f>IF(COUNTA(W23:X23)=0,"",W23-X23/3)</x:f>
      </x:c>
      <x:c r="AA23"/>
      <x:c r="AB23"/>
      <x:c r="AC23"/>
      <x:c r="AD23" t="str">
        <x:f>IF(COUNTA(AA23:AB23)=0,"",AA23-AB23/3)</x:f>
      </x:c>
      <x:c r="AE23" t="str">
        <x:f>IF(COUNTA(G23:I23,K23:M23,O23:Q23,S23:U23,W23:Y23,AA23:AC23)=0,"",SUM(J23,N23,R23,V23,Z23,AD23))</x:f>
      </x:c>
      <x:c r="AF23"/>
      <x:c r="AG23" t="str"/>
      <x:c r="AH23" t="str"/>
      <x:c r="AI23" t="str"/>
      <x:c r="AJ23" t="str">
        <x:v>Hayır</x:v>
      </x:c>
      <x:c r="AK23" t="str">
        <x:v>Hayır</x:v>
      </x:c>
      <x:c r="AL23"/>
      <x:c r="AM23" t="str">
        <x:v>Planlandı</x:v>
      </x:c>
      <x:c r="AN23" t="str"/>
    </x:row>
    <x:row r="24">
      <x:c r="A24" t="n">
        <x:v>23</x:v>
      </x:c>
      <x:c r="B24" s="12" t="n">
        <x:v>46513</x:v>
      </x:c>
      <x:c r="C24" t="str">
        <x:v>Perşembe</x:v>
      </x:c>
      <x:c r="D24" t="str">
        <x:v>Tam LGS</x:v>
      </x:c>
      <x:c r="E24" t="n">
        <x:v>75</x:v>
      </x:c>
      <x:c r="F24" t="n">
        <x:v>80</x:v>
      </x:c>
      <x:c r="G24"/>
      <x:c r="H24"/>
      <x:c r="I24"/>
      <x:c r="J24" t="str">
        <x:f>IF(COUNTA(G24:H24)=0,"",G24-H24/3)</x:f>
      </x:c>
      <x:c r="K24"/>
      <x:c r="L24"/>
      <x:c r="M24"/>
      <x:c r="N24" t="str">
        <x:f>IF(COUNTA(K24:L24)=0,"",K24-L24/3)</x:f>
      </x:c>
      <x:c r="O24"/>
      <x:c r="P24"/>
      <x:c r="Q24"/>
      <x:c r="R24" t="str">
        <x:f>IF(COUNTA(O24:P24)=0,"",O24-P24/3)</x:f>
      </x:c>
      <x:c r="S24"/>
      <x:c r="T24"/>
      <x:c r="U24"/>
      <x:c r="V24" t="str">
        <x:f>IF(COUNTA(S24:T24)=0,"",S24-T24/3)</x:f>
      </x:c>
      <x:c r="W24"/>
      <x:c r="X24"/>
      <x:c r="Y24"/>
      <x:c r="Z24" t="str">
        <x:f>IF(COUNTA(W24:X24)=0,"",W24-X24/3)</x:f>
      </x:c>
      <x:c r="AA24"/>
      <x:c r="AB24"/>
      <x:c r="AC24"/>
      <x:c r="AD24" t="str">
        <x:f>IF(COUNTA(AA24:AB24)=0,"",AA24-AB24/3)</x:f>
      </x:c>
      <x:c r="AE24" t="str">
        <x:f>IF(COUNTA(G24:I24,K24:M24,O24:Q24,S24:U24,W24:Y24,AA24:AC24)=0,"",SUM(J24,N24,R24,V24,Z24,AD24))</x:f>
      </x:c>
      <x:c r="AF24"/>
      <x:c r="AG24" t="str"/>
      <x:c r="AH24" t="str"/>
      <x:c r="AI24" t="str"/>
      <x:c r="AJ24" t="str">
        <x:v>Hayır</x:v>
      </x:c>
      <x:c r="AK24" t="str">
        <x:v>Hayır</x:v>
      </x:c>
      <x:c r="AL24"/>
      <x:c r="AM24" t="str">
        <x:v>Planlandı</x:v>
      </x:c>
      <x:c r="AN24" t="str"/>
    </x:row>
    <x:row r="25">
      <x:c r="A25" t="n">
        <x:v>24</x:v>
      </x:c>
      <x:c r="B25" s="12" t="n">
        <x:v>46514</x:v>
      </x:c>
      <x:c r="C25" t="str">
        <x:v>Cuma</x:v>
      </x:c>
      <x:c r="D25" t="str">
        <x:v>Tam LGS</x:v>
      </x:c>
      <x:c r="E25" t="n">
        <x:v>75</x:v>
      </x:c>
      <x:c r="F25" t="n">
        <x:v>80</x:v>
      </x:c>
      <x:c r="G25"/>
      <x:c r="H25"/>
      <x:c r="I25"/>
      <x:c r="J25" t="str">
        <x:f>IF(COUNTA(G25:H25)=0,"",G25-H25/3)</x:f>
      </x:c>
      <x:c r="K25"/>
      <x:c r="L25"/>
      <x:c r="M25"/>
      <x:c r="N25" t="str">
        <x:f>IF(COUNTA(K25:L25)=0,"",K25-L25/3)</x:f>
      </x:c>
      <x:c r="O25"/>
      <x:c r="P25"/>
      <x:c r="Q25"/>
      <x:c r="R25" t="str">
        <x:f>IF(COUNTA(O25:P25)=0,"",O25-P25/3)</x:f>
      </x:c>
      <x:c r="S25"/>
      <x:c r="T25"/>
      <x:c r="U25"/>
      <x:c r="V25" t="str">
        <x:f>IF(COUNTA(S25:T25)=0,"",S25-T25/3)</x:f>
      </x:c>
      <x:c r="W25"/>
      <x:c r="X25"/>
      <x:c r="Y25"/>
      <x:c r="Z25" t="str">
        <x:f>IF(COUNTA(W25:X25)=0,"",W25-X25/3)</x:f>
      </x:c>
      <x:c r="AA25"/>
      <x:c r="AB25"/>
      <x:c r="AC25"/>
      <x:c r="AD25" t="str">
        <x:f>IF(COUNTA(AA25:AB25)=0,"",AA25-AB25/3)</x:f>
      </x:c>
      <x:c r="AE25" t="str">
        <x:f>IF(COUNTA(G25:I25,K25:M25,O25:Q25,S25:U25,W25:Y25,AA25:AC25)=0,"",SUM(J25,N25,R25,V25,Z25,AD25))</x:f>
      </x:c>
      <x:c r="AF25"/>
      <x:c r="AG25" t="str"/>
      <x:c r="AH25" t="str"/>
      <x:c r="AI25" t="str"/>
      <x:c r="AJ25" t="str">
        <x:v>Hayır</x:v>
      </x:c>
      <x:c r="AK25" t="str">
        <x:v>Hayır</x:v>
      </x:c>
      <x:c r="AL25"/>
      <x:c r="AM25" t="str">
        <x:v>Planlandı</x:v>
      </x:c>
      <x:c r="AN25" t="str"/>
    </x:row>
    <x:row r="26">
      <x:c r="A26" t="n">
        <x:v>25</x:v>
      </x:c>
      <x:c r="B26" s="12" t="n">
        <x:v>46515</x:v>
      </x:c>
      <x:c r="C26" t="str">
        <x:v>Cumartesi</x:v>
      </x:c>
      <x:c r="D26" t="str">
        <x:v>Tam LGS</x:v>
      </x:c>
      <x:c r="E26" t="n">
        <x:v>75</x:v>
      </x:c>
      <x:c r="F26" t="n">
        <x:v>80</x:v>
      </x:c>
      <x:c r="G26"/>
      <x:c r="H26"/>
      <x:c r="I26"/>
      <x:c r="J26" t="str">
        <x:f>IF(COUNTA(G26:H26)=0,"",G26-H26/3)</x:f>
      </x:c>
      <x:c r="K26"/>
      <x:c r="L26"/>
      <x:c r="M26"/>
      <x:c r="N26" t="str">
        <x:f>IF(COUNTA(K26:L26)=0,"",K26-L26/3)</x:f>
      </x:c>
      <x:c r="O26"/>
      <x:c r="P26"/>
      <x:c r="Q26"/>
      <x:c r="R26" t="str">
        <x:f>IF(COUNTA(O26:P26)=0,"",O26-P26/3)</x:f>
      </x:c>
      <x:c r="S26"/>
      <x:c r="T26"/>
      <x:c r="U26"/>
      <x:c r="V26" t="str">
        <x:f>IF(COUNTA(S26:T26)=0,"",S26-T26/3)</x:f>
      </x:c>
      <x:c r="W26"/>
      <x:c r="X26"/>
      <x:c r="Y26"/>
      <x:c r="Z26" t="str">
        <x:f>IF(COUNTA(W26:X26)=0,"",W26-X26/3)</x:f>
      </x:c>
      <x:c r="AA26"/>
      <x:c r="AB26"/>
      <x:c r="AC26"/>
      <x:c r="AD26" t="str">
        <x:f>IF(COUNTA(AA26:AB26)=0,"",AA26-AB26/3)</x:f>
      </x:c>
      <x:c r="AE26" t="str">
        <x:f>IF(COUNTA(G26:I26,K26:M26,O26:Q26,S26:U26,W26:Y26,AA26:AC26)=0,"",SUM(J26,N26,R26,V26,Z26,AD26))</x:f>
      </x:c>
      <x:c r="AF26"/>
      <x:c r="AG26" t="str"/>
      <x:c r="AH26" t="str"/>
      <x:c r="AI26" t="str"/>
      <x:c r="AJ26" t="str">
        <x:v>Hayır</x:v>
      </x:c>
      <x:c r="AK26" t="str">
        <x:v>Hayır</x:v>
      </x:c>
      <x:c r="AL26"/>
      <x:c r="AM26" t="str">
        <x:v>Planlandı</x:v>
      </x:c>
      <x:c r="AN26" t="str"/>
    </x:row>
    <x:row r="27">
      <x:c r="A27" t="n">
        <x:v>26</x:v>
      </x:c>
      <x:c r="B27" s="12" t="n">
        <x:v>46516</x:v>
      </x:c>
      <x:c r="C27" t="str">
        <x:v>Pazar</x:v>
      </x:c>
      <x:c r="D27" t="str">
        <x:v>Tam LGS</x:v>
      </x:c>
      <x:c r="E27" t="n">
        <x:v>75</x:v>
      </x:c>
      <x:c r="F27" t="n">
        <x:v>80</x:v>
      </x:c>
      <x:c r="G27"/>
      <x:c r="H27"/>
      <x:c r="I27"/>
      <x:c r="J27" t="str">
        <x:f>IF(COUNTA(G27:H27)=0,"",G27-H27/3)</x:f>
      </x:c>
      <x:c r="K27"/>
      <x:c r="L27"/>
      <x:c r="M27"/>
      <x:c r="N27" t="str">
        <x:f>IF(COUNTA(K27:L27)=0,"",K27-L27/3)</x:f>
      </x:c>
      <x:c r="O27"/>
      <x:c r="P27"/>
      <x:c r="Q27"/>
      <x:c r="R27" t="str">
        <x:f>IF(COUNTA(O27:P27)=0,"",O27-P27/3)</x:f>
      </x:c>
      <x:c r="S27"/>
      <x:c r="T27"/>
      <x:c r="U27"/>
      <x:c r="V27" t="str">
        <x:f>IF(COUNTA(S27:T27)=0,"",S27-T27/3)</x:f>
      </x:c>
      <x:c r="W27"/>
      <x:c r="X27"/>
      <x:c r="Y27"/>
      <x:c r="Z27" t="str">
        <x:f>IF(COUNTA(W27:X27)=0,"",W27-X27/3)</x:f>
      </x:c>
      <x:c r="AA27"/>
      <x:c r="AB27"/>
      <x:c r="AC27"/>
      <x:c r="AD27" t="str">
        <x:f>IF(COUNTA(AA27:AB27)=0,"",AA27-AB27/3)</x:f>
      </x:c>
      <x:c r="AE27" t="str">
        <x:f>IF(COUNTA(G27:I27,K27:M27,O27:Q27,S27:U27,W27:Y27,AA27:AC27)=0,"",SUM(J27,N27,R27,V27,Z27,AD27))</x:f>
      </x:c>
      <x:c r="AF27"/>
      <x:c r="AG27" t="str"/>
      <x:c r="AH27" t="str"/>
      <x:c r="AI27" t="str"/>
      <x:c r="AJ27" t="str">
        <x:v>Hayır</x:v>
      </x:c>
      <x:c r="AK27" t="str">
        <x:v>Hayır</x:v>
      </x:c>
      <x:c r="AL27"/>
      <x:c r="AM27" t="str">
        <x:v>Planlandı</x:v>
      </x:c>
      <x:c r="AN27" t="str"/>
    </x:row>
    <x:row r="28">
      <x:c r="A28" t="n">
        <x:v>27</x:v>
      </x:c>
      <x:c r="B28" s="12" t="n">
        <x:v>46517</x:v>
      </x:c>
      <x:c r="C28" t="str">
        <x:v>Pazartesi</x:v>
      </x:c>
      <x:c r="D28" t="str">
        <x:v>Tam LGS</x:v>
      </x:c>
      <x:c r="E28" t="n">
        <x:v>75</x:v>
      </x:c>
      <x:c r="F28" t="n">
        <x:v>80</x:v>
      </x:c>
      <x:c r="G28"/>
      <x:c r="H28"/>
      <x:c r="I28"/>
      <x:c r="J28" t="str">
        <x:f>IF(COUNTA(G28:H28)=0,"",G28-H28/3)</x:f>
      </x:c>
      <x:c r="K28"/>
      <x:c r="L28"/>
      <x:c r="M28"/>
      <x:c r="N28" t="str">
        <x:f>IF(COUNTA(K28:L28)=0,"",K28-L28/3)</x:f>
      </x:c>
      <x:c r="O28"/>
      <x:c r="P28"/>
      <x:c r="Q28"/>
      <x:c r="R28" t="str">
        <x:f>IF(COUNTA(O28:P28)=0,"",O28-P28/3)</x:f>
      </x:c>
      <x:c r="S28"/>
      <x:c r="T28"/>
      <x:c r="U28"/>
      <x:c r="V28" t="str">
        <x:f>IF(COUNTA(S28:T28)=0,"",S28-T28/3)</x:f>
      </x:c>
      <x:c r="W28"/>
      <x:c r="X28"/>
      <x:c r="Y28"/>
      <x:c r="Z28" t="str">
        <x:f>IF(COUNTA(W28:X28)=0,"",W28-X28/3)</x:f>
      </x:c>
      <x:c r="AA28"/>
      <x:c r="AB28"/>
      <x:c r="AC28"/>
      <x:c r="AD28" t="str">
        <x:f>IF(COUNTA(AA28:AB28)=0,"",AA28-AB28/3)</x:f>
      </x:c>
      <x:c r="AE28" t="str">
        <x:f>IF(COUNTA(G28:I28,K28:M28,O28:Q28,S28:U28,W28:Y28,AA28:AC28)=0,"",SUM(J28,N28,R28,V28,Z28,AD28))</x:f>
      </x:c>
      <x:c r="AF28"/>
      <x:c r="AG28" t="str"/>
      <x:c r="AH28" t="str"/>
      <x:c r="AI28" t="str"/>
      <x:c r="AJ28" t="str">
        <x:v>Hayır</x:v>
      </x:c>
      <x:c r="AK28" t="str">
        <x:v>Hayır</x:v>
      </x:c>
      <x:c r="AL28"/>
      <x:c r="AM28" t="str">
        <x:v>Planlandı</x:v>
      </x:c>
      <x:c r="AN28" t="str"/>
    </x:row>
    <x:row r="29">
      <x:c r="A29" t="n">
        <x:v>28</x:v>
      </x:c>
      <x:c r="B29" s="12" t="n">
        <x:v>46518</x:v>
      </x:c>
      <x:c r="C29" t="str">
        <x:v>Salı</x:v>
      </x:c>
      <x:c r="D29" t="str">
        <x:v>Tam LGS</x:v>
      </x:c>
      <x:c r="E29" t="n">
        <x:v>75</x:v>
      </x:c>
      <x:c r="F29" t="n">
        <x:v>80</x:v>
      </x:c>
      <x:c r="G29"/>
      <x:c r="H29"/>
      <x:c r="I29"/>
      <x:c r="J29" t="str">
        <x:f>IF(COUNTA(G29:H29)=0,"",G29-H29/3)</x:f>
      </x:c>
      <x:c r="K29"/>
      <x:c r="L29"/>
      <x:c r="M29"/>
      <x:c r="N29" t="str">
        <x:f>IF(COUNTA(K29:L29)=0,"",K29-L29/3)</x:f>
      </x:c>
      <x:c r="O29"/>
      <x:c r="P29"/>
      <x:c r="Q29"/>
      <x:c r="R29" t="str">
        <x:f>IF(COUNTA(O29:P29)=0,"",O29-P29/3)</x:f>
      </x:c>
      <x:c r="S29"/>
      <x:c r="T29"/>
      <x:c r="U29"/>
      <x:c r="V29" t="str">
        <x:f>IF(COUNTA(S29:T29)=0,"",S29-T29/3)</x:f>
      </x:c>
      <x:c r="W29"/>
      <x:c r="X29"/>
      <x:c r="Y29"/>
      <x:c r="Z29" t="str">
        <x:f>IF(COUNTA(W29:X29)=0,"",W29-X29/3)</x:f>
      </x:c>
      <x:c r="AA29"/>
      <x:c r="AB29"/>
      <x:c r="AC29"/>
      <x:c r="AD29" t="str">
        <x:f>IF(COUNTA(AA29:AB29)=0,"",AA29-AB29/3)</x:f>
      </x:c>
      <x:c r="AE29" t="str">
        <x:f>IF(COUNTA(G29:I29,K29:M29,O29:Q29,S29:U29,W29:Y29,AA29:AC29)=0,"",SUM(J29,N29,R29,V29,Z29,AD29))</x:f>
      </x:c>
      <x:c r="AF29"/>
      <x:c r="AG29" t="str"/>
      <x:c r="AH29" t="str"/>
      <x:c r="AI29" t="str"/>
      <x:c r="AJ29" t="str">
        <x:v>Hayır</x:v>
      </x:c>
      <x:c r="AK29" t="str">
        <x:v>Hayır</x:v>
      </x:c>
      <x:c r="AL29"/>
      <x:c r="AM29" t="str">
        <x:v>Planlandı</x:v>
      </x:c>
      <x:c r="AN29" t="str"/>
    </x:row>
    <x:row r="30">
      <x:c r="A30" t="n">
        <x:v>29</x:v>
      </x:c>
      <x:c r="B30" s="12" t="n">
        <x:v>46519</x:v>
      </x:c>
      <x:c r="C30" t="str">
        <x:v>Çarşamba</x:v>
      </x:c>
      <x:c r="D30" t="str">
        <x:v>Tam LGS</x:v>
      </x:c>
      <x:c r="E30" t="n">
        <x:v>75</x:v>
      </x:c>
      <x:c r="F30" t="n">
        <x:v>80</x:v>
      </x:c>
      <x:c r="G30"/>
      <x:c r="H30"/>
      <x:c r="I30"/>
      <x:c r="J30" t="str">
        <x:f>IF(COUNTA(G30:H30)=0,"",G30-H30/3)</x:f>
      </x:c>
      <x:c r="K30"/>
      <x:c r="L30"/>
      <x:c r="M30"/>
      <x:c r="N30" t="str">
        <x:f>IF(COUNTA(K30:L30)=0,"",K30-L30/3)</x:f>
      </x:c>
      <x:c r="O30"/>
      <x:c r="P30"/>
      <x:c r="Q30"/>
      <x:c r="R30" t="str">
        <x:f>IF(COUNTA(O30:P30)=0,"",O30-P30/3)</x:f>
      </x:c>
      <x:c r="S30"/>
      <x:c r="T30"/>
      <x:c r="U30"/>
      <x:c r="V30" t="str">
        <x:f>IF(COUNTA(S30:T30)=0,"",S30-T30/3)</x:f>
      </x:c>
      <x:c r="W30"/>
      <x:c r="X30"/>
      <x:c r="Y30"/>
      <x:c r="Z30" t="str">
        <x:f>IF(COUNTA(W30:X30)=0,"",W30-X30/3)</x:f>
      </x:c>
      <x:c r="AA30"/>
      <x:c r="AB30"/>
      <x:c r="AC30"/>
      <x:c r="AD30" t="str">
        <x:f>IF(COUNTA(AA30:AB30)=0,"",AA30-AB30/3)</x:f>
      </x:c>
      <x:c r="AE30" t="str">
        <x:f>IF(COUNTA(G30:I30,K30:M30,O30:Q30,S30:U30,W30:Y30,AA30:AC30)=0,"",SUM(J30,N30,R30,V30,Z30,AD30))</x:f>
      </x:c>
      <x:c r="AF30"/>
      <x:c r="AG30" t="str"/>
      <x:c r="AH30" t="str"/>
      <x:c r="AI30" t="str"/>
      <x:c r="AJ30" t="str">
        <x:v>Hayır</x:v>
      </x:c>
      <x:c r="AK30" t="str">
        <x:v>Hayır</x:v>
      </x:c>
      <x:c r="AL30"/>
      <x:c r="AM30" t="str">
        <x:v>Planlandı</x:v>
      </x:c>
      <x:c r="AN30" t="str"/>
    </x:row>
    <x:row r="31">
      <x:c r="A31" t="n">
        <x:v>30</x:v>
      </x:c>
      <x:c r="B31" s="12" t="n">
        <x:v>46520</x:v>
      </x:c>
      <x:c r="C31" t="str">
        <x:v>Perşembe</x:v>
      </x:c>
      <x:c r="D31" t="str">
        <x:v>Tam LGS</x:v>
      </x:c>
      <x:c r="E31" t="n">
        <x:v>75</x:v>
      </x:c>
      <x:c r="F31" t="n">
        <x:v>80</x:v>
      </x:c>
      <x:c r="G31"/>
      <x:c r="H31"/>
      <x:c r="I31"/>
      <x:c r="J31" t="str">
        <x:f>IF(COUNTA(G31:H31)=0,"",G31-H31/3)</x:f>
      </x:c>
      <x:c r="K31"/>
      <x:c r="L31"/>
      <x:c r="M31"/>
      <x:c r="N31" t="str">
        <x:f>IF(COUNTA(K31:L31)=0,"",K31-L31/3)</x:f>
      </x:c>
      <x:c r="O31"/>
      <x:c r="P31"/>
      <x:c r="Q31"/>
      <x:c r="R31" t="str">
        <x:f>IF(COUNTA(O31:P31)=0,"",O31-P31/3)</x:f>
      </x:c>
      <x:c r="S31"/>
      <x:c r="T31"/>
      <x:c r="U31"/>
      <x:c r="V31" t="str">
        <x:f>IF(COUNTA(S31:T31)=0,"",S31-T31/3)</x:f>
      </x:c>
      <x:c r="W31"/>
      <x:c r="X31"/>
      <x:c r="Y31"/>
      <x:c r="Z31" t="str">
        <x:f>IF(COUNTA(W31:X31)=0,"",W31-X31/3)</x:f>
      </x:c>
      <x:c r="AA31"/>
      <x:c r="AB31"/>
      <x:c r="AC31"/>
      <x:c r="AD31" t="str">
        <x:f>IF(COUNTA(AA31:AB31)=0,"",AA31-AB31/3)</x:f>
      </x:c>
      <x:c r="AE31" t="str">
        <x:f>IF(COUNTA(G31:I31,K31:M31,O31:Q31,S31:U31,W31:Y31,AA31:AC31)=0,"",SUM(J31,N31,R31,V31,Z31,AD31))</x:f>
      </x:c>
      <x:c r="AF31"/>
      <x:c r="AG31" t="str"/>
      <x:c r="AH31" t="str"/>
      <x:c r="AI31" t="str"/>
      <x:c r="AJ31" t="str">
        <x:v>Hayır</x:v>
      </x:c>
      <x:c r="AK31" t="str">
        <x:v>Hayır</x:v>
      </x:c>
      <x:c r="AL31"/>
      <x:c r="AM31" t="str">
        <x:v>Planlandı</x:v>
      </x:c>
      <x:c r="AN31" t="str"/>
    </x:row>
    <x:row r="32">
      <x:c r="A32" t="n">
        <x:v>31</x:v>
      </x:c>
      <x:c r="B32" s="12" t="n">
        <x:v>46521</x:v>
      </x:c>
      <x:c r="C32" t="str">
        <x:v>Cuma</x:v>
      </x:c>
      <x:c r="D32" t="str">
        <x:v>Tam LGS</x:v>
      </x:c>
      <x:c r="E32" t="n">
        <x:v>75</x:v>
      </x:c>
      <x:c r="F32" t="n">
        <x:v>80</x:v>
      </x:c>
      <x:c r="G32"/>
      <x:c r="H32"/>
      <x:c r="I32"/>
      <x:c r="J32" t="str">
        <x:f>IF(COUNTA(G32:H32)=0,"",G32-H32/3)</x:f>
      </x:c>
      <x:c r="K32"/>
      <x:c r="L32"/>
      <x:c r="M32"/>
      <x:c r="N32" t="str">
        <x:f>IF(COUNTA(K32:L32)=0,"",K32-L32/3)</x:f>
      </x:c>
      <x:c r="O32"/>
      <x:c r="P32"/>
      <x:c r="Q32"/>
      <x:c r="R32" t="str">
        <x:f>IF(COUNTA(O32:P32)=0,"",O32-P32/3)</x:f>
      </x:c>
      <x:c r="S32"/>
      <x:c r="T32"/>
      <x:c r="U32"/>
      <x:c r="V32" t="str">
        <x:f>IF(COUNTA(S32:T32)=0,"",S32-T32/3)</x:f>
      </x:c>
      <x:c r="W32"/>
      <x:c r="X32"/>
      <x:c r="Y32"/>
      <x:c r="Z32" t="str">
        <x:f>IF(COUNTA(W32:X32)=0,"",W32-X32/3)</x:f>
      </x:c>
      <x:c r="AA32"/>
      <x:c r="AB32"/>
      <x:c r="AC32"/>
      <x:c r="AD32" t="str">
        <x:f>IF(COUNTA(AA32:AB32)=0,"",AA32-AB32/3)</x:f>
      </x:c>
      <x:c r="AE32" t="str">
        <x:f>IF(COUNTA(G32:I32,K32:M32,O32:Q32,S32:U32,W32:Y32,AA32:AC32)=0,"",SUM(J32,N32,R32,V32,Z32,AD32))</x:f>
      </x:c>
      <x:c r="AF32"/>
      <x:c r="AG32" t="str"/>
      <x:c r="AH32" t="str"/>
      <x:c r="AI32" t="str"/>
      <x:c r="AJ32" t="str">
        <x:v>Hayır</x:v>
      </x:c>
      <x:c r="AK32" t="str">
        <x:v>Hayır</x:v>
      </x:c>
      <x:c r="AL32"/>
      <x:c r="AM32" t="str">
        <x:v>Planlandı</x:v>
      </x:c>
      <x:c r="AN32" t="str"/>
    </x:row>
    <x:row r="33">
      <x:c r="A33" t="n">
        <x:v>32</x:v>
      </x:c>
      <x:c r="B33" s="12" t="n">
        <x:v>46522</x:v>
      </x:c>
      <x:c r="C33" t="str">
        <x:v>Cumartesi</x:v>
      </x:c>
      <x:c r="D33" t="str">
        <x:v>Tam LGS</x:v>
      </x:c>
      <x:c r="E33" t="n">
        <x:v>75</x:v>
      </x:c>
      <x:c r="F33" t="n">
        <x:v>80</x:v>
      </x:c>
      <x:c r="G33"/>
      <x:c r="H33"/>
      <x:c r="I33"/>
      <x:c r="J33" t="str">
        <x:f>IF(COUNTA(G33:H33)=0,"",G33-H33/3)</x:f>
      </x:c>
      <x:c r="K33"/>
      <x:c r="L33"/>
      <x:c r="M33"/>
      <x:c r="N33" t="str">
        <x:f>IF(COUNTA(K33:L33)=0,"",K33-L33/3)</x:f>
      </x:c>
      <x:c r="O33"/>
      <x:c r="P33"/>
      <x:c r="Q33"/>
      <x:c r="R33" t="str">
        <x:f>IF(COUNTA(O33:P33)=0,"",O33-P33/3)</x:f>
      </x:c>
      <x:c r="S33"/>
      <x:c r="T33"/>
      <x:c r="U33"/>
      <x:c r="V33" t="str">
        <x:f>IF(COUNTA(S33:T33)=0,"",S33-T33/3)</x:f>
      </x:c>
      <x:c r="W33"/>
      <x:c r="X33"/>
      <x:c r="Y33"/>
      <x:c r="Z33" t="str">
        <x:f>IF(COUNTA(W33:X33)=0,"",W33-X33/3)</x:f>
      </x:c>
      <x:c r="AA33"/>
      <x:c r="AB33"/>
      <x:c r="AC33"/>
      <x:c r="AD33" t="str">
        <x:f>IF(COUNTA(AA33:AB33)=0,"",AA33-AB33/3)</x:f>
      </x:c>
      <x:c r="AE33" t="str">
        <x:f>IF(COUNTA(G33:I33,K33:M33,O33:Q33,S33:U33,W33:Y33,AA33:AC33)=0,"",SUM(J33,N33,R33,V33,Z33,AD33))</x:f>
      </x:c>
      <x:c r="AF33"/>
      <x:c r="AG33" t="str"/>
      <x:c r="AH33" t="str"/>
      <x:c r="AI33" t="str"/>
      <x:c r="AJ33" t="str">
        <x:v>Hayır</x:v>
      </x:c>
      <x:c r="AK33" t="str">
        <x:v>Hayır</x:v>
      </x:c>
      <x:c r="AL33"/>
      <x:c r="AM33" t="str">
        <x:v>Planlandı</x:v>
      </x:c>
      <x:c r="AN33" t="str"/>
    </x:row>
    <x:row r="34">
      <x:c r="A34" t="n">
        <x:v>33</x:v>
      </x:c>
      <x:c r="B34" s="12" t="n">
        <x:v>46523</x:v>
      </x:c>
      <x:c r="C34" t="str">
        <x:v>Pazar</x:v>
      </x:c>
      <x:c r="D34" t="str">
        <x:v>Tam LGS</x:v>
      </x:c>
      <x:c r="E34" t="n">
        <x:v>75</x:v>
      </x:c>
      <x:c r="F34" t="n">
        <x:v>80</x:v>
      </x:c>
      <x:c r="G34"/>
      <x:c r="H34"/>
      <x:c r="I34"/>
      <x:c r="J34" t="str">
        <x:f>IF(COUNTA(G34:H34)=0,"",G34-H34/3)</x:f>
      </x:c>
      <x:c r="K34"/>
      <x:c r="L34"/>
      <x:c r="M34"/>
      <x:c r="N34" t="str">
        <x:f>IF(COUNTA(K34:L34)=0,"",K34-L34/3)</x:f>
      </x:c>
      <x:c r="O34"/>
      <x:c r="P34"/>
      <x:c r="Q34"/>
      <x:c r="R34" t="str">
        <x:f>IF(COUNTA(O34:P34)=0,"",O34-P34/3)</x:f>
      </x:c>
      <x:c r="S34"/>
      <x:c r="T34"/>
      <x:c r="U34"/>
      <x:c r="V34" t="str">
        <x:f>IF(COUNTA(S34:T34)=0,"",S34-T34/3)</x:f>
      </x:c>
      <x:c r="W34"/>
      <x:c r="X34"/>
      <x:c r="Y34"/>
      <x:c r="Z34" t="str">
        <x:f>IF(COUNTA(W34:X34)=0,"",W34-X34/3)</x:f>
      </x:c>
      <x:c r="AA34"/>
      <x:c r="AB34"/>
      <x:c r="AC34"/>
      <x:c r="AD34" t="str">
        <x:f>IF(COUNTA(AA34:AB34)=0,"",AA34-AB34/3)</x:f>
      </x:c>
      <x:c r="AE34" t="str">
        <x:f>IF(COUNTA(G34:I34,K34:M34,O34:Q34,S34:U34,W34:Y34,AA34:AC34)=0,"",SUM(J34,N34,R34,V34,Z34,AD34))</x:f>
      </x:c>
      <x:c r="AF34"/>
      <x:c r="AG34" t="str"/>
      <x:c r="AH34" t="str"/>
      <x:c r="AI34" t="str"/>
      <x:c r="AJ34" t="str">
        <x:v>Hayır</x:v>
      </x:c>
      <x:c r="AK34" t="str">
        <x:v>Hayır</x:v>
      </x:c>
      <x:c r="AL34"/>
      <x:c r="AM34" t="str">
        <x:v>Planlandı</x:v>
      </x:c>
      <x:c r="AN34" t="str"/>
    </x:row>
    <x:row r="35">
      <x:c r="A35" t="n">
        <x:v>34</x:v>
      </x:c>
      <x:c r="B35" s="12" t="n">
        <x:v>46524</x:v>
      </x:c>
      <x:c r="C35" t="str">
        <x:v>Pazartesi</x:v>
      </x:c>
      <x:c r="D35" t="str">
        <x:v>Tam LGS</x:v>
      </x:c>
      <x:c r="E35" t="n">
        <x:v>75</x:v>
      </x:c>
      <x:c r="F35" t="n">
        <x:v>80</x:v>
      </x:c>
      <x:c r="G35"/>
      <x:c r="H35"/>
      <x:c r="I35"/>
      <x:c r="J35" t="str">
        <x:f>IF(COUNTA(G35:H35)=0,"",G35-H35/3)</x:f>
      </x:c>
      <x:c r="K35"/>
      <x:c r="L35"/>
      <x:c r="M35"/>
      <x:c r="N35" t="str">
        <x:f>IF(COUNTA(K35:L35)=0,"",K35-L35/3)</x:f>
      </x:c>
      <x:c r="O35"/>
      <x:c r="P35"/>
      <x:c r="Q35"/>
      <x:c r="R35" t="str">
        <x:f>IF(COUNTA(O35:P35)=0,"",O35-P35/3)</x:f>
      </x:c>
      <x:c r="S35"/>
      <x:c r="T35"/>
      <x:c r="U35"/>
      <x:c r="V35" t="str">
        <x:f>IF(COUNTA(S35:T35)=0,"",S35-T35/3)</x:f>
      </x:c>
      <x:c r="W35"/>
      <x:c r="X35"/>
      <x:c r="Y35"/>
      <x:c r="Z35" t="str">
        <x:f>IF(COUNTA(W35:X35)=0,"",W35-X35/3)</x:f>
      </x:c>
      <x:c r="AA35"/>
      <x:c r="AB35"/>
      <x:c r="AC35"/>
      <x:c r="AD35" t="str">
        <x:f>IF(COUNTA(AA35:AB35)=0,"",AA35-AB35/3)</x:f>
      </x:c>
      <x:c r="AE35" t="str">
        <x:f>IF(COUNTA(G35:I35,K35:M35,O35:Q35,S35:U35,W35:Y35,AA35:AC35)=0,"",SUM(J35,N35,R35,V35,Z35,AD35))</x:f>
      </x:c>
      <x:c r="AF35"/>
      <x:c r="AG35" t="str"/>
      <x:c r="AH35" t="str"/>
      <x:c r="AI35" t="str"/>
      <x:c r="AJ35" t="str">
        <x:v>Hayır</x:v>
      </x:c>
      <x:c r="AK35" t="str">
        <x:v>Hayır</x:v>
      </x:c>
      <x:c r="AL35"/>
      <x:c r="AM35" t="str">
        <x:v>Planlandı</x:v>
      </x:c>
      <x:c r="AN35" t="str"/>
    </x:row>
    <x:row r="36">
      <x:c r="A36" t="n">
        <x:v>35</x:v>
      </x:c>
      <x:c r="B36" s="12" t="n">
        <x:v>46525</x:v>
      </x:c>
      <x:c r="C36" t="str">
        <x:v>Salı</x:v>
      </x:c>
      <x:c r="D36" t="str">
        <x:v>Tam LGS</x:v>
      </x:c>
      <x:c r="E36" t="n">
        <x:v>75</x:v>
      </x:c>
      <x:c r="F36" t="n">
        <x:v>80</x:v>
      </x:c>
      <x:c r="G36"/>
      <x:c r="H36"/>
      <x:c r="I36"/>
      <x:c r="J36" t="str">
        <x:f>IF(COUNTA(G36:H36)=0,"",G36-H36/3)</x:f>
      </x:c>
      <x:c r="K36"/>
      <x:c r="L36"/>
      <x:c r="M36"/>
      <x:c r="N36" t="str">
        <x:f>IF(COUNTA(K36:L36)=0,"",K36-L36/3)</x:f>
      </x:c>
      <x:c r="O36"/>
      <x:c r="P36"/>
      <x:c r="Q36"/>
      <x:c r="R36" t="str">
        <x:f>IF(COUNTA(O36:P36)=0,"",O36-P36/3)</x:f>
      </x:c>
      <x:c r="S36"/>
      <x:c r="T36"/>
      <x:c r="U36"/>
      <x:c r="V36" t="str">
        <x:f>IF(COUNTA(S36:T36)=0,"",S36-T36/3)</x:f>
      </x:c>
      <x:c r="W36"/>
      <x:c r="X36"/>
      <x:c r="Y36"/>
      <x:c r="Z36" t="str">
        <x:f>IF(COUNTA(W36:X36)=0,"",W36-X36/3)</x:f>
      </x:c>
      <x:c r="AA36"/>
      <x:c r="AB36"/>
      <x:c r="AC36"/>
      <x:c r="AD36" t="str">
        <x:f>IF(COUNTA(AA36:AB36)=0,"",AA36-AB36/3)</x:f>
      </x:c>
      <x:c r="AE36" t="str">
        <x:f>IF(COUNTA(G36:I36,K36:M36,O36:Q36,S36:U36,W36:Y36,AA36:AC36)=0,"",SUM(J36,N36,R36,V36,Z36,AD36))</x:f>
      </x:c>
      <x:c r="AF36"/>
      <x:c r="AG36" t="str"/>
      <x:c r="AH36" t="str"/>
      <x:c r="AI36" t="str"/>
      <x:c r="AJ36" t="str">
        <x:v>Hayır</x:v>
      </x:c>
      <x:c r="AK36" t="str">
        <x:v>Hayır</x:v>
      </x:c>
      <x:c r="AL36"/>
      <x:c r="AM36" t="str">
        <x:v>Planlandı</x:v>
      </x:c>
      <x:c r="AN36" t="str"/>
    </x:row>
    <x:row r="37">
      <x:c r="A37" t="n">
        <x:v>36</x:v>
      </x:c>
      <x:c r="B37" s="12" t="n">
        <x:v>46526</x:v>
      </x:c>
      <x:c r="C37" t="str">
        <x:v>Çarşamba</x:v>
      </x:c>
      <x:c r="D37" t="str">
        <x:v>Tam LGS</x:v>
      </x:c>
      <x:c r="E37" t="n">
        <x:v>75</x:v>
      </x:c>
      <x:c r="F37" t="n">
        <x:v>80</x:v>
      </x:c>
      <x:c r="G37"/>
      <x:c r="H37"/>
      <x:c r="I37"/>
      <x:c r="J37" t="str">
        <x:f>IF(COUNTA(G37:H37)=0,"",G37-H37/3)</x:f>
      </x:c>
      <x:c r="K37"/>
      <x:c r="L37"/>
      <x:c r="M37"/>
      <x:c r="N37" t="str">
        <x:f>IF(COUNTA(K37:L37)=0,"",K37-L37/3)</x:f>
      </x:c>
      <x:c r="O37"/>
      <x:c r="P37"/>
      <x:c r="Q37"/>
      <x:c r="R37" t="str">
        <x:f>IF(COUNTA(O37:P37)=0,"",O37-P37/3)</x:f>
      </x:c>
      <x:c r="S37"/>
      <x:c r="T37"/>
      <x:c r="U37"/>
      <x:c r="V37" t="str">
        <x:f>IF(COUNTA(S37:T37)=0,"",S37-T37/3)</x:f>
      </x:c>
      <x:c r="W37"/>
      <x:c r="X37"/>
      <x:c r="Y37"/>
      <x:c r="Z37" t="str">
        <x:f>IF(COUNTA(W37:X37)=0,"",W37-X37/3)</x:f>
      </x:c>
      <x:c r="AA37"/>
      <x:c r="AB37"/>
      <x:c r="AC37"/>
      <x:c r="AD37" t="str">
        <x:f>IF(COUNTA(AA37:AB37)=0,"",AA37-AB37/3)</x:f>
      </x:c>
      <x:c r="AE37" t="str">
        <x:f>IF(COUNTA(G37:I37,K37:M37,O37:Q37,S37:U37,W37:Y37,AA37:AC37)=0,"",SUM(J37,N37,R37,V37,Z37,AD37))</x:f>
      </x:c>
      <x:c r="AF37"/>
      <x:c r="AG37" t="str"/>
      <x:c r="AH37" t="str"/>
      <x:c r="AI37" t="str"/>
      <x:c r="AJ37" t="str">
        <x:v>Hayır</x:v>
      </x:c>
      <x:c r="AK37" t="str">
        <x:v>Hayır</x:v>
      </x:c>
      <x:c r="AL37"/>
      <x:c r="AM37" t="str">
        <x:v>Planlandı</x:v>
      </x:c>
      <x:c r="AN37" t="str"/>
    </x:row>
    <x:row r="38">
      <x:c r="A38" t="n">
        <x:v>37</x:v>
      </x:c>
      <x:c r="B38" s="12" t="n">
        <x:v>46527</x:v>
      </x:c>
      <x:c r="C38" t="str">
        <x:v>Perşembe</x:v>
      </x:c>
      <x:c r="D38" t="str">
        <x:v>Tam LGS</x:v>
      </x:c>
      <x:c r="E38" t="n">
        <x:v>75</x:v>
      </x:c>
      <x:c r="F38" t="n">
        <x:v>80</x:v>
      </x:c>
      <x:c r="G38"/>
      <x:c r="H38"/>
      <x:c r="I38"/>
      <x:c r="J38" t="str">
        <x:f>IF(COUNTA(G38:H38)=0,"",G38-H38/3)</x:f>
      </x:c>
      <x:c r="K38"/>
      <x:c r="L38"/>
      <x:c r="M38"/>
      <x:c r="N38" t="str">
        <x:f>IF(COUNTA(K38:L38)=0,"",K38-L38/3)</x:f>
      </x:c>
      <x:c r="O38"/>
      <x:c r="P38"/>
      <x:c r="Q38"/>
      <x:c r="R38" t="str">
        <x:f>IF(COUNTA(O38:P38)=0,"",O38-P38/3)</x:f>
      </x:c>
      <x:c r="S38"/>
      <x:c r="T38"/>
      <x:c r="U38"/>
      <x:c r="V38" t="str">
        <x:f>IF(COUNTA(S38:T38)=0,"",S38-T38/3)</x:f>
      </x:c>
      <x:c r="W38"/>
      <x:c r="X38"/>
      <x:c r="Y38"/>
      <x:c r="Z38" t="str">
        <x:f>IF(COUNTA(W38:X38)=0,"",W38-X38/3)</x:f>
      </x:c>
      <x:c r="AA38"/>
      <x:c r="AB38"/>
      <x:c r="AC38"/>
      <x:c r="AD38" t="str">
        <x:f>IF(COUNTA(AA38:AB38)=0,"",AA38-AB38/3)</x:f>
      </x:c>
      <x:c r="AE38" t="str">
        <x:f>IF(COUNTA(G38:I38,K38:M38,O38:Q38,S38:U38,W38:Y38,AA38:AC38)=0,"",SUM(J38,N38,R38,V38,Z38,AD38))</x:f>
      </x:c>
      <x:c r="AF38"/>
      <x:c r="AG38" t="str"/>
      <x:c r="AH38" t="str"/>
      <x:c r="AI38" t="str"/>
      <x:c r="AJ38" t="str">
        <x:v>Hayır</x:v>
      </x:c>
      <x:c r="AK38" t="str">
        <x:v>Hayır</x:v>
      </x:c>
      <x:c r="AL38"/>
      <x:c r="AM38" t="str">
        <x:v>Planlandı</x:v>
      </x:c>
      <x:c r="AN38" t="str"/>
    </x:row>
    <x:row r="39">
      <x:c r="A39" t="n">
        <x:v>38</x:v>
      </x:c>
      <x:c r="B39" s="12" t="n">
        <x:v>46528</x:v>
      </x:c>
      <x:c r="C39" t="str">
        <x:v>Cuma</x:v>
      </x:c>
      <x:c r="D39" t="str">
        <x:v>Tam LGS</x:v>
      </x:c>
      <x:c r="E39" t="n">
        <x:v>75</x:v>
      </x:c>
      <x:c r="F39" t="n">
        <x:v>80</x:v>
      </x:c>
      <x:c r="G39"/>
      <x:c r="H39"/>
      <x:c r="I39"/>
      <x:c r="J39" t="str">
        <x:f>IF(COUNTA(G39:H39)=0,"",G39-H39/3)</x:f>
      </x:c>
      <x:c r="K39"/>
      <x:c r="L39"/>
      <x:c r="M39"/>
      <x:c r="N39" t="str">
        <x:f>IF(COUNTA(K39:L39)=0,"",K39-L39/3)</x:f>
      </x:c>
      <x:c r="O39"/>
      <x:c r="P39"/>
      <x:c r="Q39"/>
      <x:c r="R39" t="str">
        <x:f>IF(COUNTA(O39:P39)=0,"",O39-P39/3)</x:f>
      </x:c>
      <x:c r="S39"/>
      <x:c r="T39"/>
      <x:c r="U39"/>
      <x:c r="V39" t="str">
        <x:f>IF(COUNTA(S39:T39)=0,"",S39-T39/3)</x:f>
      </x:c>
      <x:c r="W39"/>
      <x:c r="X39"/>
      <x:c r="Y39"/>
      <x:c r="Z39" t="str">
        <x:f>IF(COUNTA(W39:X39)=0,"",W39-X39/3)</x:f>
      </x:c>
      <x:c r="AA39"/>
      <x:c r="AB39"/>
      <x:c r="AC39"/>
      <x:c r="AD39" t="str">
        <x:f>IF(COUNTA(AA39:AB39)=0,"",AA39-AB39/3)</x:f>
      </x:c>
      <x:c r="AE39" t="str">
        <x:f>IF(COUNTA(G39:I39,K39:M39,O39:Q39,S39:U39,W39:Y39,AA39:AC39)=0,"",SUM(J39,N39,R39,V39,Z39,AD39))</x:f>
      </x:c>
      <x:c r="AF39"/>
      <x:c r="AG39" t="str"/>
      <x:c r="AH39" t="str"/>
      <x:c r="AI39" t="str"/>
      <x:c r="AJ39" t="str">
        <x:v>Hayır</x:v>
      </x:c>
      <x:c r="AK39" t="str">
        <x:v>Hayır</x:v>
      </x:c>
      <x:c r="AL39"/>
      <x:c r="AM39" t="str">
        <x:v>Planlandı</x:v>
      </x:c>
      <x:c r="AN39" t="str"/>
    </x:row>
    <x:row r="40">
      <x:c r="A40" t="n">
        <x:v>39</x:v>
      </x:c>
      <x:c r="B40" s="12" t="n">
        <x:v>46529</x:v>
      </x:c>
      <x:c r="C40" t="str">
        <x:v>Cumartesi</x:v>
      </x:c>
      <x:c r="D40" t="str">
        <x:v>Tam LGS</x:v>
      </x:c>
      <x:c r="E40" t="n">
        <x:v>75</x:v>
      </x:c>
      <x:c r="F40" t="n">
        <x:v>80</x:v>
      </x:c>
      <x:c r="G40"/>
      <x:c r="H40"/>
      <x:c r="I40"/>
      <x:c r="J40" t="str">
        <x:f>IF(COUNTA(G40:H40)=0,"",G40-H40/3)</x:f>
      </x:c>
      <x:c r="K40"/>
      <x:c r="L40"/>
      <x:c r="M40"/>
      <x:c r="N40" t="str">
        <x:f>IF(COUNTA(K40:L40)=0,"",K40-L40/3)</x:f>
      </x:c>
      <x:c r="O40"/>
      <x:c r="P40"/>
      <x:c r="Q40"/>
      <x:c r="R40" t="str">
        <x:f>IF(COUNTA(O40:P40)=0,"",O40-P40/3)</x:f>
      </x:c>
      <x:c r="S40"/>
      <x:c r="T40"/>
      <x:c r="U40"/>
      <x:c r="V40" t="str">
        <x:f>IF(COUNTA(S40:T40)=0,"",S40-T40/3)</x:f>
      </x:c>
      <x:c r="W40"/>
      <x:c r="X40"/>
      <x:c r="Y40"/>
      <x:c r="Z40" t="str">
        <x:f>IF(COUNTA(W40:X40)=0,"",W40-X40/3)</x:f>
      </x:c>
      <x:c r="AA40"/>
      <x:c r="AB40"/>
      <x:c r="AC40"/>
      <x:c r="AD40" t="str">
        <x:f>IF(COUNTA(AA40:AB40)=0,"",AA40-AB40/3)</x:f>
      </x:c>
      <x:c r="AE40" t="str">
        <x:f>IF(COUNTA(G40:I40,K40:M40,O40:Q40,S40:U40,W40:Y40,AA40:AC40)=0,"",SUM(J40,N40,R40,V40,Z40,AD40))</x:f>
      </x:c>
      <x:c r="AF40"/>
      <x:c r="AG40" t="str"/>
      <x:c r="AH40" t="str"/>
      <x:c r="AI40" t="str"/>
      <x:c r="AJ40" t="str">
        <x:v>Hayır</x:v>
      </x:c>
      <x:c r="AK40" t="str">
        <x:v>Hayır</x:v>
      </x:c>
      <x:c r="AL40"/>
      <x:c r="AM40" t="str">
        <x:v>Planlandı</x:v>
      </x:c>
      <x:c r="AN40" t="str"/>
    </x:row>
    <x:row r="41">
      <x:c r="A41" t="n">
        <x:v>40</x:v>
      </x:c>
      <x:c r="B41" s="12" t="n">
        <x:v>46530</x:v>
      </x:c>
      <x:c r="C41" t="str">
        <x:v>Pazar</x:v>
      </x:c>
      <x:c r="D41" t="str">
        <x:v>Tam LGS</x:v>
      </x:c>
      <x:c r="E41" t="n">
        <x:v>75</x:v>
      </x:c>
      <x:c r="F41" t="n">
        <x:v>80</x:v>
      </x:c>
      <x:c r="G41"/>
      <x:c r="H41"/>
      <x:c r="I41"/>
      <x:c r="J41" t="str">
        <x:f>IF(COUNTA(G41:H41)=0,"",G41-H41/3)</x:f>
      </x:c>
      <x:c r="K41"/>
      <x:c r="L41"/>
      <x:c r="M41"/>
      <x:c r="N41" t="str">
        <x:f>IF(COUNTA(K41:L41)=0,"",K41-L41/3)</x:f>
      </x:c>
      <x:c r="O41"/>
      <x:c r="P41"/>
      <x:c r="Q41"/>
      <x:c r="R41" t="str">
        <x:f>IF(COUNTA(O41:P41)=0,"",O41-P41/3)</x:f>
      </x:c>
      <x:c r="S41"/>
      <x:c r="T41"/>
      <x:c r="U41"/>
      <x:c r="V41" t="str">
        <x:f>IF(COUNTA(S41:T41)=0,"",S41-T41/3)</x:f>
      </x:c>
      <x:c r="W41"/>
      <x:c r="X41"/>
      <x:c r="Y41"/>
      <x:c r="Z41" t="str">
        <x:f>IF(COUNTA(W41:X41)=0,"",W41-X41/3)</x:f>
      </x:c>
      <x:c r="AA41"/>
      <x:c r="AB41"/>
      <x:c r="AC41"/>
      <x:c r="AD41" t="str">
        <x:f>IF(COUNTA(AA41:AB41)=0,"",AA41-AB41/3)</x:f>
      </x:c>
      <x:c r="AE41" t="str">
        <x:f>IF(COUNTA(G41:I41,K41:M41,O41:Q41,S41:U41,W41:Y41,AA41:AC41)=0,"",SUM(J41,N41,R41,V41,Z41,AD41))</x:f>
      </x:c>
      <x:c r="AF41"/>
      <x:c r="AG41" t="str"/>
      <x:c r="AH41" t="str"/>
      <x:c r="AI41" t="str"/>
      <x:c r="AJ41" t="str">
        <x:v>Hayır</x:v>
      </x:c>
      <x:c r="AK41" t="str">
        <x:v>Hayır</x:v>
      </x:c>
      <x:c r="AL41"/>
      <x:c r="AM41" t="str">
        <x:v>Planlandı</x:v>
      </x:c>
      <x:c r="AN41" t="str"/>
    </x:row>
    <x:row r="42">
      <x:c r="A42" t="n">
        <x:v>41</x:v>
      </x:c>
      <x:c r="B42" s="12" t="n">
        <x:v>46531</x:v>
      </x:c>
      <x:c r="C42" t="str">
        <x:v>Pazartesi</x:v>
      </x:c>
      <x:c r="D42" t="str">
        <x:v>Tam LGS</x:v>
      </x:c>
      <x:c r="E42" t="n">
        <x:v>75</x:v>
      </x:c>
      <x:c r="F42" t="n">
        <x:v>80</x:v>
      </x:c>
      <x:c r="G42"/>
      <x:c r="H42"/>
      <x:c r="I42"/>
      <x:c r="J42" t="str">
        <x:f>IF(COUNTA(G42:H42)=0,"",G42-H42/3)</x:f>
      </x:c>
      <x:c r="K42"/>
      <x:c r="L42"/>
      <x:c r="M42"/>
      <x:c r="N42" t="str">
        <x:f>IF(COUNTA(K42:L42)=0,"",K42-L42/3)</x:f>
      </x:c>
      <x:c r="O42"/>
      <x:c r="P42"/>
      <x:c r="Q42"/>
      <x:c r="R42" t="str">
        <x:f>IF(COUNTA(O42:P42)=0,"",O42-P42/3)</x:f>
      </x:c>
      <x:c r="S42"/>
      <x:c r="T42"/>
      <x:c r="U42"/>
      <x:c r="V42" t="str">
        <x:f>IF(COUNTA(S42:T42)=0,"",S42-T42/3)</x:f>
      </x:c>
      <x:c r="W42"/>
      <x:c r="X42"/>
      <x:c r="Y42"/>
      <x:c r="Z42" t="str">
        <x:f>IF(COUNTA(W42:X42)=0,"",W42-X42/3)</x:f>
      </x:c>
      <x:c r="AA42"/>
      <x:c r="AB42"/>
      <x:c r="AC42"/>
      <x:c r="AD42" t="str">
        <x:f>IF(COUNTA(AA42:AB42)=0,"",AA42-AB42/3)</x:f>
      </x:c>
      <x:c r="AE42" t="str">
        <x:f>IF(COUNTA(G42:I42,K42:M42,O42:Q42,S42:U42,W42:Y42,AA42:AC42)=0,"",SUM(J42,N42,R42,V42,Z42,AD42))</x:f>
      </x:c>
      <x:c r="AF42"/>
      <x:c r="AG42" t="str"/>
      <x:c r="AH42" t="str"/>
      <x:c r="AI42" t="str"/>
      <x:c r="AJ42" t="str">
        <x:v>Hayır</x:v>
      </x:c>
      <x:c r="AK42" t="str">
        <x:v>Hayır</x:v>
      </x:c>
      <x:c r="AL42"/>
      <x:c r="AM42" t="str">
        <x:v>Planlandı</x:v>
      </x:c>
      <x:c r="AN42" t="str"/>
    </x:row>
    <x:row r="43">
      <x:c r="A43" t="n">
        <x:v>42</x:v>
      </x:c>
      <x:c r="B43" s="12" t="n">
        <x:v>46532</x:v>
      </x:c>
      <x:c r="C43" t="str">
        <x:v>Salı</x:v>
      </x:c>
      <x:c r="D43" t="str">
        <x:v>Tam LGS</x:v>
      </x:c>
      <x:c r="E43" t="n">
        <x:v>75</x:v>
      </x:c>
      <x:c r="F43" t="n">
        <x:v>80</x:v>
      </x:c>
      <x:c r="G43"/>
      <x:c r="H43"/>
      <x:c r="I43"/>
      <x:c r="J43" t="str">
        <x:f>IF(COUNTA(G43:H43)=0,"",G43-H43/3)</x:f>
      </x:c>
      <x:c r="K43"/>
      <x:c r="L43"/>
      <x:c r="M43"/>
      <x:c r="N43" t="str">
        <x:f>IF(COUNTA(K43:L43)=0,"",K43-L43/3)</x:f>
      </x:c>
      <x:c r="O43"/>
      <x:c r="P43"/>
      <x:c r="Q43"/>
      <x:c r="R43" t="str">
        <x:f>IF(COUNTA(O43:P43)=0,"",O43-P43/3)</x:f>
      </x:c>
      <x:c r="S43"/>
      <x:c r="T43"/>
      <x:c r="U43"/>
      <x:c r="V43" t="str">
        <x:f>IF(COUNTA(S43:T43)=0,"",S43-T43/3)</x:f>
      </x:c>
      <x:c r="W43"/>
      <x:c r="X43"/>
      <x:c r="Y43"/>
      <x:c r="Z43" t="str">
        <x:f>IF(COUNTA(W43:X43)=0,"",W43-X43/3)</x:f>
      </x:c>
      <x:c r="AA43"/>
      <x:c r="AB43"/>
      <x:c r="AC43"/>
      <x:c r="AD43" t="str">
        <x:f>IF(COUNTA(AA43:AB43)=0,"",AA43-AB43/3)</x:f>
      </x:c>
      <x:c r="AE43" t="str">
        <x:f>IF(COUNTA(G43:I43,K43:M43,O43:Q43,S43:U43,W43:Y43,AA43:AC43)=0,"",SUM(J43,N43,R43,V43,Z43,AD43))</x:f>
      </x:c>
      <x:c r="AF43"/>
      <x:c r="AG43" t="str"/>
      <x:c r="AH43" t="str"/>
      <x:c r="AI43" t="str"/>
      <x:c r="AJ43" t="str">
        <x:v>Hayır</x:v>
      </x:c>
      <x:c r="AK43" t="str">
        <x:v>Hayır</x:v>
      </x:c>
      <x:c r="AL43"/>
      <x:c r="AM43" t="str">
        <x:v>Planlandı</x:v>
      </x:c>
      <x:c r="AN43" t="str"/>
    </x:row>
    <x:row r="44">
      <x:c r="A44" t="n">
        <x:v>43</x:v>
      </x:c>
      <x:c r="B44" s="12" t="n">
        <x:v>46533</x:v>
      </x:c>
      <x:c r="C44" t="str">
        <x:v>Çarşamba</x:v>
      </x:c>
      <x:c r="D44" t="str">
        <x:v>Tam LGS</x:v>
      </x:c>
      <x:c r="E44" t="n">
        <x:v>75</x:v>
      </x:c>
      <x:c r="F44" t="n">
        <x:v>80</x:v>
      </x:c>
      <x:c r="G44"/>
      <x:c r="H44"/>
      <x:c r="I44"/>
      <x:c r="J44" t="str">
        <x:f>IF(COUNTA(G44:H44)=0,"",G44-H44/3)</x:f>
      </x:c>
      <x:c r="K44"/>
      <x:c r="L44"/>
      <x:c r="M44"/>
      <x:c r="N44" t="str">
        <x:f>IF(COUNTA(K44:L44)=0,"",K44-L44/3)</x:f>
      </x:c>
      <x:c r="O44"/>
      <x:c r="P44"/>
      <x:c r="Q44"/>
      <x:c r="R44" t="str">
        <x:f>IF(COUNTA(O44:P44)=0,"",O44-P44/3)</x:f>
      </x:c>
      <x:c r="S44"/>
      <x:c r="T44"/>
      <x:c r="U44"/>
      <x:c r="V44" t="str">
        <x:f>IF(COUNTA(S44:T44)=0,"",S44-T44/3)</x:f>
      </x:c>
      <x:c r="W44"/>
      <x:c r="X44"/>
      <x:c r="Y44"/>
      <x:c r="Z44" t="str">
        <x:f>IF(COUNTA(W44:X44)=0,"",W44-X44/3)</x:f>
      </x:c>
      <x:c r="AA44"/>
      <x:c r="AB44"/>
      <x:c r="AC44"/>
      <x:c r="AD44" t="str">
        <x:f>IF(COUNTA(AA44:AB44)=0,"",AA44-AB44/3)</x:f>
      </x:c>
      <x:c r="AE44" t="str">
        <x:f>IF(COUNTA(G44:I44,K44:M44,O44:Q44,S44:U44,W44:Y44,AA44:AC44)=0,"",SUM(J44,N44,R44,V44,Z44,AD44))</x:f>
      </x:c>
      <x:c r="AF44"/>
      <x:c r="AG44" t="str"/>
      <x:c r="AH44" t="str"/>
      <x:c r="AI44" t="str"/>
      <x:c r="AJ44" t="str">
        <x:v>Hayır</x:v>
      </x:c>
      <x:c r="AK44" t="str">
        <x:v>Hayır</x:v>
      </x:c>
      <x:c r="AL44"/>
      <x:c r="AM44" t="str">
        <x:v>Planlandı</x:v>
      </x:c>
      <x:c r="AN44" t="str"/>
    </x:row>
    <x:row r="45">
      <x:c r="A45" t="n">
        <x:v>44</x:v>
      </x:c>
      <x:c r="B45" s="12" t="n">
        <x:v>46534</x:v>
      </x:c>
      <x:c r="C45" t="str">
        <x:v>Perşembe</x:v>
      </x:c>
      <x:c r="D45" t="str">
        <x:v>Tam LGS</x:v>
      </x:c>
      <x:c r="E45" t="n">
        <x:v>75</x:v>
      </x:c>
      <x:c r="F45" t="n">
        <x:v>80</x:v>
      </x:c>
      <x:c r="G45"/>
      <x:c r="H45"/>
      <x:c r="I45"/>
      <x:c r="J45" t="str">
        <x:f>IF(COUNTA(G45:H45)=0,"",G45-H45/3)</x:f>
      </x:c>
      <x:c r="K45"/>
      <x:c r="L45"/>
      <x:c r="M45"/>
      <x:c r="N45" t="str">
        <x:f>IF(COUNTA(K45:L45)=0,"",K45-L45/3)</x:f>
      </x:c>
      <x:c r="O45"/>
      <x:c r="P45"/>
      <x:c r="Q45"/>
      <x:c r="R45" t="str">
        <x:f>IF(COUNTA(O45:P45)=0,"",O45-P45/3)</x:f>
      </x:c>
      <x:c r="S45"/>
      <x:c r="T45"/>
      <x:c r="U45"/>
      <x:c r="V45" t="str">
        <x:f>IF(COUNTA(S45:T45)=0,"",S45-T45/3)</x:f>
      </x:c>
      <x:c r="W45"/>
      <x:c r="X45"/>
      <x:c r="Y45"/>
      <x:c r="Z45" t="str">
        <x:f>IF(COUNTA(W45:X45)=0,"",W45-X45/3)</x:f>
      </x:c>
      <x:c r="AA45"/>
      <x:c r="AB45"/>
      <x:c r="AC45"/>
      <x:c r="AD45" t="str">
        <x:f>IF(COUNTA(AA45:AB45)=0,"",AA45-AB45/3)</x:f>
      </x:c>
      <x:c r="AE45" t="str">
        <x:f>IF(COUNTA(G45:I45,K45:M45,O45:Q45,S45:U45,W45:Y45,AA45:AC45)=0,"",SUM(J45,N45,R45,V45,Z45,AD45))</x:f>
      </x:c>
      <x:c r="AF45"/>
      <x:c r="AG45" t="str"/>
      <x:c r="AH45" t="str"/>
      <x:c r="AI45" t="str"/>
      <x:c r="AJ45" t="str">
        <x:v>Hayır</x:v>
      </x:c>
      <x:c r="AK45" t="str">
        <x:v>Hayır</x:v>
      </x:c>
      <x:c r="AL45"/>
      <x:c r="AM45" t="str">
        <x:v>Planlandı</x:v>
      </x:c>
      <x:c r="AN45" t="str"/>
    </x:row>
    <x:row r="46">
      <x:c r="A46" t="n">
        <x:v>45</x:v>
      </x:c>
      <x:c r="B46" s="12" t="n">
        <x:v>46535</x:v>
      </x:c>
      <x:c r="C46" t="str">
        <x:v>Cuma</x:v>
      </x:c>
      <x:c r="D46" t="str">
        <x:v>Tam LGS</x:v>
      </x:c>
      <x:c r="E46" t="n">
        <x:v>75</x:v>
      </x:c>
      <x:c r="F46" t="n">
        <x:v>80</x:v>
      </x:c>
      <x:c r="G46"/>
      <x:c r="H46"/>
      <x:c r="I46"/>
      <x:c r="J46" t="str">
        <x:f>IF(COUNTA(G46:H46)=0,"",G46-H46/3)</x:f>
      </x:c>
      <x:c r="K46"/>
      <x:c r="L46"/>
      <x:c r="M46"/>
      <x:c r="N46" t="str">
        <x:f>IF(COUNTA(K46:L46)=0,"",K46-L46/3)</x:f>
      </x:c>
      <x:c r="O46"/>
      <x:c r="P46"/>
      <x:c r="Q46"/>
      <x:c r="R46" t="str">
        <x:f>IF(COUNTA(O46:P46)=0,"",O46-P46/3)</x:f>
      </x:c>
      <x:c r="S46"/>
      <x:c r="T46"/>
      <x:c r="U46"/>
      <x:c r="V46" t="str">
        <x:f>IF(COUNTA(S46:T46)=0,"",S46-T46/3)</x:f>
      </x:c>
      <x:c r="W46"/>
      <x:c r="X46"/>
      <x:c r="Y46"/>
      <x:c r="Z46" t="str">
        <x:f>IF(COUNTA(W46:X46)=0,"",W46-X46/3)</x:f>
      </x:c>
      <x:c r="AA46"/>
      <x:c r="AB46"/>
      <x:c r="AC46"/>
      <x:c r="AD46" t="str">
        <x:f>IF(COUNTA(AA46:AB46)=0,"",AA46-AB46/3)</x:f>
      </x:c>
      <x:c r="AE46" t="str">
        <x:f>IF(COUNTA(G46:I46,K46:M46,O46:Q46,S46:U46,W46:Y46,AA46:AC46)=0,"",SUM(J46,N46,R46,V46,Z46,AD46))</x:f>
      </x:c>
      <x:c r="AF46"/>
      <x:c r="AG46" t="str"/>
      <x:c r="AH46" t="str"/>
      <x:c r="AI46" t="str"/>
      <x:c r="AJ46" t="str">
        <x:v>Hayır</x:v>
      </x:c>
      <x:c r="AK46" t="str">
        <x:v>Hayır</x:v>
      </x:c>
      <x:c r="AL46"/>
      <x:c r="AM46" t="str">
        <x:v>Planlandı</x:v>
      </x:c>
      <x:c r="AN46" t="str"/>
    </x:row>
    <x:row r="47">
      <x:c r="A47" t="n">
        <x:v>46</x:v>
      </x:c>
      <x:c r="B47" s="12" t="n">
        <x:v>46536</x:v>
      </x:c>
      <x:c r="C47" t="str">
        <x:v>Cumartesi</x:v>
      </x:c>
      <x:c r="D47" t="str">
        <x:v>Tam LGS</x:v>
      </x:c>
      <x:c r="E47" t="n">
        <x:v>75</x:v>
      </x:c>
      <x:c r="F47" t="n">
        <x:v>80</x:v>
      </x:c>
      <x:c r="G47"/>
      <x:c r="H47"/>
      <x:c r="I47"/>
      <x:c r="J47" t="str">
        <x:f>IF(COUNTA(G47:H47)=0,"",G47-H47/3)</x:f>
      </x:c>
      <x:c r="K47"/>
      <x:c r="L47"/>
      <x:c r="M47"/>
      <x:c r="N47" t="str">
        <x:f>IF(COUNTA(K47:L47)=0,"",K47-L47/3)</x:f>
      </x:c>
      <x:c r="O47"/>
      <x:c r="P47"/>
      <x:c r="Q47"/>
      <x:c r="R47" t="str">
        <x:f>IF(COUNTA(O47:P47)=0,"",O47-P47/3)</x:f>
      </x:c>
      <x:c r="S47"/>
      <x:c r="T47"/>
      <x:c r="U47"/>
      <x:c r="V47" t="str">
        <x:f>IF(COUNTA(S47:T47)=0,"",S47-T47/3)</x:f>
      </x:c>
      <x:c r="W47"/>
      <x:c r="X47"/>
      <x:c r="Y47"/>
      <x:c r="Z47" t="str">
        <x:f>IF(COUNTA(W47:X47)=0,"",W47-X47/3)</x:f>
      </x:c>
      <x:c r="AA47"/>
      <x:c r="AB47"/>
      <x:c r="AC47"/>
      <x:c r="AD47" t="str">
        <x:f>IF(COUNTA(AA47:AB47)=0,"",AA47-AB47/3)</x:f>
      </x:c>
      <x:c r="AE47" t="str">
        <x:f>IF(COUNTA(G47:I47,K47:M47,O47:Q47,S47:U47,W47:Y47,AA47:AC47)=0,"",SUM(J47,N47,R47,V47,Z47,AD47))</x:f>
      </x:c>
      <x:c r="AF47"/>
      <x:c r="AG47" t="str"/>
      <x:c r="AH47" t="str"/>
      <x:c r="AI47" t="str"/>
      <x:c r="AJ47" t="str">
        <x:v>Hayır</x:v>
      </x:c>
      <x:c r="AK47" t="str">
        <x:v>Hayır</x:v>
      </x:c>
      <x:c r="AL47"/>
      <x:c r="AM47" t="str">
        <x:v>Planlandı</x:v>
      </x:c>
      <x:c r="AN47" t="str"/>
    </x:row>
    <x:row r="48">
      <x:c r="A48" t="n">
        <x:v>47</x:v>
      </x:c>
      <x:c r="B48" s="12" t="n">
        <x:v>46537</x:v>
      </x:c>
      <x:c r="C48" t="str">
        <x:v>Pazar</x:v>
      </x:c>
      <x:c r="D48" t="str">
        <x:v>Tam LGS</x:v>
      </x:c>
      <x:c r="E48" t="n">
        <x:v>75</x:v>
      </x:c>
      <x:c r="F48" t="n">
        <x:v>80</x:v>
      </x:c>
      <x:c r="G48"/>
      <x:c r="H48"/>
      <x:c r="I48"/>
      <x:c r="J48" t="str">
        <x:f>IF(COUNTA(G48:H48)=0,"",G48-H48/3)</x:f>
      </x:c>
      <x:c r="K48"/>
      <x:c r="L48"/>
      <x:c r="M48"/>
      <x:c r="N48" t="str">
        <x:f>IF(COUNTA(K48:L48)=0,"",K48-L48/3)</x:f>
      </x:c>
      <x:c r="O48"/>
      <x:c r="P48"/>
      <x:c r="Q48"/>
      <x:c r="R48" t="str">
        <x:f>IF(COUNTA(O48:P48)=0,"",O48-P48/3)</x:f>
      </x:c>
      <x:c r="S48"/>
      <x:c r="T48"/>
      <x:c r="U48"/>
      <x:c r="V48" t="str">
        <x:f>IF(COUNTA(S48:T48)=0,"",S48-T48/3)</x:f>
      </x:c>
      <x:c r="W48"/>
      <x:c r="X48"/>
      <x:c r="Y48"/>
      <x:c r="Z48" t="str">
        <x:f>IF(COUNTA(W48:X48)=0,"",W48-X48/3)</x:f>
      </x:c>
      <x:c r="AA48"/>
      <x:c r="AB48"/>
      <x:c r="AC48"/>
      <x:c r="AD48" t="str">
        <x:f>IF(COUNTA(AA48:AB48)=0,"",AA48-AB48/3)</x:f>
      </x:c>
      <x:c r="AE48" t="str">
        <x:f>IF(COUNTA(G48:I48,K48:M48,O48:Q48,S48:U48,W48:Y48,AA48:AC48)=0,"",SUM(J48,N48,R48,V48,Z48,AD48))</x:f>
      </x:c>
      <x:c r="AF48"/>
      <x:c r="AG48" t="str"/>
      <x:c r="AH48" t="str"/>
      <x:c r="AI48" t="str"/>
      <x:c r="AJ48" t="str">
        <x:v>Hayır</x:v>
      </x:c>
      <x:c r="AK48" t="str">
        <x:v>Hayır</x:v>
      </x:c>
      <x:c r="AL48"/>
      <x:c r="AM48" t="str">
        <x:v>Planlandı</x:v>
      </x:c>
      <x:c r="AN48" t="str"/>
    </x:row>
    <x:row r="49">
      <x:c r="A49" t="n">
        <x:v>48</x:v>
      </x:c>
      <x:c r="B49" s="12" t="n">
        <x:v>46538</x:v>
      </x:c>
      <x:c r="C49" t="str">
        <x:v>Pazartesi</x:v>
      </x:c>
      <x:c r="D49" t="str">
        <x:v>Tam LGS</x:v>
      </x:c>
      <x:c r="E49" t="n">
        <x:v>75</x:v>
      </x:c>
      <x:c r="F49" t="n">
        <x:v>80</x:v>
      </x:c>
      <x:c r="G49"/>
      <x:c r="H49"/>
      <x:c r="I49"/>
      <x:c r="J49" t="str">
        <x:f>IF(COUNTA(G49:H49)=0,"",G49-H49/3)</x:f>
      </x:c>
      <x:c r="K49"/>
      <x:c r="L49"/>
      <x:c r="M49"/>
      <x:c r="N49" t="str">
        <x:f>IF(COUNTA(K49:L49)=0,"",K49-L49/3)</x:f>
      </x:c>
      <x:c r="O49"/>
      <x:c r="P49"/>
      <x:c r="Q49"/>
      <x:c r="R49" t="str">
        <x:f>IF(COUNTA(O49:P49)=0,"",O49-P49/3)</x:f>
      </x:c>
      <x:c r="S49"/>
      <x:c r="T49"/>
      <x:c r="U49"/>
      <x:c r="V49" t="str">
        <x:f>IF(COUNTA(S49:T49)=0,"",S49-T49/3)</x:f>
      </x:c>
      <x:c r="W49"/>
      <x:c r="X49"/>
      <x:c r="Y49"/>
      <x:c r="Z49" t="str">
        <x:f>IF(COUNTA(W49:X49)=0,"",W49-X49/3)</x:f>
      </x:c>
      <x:c r="AA49"/>
      <x:c r="AB49"/>
      <x:c r="AC49"/>
      <x:c r="AD49" t="str">
        <x:f>IF(COUNTA(AA49:AB49)=0,"",AA49-AB49/3)</x:f>
      </x:c>
      <x:c r="AE49" t="str">
        <x:f>IF(COUNTA(G49:I49,K49:M49,O49:Q49,S49:U49,W49:Y49,AA49:AC49)=0,"",SUM(J49,N49,R49,V49,Z49,AD49))</x:f>
      </x:c>
      <x:c r="AF49"/>
      <x:c r="AG49" t="str"/>
      <x:c r="AH49" t="str"/>
      <x:c r="AI49" t="str"/>
      <x:c r="AJ49" t="str">
        <x:v>Hayır</x:v>
      </x:c>
      <x:c r="AK49" t="str">
        <x:v>Hayır</x:v>
      </x:c>
      <x:c r="AL49"/>
      <x:c r="AM49" t="str">
        <x:v>Planlandı</x:v>
      </x:c>
      <x:c r="AN49" t="str"/>
    </x:row>
    <x:row r="50">
      <x:c r="A50" t="n">
        <x:v>49</x:v>
      </x:c>
      <x:c r="B50" s="12" t="n">
        <x:v>46539</x:v>
      </x:c>
      <x:c r="C50" t="str">
        <x:v>Salı</x:v>
      </x:c>
      <x:c r="D50" t="str">
        <x:v>Tam LGS</x:v>
      </x:c>
      <x:c r="E50" t="n">
        <x:v>75</x:v>
      </x:c>
      <x:c r="F50" t="n">
        <x:v>80</x:v>
      </x:c>
      <x:c r="G50"/>
      <x:c r="H50"/>
      <x:c r="I50"/>
      <x:c r="J50" t="str">
        <x:f>IF(COUNTA(G50:H50)=0,"",G50-H50/3)</x:f>
      </x:c>
      <x:c r="K50"/>
      <x:c r="L50"/>
      <x:c r="M50"/>
      <x:c r="N50" t="str">
        <x:f>IF(COUNTA(K50:L50)=0,"",K50-L50/3)</x:f>
      </x:c>
      <x:c r="O50"/>
      <x:c r="P50"/>
      <x:c r="Q50"/>
      <x:c r="R50" t="str">
        <x:f>IF(COUNTA(O50:P50)=0,"",O50-P50/3)</x:f>
      </x:c>
      <x:c r="S50"/>
      <x:c r="T50"/>
      <x:c r="U50"/>
      <x:c r="V50" t="str">
        <x:f>IF(COUNTA(S50:T50)=0,"",S50-T50/3)</x:f>
      </x:c>
      <x:c r="W50"/>
      <x:c r="X50"/>
      <x:c r="Y50"/>
      <x:c r="Z50" t="str">
        <x:f>IF(COUNTA(W50:X50)=0,"",W50-X50/3)</x:f>
      </x:c>
      <x:c r="AA50"/>
      <x:c r="AB50"/>
      <x:c r="AC50"/>
      <x:c r="AD50" t="str">
        <x:f>IF(COUNTA(AA50:AB50)=0,"",AA50-AB50/3)</x:f>
      </x:c>
      <x:c r="AE50" t="str">
        <x:f>IF(COUNTA(G50:I50,K50:M50,O50:Q50,S50:U50,W50:Y50,AA50:AC50)=0,"",SUM(J50,N50,R50,V50,Z50,AD50))</x:f>
      </x:c>
      <x:c r="AF50"/>
      <x:c r="AG50" t="str"/>
      <x:c r="AH50" t="str"/>
      <x:c r="AI50" t="str"/>
      <x:c r="AJ50" t="str">
        <x:v>Hayır</x:v>
      </x:c>
      <x:c r="AK50" t="str">
        <x:v>Hayır</x:v>
      </x:c>
      <x:c r="AL50"/>
      <x:c r="AM50" t="str">
        <x:v>Planlandı</x:v>
      </x:c>
      <x:c r="AN50" t="str"/>
    </x:row>
    <x:row r="51">
      <x:c r="A51" t="n">
        <x:v>50</x:v>
      </x:c>
      <x:c r="B51" s="12" t="n">
        <x:v>46540</x:v>
      </x:c>
      <x:c r="C51" t="str">
        <x:v>Çarşamba</x:v>
      </x:c>
      <x:c r="D51" t="str">
        <x:v>Tam LGS</x:v>
      </x:c>
      <x:c r="E51" t="n">
        <x:v>75</x:v>
      </x:c>
      <x:c r="F51" t="n">
        <x:v>80</x:v>
      </x:c>
      <x:c r="G51"/>
      <x:c r="H51"/>
      <x:c r="I51"/>
      <x:c r="J51" t="str">
        <x:f>IF(COUNTA(G51:H51)=0,"",G51-H51/3)</x:f>
      </x:c>
      <x:c r="K51"/>
      <x:c r="L51"/>
      <x:c r="M51"/>
      <x:c r="N51" t="str">
        <x:f>IF(COUNTA(K51:L51)=0,"",K51-L51/3)</x:f>
      </x:c>
      <x:c r="O51"/>
      <x:c r="P51"/>
      <x:c r="Q51"/>
      <x:c r="R51" t="str">
        <x:f>IF(COUNTA(O51:P51)=0,"",O51-P51/3)</x:f>
      </x:c>
      <x:c r="S51"/>
      <x:c r="T51"/>
      <x:c r="U51"/>
      <x:c r="V51" t="str">
        <x:f>IF(COUNTA(S51:T51)=0,"",S51-T51/3)</x:f>
      </x:c>
      <x:c r="W51"/>
      <x:c r="X51"/>
      <x:c r="Y51"/>
      <x:c r="Z51" t="str">
        <x:f>IF(COUNTA(W51:X51)=0,"",W51-X51/3)</x:f>
      </x:c>
      <x:c r="AA51"/>
      <x:c r="AB51"/>
      <x:c r="AC51"/>
      <x:c r="AD51" t="str">
        <x:f>IF(COUNTA(AA51:AB51)=0,"",AA51-AB51/3)</x:f>
      </x:c>
      <x:c r="AE51" t="str">
        <x:f>IF(COUNTA(G51:I51,K51:M51,O51:Q51,S51:U51,W51:Y51,AA51:AC51)=0,"",SUM(J51,N51,R51,V51,Z51,AD51))</x:f>
      </x:c>
      <x:c r="AF51"/>
      <x:c r="AG51" t="str"/>
      <x:c r="AH51" t="str"/>
      <x:c r="AI51" t="str"/>
      <x:c r="AJ51" t="str">
        <x:v>Hayır</x:v>
      </x:c>
      <x:c r="AK51" t="str">
        <x:v>Hayır</x:v>
      </x:c>
      <x:c r="AL51"/>
      <x:c r="AM51" t="str">
        <x:v>Planlandı</x:v>
      </x:c>
      <x:c r="AN51" t="str"/>
    </x:row>
    <x:row r="52">
      <x:c r="A52" t="n">
        <x:v>51</x:v>
      </x:c>
      <x:c r="B52" s="12" t="n">
        <x:v>46541</x:v>
      </x:c>
      <x:c r="C52" t="str">
        <x:v>Perşembe</x:v>
      </x:c>
      <x:c r="D52" t="str">
        <x:v>Tam LGS</x:v>
      </x:c>
      <x:c r="E52" t="n">
        <x:v>75</x:v>
      </x:c>
      <x:c r="F52" t="n">
        <x:v>80</x:v>
      </x:c>
      <x:c r="G52"/>
      <x:c r="H52"/>
      <x:c r="I52"/>
      <x:c r="J52" t="str">
        <x:f>IF(COUNTA(G52:H52)=0,"",G52-H52/3)</x:f>
      </x:c>
      <x:c r="K52"/>
      <x:c r="L52"/>
      <x:c r="M52"/>
      <x:c r="N52" t="str">
        <x:f>IF(COUNTA(K52:L52)=0,"",K52-L52/3)</x:f>
      </x:c>
      <x:c r="O52"/>
      <x:c r="P52"/>
      <x:c r="Q52"/>
      <x:c r="R52" t="str">
        <x:f>IF(COUNTA(O52:P52)=0,"",O52-P52/3)</x:f>
      </x:c>
      <x:c r="S52"/>
      <x:c r="T52"/>
      <x:c r="U52"/>
      <x:c r="V52" t="str">
        <x:f>IF(COUNTA(S52:T52)=0,"",S52-T52/3)</x:f>
      </x:c>
      <x:c r="W52"/>
      <x:c r="X52"/>
      <x:c r="Y52"/>
      <x:c r="Z52" t="str">
        <x:f>IF(COUNTA(W52:X52)=0,"",W52-X52/3)</x:f>
      </x:c>
      <x:c r="AA52"/>
      <x:c r="AB52"/>
      <x:c r="AC52"/>
      <x:c r="AD52" t="str">
        <x:f>IF(COUNTA(AA52:AB52)=0,"",AA52-AB52/3)</x:f>
      </x:c>
      <x:c r="AE52" t="str">
        <x:f>IF(COUNTA(G52:I52,K52:M52,O52:Q52,S52:U52,W52:Y52,AA52:AC52)=0,"",SUM(J52,N52,R52,V52,Z52,AD52))</x:f>
      </x:c>
      <x:c r="AF52"/>
      <x:c r="AG52" t="str"/>
      <x:c r="AH52" t="str"/>
      <x:c r="AI52" t="str"/>
      <x:c r="AJ52" t="str">
        <x:v>Hayır</x:v>
      </x:c>
      <x:c r="AK52" t="str">
        <x:v>Hayır</x:v>
      </x:c>
      <x:c r="AL52"/>
      <x:c r="AM52" t="str">
        <x:v>Planlandı</x:v>
      </x:c>
      <x:c r="AN52" t="str"/>
    </x:row>
    <x:row r="53">
      <x:c r="A53" t="n">
        <x:v>52</x:v>
      </x:c>
      <x:c r="B53" s="12" t="n">
        <x:v>46542</x:v>
      </x:c>
      <x:c r="C53" t="str">
        <x:v>Cuma</x:v>
      </x:c>
      <x:c r="D53" t="str">
        <x:v>Tam LGS</x:v>
      </x:c>
      <x:c r="E53" t="n">
        <x:v>75</x:v>
      </x:c>
      <x:c r="F53" t="n">
        <x:v>80</x:v>
      </x:c>
      <x:c r="G53"/>
      <x:c r="H53"/>
      <x:c r="I53"/>
      <x:c r="J53" t="str">
        <x:f>IF(COUNTA(G53:H53)=0,"",G53-H53/3)</x:f>
      </x:c>
      <x:c r="K53"/>
      <x:c r="L53"/>
      <x:c r="M53"/>
      <x:c r="N53" t="str">
        <x:f>IF(COUNTA(K53:L53)=0,"",K53-L53/3)</x:f>
      </x:c>
      <x:c r="O53"/>
      <x:c r="P53"/>
      <x:c r="Q53"/>
      <x:c r="R53" t="str">
        <x:f>IF(COUNTA(O53:P53)=0,"",O53-P53/3)</x:f>
      </x:c>
      <x:c r="S53"/>
      <x:c r="T53"/>
      <x:c r="U53"/>
      <x:c r="V53" t="str">
        <x:f>IF(COUNTA(S53:T53)=0,"",S53-T53/3)</x:f>
      </x:c>
      <x:c r="W53"/>
      <x:c r="X53"/>
      <x:c r="Y53"/>
      <x:c r="Z53" t="str">
        <x:f>IF(COUNTA(W53:X53)=0,"",W53-X53/3)</x:f>
      </x:c>
      <x:c r="AA53"/>
      <x:c r="AB53"/>
      <x:c r="AC53"/>
      <x:c r="AD53" t="str">
        <x:f>IF(COUNTA(AA53:AB53)=0,"",AA53-AB53/3)</x:f>
      </x:c>
      <x:c r="AE53" t="str">
        <x:f>IF(COUNTA(G53:I53,K53:M53,O53:Q53,S53:U53,W53:Y53,AA53:AC53)=0,"",SUM(J53,N53,R53,V53,Z53,AD53))</x:f>
      </x:c>
      <x:c r="AF53"/>
      <x:c r="AG53" t="str"/>
      <x:c r="AH53" t="str"/>
      <x:c r="AI53" t="str"/>
      <x:c r="AJ53" t="str">
        <x:v>Hayır</x:v>
      </x:c>
      <x:c r="AK53" t="str">
        <x:v>Hayır</x:v>
      </x:c>
      <x:c r="AL53"/>
      <x:c r="AM53" t="str">
        <x:v>Planlandı</x:v>
      </x:c>
      <x:c r="AN53" t="str"/>
    </x:row>
    <x:row r="54">
      <x:c r="A54" t="n">
        <x:v>53</x:v>
      </x:c>
      <x:c r="B54" s="12" t="n">
        <x:v>46543</x:v>
      </x:c>
      <x:c r="C54" t="str">
        <x:v>Cumartesi</x:v>
      </x:c>
      <x:c r="D54" t="str">
        <x:v>Tam LGS</x:v>
      </x:c>
      <x:c r="E54" t="n">
        <x:v>75</x:v>
      </x:c>
      <x:c r="F54" t="n">
        <x:v>80</x:v>
      </x:c>
      <x:c r="G54"/>
      <x:c r="H54"/>
      <x:c r="I54"/>
      <x:c r="J54" t="str">
        <x:f>IF(COUNTA(G54:H54)=0,"",G54-H54/3)</x:f>
      </x:c>
      <x:c r="K54"/>
      <x:c r="L54"/>
      <x:c r="M54"/>
      <x:c r="N54" t="str">
        <x:f>IF(COUNTA(K54:L54)=0,"",K54-L54/3)</x:f>
      </x:c>
      <x:c r="O54"/>
      <x:c r="P54"/>
      <x:c r="Q54"/>
      <x:c r="R54" t="str">
        <x:f>IF(COUNTA(O54:P54)=0,"",O54-P54/3)</x:f>
      </x:c>
      <x:c r="S54"/>
      <x:c r="T54"/>
      <x:c r="U54"/>
      <x:c r="V54" t="str">
        <x:f>IF(COUNTA(S54:T54)=0,"",S54-T54/3)</x:f>
      </x:c>
      <x:c r="W54"/>
      <x:c r="X54"/>
      <x:c r="Y54"/>
      <x:c r="Z54" t="str">
        <x:f>IF(COUNTA(W54:X54)=0,"",W54-X54/3)</x:f>
      </x:c>
      <x:c r="AA54"/>
      <x:c r="AB54"/>
      <x:c r="AC54"/>
      <x:c r="AD54" t="str">
        <x:f>IF(COUNTA(AA54:AB54)=0,"",AA54-AB54/3)</x:f>
      </x:c>
      <x:c r="AE54" t="str">
        <x:f>IF(COUNTA(G54:I54,K54:M54,O54:Q54,S54:U54,W54:Y54,AA54:AC54)=0,"",SUM(J54,N54,R54,V54,Z54,AD54))</x:f>
      </x:c>
      <x:c r="AF54"/>
      <x:c r="AG54" t="str"/>
      <x:c r="AH54" t="str"/>
      <x:c r="AI54" t="str"/>
      <x:c r="AJ54" t="str">
        <x:v>Hayır</x:v>
      </x:c>
      <x:c r="AK54" t="str">
        <x:v>Hayır</x:v>
      </x:c>
      <x:c r="AL54"/>
      <x:c r="AM54" t="str">
        <x:v>Planlandı</x:v>
      </x:c>
      <x:c r="AN54" t="str"/>
    </x:row>
    <x:row r="55">
      <x:c r="A55" t="n">
        <x:v>54</x:v>
      </x:c>
      <x:c r="B55" s="12" t="n">
        <x:v>46544</x:v>
      </x:c>
      <x:c r="C55" t="str">
        <x:v>Pazar</x:v>
      </x:c>
      <x:c r="D55" t="str">
        <x:v>Tam LGS</x:v>
      </x:c>
      <x:c r="E55" t="n">
        <x:v>75</x:v>
      </x:c>
      <x:c r="F55" t="n">
        <x:v>80</x:v>
      </x:c>
      <x:c r="G55"/>
      <x:c r="H55"/>
      <x:c r="I55"/>
      <x:c r="J55" t="str">
        <x:f>IF(COUNTA(G55:H55)=0,"",G55-H55/3)</x:f>
      </x:c>
      <x:c r="K55"/>
      <x:c r="L55"/>
      <x:c r="M55"/>
      <x:c r="N55" t="str">
        <x:f>IF(COUNTA(K55:L55)=0,"",K55-L55/3)</x:f>
      </x:c>
      <x:c r="O55"/>
      <x:c r="P55"/>
      <x:c r="Q55"/>
      <x:c r="R55" t="str">
        <x:f>IF(COUNTA(O55:P55)=0,"",O55-P55/3)</x:f>
      </x:c>
      <x:c r="S55"/>
      <x:c r="T55"/>
      <x:c r="U55"/>
      <x:c r="V55" t="str">
        <x:f>IF(COUNTA(S55:T55)=0,"",S55-T55/3)</x:f>
      </x:c>
      <x:c r="W55"/>
      <x:c r="X55"/>
      <x:c r="Y55"/>
      <x:c r="Z55" t="str">
        <x:f>IF(COUNTA(W55:X55)=0,"",W55-X55/3)</x:f>
      </x:c>
      <x:c r="AA55"/>
      <x:c r="AB55"/>
      <x:c r="AC55"/>
      <x:c r="AD55" t="str">
        <x:f>IF(COUNTA(AA55:AB55)=0,"",AA55-AB55/3)</x:f>
      </x:c>
      <x:c r="AE55" t="str">
        <x:f>IF(COUNTA(G55:I55,K55:M55,O55:Q55,S55:U55,W55:Y55,AA55:AC55)=0,"",SUM(J55,N55,R55,V55,Z55,AD55))</x:f>
      </x:c>
      <x:c r="AF55"/>
      <x:c r="AG55" t="str"/>
      <x:c r="AH55" t="str"/>
      <x:c r="AI55" t="str"/>
      <x:c r="AJ55" t="str">
        <x:v>Hayır</x:v>
      </x:c>
      <x:c r="AK55" t="str">
        <x:v>Hayır</x:v>
      </x:c>
      <x:c r="AL55"/>
      <x:c r="AM55" t="str">
        <x:v>Planlandı</x:v>
      </x:c>
      <x:c r="AN55" t="str"/>
    </x:row>
    <x:row r="56">
      <x:c r="A56" t="n">
        <x:v>55</x:v>
      </x:c>
      <x:c r="B56" s="12" t="n">
        <x:v>46545</x:v>
      </x:c>
      <x:c r="C56" t="str">
        <x:v>Pazartesi</x:v>
      </x:c>
      <x:c r="D56" t="str">
        <x:v>Tam LGS</x:v>
      </x:c>
      <x:c r="E56" t="n">
        <x:v>75</x:v>
      </x:c>
      <x:c r="F56" t="n">
        <x:v>80</x:v>
      </x:c>
      <x:c r="G56"/>
      <x:c r="H56"/>
      <x:c r="I56"/>
      <x:c r="J56" t="str">
        <x:f>IF(COUNTA(G56:H56)=0,"",G56-H56/3)</x:f>
      </x:c>
      <x:c r="K56"/>
      <x:c r="L56"/>
      <x:c r="M56"/>
      <x:c r="N56" t="str">
        <x:f>IF(COUNTA(K56:L56)=0,"",K56-L56/3)</x:f>
      </x:c>
      <x:c r="O56"/>
      <x:c r="P56"/>
      <x:c r="Q56"/>
      <x:c r="R56" t="str">
        <x:f>IF(COUNTA(O56:P56)=0,"",O56-P56/3)</x:f>
      </x:c>
      <x:c r="S56"/>
      <x:c r="T56"/>
      <x:c r="U56"/>
      <x:c r="V56" t="str">
        <x:f>IF(COUNTA(S56:T56)=0,"",S56-T56/3)</x:f>
      </x:c>
      <x:c r="W56"/>
      <x:c r="X56"/>
      <x:c r="Y56"/>
      <x:c r="Z56" t="str">
        <x:f>IF(COUNTA(W56:X56)=0,"",W56-X56/3)</x:f>
      </x:c>
      <x:c r="AA56"/>
      <x:c r="AB56"/>
      <x:c r="AC56"/>
      <x:c r="AD56" t="str">
        <x:f>IF(COUNTA(AA56:AB56)=0,"",AA56-AB56/3)</x:f>
      </x:c>
      <x:c r="AE56" t="str">
        <x:f>IF(COUNTA(G56:I56,K56:M56,O56:Q56,S56:U56,W56:Y56,AA56:AC56)=0,"",SUM(J56,N56,R56,V56,Z56,AD56))</x:f>
      </x:c>
      <x:c r="AF56"/>
      <x:c r="AG56" t="str"/>
      <x:c r="AH56" t="str"/>
      <x:c r="AI56" t="str"/>
      <x:c r="AJ56" t="str">
        <x:v>Hayır</x:v>
      </x:c>
      <x:c r="AK56" t="str">
        <x:v>Hayır</x:v>
      </x:c>
      <x:c r="AL56"/>
      <x:c r="AM56" t="str">
        <x:v>Planlandı</x:v>
      </x:c>
      <x:c r="AN56" t="str"/>
    </x:row>
    <x:row r="57">
      <x:c r="A57" t="n">
        <x:v>56</x:v>
      </x:c>
      <x:c r="B57" s="12" t="n">
        <x:v>46546</x:v>
      </x:c>
      <x:c r="C57" t="str">
        <x:v>Salı</x:v>
      </x:c>
      <x:c r="D57" t="str">
        <x:v>Tam LGS</x:v>
      </x:c>
      <x:c r="E57" t="n">
        <x:v>75</x:v>
      </x:c>
      <x:c r="F57" t="n">
        <x:v>80</x:v>
      </x:c>
      <x:c r="G57"/>
      <x:c r="H57"/>
      <x:c r="I57"/>
      <x:c r="J57" t="str">
        <x:f>IF(COUNTA(G57:H57)=0,"",G57-H57/3)</x:f>
      </x:c>
      <x:c r="K57"/>
      <x:c r="L57"/>
      <x:c r="M57"/>
      <x:c r="N57" t="str">
        <x:f>IF(COUNTA(K57:L57)=0,"",K57-L57/3)</x:f>
      </x:c>
      <x:c r="O57"/>
      <x:c r="P57"/>
      <x:c r="Q57"/>
      <x:c r="R57" t="str">
        <x:f>IF(COUNTA(O57:P57)=0,"",O57-P57/3)</x:f>
      </x:c>
      <x:c r="S57"/>
      <x:c r="T57"/>
      <x:c r="U57"/>
      <x:c r="V57" t="str">
        <x:f>IF(COUNTA(S57:T57)=0,"",S57-T57/3)</x:f>
      </x:c>
      <x:c r="W57"/>
      <x:c r="X57"/>
      <x:c r="Y57"/>
      <x:c r="Z57" t="str">
        <x:f>IF(COUNTA(W57:X57)=0,"",W57-X57/3)</x:f>
      </x:c>
      <x:c r="AA57"/>
      <x:c r="AB57"/>
      <x:c r="AC57"/>
      <x:c r="AD57" t="str">
        <x:f>IF(COUNTA(AA57:AB57)=0,"",AA57-AB57/3)</x:f>
      </x:c>
      <x:c r="AE57" t="str">
        <x:f>IF(COUNTA(G57:I57,K57:M57,O57:Q57,S57:U57,W57:Y57,AA57:AC57)=0,"",SUM(J57,N57,R57,V57,Z57,AD57))</x:f>
      </x:c>
      <x:c r="AF57"/>
      <x:c r="AG57" t="str"/>
      <x:c r="AH57" t="str"/>
      <x:c r="AI57" t="str"/>
      <x:c r="AJ57" t="str">
        <x:v>Hayır</x:v>
      </x:c>
      <x:c r="AK57" t="str">
        <x:v>Hayır</x:v>
      </x:c>
      <x:c r="AL57"/>
      <x:c r="AM57" t="str">
        <x:v>Planlandı</x:v>
      </x:c>
      <x:c r="AN57" t="str"/>
    </x:row>
    <x:row r="58">
      <x:c r="A58" t="n">
        <x:v>57</x:v>
      </x:c>
      <x:c r="B58" s="12" t="n">
        <x:v>46547</x:v>
      </x:c>
      <x:c r="C58" t="str">
        <x:v>Çarşamba</x:v>
      </x:c>
      <x:c r="D58" t="str">
        <x:v>Tam LGS</x:v>
      </x:c>
      <x:c r="E58" t="n">
        <x:v>75</x:v>
      </x:c>
      <x:c r="F58" t="n">
        <x:v>80</x:v>
      </x:c>
      <x:c r="G58"/>
      <x:c r="H58"/>
      <x:c r="I58"/>
      <x:c r="J58" t="str">
        <x:f>IF(COUNTA(G58:H58)=0,"",G58-H58/3)</x:f>
      </x:c>
      <x:c r="K58"/>
      <x:c r="L58"/>
      <x:c r="M58"/>
      <x:c r="N58" t="str">
        <x:f>IF(COUNTA(K58:L58)=0,"",K58-L58/3)</x:f>
      </x:c>
      <x:c r="O58"/>
      <x:c r="P58"/>
      <x:c r="Q58"/>
      <x:c r="R58" t="str">
        <x:f>IF(COUNTA(O58:P58)=0,"",O58-P58/3)</x:f>
      </x:c>
      <x:c r="S58"/>
      <x:c r="T58"/>
      <x:c r="U58"/>
      <x:c r="V58" t="str">
        <x:f>IF(COUNTA(S58:T58)=0,"",S58-T58/3)</x:f>
      </x:c>
      <x:c r="W58"/>
      <x:c r="X58"/>
      <x:c r="Y58"/>
      <x:c r="Z58" t="str">
        <x:f>IF(COUNTA(W58:X58)=0,"",W58-X58/3)</x:f>
      </x:c>
      <x:c r="AA58"/>
      <x:c r="AB58"/>
      <x:c r="AC58"/>
      <x:c r="AD58" t="str">
        <x:f>IF(COUNTA(AA58:AB58)=0,"",AA58-AB58/3)</x:f>
      </x:c>
      <x:c r="AE58" t="str">
        <x:f>IF(COUNTA(G58:I58,K58:M58,O58:Q58,S58:U58,W58:Y58,AA58:AC58)=0,"",SUM(J58,N58,R58,V58,Z58,AD58))</x:f>
      </x:c>
      <x:c r="AF58"/>
      <x:c r="AG58" t="str"/>
      <x:c r="AH58" t="str"/>
      <x:c r="AI58" t="str"/>
      <x:c r="AJ58" t="str">
        <x:v>Hayır</x:v>
      </x:c>
      <x:c r="AK58" t="str">
        <x:v>Hayır</x:v>
      </x:c>
      <x:c r="AL58"/>
      <x:c r="AM58" t="str">
        <x:v>Planlandı</x:v>
      </x:c>
      <x:c r="AN58" t="str"/>
    </x:row>
    <x:row r="59">
      <x:c r="A59" t="n">
        <x:v>58</x:v>
      </x:c>
      <x:c r="B59" s="12" t="n">
        <x:v>46548</x:v>
      </x:c>
      <x:c r="C59" t="str">
        <x:v>Perşembe</x:v>
      </x:c>
      <x:c r="D59" t="str">
        <x:v>Tam LGS</x:v>
      </x:c>
      <x:c r="E59" t="n">
        <x:v>75</x:v>
      </x:c>
      <x:c r="F59" t="n">
        <x:v>80</x:v>
      </x:c>
      <x:c r="G59"/>
      <x:c r="H59"/>
      <x:c r="I59"/>
      <x:c r="J59" t="str">
        <x:f>IF(COUNTA(G59:H59)=0,"",G59-H59/3)</x:f>
      </x:c>
      <x:c r="K59"/>
      <x:c r="L59"/>
      <x:c r="M59"/>
      <x:c r="N59" t="str">
        <x:f>IF(COUNTA(K59:L59)=0,"",K59-L59/3)</x:f>
      </x:c>
      <x:c r="O59"/>
      <x:c r="P59"/>
      <x:c r="Q59"/>
      <x:c r="R59" t="str">
        <x:f>IF(COUNTA(O59:P59)=0,"",O59-P59/3)</x:f>
      </x:c>
      <x:c r="S59"/>
      <x:c r="T59"/>
      <x:c r="U59"/>
      <x:c r="V59" t="str">
        <x:f>IF(COUNTA(S59:T59)=0,"",S59-T59/3)</x:f>
      </x:c>
      <x:c r="W59"/>
      <x:c r="X59"/>
      <x:c r="Y59"/>
      <x:c r="Z59" t="str">
        <x:f>IF(COUNTA(W59:X59)=0,"",W59-X59/3)</x:f>
      </x:c>
      <x:c r="AA59"/>
      <x:c r="AB59"/>
      <x:c r="AC59"/>
      <x:c r="AD59" t="str">
        <x:f>IF(COUNTA(AA59:AB59)=0,"",AA59-AB59/3)</x:f>
      </x:c>
      <x:c r="AE59" t="str">
        <x:f>IF(COUNTA(G59:I59,K59:M59,O59:Q59,S59:U59,W59:Y59,AA59:AC59)=0,"",SUM(J59,N59,R59,V59,Z59,AD59))</x:f>
      </x:c>
      <x:c r="AF59"/>
      <x:c r="AG59" t="str"/>
      <x:c r="AH59" t="str"/>
      <x:c r="AI59" t="str"/>
      <x:c r="AJ59" t="str">
        <x:v>Hayır</x:v>
      </x:c>
      <x:c r="AK59" t="str">
        <x:v>Hayır</x:v>
      </x:c>
      <x:c r="AL59"/>
      <x:c r="AM59" t="str">
        <x:v>Planlandı</x:v>
      </x:c>
      <x:c r="AN59" t="str"/>
    </x:row>
    <x:row r="60">
      <x:c r="A60" t="n">
        <x:v>59</x:v>
      </x:c>
      <x:c r="B60" s="12" t="n">
        <x:v>46549</x:v>
      </x:c>
      <x:c r="C60" t="str">
        <x:v>Cuma</x:v>
      </x:c>
      <x:c r="D60" t="str">
        <x:v>Tam LGS</x:v>
      </x:c>
      <x:c r="E60" t="n">
        <x:v>75</x:v>
      </x:c>
      <x:c r="F60" t="n">
        <x:v>80</x:v>
      </x:c>
      <x:c r="G60"/>
      <x:c r="H60"/>
      <x:c r="I60"/>
      <x:c r="J60" t="str">
        <x:f>IF(COUNTA(G60:H60)=0,"",G60-H60/3)</x:f>
      </x:c>
      <x:c r="K60"/>
      <x:c r="L60"/>
      <x:c r="M60"/>
      <x:c r="N60" t="str">
        <x:f>IF(COUNTA(K60:L60)=0,"",K60-L60/3)</x:f>
      </x:c>
      <x:c r="O60"/>
      <x:c r="P60"/>
      <x:c r="Q60"/>
      <x:c r="R60" t="str">
        <x:f>IF(COUNTA(O60:P60)=0,"",O60-P60/3)</x:f>
      </x:c>
      <x:c r="S60"/>
      <x:c r="T60"/>
      <x:c r="U60"/>
      <x:c r="V60" t="str">
        <x:f>IF(COUNTA(S60:T60)=0,"",S60-T60/3)</x:f>
      </x:c>
      <x:c r="W60"/>
      <x:c r="X60"/>
      <x:c r="Y60"/>
      <x:c r="Z60" t="str">
        <x:f>IF(COUNTA(W60:X60)=0,"",W60-X60/3)</x:f>
      </x:c>
      <x:c r="AA60"/>
      <x:c r="AB60"/>
      <x:c r="AC60"/>
      <x:c r="AD60" t="str">
        <x:f>IF(COUNTA(AA60:AB60)=0,"",AA60-AB60/3)</x:f>
      </x:c>
      <x:c r="AE60" t="str">
        <x:f>IF(COUNTA(G60:I60,K60:M60,O60:Q60,S60:U60,W60:Y60,AA60:AC60)=0,"",SUM(J60,N60,R60,V60,Z60,AD60))</x:f>
      </x:c>
      <x:c r="AF60"/>
      <x:c r="AG60" t="str"/>
      <x:c r="AH60" t="str"/>
      <x:c r="AI60" t="str"/>
      <x:c r="AJ60" t="str">
        <x:v>Hayır</x:v>
      </x:c>
      <x:c r="AK60" t="str">
        <x:v>Hayır</x:v>
      </x:c>
      <x:c r="AL60"/>
      <x:c r="AM60" t="str">
        <x:v>Planlandı</x:v>
      </x:c>
      <x:c r="AN60" t="str"/>
    </x:row>
    <x:row r="61">
      <x:c r="A61" t="n">
        <x:v>60</x:v>
      </x:c>
      <x:c r="B61" s="12" t="n">
        <x:v>46550</x:v>
      </x:c>
      <x:c r="C61" t="str">
        <x:v>Cumartesi</x:v>
      </x:c>
      <x:c r="D61" t="str">
        <x:v>Tam LGS</x:v>
      </x:c>
      <x:c r="E61" t="n">
        <x:v>75</x:v>
      </x:c>
      <x:c r="F61" t="n">
        <x:v>80</x:v>
      </x:c>
      <x:c r="G61"/>
      <x:c r="H61"/>
      <x:c r="I61"/>
      <x:c r="J61" t="str">
        <x:f>IF(COUNTA(G61:H61)=0,"",G61-H61/3)</x:f>
      </x:c>
      <x:c r="K61"/>
      <x:c r="L61"/>
      <x:c r="M61"/>
      <x:c r="N61" t="str">
        <x:f>IF(COUNTA(K61:L61)=0,"",K61-L61/3)</x:f>
      </x:c>
      <x:c r="O61"/>
      <x:c r="P61"/>
      <x:c r="Q61"/>
      <x:c r="R61" t="str">
        <x:f>IF(COUNTA(O61:P61)=0,"",O61-P61/3)</x:f>
      </x:c>
      <x:c r="S61"/>
      <x:c r="T61"/>
      <x:c r="U61"/>
      <x:c r="V61" t="str">
        <x:f>IF(COUNTA(S61:T61)=0,"",S61-T61/3)</x:f>
      </x:c>
      <x:c r="W61"/>
      <x:c r="X61"/>
      <x:c r="Y61"/>
      <x:c r="Z61" t="str">
        <x:f>IF(COUNTA(W61:X61)=0,"",W61-X61/3)</x:f>
      </x:c>
      <x:c r="AA61"/>
      <x:c r="AB61"/>
      <x:c r="AC61"/>
      <x:c r="AD61" t="str">
        <x:f>IF(COUNTA(AA61:AB61)=0,"",AA61-AB61/3)</x:f>
      </x:c>
      <x:c r="AE61" t="str">
        <x:f>IF(COUNTA(G61:I61,K61:M61,O61:Q61,S61:U61,W61:Y61,AA61:AC61)=0,"",SUM(J61,N61,R61,V61,Z61,AD61))</x:f>
      </x:c>
      <x:c r="AF61"/>
      <x:c r="AG61" t="str"/>
      <x:c r="AH61" t="str"/>
      <x:c r="AI61" t="str"/>
      <x:c r="AJ61" t="str">
        <x:v>Hayır</x:v>
      </x:c>
      <x:c r="AK61" t="str">
        <x:v>Hayır</x:v>
      </x:c>
      <x:c r="AL61"/>
      <x:c r="AM61" t="str">
        <x:v>Planlandı</x:v>
      </x:c>
      <x:c r="AN61" t="str"/>
    </x:row>
  </x:sheetData>
  <x:conditionalFormatting sqref="AM2:AM61">
    <x:cfRule type="expression" dxfId="2" priority="1">
      <x:formula>AM2="Tamamlandı"</x:formula>
    </x:cfRule>
    <x:cfRule type="expression" dxfId="3" priority="2">
      <x:formula>AM2="Telafi Gerekli"</x:formula>
    </x:cfRule>
  </x:conditionalFormatting>
  <x:dataValidations count="3">
    <x:dataValidation type="list" sqref="AJ2:AK61">
      <x:formula1>"Hayır,Evet"</x:formula1>
    </x:dataValidation>
    <x:dataValidation type="list" sqref="AL2:AL61">
      <x:formula1>"1,2,3,4,5"</x:formula1>
    </x:dataValidation>
    <x:dataValidation type="list" sqref="AM2:AM61">
      <x:formula1>"Planlandı,Tamamlandı,Eksik Analiz,Telafi Gerekli"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40bc26a72042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4" hidden="0" customWidth="1"/>
    <x:col min="10" max="10" width="16" hidden="0" customWidth="1"/>
    <x:col min="11" max="11" width="16" hidden="0" customWidth="1"/>
    <x:col min="12" max="12" width="58" hidden="0" customWidth="1"/>
    <x:col min="13" max="13" width="42" hidden="0" customWidth="1"/>
  </x:cols>
  <x:sheetData>
    <x:row r="1">
      <x:c r="A1" s="6" t="str">
        <x:v>Ders</x:v>
      </x:c>
      <x:c r="B1" s="6" t="str">
        <x:v>Konu</x:v>
      </x:c>
      <x:c r="C1" s="6" t="str">
        <x:v>Planlı MEB Gate Tarihi</x:v>
      </x:c>
      <x:c r="D1" s="6" t="str">
        <x:v>Kitap Konu Bölümü Bitti?</x:v>
      </x:c>
      <x:c r="E1" s="6" t="str">
        <x:v>MEB Bitti?</x:v>
      </x:c>
      <x:c r="F1" s="6" t="str">
        <x:v>MEB Doğru</x:v>
      </x:c>
      <x:c r="G1" s="6" t="str">
        <x:v>MEB Yanlış</x:v>
      </x:c>
      <x:c r="H1" s="6" t="str">
        <x:v>MEB Boş</x:v>
      </x:c>
      <x:c r="I1" s="6" t="str">
        <x:v>MEB Doğruluk</x:v>
      </x:c>
      <x:c r="J1" s="6" t="str">
        <x:v>Açık Hata Sayısı</x:v>
      </x:c>
      <x:c r="K1" s="6" t="str">
        <x:v>Ustalık Durumu</x:v>
      </x:c>
      <x:c r="L1" s="6" t="str">
        <x:v>Sonraki Aksiyon</x:v>
      </x:c>
      <x:c r="M1" s="6" t="str">
        <x:v>Koç Notu</x:v>
      </x:c>
    </x:row>
    <x:row r="2">
      <x:c r="A2" t="str">
        <x:v>Matematik</x:v>
      </x:c>
      <x:c r="B2" t="str">
        <x:v>Temel Kavramlar</x:v>
      </x:c>
      <x:c r="C2" s="12" t="n">
        <x:v>46297</x:v>
      </x:c>
      <x:c r="D2" t="str">
        <x:v>Hayır</x:v>
      </x:c>
      <x:c r="E2" t="str">
        <x:f>IF(COUNTIFS(MEB_Takibi!$B$2:$B$110,A2,MEB_Takibi!$C$2:$C$110,B2,MEB_Takibi!$K$2:$K$110,"Tamamlandı")&gt;0,"Evet","Hayır")</x:f>
        <x:v>Hayır</x:v>
      </x:c>
      <x:c r="F2" t="n">
        <x:f>SUMIFS(MEB_Takibi!$F$2:$F$110,MEB_Takibi!$B$2:$B$110,A2,MEB_Takibi!$C$2:$C$110,B2)</x:f>
        <x:v>0</x:v>
      </x:c>
      <x:c r="G2" t="n">
        <x:f>SUMIFS(MEB_Takibi!$G$2:$G$110,MEB_Takibi!$B$2:$B$110,A2,MEB_Takibi!$C$2:$C$110,B2)</x:f>
        <x:v>0</x:v>
      </x:c>
      <x:c r="H2" t="n">
        <x:f>SUMIFS(MEB_Takibi!$H$2:$H$110,MEB_Takibi!$B$2:$B$110,A2,MEB_Takibi!$C$2:$C$110,B2)</x:f>
        <x:v>0</x:v>
      </x:c>
      <x:c r="I2" s="22" t="str">
        <x:f>IF(SUM(F2:H2)=0,"",F2/SUM(F2:H2))</x:f>
      </x:c>
      <x:c r="J2" t="n">
        <x:f>COUNTIFS(Yanlis_Defteri!$B$2:$B$401,A2,Yanlis_Defteri!$C$2:$C$401,B2,Yanlis_Defteri!$O$2:$O$401,"Açık")</x:f>
        <x:v>0</x:v>
      </x:c>
      <x:c r="K2" t="str">
        <x:f>IF(OR(D2&lt;&gt;"Evet",E2&lt;&gt;"Evet"),"Eksik",IF(I2&lt;0.8,"Zayıf",IF(OR(I2&lt;0.9,J2&gt;0),"Pekiştirme","Güçlü")))</x:f>
        <x:v>Eksik</x:v>
      </x:c>
      <x:c r="L2" t="str">
        <x:f>IF(K2="Güçlü","Normal ilerle",IF(K2="Pekiştirme","10-20 hedefli soru + açık hataların +1/+7/+21 tekrarları",IF(K2="Zayıf","İlgili videoya dönüş + 20-30 hedefli soru + MEB yeniden doğrulama","Önce kitap konu bölümünü ve MEB doğrulamasını tamamla")))</x:f>
        <x:v>Önce kitap konu bölümünü ve MEB doğrulamasını tamamla</x:v>
      </x:c>
      <x:c r="M2" t="str"/>
    </x:row>
    <x:row r="3">
      <x:c r="A3" t="str">
        <x:v>Matematik</x:v>
      </x:c>
      <x:c r="B3" t="str">
        <x:v>Doğal Sayılar</x:v>
      </x:c>
      <x:c r="C3" s="12" t="n">
        <x:v>46299</x:v>
      </x:c>
      <x:c r="D3" t="str">
        <x:v>Hayır</x:v>
      </x:c>
      <x:c r="E3" t="str">
        <x:f>IF(COUNTIFS(MEB_Takibi!$B$2:$B$110,A3,MEB_Takibi!$C$2:$C$110,B3,MEB_Takibi!$K$2:$K$110,"Tamamlandı")&gt;0,"Evet","Hayır")</x:f>
        <x:v>Hayır</x:v>
      </x:c>
      <x:c r="F3" t="n">
        <x:f>SUMIFS(MEB_Takibi!$F$2:$F$110,MEB_Takibi!$B$2:$B$110,A3,MEB_Takibi!$C$2:$C$110,B3)</x:f>
        <x:v>0</x:v>
      </x:c>
      <x:c r="G3" t="n">
        <x:f>SUMIFS(MEB_Takibi!$G$2:$G$110,MEB_Takibi!$B$2:$B$110,A3,MEB_Takibi!$C$2:$C$110,B3)</x:f>
        <x:v>0</x:v>
      </x:c>
      <x:c r="H3" t="n">
        <x:f>SUMIFS(MEB_Takibi!$H$2:$H$110,MEB_Takibi!$B$2:$B$110,A3,MEB_Takibi!$C$2:$C$110,B3)</x:f>
        <x:v>0</x:v>
      </x:c>
      <x:c r="I3" s="22" t="str">
        <x:f>IF(SUM(F3:H3)=0,"",F3/SUM(F3:H3))</x:f>
      </x:c>
      <x:c r="J3" t="n">
        <x:f>COUNTIFS(Yanlis_Defteri!$B$2:$B$401,A3,Yanlis_Defteri!$C$2:$C$401,B3,Yanlis_Defteri!$O$2:$O$401,"Açık")</x:f>
        <x:v>0</x:v>
      </x:c>
      <x:c r="K3" t="str">
        <x:f>IF(OR(D3&lt;&gt;"Evet",E3&lt;&gt;"Evet"),"Eksik",IF(I3&lt;0.8,"Zayıf",IF(OR(I3&lt;0.9,J3&gt;0),"Pekiştirme","Güçlü")))</x:f>
        <x:v>Eksik</x:v>
      </x:c>
      <x:c r="L3" t="str">
        <x:f>IF(K3="Güçlü","Normal ilerle",IF(K3="Pekiştirme","10-20 hedefli soru + açık hataların +1/+7/+21 tekrarları",IF(K3="Zayıf","İlgili videoya dönüş + 20-30 hedefli soru + MEB yeniden doğrulama","Önce kitap konu bölümünü ve MEB doğrulamasını tamamla")))</x:f>
        <x:v>Önce kitap konu bölümünü ve MEB doğrulamasını tamamla</x:v>
      </x:c>
      <x:c r="M3" t="str"/>
    </x:row>
    <x:row r="4">
      <x:c r="A4" t="str">
        <x:v>Matematik</x:v>
      </x:c>
      <x:c r="B4" t="str">
        <x:v>Tam Sayılar</x:v>
      </x:c>
      <x:c r="C4" s="12" t="n">
        <x:v>46302</x:v>
      </x:c>
      <x:c r="D4" t="str">
        <x:v>Hayır</x:v>
      </x:c>
      <x:c r="E4" t="str">
        <x:f>IF(COUNTIFS(MEB_Takibi!$B$2:$B$110,A4,MEB_Takibi!$C$2:$C$110,B4,MEB_Takibi!$K$2:$K$110,"Tamamlandı")&gt;0,"Evet","Hayır")</x:f>
        <x:v>Hayır</x:v>
      </x:c>
      <x:c r="F4" t="n">
        <x:f>SUMIFS(MEB_Takibi!$F$2:$F$110,MEB_Takibi!$B$2:$B$110,A4,MEB_Takibi!$C$2:$C$110,B4)</x:f>
        <x:v>0</x:v>
      </x:c>
      <x:c r="G4" t="n">
        <x:f>SUMIFS(MEB_Takibi!$G$2:$G$110,MEB_Takibi!$B$2:$B$110,A4,MEB_Takibi!$C$2:$C$110,B4)</x:f>
        <x:v>0</x:v>
      </x:c>
      <x:c r="H4" t="n">
        <x:f>SUMIFS(MEB_Takibi!$H$2:$H$110,MEB_Takibi!$B$2:$B$110,A4,MEB_Takibi!$C$2:$C$110,B4)</x:f>
        <x:v>0</x:v>
      </x:c>
      <x:c r="I4" s="22" t="str">
        <x:f>IF(SUM(F4:H4)=0,"",F4/SUM(F4:H4))</x:f>
      </x:c>
      <x:c r="J4" t="n">
        <x:f>COUNTIFS(Yanlis_Defteri!$B$2:$B$401,A4,Yanlis_Defteri!$C$2:$C$401,B4,Yanlis_Defteri!$O$2:$O$401,"Açık")</x:f>
        <x:v>0</x:v>
      </x:c>
      <x:c r="K4" t="str">
        <x:f>IF(OR(D4&lt;&gt;"Evet",E4&lt;&gt;"Evet"),"Eksik",IF(I4&lt;0.8,"Zayıf",IF(OR(I4&lt;0.9,J4&gt;0),"Pekiştirme","Güçlü")))</x:f>
        <x:v>Eksik</x:v>
      </x:c>
      <x:c r="L4" t="str">
        <x:f>IF(K4="Güçlü","Normal ilerle",IF(K4="Pekiştirme","10-20 hedefli soru + açık hataların +1/+7/+21 tekrarları",IF(K4="Zayıf","İlgili videoya dönüş + 20-30 hedefli soru + MEB yeniden doğrulama","Önce kitap konu bölümünü ve MEB doğrulamasını tamamla")))</x:f>
        <x:v>Önce kitap konu bölümünü ve MEB doğrulamasını tamamla</x:v>
      </x:c>
      <x:c r="M4" t="str"/>
    </x:row>
    <x:row r="5">
      <x:c r="A5" t="str">
        <x:v>Matematik</x:v>
      </x:c>
      <x:c r="B5" t="str">
        <x:v>Rasyonel Sayılar</x:v>
      </x:c>
      <x:c r="C5" s="12" t="n">
        <x:v>46307</x:v>
      </x:c>
      <x:c r="D5" t="str">
        <x:v>Hayır</x:v>
      </x:c>
      <x:c r="E5" t="str">
        <x:f>IF(COUNTIFS(MEB_Takibi!$B$2:$B$110,A5,MEB_Takibi!$C$2:$C$110,B5,MEB_Takibi!$K$2:$K$110,"Tamamlandı")&gt;0,"Evet","Hayır")</x:f>
        <x:v>Hayır</x:v>
      </x:c>
      <x:c r="F5" t="n">
        <x:f>SUMIFS(MEB_Takibi!$F$2:$F$110,MEB_Takibi!$B$2:$B$110,A5,MEB_Takibi!$C$2:$C$110,B5)</x:f>
        <x:v>0</x:v>
      </x:c>
      <x:c r="G5" t="n">
        <x:f>SUMIFS(MEB_Takibi!$G$2:$G$110,MEB_Takibi!$B$2:$B$110,A5,MEB_Takibi!$C$2:$C$110,B5)</x:f>
        <x:v>0</x:v>
      </x:c>
      <x:c r="H5" t="n">
        <x:f>SUMIFS(MEB_Takibi!$H$2:$H$110,MEB_Takibi!$B$2:$B$110,A5,MEB_Takibi!$C$2:$C$110,B5)</x:f>
        <x:v>0</x:v>
      </x:c>
      <x:c r="I5" s="22" t="str">
        <x:f>IF(SUM(F5:H5)=0,"",F5/SUM(F5:H5))</x:f>
      </x:c>
      <x:c r="J5" t="n">
        <x:f>COUNTIFS(Yanlis_Defteri!$B$2:$B$401,A5,Yanlis_Defteri!$C$2:$C$401,B5,Yanlis_Defteri!$O$2:$O$401,"Açık")</x:f>
        <x:v>0</x:v>
      </x:c>
      <x:c r="K5" t="str">
        <x:f>IF(OR(D5&lt;&gt;"Evet",E5&lt;&gt;"Evet"),"Eksik",IF(I5&lt;0.8,"Zayıf",IF(OR(I5&lt;0.9,J5&gt;0),"Pekiştirme","Güçlü")))</x:f>
        <x:v>Eksik</x:v>
      </x:c>
      <x:c r="L5" t="str">
        <x:f>IF(K5="Güçlü","Normal ilerle",IF(K5="Pekiştirme","10-20 hedefli soru + açık hataların +1/+7/+21 tekrarları",IF(K5="Zayıf","İlgili videoya dönüş + 20-30 hedefli soru + MEB yeniden doğrulama","Önce kitap konu bölümünü ve MEB doğrulamasını tamamla")))</x:f>
        <x:v>Önce kitap konu bölümünü ve MEB doğrulamasını tamamla</x:v>
      </x:c>
      <x:c r="M5" t="str"/>
    </x:row>
    <x:row r="6">
      <x:c r="A6" t="str">
        <x:v>Matematik</x:v>
      </x:c>
      <x:c r="B6" t="str">
        <x:v>Ardışık Sayılar</x:v>
      </x:c>
      <x:c r="C6" s="12" t="n">
        <x:v>46310</x:v>
      </x:c>
      <x:c r="D6" t="str">
        <x:v>Hayır</x:v>
      </x:c>
      <x:c r="E6" t="str">
        <x:f>IF(COUNTIFS(MEB_Takibi!$B$2:$B$110,A6,MEB_Takibi!$C$2:$C$110,B6,MEB_Takibi!$K$2:$K$110,"Tamamlandı")&gt;0,"Evet","Hayır")</x:f>
        <x:v>Hayır</x:v>
      </x:c>
      <x:c r="F6" t="n">
        <x:f>SUMIFS(MEB_Takibi!$F$2:$F$110,MEB_Takibi!$B$2:$B$110,A6,MEB_Takibi!$C$2:$C$110,B6)</x:f>
        <x:v>0</x:v>
      </x:c>
      <x:c r="G6" t="n">
        <x:f>SUMIFS(MEB_Takibi!$G$2:$G$110,MEB_Takibi!$B$2:$B$110,A6,MEB_Takibi!$C$2:$C$110,B6)</x:f>
        <x:v>0</x:v>
      </x:c>
      <x:c r="H6" t="n">
        <x:f>SUMIFS(MEB_Takibi!$H$2:$H$110,MEB_Takibi!$B$2:$B$110,A6,MEB_Takibi!$C$2:$C$110,B6)</x:f>
        <x:v>0</x:v>
      </x:c>
      <x:c r="I6" s="22" t="str">
        <x:f>IF(SUM(F6:H6)=0,"",F6/SUM(F6:H6))</x:f>
      </x:c>
      <x:c r="J6" t="n">
        <x:f>COUNTIFS(Yanlis_Defteri!$B$2:$B$401,A6,Yanlis_Defteri!$C$2:$C$401,B6,Yanlis_Defteri!$O$2:$O$401,"Açık")</x:f>
        <x:v>0</x:v>
      </x:c>
      <x:c r="K6" t="str">
        <x:f>IF(OR(D6&lt;&gt;"Evet",E6&lt;&gt;"Evet"),"Eksik",IF(I6&lt;0.8,"Zayıf",IF(OR(I6&lt;0.9,J6&gt;0),"Pekiştirme","Güçlü")))</x:f>
        <x:v>Eksik</x:v>
      </x:c>
      <x:c r="L6" t="str">
        <x:f>IF(K6="Güçlü","Normal ilerle",IF(K6="Pekiştirme","10-20 hedefli soru + açık hataların +1/+7/+21 tekrarları",IF(K6="Zayıf","İlgili videoya dönüş + 20-30 hedefli soru + MEB yeniden doğrulama","Önce kitap konu bölümünü ve MEB doğrulamasını tamamla")))</x:f>
        <x:v>Önce kitap konu bölümünü ve MEB doğrulamasını tamamla</x:v>
      </x:c>
      <x:c r="M6" t="str"/>
    </x:row>
    <x:row r="7">
      <x:c r="A7" t="str">
        <x:v>Matematik</x:v>
      </x:c>
      <x:c r="B7" t="str">
        <x:v>Asal Sayılar ve Aralarında Asallık</x:v>
      </x:c>
      <x:c r="C7" s="12" t="n">
        <x:v>46313</x:v>
      </x:c>
      <x:c r="D7" t="str">
        <x:v>Hayır</x:v>
      </x:c>
      <x:c r="E7" t="str">
        <x:f>IF(COUNTIFS(MEB_Takibi!$B$2:$B$110,A7,MEB_Takibi!$C$2:$C$110,B7,MEB_Takibi!$K$2:$K$110,"Tamamlandı")&gt;0,"Evet","Hayır")</x:f>
        <x:v>Hayır</x:v>
      </x:c>
      <x:c r="F7" t="n">
        <x:f>SUMIFS(MEB_Takibi!$F$2:$F$110,MEB_Takibi!$B$2:$B$110,A7,MEB_Takibi!$C$2:$C$110,B7)</x:f>
        <x:v>0</x:v>
      </x:c>
      <x:c r="G7" t="n">
        <x:f>SUMIFS(MEB_Takibi!$G$2:$G$110,MEB_Takibi!$B$2:$B$110,A7,MEB_Takibi!$C$2:$C$110,B7)</x:f>
        <x:v>0</x:v>
      </x:c>
      <x:c r="H7" t="n">
        <x:f>SUMIFS(MEB_Takibi!$H$2:$H$110,MEB_Takibi!$B$2:$B$110,A7,MEB_Takibi!$C$2:$C$110,B7)</x:f>
        <x:v>0</x:v>
      </x:c>
      <x:c r="I7" s="22" t="str">
        <x:f>IF(SUM(F7:H7)=0,"",F7/SUM(F7:H7))</x:f>
      </x:c>
      <x:c r="J7" t="n">
        <x:f>COUNTIFS(Yanlis_Defteri!$B$2:$B$401,A7,Yanlis_Defteri!$C$2:$C$401,B7,Yanlis_Defteri!$O$2:$O$401,"Açık")</x:f>
        <x:v>0</x:v>
      </x:c>
      <x:c r="K7" t="str">
        <x:f>IF(OR(D7&lt;&gt;"Evet",E7&lt;&gt;"Evet"),"Eksik",IF(I7&lt;0.8,"Zayıf",IF(OR(I7&lt;0.9,J7&gt;0),"Pekiştirme","Güçlü")))</x:f>
        <x:v>Eksik</x:v>
      </x:c>
      <x:c r="L7" t="str">
        <x:f>IF(K7="Güçlü","Normal ilerle",IF(K7="Pekiştirme","10-20 hedefli soru + açık hataların +1/+7/+21 tekrarları",IF(K7="Zayıf","İlgili videoya dönüş + 20-30 hedefli soru + MEB yeniden doğrulama","Önce kitap konu bölümünü ve MEB doğrulamasını tamamla")))</x:f>
        <x:v>Önce kitap konu bölümünü ve MEB doğrulamasını tamamla</x:v>
      </x:c>
      <x:c r="M7" t="str"/>
    </x:row>
    <x:row r="8">
      <x:c r="A8" t="str">
        <x:v>Matematik</x:v>
      </x:c>
      <x:c r="B8" t="str">
        <x:v>Sayı Basamakları</x:v>
      </x:c>
      <x:c r="C8" s="12" t="n">
        <x:v>46316</x:v>
      </x:c>
      <x:c r="D8" t="str">
        <x:v>Hayır</x:v>
      </x:c>
      <x:c r="E8" t="str">
        <x:f>IF(COUNTIFS(MEB_Takibi!$B$2:$B$110,A8,MEB_Takibi!$C$2:$C$110,B8,MEB_Takibi!$K$2:$K$110,"Tamamlandı")&gt;0,"Evet","Hayır")</x:f>
        <x:v>Hayır</x:v>
      </x:c>
      <x:c r="F8" t="n">
        <x:f>SUMIFS(MEB_Takibi!$F$2:$F$110,MEB_Takibi!$B$2:$B$110,A8,MEB_Takibi!$C$2:$C$110,B8)</x:f>
        <x:v>0</x:v>
      </x:c>
      <x:c r="G8" t="n">
        <x:f>SUMIFS(MEB_Takibi!$G$2:$G$110,MEB_Takibi!$B$2:$B$110,A8,MEB_Takibi!$C$2:$C$110,B8)</x:f>
        <x:v>0</x:v>
      </x:c>
      <x:c r="H8" t="n">
        <x:f>SUMIFS(MEB_Takibi!$H$2:$H$110,MEB_Takibi!$B$2:$B$110,A8,MEB_Takibi!$C$2:$C$110,B8)</x:f>
        <x:v>0</x:v>
      </x:c>
      <x:c r="I8" s="22" t="str">
        <x:f>IF(SUM(F8:H8)=0,"",F8/SUM(F8:H8))</x:f>
      </x:c>
      <x:c r="J8" t="n">
        <x:f>COUNTIFS(Yanlis_Defteri!$B$2:$B$401,A8,Yanlis_Defteri!$C$2:$C$401,B8,Yanlis_Defteri!$O$2:$O$401,"Açık")</x:f>
        <x:v>0</x:v>
      </x:c>
      <x:c r="K8" t="str">
        <x:f>IF(OR(D8&lt;&gt;"Evet",E8&lt;&gt;"Evet"),"Eksik",IF(I8&lt;0.8,"Zayıf",IF(OR(I8&lt;0.9,J8&gt;0),"Pekiştirme","Güçlü")))</x:f>
        <x:v>Eksik</x:v>
      </x:c>
      <x:c r="L8" t="str">
        <x:f>IF(K8="Güçlü","Normal ilerle",IF(K8="Pekiştirme","10-20 hedefli soru + açık hataların +1/+7/+21 tekrarları",IF(K8="Zayıf","İlgili videoya dönüş + 20-30 hedefli soru + MEB yeniden doğrulama","Önce kitap konu bölümünü ve MEB doğrulamasını tamamla")))</x:f>
        <x:v>Önce kitap konu bölümünü ve MEB doğrulamasını tamamla</x:v>
      </x:c>
      <x:c r="M8" t="str"/>
    </x:row>
    <x:row r="9">
      <x:c r="A9" t="str">
        <x:v>Matematik</x:v>
      </x:c>
      <x:c r="B9" t="str">
        <x:v>Bölme ve Bölünebilme</x:v>
      </x:c>
      <x:c r="C9" s="12" t="n">
        <x:v>46322</x:v>
      </x:c>
      <x:c r="D9" t="str">
        <x:v>Hayır</x:v>
      </x:c>
      <x:c r="E9" t="str">
        <x:f>IF(COUNTIFS(MEB_Takibi!$B$2:$B$110,A9,MEB_Takibi!$C$2:$C$110,B9,MEB_Takibi!$K$2:$K$110,"Tamamlandı")&gt;0,"Evet","Hayır")</x:f>
        <x:v>Hayır</x:v>
      </x:c>
      <x:c r="F9" t="n">
        <x:f>SUMIFS(MEB_Takibi!$F$2:$F$110,MEB_Takibi!$B$2:$B$110,A9,MEB_Takibi!$C$2:$C$110,B9)</x:f>
        <x:v>0</x:v>
      </x:c>
      <x:c r="G9" t="n">
        <x:f>SUMIFS(MEB_Takibi!$G$2:$G$110,MEB_Takibi!$B$2:$B$110,A9,MEB_Takibi!$C$2:$C$110,B9)</x:f>
        <x:v>0</x:v>
      </x:c>
      <x:c r="H9" t="n">
        <x:f>SUMIFS(MEB_Takibi!$H$2:$H$110,MEB_Takibi!$B$2:$B$110,A9,MEB_Takibi!$C$2:$C$110,B9)</x:f>
        <x:v>0</x:v>
      </x:c>
      <x:c r="I9" s="22" t="str">
        <x:f>IF(SUM(F9:H9)=0,"",F9/SUM(F9:H9))</x:f>
      </x:c>
      <x:c r="J9" t="n">
        <x:f>COUNTIFS(Yanlis_Defteri!$B$2:$B$401,A9,Yanlis_Defteri!$C$2:$C$401,B9,Yanlis_Defteri!$O$2:$O$401,"Açık")</x:f>
        <x:v>0</x:v>
      </x:c>
      <x:c r="K9" t="str">
        <x:f>IF(OR(D9&lt;&gt;"Evet",E9&lt;&gt;"Evet"),"Eksik",IF(I9&lt;0.8,"Zayıf",IF(OR(I9&lt;0.9,J9&gt;0),"Pekiştirme","Güçlü")))</x:f>
        <x:v>Eksik</x:v>
      </x:c>
      <x:c r="L9" t="str">
        <x:f>IF(K9="Güçlü","Normal ilerle",IF(K9="Pekiştirme","10-20 hedefli soru + açık hataların +1/+7/+21 tekrarları",IF(K9="Zayıf","İlgili videoya dönüş + 20-30 hedefli soru + MEB yeniden doğrulama","Önce kitap konu bölümünü ve MEB doğrulamasını tamamla")))</x:f>
        <x:v>Önce kitap konu bölümünü ve MEB doğrulamasını tamamla</x:v>
      </x:c>
      <x:c r="M9" t="str"/>
    </x:row>
    <x:row r="10">
      <x:c r="A10" t="str">
        <x:v>Matematik</x:v>
      </x:c>
      <x:c r="B10" t="str">
        <x:v>Asal Çarpanlara Ayırma</x:v>
      </x:c>
      <x:c r="C10" s="12" t="n">
        <x:v>46326</x:v>
      </x:c>
      <x:c r="D10" t="str">
        <x:v>Hayır</x:v>
      </x:c>
      <x:c r="E10" t="str">
        <x:f>IF(COUNTIFS(MEB_Takibi!$B$2:$B$110,A10,MEB_Takibi!$C$2:$C$110,B10,MEB_Takibi!$K$2:$K$110,"Tamamlandı")&gt;0,"Evet","Hayır")</x:f>
        <x:v>Hayır</x:v>
      </x:c>
      <x:c r="F10" t="n">
        <x:f>SUMIFS(MEB_Takibi!$F$2:$F$110,MEB_Takibi!$B$2:$B$110,A10,MEB_Takibi!$C$2:$C$110,B10)</x:f>
        <x:v>0</x:v>
      </x:c>
      <x:c r="G10" t="n">
        <x:f>SUMIFS(MEB_Takibi!$G$2:$G$110,MEB_Takibi!$B$2:$B$110,A10,MEB_Takibi!$C$2:$C$110,B10)</x:f>
        <x:v>0</x:v>
      </x:c>
      <x:c r="H10" t="n">
        <x:f>SUMIFS(MEB_Takibi!$H$2:$H$110,MEB_Takibi!$B$2:$B$110,A10,MEB_Takibi!$C$2:$C$110,B10)</x:f>
        <x:v>0</x:v>
      </x:c>
      <x:c r="I10" s="22" t="str">
        <x:f>IF(SUM(F10:H10)=0,"",F10/SUM(F10:H10))</x:f>
      </x:c>
      <x:c r="J10" t="n">
        <x:f>COUNTIFS(Yanlis_Defteri!$B$2:$B$401,A10,Yanlis_Defteri!$C$2:$C$401,B10,Yanlis_Defteri!$O$2:$O$401,"Açık")</x:f>
        <x:v>0</x:v>
      </x:c>
      <x:c r="K10" t="str">
        <x:f>IF(OR(D10&lt;&gt;"Evet",E10&lt;&gt;"Evet"),"Eksik",IF(I10&lt;0.8,"Zayıf",IF(OR(I10&lt;0.9,J10&gt;0),"Pekiştirme","Güçlü")))</x:f>
        <x:v>Eksik</x:v>
      </x:c>
      <x:c r="L10" t="str">
        <x:f>IF(K10="Güçlü","Normal ilerle",IF(K10="Pekiştirme","10-20 hedefli soru + açık hataların +1/+7/+21 tekrarları",IF(K10="Zayıf","İlgili videoya dönüş + 20-30 hedefli soru + MEB yeniden doğrulama","Önce kitap konu bölümünü ve MEB doğrulamasını tamamla")))</x:f>
        <x:v>Önce kitap konu bölümünü ve MEB doğrulamasını tamamla</x:v>
      </x:c>
      <x:c r="M10" t="str"/>
    </x:row>
    <x:row r="11">
      <x:c r="A11" t="str">
        <x:v>Matematik</x:v>
      </x:c>
      <x:c r="B11" t="str">
        <x:v>EBOB - EKOK</x:v>
      </x:c>
      <x:c r="C11" s="12" t="n">
        <x:v>46330</x:v>
      </x:c>
      <x:c r="D11" t="str">
        <x:v>Hayır</x:v>
      </x:c>
      <x:c r="E11" t="str">
        <x:f>IF(COUNTIFS(MEB_Takibi!$B$2:$B$110,A11,MEB_Takibi!$C$2:$C$110,B11,MEB_Takibi!$K$2:$K$110,"Tamamlandı")&gt;0,"Evet","Hayır")</x:f>
        <x:v>Hayır</x:v>
      </x:c>
      <x:c r="F11" t="n">
        <x:f>SUMIFS(MEB_Takibi!$F$2:$F$110,MEB_Takibi!$B$2:$B$110,A11,MEB_Takibi!$C$2:$C$110,B11)</x:f>
        <x:v>0</x:v>
      </x:c>
      <x:c r="G11" t="n">
        <x:f>SUMIFS(MEB_Takibi!$G$2:$G$110,MEB_Takibi!$B$2:$B$110,A11,MEB_Takibi!$C$2:$C$110,B11)</x:f>
        <x:v>0</x:v>
      </x:c>
      <x:c r="H11" t="n">
        <x:f>SUMIFS(MEB_Takibi!$H$2:$H$110,MEB_Takibi!$B$2:$B$110,A11,MEB_Takibi!$C$2:$C$110,B11)</x:f>
        <x:v>0</x:v>
      </x:c>
      <x:c r="I11" s="22" t="str">
        <x:f>IF(SUM(F11:H11)=0,"",F11/SUM(F11:H11))</x:f>
      </x:c>
      <x:c r="J11" t="n">
        <x:f>COUNTIFS(Yanlis_Defteri!$B$2:$B$401,A11,Yanlis_Defteri!$C$2:$C$401,B11,Yanlis_Defteri!$O$2:$O$401,"Açık")</x:f>
        <x:v>0</x:v>
      </x:c>
      <x:c r="K11" t="str">
        <x:f>IF(OR(D11&lt;&gt;"Evet",E11&lt;&gt;"Evet"),"Eksik",IF(I11&lt;0.8,"Zayıf",IF(OR(I11&lt;0.9,J11&gt;0),"Pekiştirme","Güçlü")))</x:f>
        <x:v>Eksik</x:v>
      </x:c>
      <x:c r="L11" t="str">
        <x:f>IF(K11="Güçlü","Normal ilerle",IF(K11="Pekiştirme","10-20 hedefli soru + açık hataların +1/+7/+21 tekrarları",IF(K11="Zayıf","İlgili videoya dönüş + 20-30 hedefli soru + MEB yeniden doğrulama","Önce kitap konu bölümünü ve MEB doğrulamasını tamamla")))</x:f>
        <x:v>Önce kitap konu bölümünü ve MEB doğrulamasını tamamla</x:v>
      </x:c>
      <x:c r="M11" t="str"/>
    </x:row>
    <x:row r="12">
      <x:c r="A12" t="str">
        <x:v>Matematik</x:v>
      </x:c>
      <x:c r="B12" t="str">
        <x:v>Sıralama ve Basit Eşitsizlik Altyapısı</x:v>
      </x:c>
      <x:c r="C12" s="12" t="n">
        <x:v>46333</x:v>
      </x:c>
      <x:c r="D12" t="str">
        <x:v>Hayır</x:v>
      </x:c>
      <x:c r="E12" t="str">
        <x:f>IF(COUNTIFS(MEB_Takibi!$B$2:$B$110,A12,MEB_Takibi!$C$2:$C$110,B12,MEB_Takibi!$K$2:$K$110,"Tamamlandı")&gt;0,"Evet","Hayır")</x:f>
        <x:v>Hayır</x:v>
      </x:c>
      <x:c r="F12" t="n">
        <x:f>SUMIFS(MEB_Takibi!$F$2:$F$110,MEB_Takibi!$B$2:$B$110,A12,MEB_Takibi!$C$2:$C$110,B12)</x:f>
        <x:v>0</x:v>
      </x:c>
      <x:c r="G12" t="n">
        <x:f>SUMIFS(MEB_Takibi!$G$2:$G$110,MEB_Takibi!$B$2:$B$110,A12,MEB_Takibi!$C$2:$C$110,B12)</x:f>
        <x:v>0</x:v>
      </x:c>
      <x:c r="H12" t="n">
        <x:f>SUMIFS(MEB_Takibi!$H$2:$H$110,MEB_Takibi!$B$2:$B$110,A12,MEB_Takibi!$C$2:$C$110,B12)</x:f>
        <x:v>0</x:v>
      </x:c>
      <x:c r="I12" s="22" t="str">
        <x:f>IF(SUM(F12:H12)=0,"",F12/SUM(F12:H12))</x:f>
      </x:c>
      <x:c r="J12" t="n">
        <x:f>COUNTIFS(Yanlis_Defteri!$B$2:$B$401,A12,Yanlis_Defteri!$C$2:$C$401,B12,Yanlis_Defteri!$O$2:$O$401,"Açık")</x:f>
        <x:v>0</x:v>
      </x:c>
      <x:c r="K12" t="str">
        <x:f>IF(OR(D12&lt;&gt;"Evet",E12&lt;&gt;"Evet"),"Eksik",IF(I12&lt;0.8,"Zayıf",IF(OR(I12&lt;0.9,J12&gt;0),"Pekiştirme","Güçlü")))</x:f>
        <x:v>Eksik</x:v>
      </x:c>
      <x:c r="L12" t="str">
        <x:f>IF(K12="Güçlü","Normal ilerle",IF(K12="Pekiştirme","10-20 hedefli soru + açık hataların +1/+7/+21 tekrarları",IF(K12="Zayıf","İlgili videoya dönüş + 20-30 hedefli soru + MEB yeniden doğrulama","Önce kitap konu bölümünü ve MEB doğrulamasını tamamla")))</x:f>
        <x:v>Önce kitap konu bölümünü ve MEB doğrulamasını tamamla</x:v>
      </x:c>
      <x:c r="M12" t="str"/>
    </x:row>
    <x:row r="13">
      <x:c r="A13" t="str">
        <x:v>Matematik</x:v>
      </x:c>
      <x:c r="B13" t="str">
        <x:v>Mutlak Değer ve Sayı Doğrusu</x:v>
      </x:c>
      <x:c r="C13" s="12" t="n">
        <x:v>46336</x:v>
      </x:c>
      <x:c r="D13" t="str">
        <x:v>Hayır</x:v>
      </x:c>
      <x:c r="E13" t="str">
        <x:f>IF(COUNTIFS(MEB_Takibi!$B$2:$B$110,A13,MEB_Takibi!$C$2:$C$110,B13,MEB_Takibi!$K$2:$K$110,"Tamamlandı")&gt;0,"Evet","Hayır")</x:f>
        <x:v>Hayır</x:v>
      </x:c>
      <x:c r="F13" t="n">
        <x:f>SUMIFS(MEB_Takibi!$F$2:$F$110,MEB_Takibi!$B$2:$B$110,A13,MEB_Takibi!$C$2:$C$110,B13)</x:f>
        <x:v>0</x:v>
      </x:c>
      <x:c r="G13" t="n">
        <x:f>SUMIFS(MEB_Takibi!$G$2:$G$110,MEB_Takibi!$B$2:$B$110,A13,MEB_Takibi!$C$2:$C$110,B13)</x:f>
        <x:v>0</x:v>
      </x:c>
      <x:c r="H13" t="n">
        <x:f>SUMIFS(MEB_Takibi!$H$2:$H$110,MEB_Takibi!$B$2:$B$110,A13,MEB_Takibi!$C$2:$C$110,B13)</x:f>
        <x:v>0</x:v>
      </x:c>
      <x:c r="I13" s="22" t="str">
        <x:f>IF(SUM(F13:H13)=0,"",F13/SUM(F13:H13))</x:f>
      </x:c>
      <x:c r="J13" t="n">
        <x:f>COUNTIFS(Yanlis_Defteri!$B$2:$B$401,A13,Yanlis_Defteri!$C$2:$C$401,B13,Yanlis_Defteri!$O$2:$O$401,"Açık")</x:f>
        <x:v>0</x:v>
      </x:c>
      <x:c r="K13" t="str">
        <x:f>IF(OR(D13&lt;&gt;"Evet",E13&lt;&gt;"Evet"),"Eksik",IF(I13&lt;0.8,"Zayıf",IF(OR(I13&lt;0.9,J13&gt;0),"Pekiştirme","Güçlü")))</x:f>
        <x:v>Eksik</x:v>
      </x:c>
      <x:c r="L13" t="str">
        <x:f>IF(K13="Güçlü","Normal ilerle",IF(K13="Pekiştirme","10-20 hedefli soru + açık hataların +1/+7/+21 tekrarları",IF(K13="Zayıf","İlgili videoya dönüş + 20-30 hedefli soru + MEB yeniden doğrulama","Önce kitap konu bölümünü ve MEB doğrulamasını tamamla")))</x:f>
        <x:v>Önce kitap konu bölümünü ve MEB doğrulamasını tamamla</x:v>
      </x:c>
      <x:c r="M13" t="str"/>
    </x:row>
    <x:row r="14">
      <x:c r="A14" t="str">
        <x:v>Matematik</x:v>
      </x:c>
      <x:c r="B14" t="str">
        <x:v>Üslü Sayılar ve Bilimsel Gösterim Altyapısı</x:v>
      </x:c>
      <x:c r="C14" s="12" t="n">
        <x:v>46341</x:v>
      </x:c>
      <x:c r="D14" t="str">
        <x:v>Hayır</x:v>
      </x:c>
      <x:c r="E14" t="str">
        <x:f>IF(COUNTIFS(MEB_Takibi!$B$2:$B$110,A14,MEB_Takibi!$C$2:$C$110,B14,MEB_Takibi!$K$2:$K$110,"Tamamlandı")&gt;0,"Evet","Hayır")</x:f>
        <x:v>Hayır</x:v>
      </x:c>
      <x:c r="F14" t="n">
        <x:f>SUMIFS(MEB_Takibi!$F$2:$F$110,MEB_Takibi!$B$2:$B$110,A14,MEB_Takibi!$C$2:$C$110,B14)</x:f>
        <x:v>0</x:v>
      </x:c>
      <x:c r="G14" t="n">
        <x:f>SUMIFS(MEB_Takibi!$G$2:$G$110,MEB_Takibi!$B$2:$B$110,A14,MEB_Takibi!$C$2:$C$110,B14)</x:f>
        <x:v>0</x:v>
      </x:c>
      <x:c r="H14" t="n">
        <x:f>SUMIFS(MEB_Takibi!$H$2:$H$110,MEB_Takibi!$B$2:$B$110,A14,MEB_Takibi!$C$2:$C$110,B14)</x:f>
        <x:v>0</x:v>
      </x:c>
      <x:c r="I14" s="22" t="str">
        <x:f>IF(SUM(F14:H14)=0,"",F14/SUM(F14:H14))</x:f>
      </x:c>
      <x:c r="J14" t="n">
        <x:f>COUNTIFS(Yanlis_Defteri!$B$2:$B$401,A14,Yanlis_Defteri!$C$2:$C$401,B14,Yanlis_Defteri!$O$2:$O$401,"Açık")</x:f>
        <x:v>0</x:v>
      </x:c>
      <x:c r="K14" t="str">
        <x:f>IF(OR(D14&lt;&gt;"Evet",E14&lt;&gt;"Evet"),"Eksik",IF(I14&lt;0.8,"Zayıf",IF(OR(I14&lt;0.9,J14&gt;0),"Pekiştirme","Güçlü")))</x:f>
        <x:v>Eksik</x:v>
      </x:c>
      <x:c r="L14" t="str">
        <x:f>IF(K14="Güçlü","Normal ilerle",IF(K14="Pekiştirme","10-20 hedefli soru + açık hataların +1/+7/+21 tekrarları",IF(K14="Zayıf","İlgili videoya dönüş + 20-30 hedefli soru + MEB yeniden doğrulama","Önce kitap konu bölümünü ve MEB doğrulamasını tamamla")))</x:f>
        <x:v>Önce kitap konu bölümünü ve MEB doğrulamasını tamamla</x:v>
      </x:c>
      <x:c r="M14" t="str"/>
    </x:row>
    <x:row r="15">
      <x:c r="A15" t="str">
        <x:v>Matematik</x:v>
      </x:c>
      <x:c r="B15" t="str">
        <x:v>Köklü Sayılar Altyapısı</x:v>
      </x:c>
      <x:c r="C15" s="12" t="n">
        <x:v>46347</x:v>
      </x:c>
      <x:c r="D15" t="str">
        <x:v>Hayır</x:v>
      </x:c>
      <x:c r="E15" t="str">
        <x:f>IF(COUNTIFS(MEB_Takibi!$B$2:$B$110,A15,MEB_Takibi!$C$2:$C$110,B15,MEB_Takibi!$K$2:$K$110,"Tamamlandı")&gt;0,"Evet","Hayır")</x:f>
        <x:v>Hayır</x:v>
      </x:c>
      <x:c r="F15" t="n">
        <x:f>SUMIFS(MEB_Takibi!$F$2:$F$110,MEB_Takibi!$B$2:$B$110,A15,MEB_Takibi!$C$2:$C$110,B15)</x:f>
        <x:v>0</x:v>
      </x:c>
      <x:c r="G15" t="n">
        <x:f>SUMIFS(MEB_Takibi!$G$2:$G$110,MEB_Takibi!$B$2:$B$110,A15,MEB_Takibi!$C$2:$C$110,B15)</x:f>
        <x:v>0</x:v>
      </x:c>
      <x:c r="H15" t="n">
        <x:f>SUMIFS(MEB_Takibi!$H$2:$H$110,MEB_Takibi!$B$2:$B$110,A15,MEB_Takibi!$C$2:$C$110,B15)</x:f>
        <x:v>0</x:v>
      </x:c>
      <x:c r="I15" s="22" t="str">
        <x:f>IF(SUM(F15:H15)=0,"",F15/SUM(F15:H15))</x:f>
      </x:c>
      <x:c r="J15" t="n">
        <x:f>COUNTIFS(Yanlis_Defteri!$B$2:$B$401,A15,Yanlis_Defteri!$C$2:$C$401,B15,Yanlis_Defteri!$O$2:$O$401,"Açık")</x:f>
        <x:v>0</x:v>
      </x:c>
      <x:c r="K15" t="str">
        <x:f>IF(OR(D15&lt;&gt;"Evet",E15&lt;&gt;"Evet"),"Eksik",IF(I15&lt;0.8,"Zayıf",IF(OR(I15&lt;0.9,J15&gt;0),"Pekiştirme","Güçlü")))</x:f>
        <x:v>Eksik</x:v>
      </x:c>
      <x:c r="L15" t="str">
        <x:f>IF(K15="Güçlü","Normal ilerle",IF(K15="Pekiştirme","10-20 hedefli soru + açık hataların +1/+7/+21 tekrarları",IF(K15="Zayıf","İlgili videoya dönüş + 20-30 hedefli soru + MEB yeniden doğrulama","Önce kitap konu bölümünü ve MEB doğrulamasını tamamla")))</x:f>
        <x:v>Önce kitap konu bölümünü ve MEB doğrulamasını tamamla</x:v>
      </x:c>
      <x:c r="M15" t="str"/>
    </x:row>
    <x:row r="16">
      <x:c r="A16" t="str">
        <x:v>Matematik</x:v>
      </x:c>
      <x:c r="B16" t="str">
        <x:v>Oran - Orantı</x:v>
      </x:c>
      <x:c r="C16" s="12" t="n">
        <x:v>46352</x:v>
      </x:c>
      <x:c r="D16" t="str">
        <x:v>Hayır</x:v>
      </x:c>
      <x:c r="E16" t="str">
        <x:f>IF(COUNTIFS(MEB_Takibi!$B$2:$B$110,A16,MEB_Takibi!$C$2:$C$110,B16,MEB_Takibi!$K$2:$K$110,"Tamamlandı")&gt;0,"Evet","Hayır")</x:f>
        <x:v>Hayır</x:v>
      </x:c>
      <x:c r="F16" t="n">
        <x:f>SUMIFS(MEB_Takibi!$F$2:$F$110,MEB_Takibi!$B$2:$B$110,A16,MEB_Takibi!$C$2:$C$110,B16)</x:f>
        <x:v>0</x:v>
      </x:c>
      <x:c r="G16" t="n">
        <x:f>SUMIFS(MEB_Takibi!$G$2:$G$110,MEB_Takibi!$B$2:$B$110,A16,MEB_Takibi!$C$2:$C$110,B16)</x:f>
        <x:v>0</x:v>
      </x:c>
      <x:c r="H16" t="n">
        <x:f>SUMIFS(MEB_Takibi!$H$2:$H$110,MEB_Takibi!$B$2:$B$110,A16,MEB_Takibi!$C$2:$C$110,B16)</x:f>
        <x:v>0</x:v>
      </x:c>
      <x:c r="I16" s="22" t="str">
        <x:f>IF(SUM(F16:H16)=0,"",F16/SUM(F16:H16))</x:f>
      </x:c>
      <x:c r="J16" t="n">
        <x:f>COUNTIFS(Yanlis_Defteri!$B$2:$B$401,A16,Yanlis_Defteri!$C$2:$C$401,B16,Yanlis_Defteri!$O$2:$O$401,"Açık")</x:f>
        <x:v>0</x:v>
      </x:c>
      <x:c r="K16" t="str">
        <x:f>IF(OR(D16&lt;&gt;"Evet",E16&lt;&gt;"Evet"),"Eksik",IF(I16&lt;0.8,"Zayıf",IF(OR(I16&lt;0.9,J16&gt;0),"Pekiştirme","Güçlü")))</x:f>
        <x:v>Eksik</x:v>
      </x:c>
      <x:c r="L16" t="str">
        <x:f>IF(K16="Güçlü","Normal ilerle",IF(K16="Pekiştirme","10-20 hedefli soru + açık hataların +1/+7/+21 tekrarları",IF(K16="Zayıf","İlgili videoya dönüş + 20-30 hedefli soru + MEB yeniden doğrulama","Önce kitap konu bölümünü ve MEB doğrulamasını tamamla")))</x:f>
        <x:v>Önce kitap konu bölümünü ve MEB doğrulamasını tamamla</x:v>
      </x:c>
      <x:c r="M16" t="str"/>
    </x:row>
    <x:row r="17">
      <x:c r="A17" t="str">
        <x:v>Matematik</x:v>
      </x:c>
      <x:c r="B17" t="str">
        <x:v>Denklem Çözme</x:v>
      </x:c>
      <x:c r="C17" s="12" t="n">
        <x:v>46355</x:v>
      </x:c>
      <x:c r="D17" t="str">
        <x:v>Hayır</x:v>
      </x:c>
      <x:c r="E17" t="str">
        <x:f>IF(COUNTIFS(MEB_Takibi!$B$2:$B$110,A17,MEB_Takibi!$C$2:$C$110,B17,MEB_Takibi!$K$2:$K$110,"Tamamlandı")&gt;0,"Evet","Hayır")</x:f>
        <x:v>Hayır</x:v>
      </x:c>
      <x:c r="F17" t="n">
        <x:f>SUMIFS(MEB_Takibi!$F$2:$F$110,MEB_Takibi!$B$2:$B$110,A17,MEB_Takibi!$C$2:$C$110,B17)</x:f>
        <x:v>0</x:v>
      </x:c>
      <x:c r="G17" t="n">
        <x:f>SUMIFS(MEB_Takibi!$G$2:$G$110,MEB_Takibi!$B$2:$B$110,A17,MEB_Takibi!$C$2:$C$110,B17)</x:f>
        <x:v>0</x:v>
      </x:c>
      <x:c r="H17" t="n">
        <x:f>SUMIFS(MEB_Takibi!$H$2:$H$110,MEB_Takibi!$B$2:$B$110,A17,MEB_Takibi!$C$2:$C$110,B17)</x:f>
        <x:v>0</x:v>
      </x:c>
      <x:c r="I17" s="22" t="str">
        <x:f>IF(SUM(F17:H17)=0,"",F17/SUM(F17:H17))</x:f>
      </x:c>
      <x:c r="J17" t="n">
        <x:f>COUNTIFS(Yanlis_Defteri!$B$2:$B$401,A17,Yanlis_Defteri!$C$2:$C$401,B17,Yanlis_Defteri!$O$2:$O$401,"Açık")</x:f>
        <x:v>0</x:v>
      </x:c>
      <x:c r="K17" t="str">
        <x:f>IF(OR(D17&lt;&gt;"Evet",E17&lt;&gt;"Evet"),"Eksik",IF(I17&lt;0.8,"Zayıf",IF(OR(I17&lt;0.9,J17&gt;0),"Pekiştirme","Güçlü")))</x:f>
        <x:v>Eksik</x:v>
      </x:c>
      <x:c r="L17" t="str">
        <x:f>IF(K17="Güçlü","Normal ilerle",IF(K17="Pekiştirme","10-20 hedefli soru + açık hataların +1/+7/+21 tekrarları",IF(K17="Zayıf","İlgili videoya dönüş + 20-30 hedefli soru + MEB yeniden doğrulama","Önce kitap konu bölümünü ve MEB doğrulamasını tamamla")))</x:f>
        <x:v>Önce kitap konu bölümünü ve MEB doğrulamasını tamamla</x:v>
      </x:c>
      <x:c r="M17" t="str"/>
    </x:row>
    <x:row r="18">
      <x:c r="A18" t="str">
        <x:v>Matematik</x:v>
      </x:c>
      <x:c r="B18" t="str">
        <x:v>Denklem Kurma Problemleri</x:v>
      </x:c>
      <x:c r="C18" s="12" t="n">
        <x:v>46360</x:v>
      </x:c>
      <x:c r="D18" t="str">
        <x:v>Hayır</x:v>
      </x:c>
      <x:c r="E18" t="str">
        <x:f>IF(COUNTIFS(MEB_Takibi!$B$2:$B$110,A18,MEB_Takibi!$C$2:$C$110,B18,MEB_Takibi!$K$2:$K$110,"Tamamlandı")&gt;0,"Evet","Hayır")</x:f>
        <x:v>Hayır</x:v>
      </x:c>
      <x:c r="F18" t="n">
        <x:f>SUMIFS(MEB_Takibi!$F$2:$F$110,MEB_Takibi!$B$2:$B$110,A18,MEB_Takibi!$C$2:$C$110,B18)</x:f>
        <x:v>0</x:v>
      </x:c>
      <x:c r="G18" t="n">
        <x:f>SUMIFS(MEB_Takibi!$G$2:$G$110,MEB_Takibi!$B$2:$B$110,A18,MEB_Takibi!$C$2:$C$110,B18)</x:f>
        <x:v>0</x:v>
      </x:c>
      <x:c r="H18" t="n">
        <x:f>SUMIFS(MEB_Takibi!$H$2:$H$110,MEB_Takibi!$B$2:$B$110,A18,MEB_Takibi!$C$2:$C$110,B18)</x:f>
        <x:v>0</x:v>
      </x:c>
      <x:c r="I18" s="22" t="str">
        <x:f>IF(SUM(F18:H18)=0,"",F18/SUM(F18:H18))</x:f>
      </x:c>
      <x:c r="J18" t="n">
        <x:f>COUNTIFS(Yanlis_Defteri!$B$2:$B$401,A18,Yanlis_Defteri!$C$2:$C$401,B18,Yanlis_Defteri!$O$2:$O$401,"Açık")</x:f>
        <x:v>0</x:v>
      </x:c>
      <x:c r="K18" t="str">
        <x:f>IF(OR(D18&lt;&gt;"Evet",E18&lt;&gt;"Evet"),"Eksik",IF(I18&lt;0.8,"Zayıf",IF(OR(I18&lt;0.9,J18&gt;0),"Pekiştirme","Güçlü")))</x:f>
        <x:v>Eksik</x:v>
      </x:c>
      <x:c r="L18" t="str">
        <x:f>IF(K18="Güçlü","Normal ilerle",IF(K18="Pekiştirme","10-20 hedefli soru + açık hataların +1/+7/+21 tekrarları",IF(K18="Zayıf","İlgili videoya dönüş + 20-30 hedefli soru + MEB yeniden doğrulama","Önce kitap konu bölümünü ve MEB doğrulamasını tamamla")))</x:f>
        <x:v>Önce kitap konu bölümünü ve MEB doğrulamasını tamamla</x:v>
      </x:c>
      <x:c r="M18" t="str"/>
    </x:row>
    <x:row r="19">
      <x:c r="A19" t="str">
        <x:v>Matematik</x:v>
      </x:c>
      <x:c r="B19" t="str">
        <x:v>Yüzde ve Temel Problem Çeşitleri</x:v>
      </x:c>
      <x:c r="C19" s="12" t="n">
        <x:v>46365</x:v>
      </x:c>
      <x:c r="D19" t="str">
        <x:v>Hayır</x:v>
      </x:c>
      <x:c r="E19" t="str">
        <x:f>IF(COUNTIFS(MEB_Takibi!$B$2:$B$110,A19,MEB_Takibi!$C$2:$C$110,B19,MEB_Takibi!$K$2:$K$110,"Tamamlandı")&gt;0,"Evet","Hayır")</x:f>
        <x:v>Hayır</x:v>
      </x:c>
      <x:c r="F19" t="n">
        <x:f>SUMIFS(MEB_Takibi!$F$2:$F$110,MEB_Takibi!$B$2:$B$110,A19,MEB_Takibi!$C$2:$C$110,B19)</x:f>
        <x:v>0</x:v>
      </x:c>
      <x:c r="G19" t="n">
        <x:f>SUMIFS(MEB_Takibi!$G$2:$G$110,MEB_Takibi!$B$2:$B$110,A19,MEB_Takibi!$C$2:$C$110,B19)</x:f>
        <x:v>0</x:v>
      </x:c>
      <x:c r="H19" t="n">
        <x:f>SUMIFS(MEB_Takibi!$H$2:$H$110,MEB_Takibi!$B$2:$B$110,A19,MEB_Takibi!$C$2:$C$110,B19)</x:f>
        <x:v>0</x:v>
      </x:c>
      <x:c r="I19" s="22" t="str">
        <x:f>IF(SUM(F19:H19)=0,"",F19/SUM(F19:H19))</x:f>
      </x:c>
      <x:c r="J19" t="n">
        <x:f>COUNTIFS(Yanlis_Defteri!$B$2:$B$401,A19,Yanlis_Defteri!$C$2:$C$401,B19,Yanlis_Defteri!$O$2:$O$401,"Açık")</x:f>
        <x:v>0</x:v>
      </x:c>
      <x:c r="K19" t="str">
        <x:f>IF(OR(D19&lt;&gt;"Evet",E19&lt;&gt;"Evet"),"Eksik",IF(I19&lt;0.8,"Zayıf",IF(OR(I19&lt;0.9,J19&gt;0),"Pekiştirme","Güçlü")))</x:f>
        <x:v>Eksik</x:v>
      </x:c>
      <x:c r="L19" t="str">
        <x:f>IF(K19="Güçlü","Normal ilerle",IF(K19="Pekiştirme","10-20 hedefli soru + açık hataların +1/+7/+21 tekrarları",IF(K19="Zayıf","İlgili videoya dönüş + 20-30 hedefli soru + MEB yeniden doğrulama","Önce kitap konu bölümünü ve MEB doğrulamasını tamamla")))</x:f>
        <x:v>Önce kitap konu bölümünü ve MEB doğrulamasını tamamla</x:v>
      </x:c>
      <x:c r="M19" t="str"/>
    </x:row>
    <x:row r="20">
      <x:c r="A20" t="str">
        <x:v>Matematik</x:v>
      </x:c>
      <x:c r="B20" t="str">
        <x:v>Çarpanlar ve Katlar</x:v>
      </x:c>
      <x:c r="C20" s="12" t="n">
        <x:v>46369</x:v>
      </x:c>
      <x:c r="D20" t="str">
        <x:v>Hayır</x:v>
      </x:c>
      <x:c r="E20" t="str">
        <x:f>IF(COUNTIFS(MEB_Takibi!$B$2:$B$110,A20,MEB_Takibi!$C$2:$C$110,B20,MEB_Takibi!$K$2:$K$110,"Tamamlandı")&gt;0,"Evet","Hayır")</x:f>
        <x:v>Hayır</x:v>
      </x:c>
      <x:c r="F20" t="n">
        <x:f>SUMIFS(MEB_Takibi!$F$2:$F$110,MEB_Takibi!$B$2:$B$110,A20,MEB_Takibi!$C$2:$C$110,B20)</x:f>
        <x:v>0</x:v>
      </x:c>
      <x:c r="G20" t="n">
        <x:f>SUMIFS(MEB_Takibi!$G$2:$G$110,MEB_Takibi!$B$2:$B$110,A20,MEB_Takibi!$C$2:$C$110,B20)</x:f>
        <x:v>0</x:v>
      </x:c>
      <x:c r="H20" t="n">
        <x:f>SUMIFS(MEB_Takibi!$H$2:$H$110,MEB_Takibi!$B$2:$B$110,A20,MEB_Takibi!$C$2:$C$110,B20)</x:f>
        <x:v>0</x:v>
      </x:c>
      <x:c r="I20" s="22" t="str">
        <x:f>IF(SUM(F20:H20)=0,"",F20/SUM(F20:H20))</x:f>
      </x:c>
      <x:c r="J20" t="n">
        <x:f>COUNTIFS(Yanlis_Defteri!$B$2:$B$401,A20,Yanlis_Defteri!$C$2:$C$401,B20,Yanlis_Defteri!$O$2:$O$401,"Açık")</x:f>
        <x:v>0</x:v>
      </x:c>
      <x:c r="K20" t="str">
        <x:f>IF(OR(D20&lt;&gt;"Evet",E20&lt;&gt;"Evet"),"Eksik",IF(I20&lt;0.8,"Zayıf",IF(OR(I20&lt;0.9,J20&gt;0),"Pekiştirme","Güçlü")))</x:f>
        <x:v>Eksik</x:v>
      </x:c>
      <x:c r="L20" t="str">
        <x:f>IF(K20="Güçlü","Normal ilerle",IF(K20="Pekiştirme","10-20 hedefli soru + açık hataların +1/+7/+21 tekrarları",IF(K20="Zayıf","İlgili videoya dönüş + 20-30 hedefli soru + MEB yeniden doğrulama","Önce kitap konu bölümünü ve MEB doğrulamasını tamamla")))</x:f>
        <x:v>Önce kitap konu bölümünü ve MEB doğrulamasını tamamla</x:v>
      </x:c>
      <x:c r="M20" t="str"/>
    </x:row>
    <x:row r="21">
      <x:c r="A21" t="str">
        <x:v>Matematik</x:v>
      </x:c>
      <x:c r="B21" t="str">
        <x:v>Üslü İfadeler</x:v>
      </x:c>
      <x:c r="C21" s="12" t="n">
        <x:v>46373</x:v>
      </x:c>
      <x:c r="D21" t="str">
        <x:v>Hayır</x:v>
      </x:c>
      <x:c r="E21" t="str">
        <x:f>IF(COUNTIFS(MEB_Takibi!$B$2:$B$110,A21,MEB_Takibi!$C$2:$C$110,B21,MEB_Takibi!$K$2:$K$110,"Tamamlandı")&gt;0,"Evet","Hayır")</x:f>
        <x:v>Hayır</x:v>
      </x:c>
      <x:c r="F21" t="n">
        <x:f>SUMIFS(MEB_Takibi!$F$2:$F$110,MEB_Takibi!$B$2:$B$110,A21,MEB_Takibi!$C$2:$C$110,B21)</x:f>
        <x:v>0</x:v>
      </x:c>
      <x:c r="G21" t="n">
        <x:f>SUMIFS(MEB_Takibi!$G$2:$G$110,MEB_Takibi!$B$2:$B$110,A21,MEB_Takibi!$C$2:$C$110,B21)</x:f>
        <x:v>0</x:v>
      </x:c>
      <x:c r="H21" t="n">
        <x:f>SUMIFS(MEB_Takibi!$H$2:$H$110,MEB_Takibi!$B$2:$B$110,A21,MEB_Takibi!$C$2:$C$110,B21)</x:f>
        <x:v>0</x:v>
      </x:c>
      <x:c r="I21" s="22" t="str">
        <x:f>IF(SUM(F21:H21)=0,"",F21/SUM(F21:H21))</x:f>
      </x:c>
      <x:c r="J21" t="n">
        <x:f>COUNTIFS(Yanlis_Defteri!$B$2:$B$401,A21,Yanlis_Defteri!$C$2:$C$401,B21,Yanlis_Defteri!$O$2:$O$401,"Açık")</x:f>
        <x:v>0</x:v>
      </x:c>
      <x:c r="K21" t="str">
        <x:f>IF(OR(D21&lt;&gt;"Evet",E21&lt;&gt;"Evet"),"Eksik",IF(I21&lt;0.8,"Zayıf",IF(OR(I21&lt;0.9,J21&gt;0),"Pekiştirme","Güçlü")))</x:f>
        <x:v>Eksik</x:v>
      </x:c>
      <x:c r="L21" t="str">
        <x:f>IF(K21="Güçlü","Normal ilerle",IF(K21="Pekiştirme","10-20 hedefli soru + açık hataların +1/+7/+21 tekrarları",IF(K21="Zayıf","İlgili videoya dönüş + 20-30 hedefli soru + MEB yeniden doğrulama","Önce kitap konu bölümünü ve MEB doğrulamasını tamamla")))</x:f>
        <x:v>Önce kitap konu bölümünü ve MEB doğrulamasını tamamla</x:v>
      </x:c>
      <x:c r="M21" t="str"/>
    </x:row>
    <x:row r="22">
      <x:c r="A22" t="str">
        <x:v>Matematik</x:v>
      </x:c>
      <x:c r="B22" t="str">
        <x:v>Kareköklü İfadeler</x:v>
      </x:c>
      <x:c r="C22" s="12" t="n">
        <x:v>46378</x:v>
      </x:c>
      <x:c r="D22" t="str">
        <x:v>Hayır</x:v>
      </x:c>
      <x:c r="E22" t="str">
        <x:f>IF(COUNTIFS(MEB_Takibi!$B$2:$B$110,A22,MEB_Takibi!$C$2:$C$110,B22,MEB_Takibi!$K$2:$K$110,"Tamamlandı")&gt;0,"Evet","Hayır")</x:f>
        <x:v>Hayır</x:v>
      </x:c>
      <x:c r="F22" t="n">
        <x:f>SUMIFS(MEB_Takibi!$F$2:$F$110,MEB_Takibi!$B$2:$B$110,A22,MEB_Takibi!$C$2:$C$110,B22)</x:f>
        <x:v>0</x:v>
      </x:c>
      <x:c r="G22" t="n">
        <x:f>SUMIFS(MEB_Takibi!$G$2:$G$110,MEB_Takibi!$B$2:$B$110,A22,MEB_Takibi!$C$2:$C$110,B22)</x:f>
        <x:v>0</x:v>
      </x:c>
      <x:c r="H22" t="n">
        <x:f>SUMIFS(MEB_Takibi!$H$2:$H$110,MEB_Takibi!$B$2:$B$110,A22,MEB_Takibi!$C$2:$C$110,B22)</x:f>
        <x:v>0</x:v>
      </x:c>
      <x:c r="I22" s="22" t="str">
        <x:f>IF(SUM(F22:H22)=0,"",F22/SUM(F22:H22))</x:f>
      </x:c>
      <x:c r="J22" t="n">
        <x:f>COUNTIFS(Yanlis_Defteri!$B$2:$B$401,A22,Yanlis_Defteri!$C$2:$C$401,B22,Yanlis_Defteri!$O$2:$O$401,"Açık")</x:f>
        <x:v>0</x:v>
      </x:c>
      <x:c r="K22" t="str">
        <x:f>IF(OR(D22&lt;&gt;"Evet",E22&lt;&gt;"Evet"),"Eksik",IF(I22&lt;0.8,"Zayıf",IF(OR(I22&lt;0.9,J22&gt;0),"Pekiştirme","Güçlü")))</x:f>
        <x:v>Eksik</x:v>
      </x:c>
      <x:c r="L22" t="str">
        <x:f>IF(K22="Güçlü","Normal ilerle",IF(K22="Pekiştirme","10-20 hedefli soru + açık hataların +1/+7/+21 tekrarları",IF(K22="Zayıf","İlgili videoya dönüş + 20-30 hedefli soru + MEB yeniden doğrulama","Önce kitap konu bölümünü ve MEB doğrulamasını tamamla")))</x:f>
        <x:v>Önce kitap konu bölümünü ve MEB doğrulamasını tamamla</x:v>
      </x:c>
      <x:c r="M22" t="str"/>
    </x:row>
    <x:row r="23">
      <x:c r="A23" t="str">
        <x:v>Matematik</x:v>
      </x:c>
      <x:c r="B23" t="str">
        <x:v>Veri Analizi</x:v>
      </x:c>
      <x:c r="C23" s="12" t="n">
        <x:v>46381</x:v>
      </x:c>
      <x:c r="D23" t="str">
        <x:v>Hayır</x:v>
      </x:c>
      <x:c r="E23" t="str">
        <x:f>IF(COUNTIFS(MEB_Takibi!$B$2:$B$110,A23,MEB_Takibi!$C$2:$C$110,B23,MEB_Takibi!$K$2:$K$110,"Tamamlandı")&gt;0,"Evet","Hayır")</x:f>
        <x:v>Hayır</x:v>
      </x:c>
      <x:c r="F23" t="n">
        <x:f>SUMIFS(MEB_Takibi!$F$2:$F$110,MEB_Takibi!$B$2:$B$110,A23,MEB_Takibi!$C$2:$C$110,B23)</x:f>
        <x:v>0</x:v>
      </x:c>
      <x:c r="G23" t="n">
        <x:f>SUMIFS(MEB_Takibi!$G$2:$G$110,MEB_Takibi!$B$2:$B$110,A23,MEB_Takibi!$C$2:$C$110,B23)</x:f>
        <x:v>0</x:v>
      </x:c>
      <x:c r="H23" t="n">
        <x:f>SUMIFS(MEB_Takibi!$H$2:$H$110,MEB_Takibi!$B$2:$B$110,A23,MEB_Takibi!$C$2:$C$110,B23)</x:f>
        <x:v>0</x:v>
      </x:c>
      <x:c r="I23" s="22" t="str">
        <x:f>IF(SUM(F23:H23)=0,"",F23/SUM(F23:H23))</x:f>
      </x:c>
      <x:c r="J23" t="n">
        <x:f>COUNTIFS(Yanlis_Defteri!$B$2:$B$401,A23,Yanlis_Defteri!$C$2:$C$401,B23,Yanlis_Defteri!$O$2:$O$401,"Açık")</x:f>
        <x:v>0</x:v>
      </x:c>
      <x:c r="K23" t="str">
        <x:f>IF(OR(D23&lt;&gt;"Evet",E23&lt;&gt;"Evet"),"Eksik",IF(I23&lt;0.8,"Zayıf",IF(OR(I23&lt;0.9,J23&gt;0),"Pekiştirme","Güçlü")))</x:f>
        <x:v>Eksik</x:v>
      </x:c>
      <x:c r="L23" t="str">
        <x:f>IF(K23="Güçlü","Normal ilerle",IF(K23="Pekiştirme","10-20 hedefli soru + açık hataların +1/+7/+21 tekrarları",IF(K23="Zayıf","İlgili videoya dönüş + 20-30 hedefli soru + MEB yeniden doğrulama","Önce kitap konu bölümünü ve MEB doğrulamasını tamamla")))</x:f>
        <x:v>Önce kitap konu bölümünü ve MEB doğrulamasını tamamla</x:v>
      </x:c>
      <x:c r="M23" t="str"/>
    </x:row>
    <x:row r="24">
      <x:c r="A24" t="str">
        <x:v>Matematik</x:v>
      </x:c>
      <x:c r="B24" t="str">
        <x:v>Basit Olayların Olma Olasılığı</x:v>
      </x:c>
      <x:c r="C24" s="12" t="n">
        <x:v>46384</x:v>
      </x:c>
      <x:c r="D24" t="str">
        <x:v>Hayır</x:v>
      </x:c>
      <x:c r="E24" t="str">
        <x:f>IF(COUNTIFS(MEB_Takibi!$B$2:$B$110,A24,MEB_Takibi!$C$2:$C$110,B24,MEB_Takibi!$K$2:$K$110,"Tamamlandı")&gt;0,"Evet","Hayır")</x:f>
        <x:v>Hayır</x:v>
      </x:c>
      <x:c r="F24" t="n">
        <x:f>SUMIFS(MEB_Takibi!$F$2:$F$110,MEB_Takibi!$B$2:$B$110,A24,MEB_Takibi!$C$2:$C$110,B24)</x:f>
        <x:v>0</x:v>
      </x:c>
      <x:c r="G24" t="n">
        <x:f>SUMIFS(MEB_Takibi!$G$2:$G$110,MEB_Takibi!$B$2:$B$110,A24,MEB_Takibi!$C$2:$C$110,B24)</x:f>
        <x:v>0</x:v>
      </x:c>
      <x:c r="H24" t="n">
        <x:f>SUMIFS(MEB_Takibi!$H$2:$H$110,MEB_Takibi!$B$2:$B$110,A24,MEB_Takibi!$C$2:$C$110,B24)</x:f>
        <x:v>0</x:v>
      </x:c>
      <x:c r="I24" s="22" t="str">
        <x:f>IF(SUM(F24:H24)=0,"",F24/SUM(F24:H24))</x:f>
      </x:c>
      <x:c r="J24" t="n">
        <x:f>COUNTIFS(Yanlis_Defteri!$B$2:$B$401,A24,Yanlis_Defteri!$C$2:$C$401,B24,Yanlis_Defteri!$O$2:$O$401,"Açık")</x:f>
        <x:v>0</x:v>
      </x:c>
      <x:c r="K24" t="str">
        <x:f>IF(OR(D24&lt;&gt;"Evet",E24&lt;&gt;"Evet"),"Eksik",IF(I24&lt;0.8,"Zayıf",IF(OR(I24&lt;0.9,J24&gt;0),"Pekiştirme","Güçlü")))</x:f>
        <x:v>Eksik</x:v>
      </x:c>
      <x:c r="L24" t="str">
        <x:f>IF(K24="Güçlü","Normal ilerle",IF(K24="Pekiştirme","10-20 hedefli soru + açık hataların +1/+7/+21 tekrarları",IF(K24="Zayıf","İlgili videoya dönüş + 20-30 hedefli soru + MEB yeniden doğrulama","Önce kitap konu bölümünü ve MEB doğrulamasını tamamla")))</x:f>
        <x:v>Önce kitap konu bölümünü ve MEB doğrulamasını tamamla</x:v>
      </x:c>
      <x:c r="M24" t="str"/>
    </x:row>
    <x:row r="25">
      <x:c r="A25" t="str">
        <x:v>Matematik</x:v>
      </x:c>
      <x:c r="B25" t="str">
        <x:v>Cebirsel İfadeler ve Özdeşlikler</x:v>
      </x:c>
      <x:c r="C25" s="12" t="n">
        <x:v>46389</x:v>
      </x:c>
      <x:c r="D25" t="str">
        <x:v>Hayır</x:v>
      </x:c>
      <x:c r="E25" t="str">
        <x:f>IF(COUNTIFS(MEB_Takibi!$B$2:$B$110,A25,MEB_Takibi!$C$2:$C$110,B25,MEB_Takibi!$K$2:$K$110,"Tamamlandı")&gt;0,"Evet","Hayır")</x:f>
        <x:v>Hayır</x:v>
      </x:c>
      <x:c r="F25" t="n">
        <x:f>SUMIFS(MEB_Takibi!$F$2:$F$110,MEB_Takibi!$B$2:$B$110,A25,MEB_Takibi!$C$2:$C$110,B25)</x:f>
        <x:v>0</x:v>
      </x:c>
      <x:c r="G25" t="n">
        <x:f>SUMIFS(MEB_Takibi!$G$2:$G$110,MEB_Takibi!$B$2:$B$110,A25,MEB_Takibi!$C$2:$C$110,B25)</x:f>
        <x:v>0</x:v>
      </x:c>
      <x:c r="H25" t="n">
        <x:f>SUMIFS(MEB_Takibi!$H$2:$H$110,MEB_Takibi!$B$2:$B$110,A25,MEB_Takibi!$C$2:$C$110,B25)</x:f>
        <x:v>0</x:v>
      </x:c>
      <x:c r="I25" s="22" t="str">
        <x:f>IF(SUM(F25:H25)=0,"",F25/SUM(F25:H25))</x:f>
      </x:c>
      <x:c r="J25" t="n">
        <x:f>COUNTIFS(Yanlis_Defteri!$B$2:$B$401,A25,Yanlis_Defteri!$C$2:$C$401,B25,Yanlis_Defteri!$O$2:$O$401,"Açık")</x:f>
        <x:v>0</x:v>
      </x:c>
      <x:c r="K25" t="str">
        <x:f>IF(OR(D25&lt;&gt;"Evet",E25&lt;&gt;"Evet"),"Eksik",IF(I25&lt;0.8,"Zayıf",IF(OR(I25&lt;0.9,J25&gt;0),"Pekiştirme","Güçlü")))</x:f>
        <x:v>Eksik</x:v>
      </x:c>
      <x:c r="L25" t="str">
        <x:f>IF(K25="Güçlü","Normal ilerle",IF(K25="Pekiştirme","10-20 hedefli soru + açık hataların +1/+7/+21 tekrarları",IF(K25="Zayıf","İlgili videoya dönüş + 20-30 hedefli soru + MEB yeniden doğrulama","Önce kitap konu bölümünü ve MEB doğrulamasını tamamla")))</x:f>
        <x:v>Önce kitap konu bölümünü ve MEB doğrulamasını tamamla</x:v>
      </x:c>
      <x:c r="M25" t="str"/>
    </x:row>
    <x:row r="26">
      <x:c r="A26" t="str">
        <x:v>Matematik</x:v>
      </x:c>
      <x:c r="B26" t="str">
        <x:v>Doğrusal Denklemler</x:v>
      </x:c>
      <x:c r="C26" s="12" t="n">
        <x:v>46394</x:v>
      </x:c>
      <x:c r="D26" t="str">
        <x:v>Hayır</x:v>
      </x:c>
      <x:c r="E26" t="str">
        <x:f>IF(COUNTIFS(MEB_Takibi!$B$2:$B$110,A26,MEB_Takibi!$C$2:$C$110,B26,MEB_Takibi!$K$2:$K$110,"Tamamlandı")&gt;0,"Evet","Hayır")</x:f>
        <x:v>Hayır</x:v>
      </x:c>
      <x:c r="F26" t="n">
        <x:f>SUMIFS(MEB_Takibi!$F$2:$F$110,MEB_Takibi!$B$2:$B$110,A26,MEB_Takibi!$C$2:$C$110,B26)</x:f>
        <x:v>0</x:v>
      </x:c>
      <x:c r="G26" t="n">
        <x:f>SUMIFS(MEB_Takibi!$G$2:$G$110,MEB_Takibi!$B$2:$B$110,A26,MEB_Takibi!$C$2:$C$110,B26)</x:f>
        <x:v>0</x:v>
      </x:c>
      <x:c r="H26" t="n">
        <x:f>SUMIFS(MEB_Takibi!$H$2:$H$110,MEB_Takibi!$B$2:$B$110,A26,MEB_Takibi!$C$2:$C$110,B26)</x:f>
        <x:v>0</x:v>
      </x:c>
      <x:c r="I26" s="22" t="str">
        <x:f>IF(SUM(F26:H26)=0,"",F26/SUM(F26:H26))</x:f>
      </x:c>
      <x:c r="J26" t="n">
        <x:f>COUNTIFS(Yanlis_Defteri!$B$2:$B$401,A26,Yanlis_Defteri!$C$2:$C$401,B26,Yanlis_Defteri!$O$2:$O$401,"Açık")</x:f>
        <x:v>0</x:v>
      </x:c>
      <x:c r="K26" t="str">
        <x:f>IF(OR(D26&lt;&gt;"Evet",E26&lt;&gt;"Evet"),"Eksik",IF(I26&lt;0.8,"Zayıf",IF(OR(I26&lt;0.9,J26&gt;0),"Pekiştirme","Güçlü")))</x:f>
        <x:v>Eksik</x:v>
      </x:c>
      <x:c r="L26" t="str">
        <x:f>IF(K26="Güçlü","Normal ilerle",IF(K26="Pekiştirme","10-20 hedefli soru + açık hataların +1/+7/+21 tekrarları",IF(K26="Zayıf","İlgili videoya dönüş + 20-30 hedefli soru + MEB yeniden doğrulama","Önce kitap konu bölümünü ve MEB doğrulamasını tamamla")))</x:f>
        <x:v>Önce kitap konu bölümünü ve MEB doğrulamasını tamamla</x:v>
      </x:c>
      <x:c r="M26" t="str"/>
    </x:row>
    <x:row r="27">
      <x:c r="A27" t="str">
        <x:v>Matematik</x:v>
      </x:c>
      <x:c r="B27" t="str">
        <x:v>Eşitsizlikler</x:v>
      </x:c>
      <x:c r="C27" s="12" t="n">
        <x:v>46398</x:v>
      </x:c>
      <x:c r="D27" t="str">
        <x:v>Hayır</x:v>
      </x:c>
      <x:c r="E27" t="str">
        <x:f>IF(COUNTIFS(MEB_Takibi!$B$2:$B$110,A27,MEB_Takibi!$C$2:$C$110,B27,MEB_Takibi!$K$2:$K$110,"Tamamlandı")&gt;0,"Evet","Hayır")</x:f>
        <x:v>Hayır</x:v>
      </x:c>
      <x:c r="F27" t="n">
        <x:f>SUMIFS(MEB_Takibi!$F$2:$F$110,MEB_Takibi!$B$2:$B$110,A27,MEB_Takibi!$C$2:$C$110,B27)</x:f>
        <x:v>0</x:v>
      </x:c>
      <x:c r="G27" t="n">
        <x:f>SUMIFS(MEB_Takibi!$G$2:$G$110,MEB_Takibi!$B$2:$B$110,A27,MEB_Takibi!$C$2:$C$110,B27)</x:f>
        <x:v>0</x:v>
      </x:c>
      <x:c r="H27" t="n">
        <x:f>SUMIFS(MEB_Takibi!$H$2:$H$110,MEB_Takibi!$B$2:$B$110,A27,MEB_Takibi!$C$2:$C$110,B27)</x:f>
        <x:v>0</x:v>
      </x:c>
      <x:c r="I27" s="22" t="str">
        <x:f>IF(SUM(F27:H27)=0,"",F27/SUM(F27:H27))</x:f>
      </x:c>
      <x:c r="J27" t="n">
        <x:f>COUNTIFS(Yanlis_Defteri!$B$2:$B$401,A27,Yanlis_Defteri!$C$2:$C$401,B27,Yanlis_Defteri!$O$2:$O$401,"Açık")</x:f>
        <x:v>0</x:v>
      </x:c>
      <x:c r="K27" t="str">
        <x:f>IF(OR(D27&lt;&gt;"Evet",E27&lt;&gt;"Evet"),"Eksik",IF(I27&lt;0.8,"Zayıf",IF(OR(I27&lt;0.9,J27&gt;0),"Pekiştirme","Güçlü")))</x:f>
        <x:v>Eksik</x:v>
      </x:c>
      <x:c r="L27" t="str">
        <x:f>IF(K27="Güçlü","Normal ilerle",IF(K27="Pekiştirme","10-20 hedefli soru + açık hataların +1/+7/+21 tekrarları",IF(K27="Zayıf","İlgili videoya dönüş + 20-30 hedefli soru + MEB yeniden doğrulama","Önce kitap konu bölümünü ve MEB doğrulamasını tamamla")))</x:f>
        <x:v>Önce kitap konu bölümünü ve MEB doğrulamasını tamamla</x:v>
      </x:c>
      <x:c r="M27" t="str"/>
    </x:row>
    <x:row r="28">
      <x:c r="A28" t="str">
        <x:v>Matematik</x:v>
      </x:c>
      <x:c r="B28" t="str">
        <x:v>Üçgenler</x:v>
      </x:c>
      <x:c r="C28" s="12" t="n">
        <x:v>46403</x:v>
      </x:c>
      <x:c r="D28" t="str">
        <x:v>Hayır</x:v>
      </x:c>
      <x:c r="E28" t="str">
        <x:f>IF(COUNTIFS(MEB_Takibi!$B$2:$B$110,A28,MEB_Takibi!$C$2:$C$110,B28,MEB_Takibi!$K$2:$K$110,"Tamamlandı")&gt;0,"Evet","Hayır")</x:f>
        <x:v>Hayır</x:v>
      </x:c>
      <x:c r="F28" t="n">
        <x:f>SUMIFS(MEB_Takibi!$F$2:$F$110,MEB_Takibi!$B$2:$B$110,A28,MEB_Takibi!$C$2:$C$110,B28)</x:f>
        <x:v>0</x:v>
      </x:c>
      <x:c r="G28" t="n">
        <x:f>SUMIFS(MEB_Takibi!$G$2:$G$110,MEB_Takibi!$B$2:$B$110,A28,MEB_Takibi!$C$2:$C$110,B28)</x:f>
        <x:v>0</x:v>
      </x:c>
      <x:c r="H28" t="n">
        <x:f>SUMIFS(MEB_Takibi!$H$2:$H$110,MEB_Takibi!$B$2:$B$110,A28,MEB_Takibi!$C$2:$C$110,B28)</x:f>
        <x:v>0</x:v>
      </x:c>
      <x:c r="I28" s="22" t="str">
        <x:f>IF(SUM(F28:H28)=0,"",F28/SUM(F28:H28))</x:f>
      </x:c>
      <x:c r="J28" t="n">
        <x:f>COUNTIFS(Yanlis_Defteri!$B$2:$B$401,A28,Yanlis_Defteri!$C$2:$C$401,B28,Yanlis_Defteri!$O$2:$O$401,"Açık")</x:f>
        <x:v>0</x:v>
      </x:c>
      <x:c r="K28" t="str">
        <x:f>IF(OR(D28&lt;&gt;"Evet",E28&lt;&gt;"Evet"),"Eksik",IF(I28&lt;0.8,"Zayıf",IF(OR(I28&lt;0.9,J28&gt;0),"Pekiştirme","Güçlü")))</x:f>
        <x:v>Eksik</x:v>
      </x:c>
      <x:c r="L28" t="str">
        <x:f>IF(K28="Güçlü","Normal ilerle",IF(K28="Pekiştirme","10-20 hedefli soru + açık hataların +1/+7/+21 tekrarları",IF(K28="Zayıf","İlgili videoya dönüş + 20-30 hedefli soru + MEB yeniden doğrulama","Önce kitap konu bölümünü ve MEB doğrulamasını tamamla")))</x:f>
        <x:v>Önce kitap konu bölümünü ve MEB doğrulamasını tamamla</x:v>
      </x:c>
      <x:c r="M28" t="str"/>
    </x:row>
    <x:row r="29">
      <x:c r="A29" t="str">
        <x:v>Matematik</x:v>
      </x:c>
      <x:c r="B29" t="str">
        <x:v>Eşlik ve Benzerlik</x:v>
      </x:c>
      <x:c r="C29" s="12" t="n">
        <x:v>46407</x:v>
      </x:c>
      <x:c r="D29" t="str">
        <x:v>Hayır</x:v>
      </x:c>
      <x:c r="E29" t="str">
        <x:f>IF(COUNTIFS(MEB_Takibi!$B$2:$B$110,A29,MEB_Takibi!$C$2:$C$110,B29,MEB_Takibi!$K$2:$K$110,"Tamamlandı")&gt;0,"Evet","Hayır")</x:f>
        <x:v>Hayır</x:v>
      </x:c>
      <x:c r="F29" t="n">
        <x:f>SUMIFS(MEB_Takibi!$F$2:$F$110,MEB_Takibi!$B$2:$B$110,A29,MEB_Takibi!$C$2:$C$110,B29)</x:f>
        <x:v>0</x:v>
      </x:c>
      <x:c r="G29" t="n">
        <x:f>SUMIFS(MEB_Takibi!$G$2:$G$110,MEB_Takibi!$B$2:$B$110,A29,MEB_Takibi!$C$2:$C$110,B29)</x:f>
        <x:v>0</x:v>
      </x:c>
      <x:c r="H29" t="n">
        <x:f>SUMIFS(MEB_Takibi!$H$2:$H$110,MEB_Takibi!$B$2:$B$110,A29,MEB_Takibi!$C$2:$C$110,B29)</x:f>
        <x:v>0</x:v>
      </x:c>
      <x:c r="I29" s="22" t="str">
        <x:f>IF(SUM(F29:H29)=0,"",F29/SUM(F29:H29))</x:f>
      </x:c>
      <x:c r="J29" t="n">
        <x:f>COUNTIFS(Yanlis_Defteri!$B$2:$B$401,A29,Yanlis_Defteri!$C$2:$C$401,B29,Yanlis_Defteri!$O$2:$O$401,"Açık")</x:f>
        <x:v>0</x:v>
      </x:c>
      <x:c r="K29" t="str">
        <x:f>IF(OR(D29&lt;&gt;"Evet",E29&lt;&gt;"Evet"),"Eksik",IF(I29&lt;0.8,"Zayıf",IF(OR(I29&lt;0.9,J29&gt;0),"Pekiştirme","Güçlü")))</x:f>
        <x:v>Eksik</x:v>
      </x:c>
      <x:c r="L29" t="str">
        <x:f>IF(K29="Güçlü","Normal ilerle",IF(K29="Pekiştirme","10-20 hedefli soru + açık hataların +1/+7/+21 tekrarları",IF(K29="Zayıf","İlgili videoya dönüş + 20-30 hedefli soru + MEB yeniden doğrulama","Önce kitap konu bölümünü ve MEB doğrulamasını tamamla")))</x:f>
        <x:v>Önce kitap konu bölümünü ve MEB doğrulamasını tamamla</x:v>
      </x:c>
      <x:c r="M29" t="str"/>
    </x:row>
    <x:row r="30">
      <x:c r="A30" t="str">
        <x:v>Matematik</x:v>
      </x:c>
      <x:c r="B30" t="str">
        <x:v>Dönüşüm Geometrisi</x:v>
      </x:c>
      <x:c r="C30" s="12" t="n">
        <x:v>46411</x:v>
      </x:c>
      <x:c r="D30" t="str">
        <x:v>Hayır</x:v>
      </x:c>
      <x:c r="E30" t="str">
        <x:f>IF(COUNTIFS(MEB_Takibi!$B$2:$B$110,A30,MEB_Takibi!$C$2:$C$110,B30,MEB_Takibi!$K$2:$K$110,"Tamamlandı")&gt;0,"Evet","Hayır")</x:f>
        <x:v>Hayır</x:v>
      </x:c>
      <x:c r="F30" t="n">
        <x:f>SUMIFS(MEB_Takibi!$F$2:$F$110,MEB_Takibi!$B$2:$B$110,A30,MEB_Takibi!$C$2:$C$110,B30)</x:f>
        <x:v>0</x:v>
      </x:c>
      <x:c r="G30" t="n">
        <x:f>SUMIFS(MEB_Takibi!$G$2:$G$110,MEB_Takibi!$B$2:$B$110,A30,MEB_Takibi!$C$2:$C$110,B30)</x:f>
        <x:v>0</x:v>
      </x:c>
      <x:c r="H30" t="n">
        <x:f>SUMIFS(MEB_Takibi!$H$2:$H$110,MEB_Takibi!$B$2:$B$110,A30,MEB_Takibi!$C$2:$C$110,B30)</x:f>
        <x:v>0</x:v>
      </x:c>
      <x:c r="I30" s="22" t="str">
        <x:f>IF(SUM(F30:H30)=0,"",F30/SUM(F30:H30))</x:f>
      </x:c>
      <x:c r="J30" t="n">
        <x:f>COUNTIFS(Yanlis_Defteri!$B$2:$B$401,A30,Yanlis_Defteri!$C$2:$C$401,B30,Yanlis_Defteri!$O$2:$O$401,"Açık")</x:f>
        <x:v>0</x:v>
      </x:c>
      <x:c r="K30" t="str">
        <x:f>IF(OR(D30&lt;&gt;"Evet",E30&lt;&gt;"Evet"),"Eksik",IF(I30&lt;0.8,"Zayıf",IF(OR(I30&lt;0.9,J30&gt;0),"Pekiştirme","Güçlü")))</x:f>
        <x:v>Eksik</x:v>
      </x:c>
      <x:c r="L30" t="str">
        <x:f>IF(K30="Güçlü","Normal ilerle",IF(K30="Pekiştirme","10-20 hedefli soru + açık hataların +1/+7/+21 tekrarları",IF(K30="Zayıf","İlgili videoya dönüş + 20-30 hedefli soru + MEB yeniden doğrulama","Önce kitap konu bölümünü ve MEB doğrulamasını tamamla")))</x:f>
        <x:v>Önce kitap konu bölümünü ve MEB doğrulamasını tamamla</x:v>
      </x:c>
      <x:c r="M30" t="str"/>
    </x:row>
    <x:row r="31">
      <x:c r="A31" t="str">
        <x:v>Matematik</x:v>
      </x:c>
      <x:c r="B31" t="str">
        <x:v>Geometrik Cisimler</x:v>
      </x:c>
      <x:c r="C31" s="12" t="n">
        <x:v>46416</x:v>
      </x:c>
      <x:c r="D31" t="str">
        <x:v>Hayır</x:v>
      </x:c>
      <x:c r="E31" t="str">
        <x:f>IF(COUNTIFS(MEB_Takibi!$B$2:$B$110,A31,MEB_Takibi!$C$2:$C$110,B31,MEB_Takibi!$K$2:$K$110,"Tamamlandı")&gt;0,"Evet","Hayır")</x:f>
        <x:v>Hayır</x:v>
      </x:c>
      <x:c r="F31" t="n">
        <x:f>SUMIFS(MEB_Takibi!$F$2:$F$110,MEB_Takibi!$B$2:$B$110,A31,MEB_Takibi!$C$2:$C$110,B31)</x:f>
        <x:v>0</x:v>
      </x:c>
      <x:c r="G31" t="n">
        <x:f>SUMIFS(MEB_Takibi!$G$2:$G$110,MEB_Takibi!$B$2:$B$110,A31,MEB_Takibi!$C$2:$C$110,B31)</x:f>
        <x:v>0</x:v>
      </x:c>
      <x:c r="H31" t="n">
        <x:f>SUMIFS(MEB_Takibi!$H$2:$H$110,MEB_Takibi!$B$2:$B$110,A31,MEB_Takibi!$C$2:$C$110,B31)</x:f>
        <x:v>0</x:v>
      </x:c>
      <x:c r="I31" s="22" t="str">
        <x:f>IF(SUM(F31:H31)=0,"",F31/SUM(F31:H31))</x:f>
      </x:c>
      <x:c r="J31" t="n">
        <x:f>COUNTIFS(Yanlis_Defteri!$B$2:$B$401,A31,Yanlis_Defteri!$C$2:$C$401,B31,Yanlis_Defteri!$O$2:$O$401,"Açık")</x:f>
        <x:v>0</x:v>
      </x:c>
      <x:c r="K31" t="str">
        <x:f>IF(OR(D31&lt;&gt;"Evet",E31&lt;&gt;"Evet"),"Eksik",IF(I31&lt;0.8,"Zayıf",IF(OR(I31&lt;0.9,J31&gt;0),"Pekiştirme","Güçlü")))</x:f>
        <x:v>Eksik</x:v>
      </x:c>
      <x:c r="L31" t="str">
        <x:f>IF(K31="Güçlü","Normal ilerle",IF(K31="Pekiştirme","10-20 hedefli soru + açık hataların +1/+7/+21 tekrarları",IF(K31="Zayıf","İlgili videoya dönüş + 20-30 hedefli soru + MEB yeniden doğrulama","Önce kitap konu bölümünü ve MEB doğrulamasını tamamla")))</x:f>
        <x:v>Önce kitap konu bölümünü ve MEB doğrulamasını tamamla</x:v>
      </x:c>
      <x:c r="M31" t="str"/>
    </x:row>
    <x:row r="32">
      <x:c r="A32" t="str">
        <x:v>Türkçe</x:v>
      </x:c>
      <x:c r="B32" t="str">
        <x:v>Sözcükte Anlam</x:v>
      </x:c>
      <x:c r="C32" s="12" t="n">
        <x:v>46300</x:v>
      </x:c>
      <x:c r="D32" t="str">
        <x:v>Hayır</x:v>
      </x:c>
      <x:c r="E32" t="str">
        <x:f>IF(COUNTIFS(MEB_Takibi!$B$2:$B$110,A32,MEB_Takibi!$C$2:$C$110,B32,MEB_Takibi!$K$2:$K$110,"Tamamlandı")&gt;0,"Evet","Hayır")</x:f>
        <x:v>Hayır</x:v>
      </x:c>
      <x:c r="F32" t="n">
        <x:f>SUMIFS(MEB_Takibi!$F$2:$F$110,MEB_Takibi!$B$2:$B$110,A32,MEB_Takibi!$C$2:$C$110,B32)</x:f>
        <x:v>0</x:v>
      </x:c>
      <x:c r="G32" t="n">
        <x:f>SUMIFS(MEB_Takibi!$G$2:$G$110,MEB_Takibi!$B$2:$B$110,A32,MEB_Takibi!$C$2:$C$110,B32)</x:f>
        <x:v>0</x:v>
      </x:c>
      <x:c r="H32" t="n">
        <x:f>SUMIFS(MEB_Takibi!$H$2:$H$110,MEB_Takibi!$B$2:$B$110,A32,MEB_Takibi!$C$2:$C$110,B32)</x:f>
        <x:v>0</x:v>
      </x:c>
      <x:c r="I32" s="22" t="str">
        <x:f>IF(SUM(F32:H32)=0,"",F32/SUM(F32:H32))</x:f>
      </x:c>
      <x:c r="J32" t="n">
        <x:f>COUNTIFS(Yanlis_Defteri!$B$2:$B$401,A32,Yanlis_Defteri!$C$2:$C$401,B32,Yanlis_Defteri!$O$2:$O$401,"Açık")</x:f>
        <x:v>0</x:v>
      </x:c>
      <x:c r="K32" t="str">
        <x:f>IF(OR(D32&lt;&gt;"Evet",E32&lt;&gt;"Evet"),"Eksik",IF(I32&lt;0.8,"Zayıf",IF(OR(I32&lt;0.9,J32&gt;0),"Pekiştirme","Güçlü")))</x:f>
        <x:v>Eksik</x:v>
      </x:c>
      <x:c r="L32" t="str">
        <x:f>IF(K32="Güçlü","Normal ilerle",IF(K32="Pekiştirme","10-20 hedefli soru + açık hataların +1/+7/+21 tekrarları",IF(K32="Zayıf","İlgili videoya dönüş + 20-30 hedefli soru + MEB yeniden doğrulama","Önce kitap konu bölümünü ve MEB doğrulamasını tamamla")))</x:f>
        <x:v>Önce kitap konu bölümünü ve MEB doğrulamasını tamamla</x:v>
      </x:c>
      <x:c r="M32" t="str"/>
    </x:row>
    <x:row r="33">
      <x:c r="A33" t="str">
        <x:v>Türkçe</x:v>
      </x:c>
      <x:c r="B33" t="str">
        <x:v>Cümlede Anlam</x:v>
      </x:c>
      <x:c r="C33" s="12" t="n">
        <x:v>46305</x:v>
      </x:c>
      <x:c r="D33" t="str">
        <x:v>Hayır</x:v>
      </x:c>
      <x:c r="E33" t="str">
        <x:f>IF(COUNTIFS(MEB_Takibi!$B$2:$B$110,A33,MEB_Takibi!$C$2:$C$110,B33,MEB_Takibi!$K$2:$K$110,"Tamamlandı")&gt;0,"Evet","Hayır")</x:f>
        <x:v>Hayır</x:v>
      </x:c>
      <x:c r="F33" t="n">
        <x:f>SUMIFS(MEB_Takibi!$F$2:$F$110,MEB_Takibi!$B$2:$B$110,A33,MEB_Takibi!$C$2:$C$110,B33)</x:f>
        <x:v>0</x:v>
      </x:c>
      <x:c r="G33" t="n">
        <x:f>SUMIFS(MEB_Takibi!$G$2:$G$110,MEB_Takibi!$B$2:$B$110,A33,MEB_Takibi!$C$2:$C$110,B33)</x:f>
        <x:v>0</x:v>
      </x:c>
      <x:c r="H33" t="n">
        <x:f>SUMIFS(MEB_Takibi!$H$2:$H$110,MEB_Takibi!$B$2:$B$110,A33,MEB_Takibi!$C$2:$C$110,B33)</x:f>
        <x:v>0</x:v>
      </x:c>
      <x:c r="I33" s="22" t="str">
        <x:f>IF(SUM(F33:H33)=0,"",F33/SUM(F33:H33))</x:f>
      </x:c>
      <x:c r="J33" t="n">
        <x:f>COUNTIFS(Yanlis_Defteri!$B$2:$B$401,A33,Yanlis_Defteri!$C$2:$C$401,B33,Yanlis_Defteri!$O$2:$O$401,"Açık")</x:f>
        <x:v>0</x:v>
      </x:c>
      <x:c r="K33" t="str">
        <x:f>IF(OR(D33&lt;&gt;"Evet",E33&lt;&gt;"Evet"),"Eksik",IF(I33&lt;0.8,"Zayıf",IF(OR(I33&lt;0.9,J33&gt;0),"Pekiştirme","Güçlü")))</x:f>
        <x:v>Eksik</x:v>
      </x:c>
      <x:c r="L33" t="str">
        <x:f>IF(K33="Güçlü","Normal ilerle",IF(K33="Pekiştirme","10-20 hedefli soru + açık hataların +1/+7/+21 tekrarları",IF(K33="Zayıf","İlgili videoya dönüş + 20-30 hedefli soru + MEB yeniden doğrulama","Önce kitap konu bölümünü ve MEB doğrulamasını tamamla")))</x:f>
        <x:v>Önce kitap konu bölümünü ve MEB doğrulamasını tamamla</x:v>
      </x:c>
      <x:c r="M33" t="str"/>
    </x:row>
    <x:row r="34">
      <x:c r="A34" t="str">
        <x:v>Türkçe</x:v>
      </x:c>
      <x:c r="B34" t="str">
        <x:v>Paragrafta Anlam ve Soru Türleri</x:v>
      </x:c>
      <x:c r="C34" s="12" t="n">
        <x:v>46310</x:v>
      </x:c>
      <x:c r="D34" t="str">
        <x:v>Hayır</x:v>
      </x:c>
      <x:c r="E34" t="str">
        <x:f>IF(COUNTIFS(MEB_Takibi!$B$2:$B$110,A34,MEB_Takibi!$C$2:$C$110,B34,MEB_Takibi!$K$2:$K$110,"Tamamlandı")&gt;0,"Evet","Hayır")</x:f>
        <x:v>Hayır</x:v>
      </x:c>
      <x:c r="F34" t="n">
        <x:f>SUMIFS(MEB_Takibi!$F$2:$F$110,MEB_Takibi!$B$2:$B$110,A34,MEB_Takibi!$C$2:$C$110,B34)</x:f>
        <x:v>0</x:v>
      </x:c>
      <x:c r="G34" t="n">
        <x:f>SUMIFS(MEB_Takibi!$G$2:$G$110,MEB_Takibi!$B$2:$B$110,A34,MEB_Takibi!$C$2:$C$110,B34)</x:f>
        <x:v>0</x:v>
      </x:c>
      <x:c r="H34" t="n">
        <x:f>SUMIFS(MEB_Takibi!$H$2:$H$110,MEB_Takibi!$B$2:$B$110,A34,MEB_Takibi!$C$2:$C$110,B34)</x:f>
        <x:v>0</x:v>
      </x:c>
      <x:c r="I34" s="22" t="str">
        <x:f>IF(SUM(F34:H34)=0,"",F34/SUM(F34:H34))</x:f>
      </x:c>
      <x:c r="J34" t="n">
        <x:f>COUNTIFS(Yanlis_Defteri!$B$2:$B$401,A34,Yanlis_Defteri!$C$2:$C$401,B34,Yanlis_Defteri!$O$2:$O$401,"Açık")</x:f>
        <x:v>0</x:v>
      </x:c>
      <x:c r="K34" t="str">
        <x:f>IF(OR(D34&lt;&gt;"Evet",E34&lt;&gt;"Evet"),"Eksik",IF(I34&lt;0.8,"Zayıf",IF(OR(I34&lt;0.9,J34&gt;0),"Pekiştirme","Güçlü")))</x:f>
        <x:v>Eksik</x:v>
      </x:c>
      <x:c r="L34" t="str">
        <x:f>IF(K34="Güçlü","Normal ilerle",IF(K34="Pekiştirme","10-20 hedefli soru + açık hataların +1/+7/+21 tekrarları",IF(K34="Zayıf","İlgili videoya dönüş + 20-30 hedefli soru + MEB yeniden doğrulama","Önce kitap konu bölümünü ve MEB doğrulamasını tamamla")))</x:f>
        <x:v>Önce kitap konu bölümünü ve MEB doğrulamasını tamamla</x:v>
      </x:c>
      <x:c r="M34" t="str"/>
    </x:row>
    <x:row r="35">
      <x:c r="A35" t="str">
        <x:v>Türkçe</x:v>
      </x:c>
      <x:c r="B35" t="str">
        <x:v>Anlatım Biçimleri ve Düşünceyi Geliştirme Yolları</x:v>
      </x:c>
      <x:c r="C35" s="12" t="n">
        <x:v>46314</x:v>
      </x:c>
      <x:c r="D35" t="str">
        <x:v>Hayır</x:v>
      </x:c>
      <x:c r="E35" t="str">
        <x:f>IF(COUNTIFS(MEB_Takibi!$B$2:$B$110,A35,MEB_Takibi!$C$2:$C$110,B35,MEB_Takibi!$K$2:$K$110,"Tamamlandı")&gt;0,"Evet","Hayır")</x:f>
        <x:v>Hayır</x:v>
      </x:c>
      <x:c r="F35" t="n">
        <x:f>SUMIFS(MEB_Takibi!$F$2:$F$110,MEB_Takibi!$B$2:$B$110,A35,MEB_Takibi!$C$2:$C$110,B35)</x:f>
        <x:v>0</x:v>
      </x:c>
      <x:c r="G35" t="n">
        <x:f>SUMIFS(MEB_Takibi!$G$2:$G$110,MEB_Takibi!$B$2:$B$110,A35,MEB_Takibi!$C$2:$C$110,B35)</x:f>
        <x:v>0</x:v>
      </x:c>
      <x:c r="H35" t="n">
        <x:f>SUMIFS(MEB_Takibi!$H$2:$H$110,MEB_Takibi!$B$2:$B$110,A35,MEB_Takibi!$C$2:$C$110,B35)</x:f>
        <x:v>0</x:v>
      </x:c>
      <x:c r="I35" s="22" t="str">
        <x:f>IF(SUM(F35:H35)=0,"",F35/SUM(F35:H35))</x:f>
      </x:c>
      <x:c r="J35" t="n">
        <x:f>COUNTIFS(Yanlis_Defteri!$B$2:$B$401,A35,Yanlis_Defteri!$C$2:$C$401,B35,Yanlis_Defteri!$O$2:$O$401,"Açık")</x:f>
        <x:v>0</x:v>
      </x:c>
      <x:c r="K35" t="str">
        <x:f>IF(OR(D35&lt;&gt;"Evet",E35&lt;&gt;"Evet"),"Eksik",IF(I35&lt;0.8,"Zayıf",IF(OR(I35&lt;0.9,J35&gt;0),"Pekiştirme","Güçlü")))</x:f>
        <x:v>Eksik</x:v>
      </x:c>
      <x:c r="L35" t="str">
        <x:f>IF(K35="Güçlü","Normal ilerle",IF(K35="Pekiştirme","10-20 hedefli soru + açık hataların +1/+7/+21 tekrarları",IF(K35="Zayıf","İlgili videoya dönüş + 20-30 hedefli soru + MEB yeniden doğrulama","Önce kitap konu bölümünü ve MEB doğrulamasını tamamla")))</x:f>
        <x:v>Önce kitap konu bölümünü ve MEB doğrulamasını tamamla</x:v>
      </x:c>
      <x:c r="M35" t="str"/>
    </x:row>
    <x:row r="36">
      <x:c r="A36" t="str">
        <x:v>Türkçe</x:v>
      </x:c>
      <x:c r="B36" t="str">
        <x:v>Sözcükte Yapı</x:v>
      </x:c>
      <x:c r="C36" s="12" t="n">
        <x:v>46317</x:v>
      </x:c>
      <x:c r="D36" t="str">
        <x:v>Hayır</x:v>
      </x:c>
      <x:c r="E36" t="str">
        <x:f>IF(COUNTIFS(MEB_Takibi!$B$2:$B$110,A36,MEB_Takibi!$C$2:$C$110,B36,MEB_Takibi!$K$2:$K$110,"Tamamlandı")&gt;0,"Evet","Hayır")</x:f>
        <x:v>Hayır</x:v>
      </x:c>
      <x:c r="F36" t="n">
        <x:f>SUMIFS(MEB_Takibi!$F$2:$F$110,MEB_Takibi!$B$2:$B$110,A36,MEB_Takibi!$C$2:$C$110,B36)</x:f>
        <x:v>0</x:v>
      </x:c>
      <x:c r="G36" t="n">
        <x:f>SUMIFS(MEB_Takibi!$G$2:$G$110,MEB_Takibi!$B$2:$B$110,A36,MEB_Takibi!$C$2:$C$110,B36)</x:f>
        <x:v>0</x:v>
      </x:c>
      <x:c r="H36" t="n">
        <x:f>SUMIFS(MEB_Takibi!$H$2:$H$110,MEB_Takibi!$B$2:$B$110,A36,MEB_Takibi!$C$2:$C$110,B36)</x:f>
        <x:v>0</x:v>
      </x:c>
      <x:c r="I36" s="22" t="str">
        <x:f>IF(SUM(F36:H36)=0,"",F36/SUM(F36:H36))</x:f>
      </x:c>
      <x:c r="J36" t="n">
        <x:f>COUNTIFS(Yanlis_Defteri!$B$2:$B$401,A36,Yanlis_Defteri!$C$2:$C$401,B36,Yanlis_Defteri!$O$2:$O$401,"Açık")</x:f>
        <x:v>0</x:v>
      </x:c>
      <x:c r="K36" t="str">
        <x:f>IF(OR(D36&lt;&gt;"Evet",E36&lt;&gt;"Evet"),"Eksik",IF(I36&lt;0.8,"Zayıf",IF(OR(I36&lt;0.9,J36&gt;0),"Pekiştirme","Güçlü")))</x:f>
        <x:v>Eksik</x:v>
      </x:c>
      <x:c r="L36" t="str">
        <x:f>IF(K36="Güçlü","Normal ilerle",IF(K36="Pekiştirme","10-20 hedefli soru + açık hataların +1/+7/+21 tekrarları",IF(K36="Zayıf","İlgili videoya dönüş + 20-30 hedefli soru + MEB yeniden doğrulama","Önce kitap konu bölümünü ve MEB doğrulamasını tamamla")))</x:f>
        <x:v>Önce kitap konu bölümünü ve MEB doğrulamasını tamamla</x:v>
      </x:c>
      <x:c r="M36" t="str"/>
    </x:row>
    <x:row r="37">
      <x:c r="A37" t="str">
        <x:v>Türkçe</x:v>
      </x:c>
      <x:c r="B37" t="str">
        <x:v>Ses Bilgisi</x:v>
      </x:c>
      <x:c r="C37" s="12" t="n">
        <x:v>46321</x:v>
      </x:c>
      <x:c r="D37" t="str">
        <x:v>Hayır</x:v>
      </x:c>
      <x:c r="E37" t="str">
        <x:f>IF(COUNTIFS(MEB_Takibi!$B$2:$B$110,A37,MEB_Takibi!$C$2:$C$110,B37,MEB_Takibi!$K$2:$K$110,"Tamamlandı")&gt;0,"Evet","Hayır")</x:f>
        <x:v>Hayır</x:v>
      </x:c>
      <x:c r="F37" t="n">
        <x:f>SUMIFS(MEB_Takibi!$F$2:$F$110,MEB_Takibi!$B$2:$B$110,A37,MEB_Takibi!$C$2:$C$110,B37)</x:f>
        <x:v>0</x:v>
      </x:c>
      <x:c r="G37" t="n">
        <x:f>SUMIFS(MEB_Takibi!$G$2:$G$110,MEB_Takibi!$B$2:$B$110,A37,MEB_Takibi!$C$2:$C$110,B37)</x:f>
        <x:v>0</x:v>
      </x:c>
      <x:c r="H37" t="n">
        <x:f>SUMIFS(MEB_Takibi!$H$2:$H$110,MEB_Takibi!$B$2:$B$110,A37,MEB_Takibi!$C$2:$C$110,B37)</x:f>
        <x:v>0</x:v>
      </x:c>
      <x:c r="I37" s="22" t="str">
        <x:f>IF(SUM(F37:H37)=0,"",F37/SUM(F37:H37))</x:f>
      </x:c>
      <x:c r="J37" t="n">
        <x:f>COUNTIFS(Yanlis_Defteri!$B$2:$B$401,A37,Yanlis_Defteri!$C$2:$C$401,B37,Yanlis_Defteri!$O$2:$O$401,"Açık")</x:f>
        <x:v>0</x:v>
      </x:c>
      <x:c r="K37" t="str">
        <x:f>IF(OR(D37&lt;&gt;"Evet",E37&lt;&gt;"Evet"),"Eksik",IF(I37&lt;0.8,"Zayıf",IF(OR(I37&lt;0.9,J37&gt;0),"Pekiştirme","Güçlü")))</x:f>
        <x:v>Eksik</x:v>
      </x:c>
      <x:c r="L37" t="str">
        <x:f>IF(K37="Güçlü","Normal ilerle",IF(K37="Pekiştirme","10-20 hedefli soru + açık hataların +1/+7/+21 tekrarları",IF(K37="Zayıf","İlgili videoya dönüş + 20-30 hedefli soru + MEB yeniden doğrulama","Önce kitap konu bölümünü ve MEB doğrulamasını tamamla")))</x:f>
        <x:v>Önce kitap konu bölümünü ve MEB doğrulamasını tamamla</x:v>
      </x:c>
      <x:c r="M37" t="str"/>
    </x:row>
    <x:row r="38">
      <x:c r="A38" t="str">
        <x:v>Türkçe</x:v>
      </x:c>
      <x:c r="B38" t="str">
        <x:v>Yazım Kuralları</x:v>
      </x:c>
      <x:c r="C38" s="12" t="n">
        <x:v>46326</x:v>
      </x:c>
      <x:c r="D38" t="str">
        <x:v>Hayır</x:v>
      </x:c>
      <x:c r="E38" t="str">
        <x:f>IF(COUNTIFS(MEB_Takibi!$B$2:$B$110,A38,MEB_Takibi!$C$2:$C$110,B38,MEB_Takibi!$K$2:$K$110,"Tamamlandı")&gt;0,"Evet","Hayır")</x:f>
        <x:v>Hayır</x:v>
      </x:c>
      <x:c r="F38" t="n">
        <x:f>SUMIFS(MEB_Takibi!$F$2:$F$110,MEB_Takibi!$B$2:$B$110,A38,MEB_Takibi!$C$2:$C$110,B38)</x:f>
        <x:v>0</x:v>
      </x:c>
      <x:c r="G38" t="n">
        <x:f>SUMIFS(MEB_Takibi!$G$2:$G$110,MEB_Takibi!$B$2:$B$110,A38,MEB_Takibi!$C$2:$C$110,B38)</x:f>
        <x:v>0</x:v>
      </x:c>
      <x:c r="H38" t="n">
        <x:f>SUMIFS(MEB_Takibi!$H$2:$H$110,MEB_Takibi!$B$2:$B$110,A38,MEB_Takibi!$C$2:$C$110,B38)</x:f>
        <x:v>0</x:v>
      </x:c>
      <x:c r="I38" s="22" t="str">
        <x:f>IF(SUM(F38:H38)=0,"",F38/SUM(F38:H38))</x:f>
      </x:c>
      <x:c r="J38" t="n">
        <x:f>COUNTIFS(Yanlis_Defteri!$B$2:$B$401,A38,Yanlis_Defteri!$C$2:$C$401,B38,Yanlis_Defteri!$O$2:$O$401,"Açık")</x:f>
        <x:v>0</x:v>
      </x:c>
      <x:c r="K38" t="str">
        <x:f>IF(OR(D38&lt;&gt;"Evet",E38&lt;&gt;"Evet"),"Eksik",IF(I38&lt;0.8,"Zayıf",IF(OR(I38&lt;0.9,J38&gt;0),"Pekiştirme","Güçlü")))</x:f>
        <x:v>Eksik</x:v>
      </x:c>
      <x:c r="L38" t="str">
        <x:f>IF(K38="Güçlü","Normal ilerle",IF(K38="Pekiştirme","10-20 hedefli soru + açık hataların +1/+7/+21 tekrarları",IF(K38="Zayıf","İlgili videoya dönüş + 20-30 hedefli soru + MEB yeniden doğrulama","Önce kitap konu bölümünü ve MEB doğrulamasını tamamla")))</x:f>
        <x:v>Önce kitap konu bölümünü ve MEB doğrulamasını tamamla</x:v>
      </x:c>
      <x:c r="M38" t="str"/>
    </x:row>
    <x:row r="39">
      <x:c r="A39" t="str">
        <x:v>Türkçe</x:v>
      </x:c>
      <x:c r="B39" t="str">
        <x:v>Noktalama İşaretleri</x:v>
      </x:c>
      <x:c r="C39" s="12" t="n">
        <x:v>46330</x:v>
      </x:c>
      <x:c r="D39" t="str">
        <x:v>Hayır</x:v>
      </x:c>
      <x:c r="E39" t="str">
        <x:f>IF(COUNTIFS(MEB_Takibi!$B$2:$B$110,A39,MEB_Takibi!$C$2:$C$110,B39,MEB_Takibi!$K$2:$K$110,"Tamamlandı")&gt;0,"Evet","Hayır")</x:f>
        <x:v>Hayır</x:v>
      </x:c>
      <x:c r="F39" t="n">
        <x:f>SUMIFS(MEB_Takibi!$F$2:$F$110,MEB_Takibi!$B$2:$B$110,A39,MEB_Takibi!$C$2:$C$110,B39)</x:f>
        <x:v>0</x:v>
      </x:c>
      <x:c r="G39" t="n">
        <x:f>SUMIFS(MEB_Takibi!$G$2:$G$110,MEB_Takibi!$B$2:$B$110,A39,MEB_Takibi!$C$2:$C$110,B39)</x:f>
        <x:v>0</x:v>
      </x:c>
      <x:c r="H39" t="n">
        <x:f>SUMIFS(MEB_Takibi!$H$2:$H$110,MEB_Takibi!$B$2:$B$110,A39,MEB_Takibi!$C$2:$C$110,B39)</x:f>
        <x:v>0</x:v>
      </x:c>
      <x:c r="I39" s="22" t="str">
        <x:f>IF(SUM(F39:H39)=0,"",F39/SUM(F39:H39))</x:f>
      </x:c>
      <x:c r="J39" t="n">
        <x:f>COUNTIFS(Yanlis_Defteri!$B$2:$B$401,A39,Yanlis_Defteri!$C$2:$C$401,B39,Yanlis_Defteri!$O$2:$O$401,"Açık")</x:f>
        <x:v>0</x:v>
      </x:c>
      <x:c r="K39" t="str">
        <x:f>IF(OR(D39&lt;&gt;"Evet",E39&lt;&gt;"Evet"),"Eksik",IF(I39&lt;0.8,"Zayıf",IF(OR(I39&lt;0.9,J39&gt;0),"Pekiştirme","Güçlü")))</x:f>
        <x:v>Eksik</x:v>
      </x:c>
      <x:c r="L39" t="str">
        <x:f>IF(K39="Güçlü","Normal ilerle",IF(K39="Pekiştirme","10-20 hedefli soru + açık hataların +1/+7/+21 tekrarları",IF(K39="Zayıf","İlgili videoya dönüş + 20-30 hedefli soru + MEB yeniden doğrulama","Önce kitap konu bölümünü ve MEB doğrulamasını tamamla")))</x:f>
        <x:v>Önce kitap konu bölümünü ve MEB doğrulamasını tamamla</x:v>
      </x:c>
      <x:c r="M39" t="str"/>
    </x:row>
    <x:row r="40">
      <x:c r="A40" t="str">
        <x:v>Türkçe</x:v>
      </x:c>
      <x:c r="B40" t="str">
        <x:v>Ad (İsim)</x:v>
      </x:c>
      <x:c r="C40" s="12" t="n">
        <x:v>46333</x:v>
      </x:c>
      <x:c r="D40" t="str">
        <x:v>Hayır</x:v>
      </x:c>
      <x:c r="E40" t="str">
        <x:f>IF(COUNTIFS(MEB_Takibi!$B$2:$B$110,A40,MEB_Takibi!$C$2:$C$110,B40,MEB_Takibi!$K$2:$K$110,"Tamamlandı")&gt;0,"Evet","Hayır")</x:f>
        <x:v>Hayır</x:v>
      </x:c>
      <x:c r="F40" t="n">
        <x:f>SUMIFS(MEB_Takibi!$F$2:$F$110,MEB_Takibi!$B$2:$B$110,A40,MEB_Takibi!$C$2:$C$110,B40)</x:f>
        <x:v>0</x:v>
      </x:c>
      <x:c r="G40" t="n">
        <x:f>SUMIFS(MEB_Takibi!$G$2:$G$110,MEB_Takibi!$B$2:$B$110,A40,MEB_Takibi!$C$2:$C$110,B40)</x:f>
        <x:v>0</x:v>
      </x:c>
      <x:c r="H40" t="n">
        <x:f>SUMIFS(MEB_Takibi!$H$2:$H$110,MEB_Takibi!$B$2:$B$110,A40,MEB_Takibi!$C$2:$C$110,B40)</x:f>
        <x:v>0</x:v>
      </x:c>
      <x:c r="I40" s="22" t="str">
        <x:f>IF(SUM(F40:H40)=0,"",F40/SUM(F40:H40))</x:f>
      </x:c>
      <x:c r="J40" t="n">
        <x:f>COUNTIFS(Yanlis_Defteri!$B$2:$B$401,A40,Yanlis_Defteri!$C$2:$C$401,B40,Yanlis_Defteri!$O$2:$O$401,"Açık")</x:f>
        <x:v>0</x:v>
      </x:c>
      <x:c r="K40" t="str">
        <x:f>IF(OR(D40&lt;&gt;"Evet",E40&lt;&gt;"Evet"),"Eksik",IF(I40&lt;0.8,"Zayıf",IF(OR(I40&lt;0.9,J40&gt;0),"Pekiştirme","Güçlü")))</x:f>
        <x:v>Eksik</x:v>
      </x:c>
      <x:c r="L40" t="str">
        <x:f>IF(K40="Güçlü","Normal ilerle",IF(K40="Pekiştirme","10-20 hedefli soru + açık hataların +1/+7/+21 tekrarları",IF(K40="Zayıf","İlgili videoya dönüş + 20-30 hedefli soru + MEB yeniden doğrulama","Önce kitap konu bölümünü ve MEB doğrulamasını tamamla")))</x:f>
        <x:v>Önce kitap konu bölümünü ve MEB doğrulamasını tamamla</x:v>
      </x:c>
      <x:c r="M40" t="str"/>
    </x:row>
    <x:row r="41">
      <x:c r="A41" t="str">
        <x:v>Türkçe</x:v>
      </x:c>
      <x:c r="B41" t="str">
        <x:v>Ad Tamlamaları</x:v>
      </x:c>
      <x:c r="C41" s="12" t="n">
        <x:v>46337</x:v>
      </x:c>
      <x:c r="D41" t="str">
        <x:v>Hayır</x:v>
      </x:c>
      <x:c r="E41" t="str">
        <x:f>IF(COUNTIFS(MEB_Takibi!$B$2:$B$110,A41,MEB_Takibi!$C$2:$C$110,B41,MEB_Takibi!$K$2:$K$110,"Tamamlandı")&gt;0,"Evet","Hayır")</x:f>
        <x:v>Hayır</x:v>
      </x:c>
      <x:c r="F41" t="n">
        <x:f>SUMIFS(MEB_Takibi!$F$2:$F$110,MEB_Takibi!$B$2:$B$110,A41,MEB_Takibi!$C$2:$C$110,B41)</x:f>
        <x:v>0</x:v>
      </x:c>
      <x:c r="G41" t="n">
        <x:f>SUMIFS(MEB_Takibi!$G$2:$G$110,MEB_Takibi!$B$2:$B$110,A41,MEB_Takibi!$C$2:$C$110,B41)</x:f>
        <x:v>0</x:v>
      </x:c>
      <x:c r="H41" t="n">
        <x:f>SUMIFS(MEB_Takibi!$H$2:$H$110,MEB_Takibi!$B$2:$B$110,A41,MEB_Takibi!$C$2:$C$110,B41)</x:f>
        <x:v>0</x:v>
      </x:c>
      <x:c r="I41" s="22" t="str">
        <x:f>IF(SUM(F41:H41)=0,"",F41/SUM(F41:H41))</x:f>
      </x:c>
      <x:c r="J41" t="n">
        <x:f>COUNTIFS(Yanlis_Defteri!$B$2:$B$401,A41,Yanlis_Defteri!$C$2:$C$401,B41,Yanlis_Defteri!$O$2:$O$401,"Açık")</x:f>
        <x:v>0</x:v>
      </x:c>
      <x:c r="K41" t="str">
        <x:f>IF(OR(D41&lt;&gt;"Evet",E41&lt;&gt;"Evet"),"Eksik",IF(I41&lt;0.8,"Zayıf",IF(OR(I41&lt;0.9,J41&gt;0),"Pekiştirme","Güçlü")))</x:f>
        <x:v>Eksik</x:v>
      </x:c>
      <x:c r="L41" t="str">
        <x:f>IF(K41="Güçlü","Normal ilerle",IF(K41="Pekiştirme","10-20 hedefli soru + açık hataların +1/+7/+21 tekrarları",IF(K41="Zayıf","İlgili videoya dönüş + 20-30 hedefli soru + MEB yeniden doğrulama","Önce kitap konu bölümünü ve MEB doğrulamasını tamamla")))</x:f>
        <x:v>Önce kitap konu bölümünü ve MEB doğrulamasını tamamla</x:v>
      </x:c>
      <x:c r="M41" t="str"/>
    </x:row>
    <x:row r="42">
      <x:c r="A42" t="str">
        <x:v>Türkçe</x:v>
      </x:c>
      <x:c r="B42" t="str">
        <x:v>Zamirler</x:v>
      </x:c>
      <x:c r="C42" s="12" t="n">
        <x:v>46341</x:v>
      </x:c>
      <x:c r="D42" t="str">
        <x:v>Hayır</x:v>
      </x:c>
      <x:c r="E42" t="str">
        <x:f>IF(COUNTIFS(MEB_Takibi!$B$2:$B$110,A42,MEB_Takibi!$C$2:$C$110,B42,MEB_Takibi!$K$2:$K$110,"Tamamlandı")&gt;0,"Evet","Hayır")</x:f>
        <x:v>Hayır</x:v>
      </x:c>
      <x:c r="F42" t="n">
        <x:f>SUMIFS(MEB_Takibi!$F$2:$F$110,MEB_Takibi!$B$2:$B$110,A42,MEB_Takibi!$C$2:$C$110,B42)</x:f>
        <x:v>0</x:v>
      </x:c>
      <x:c r="G42" t="n">
        <x:f>SUMIFS(MEB_Takibi!$G$2:$G$110,MEB_Takibi!$B$2:$B$110,A42,MEB_Takibi!$C$2:$C$110,B42)</x:f>
        <x:v>0</x:v>
      </x:c>
      <x:c r="H42" t="n">
        <x:f>SUMIFS(MEB_Takibi!$H$2:$H$110,MEB_Takibi!$B$2:$B$110,A42,MEB_Takibi!$C$2:$C$110,B42)</x:f>
        <x:v>0</x:v>
      </x:c>
      <x:c r="I42" s="22" t="str">
        <x:f>IF(SUM(F42:H42)=0,"",F42/SUM(F42:H42))</x:f>
      </x:c>
      <x:c r="J42" t="n">
        <x:f>COUNTIFS(Yanlis_Defteri!$B$2:$B$401,A42,Yanlis_Defteri!$C$2:$C$401,B42,Yanlis_Defteri!$O$2:$O$401,"Açık")</x:f>
        <x:v>0</x:v>
      </x:c>
      <x:c r="K42" t="str">
        <x:f>IF(OR(D42&lt;&gt;"Evet",E42&lt;&gt;"Evet"),"Eksik",IF(I42&lt;0.8,"Zayıf",IF(OR(I42&lt;0.9,J42&gt;0),"Pekiştirme","Güçlü")))</x:f>
        <x:v>Eksik</x:v>
      </x:c>
      <x:c r="L42" t="str">
        <x:f>IF(K42="Güçlü","Normal ilerle",IF(K42="Pekiştirme","10-20 hedefli soru + açık hataların +1/+7/+21 tekrarları",IF(K42="Zayıf","İlgili videoya dönüş + 20-30 hedefli soru + MEB yeniden doğrulama","Önce kitap konu bölümünü ve MEB doğrulamasını tamamla")))</x:f>
        <x:v>Önce kitap konu bölümünü ve MEB doğrulamasını tamamla</x:v>
      </x:c>
      <x:c r="M42" t="str"/>
    </x:row>
    <x:row r="43">
      <x:c r="A43" t="str">
        <x:v>Türkçe</x:v>
      </x:c>
      <x:c r="B43" t="str">
        <x:v>Sıfatlar</x:v>
      </x:c>
      <x:c r="C43" s="12" t="n">
        <x:v>46345</x:v>
      </x:c>
      <x:c r="D43" t="str">
        <x:v>Hayır</x:v>
      </x:c>
      <x:c r="E43" t="str">
        <x:f>IF(COUNTIFS(MEB_Takibi!$B$2:$B$110,A43,MEB_Takibi!$C$2:$C$110,B43,MEB_Takibi!$K$2:$K$110,"Tamamlandı")&gt;0,"Evet","Hayır")</x:f>
        <x:v>Hayır</x:v>
      </x:c>
      <x:c r="F43" t="n">
        <x:f>SUMIFS(MEB_Takibi!$F$2:$F$110,MEB_Takibi!$B$2:$B$110,A43,MEB_Takibi!$C$2:$C$110,B43)</x:f>
        <x:v>0</x:v>
      </x:c>
      <x:c r="G43" t="n">
        <x:f>SUMIFS(MEB_Takibi!$G$2:$G$110,MEB_Takibi!$B$2:$B$110,A43,MEB_Takibi!$C$2:$C$110,B43)</x:f>
        <x:v>0</x:v>
      </x:c>
      <x:c r="H43" t="n">
        <x:f>SUMIFS(MEB_Takibi!$H$2:$H$110,MEB_Takibi!$B$2:$B$110,A43,MEB_Takibi!$C$2:$C$110,B43)</x:f>
        <x:v>0</x:v>
      </x:c>
      <x:c r="I43" s="22" t="str">
        <x:f>IF(SUM(F43:H43)=0,"",F43/SUM(F43:H43))</x:f>
      </x:c>
      <x:c r="J43" t="n">
        <x:f>COUNTIFS(Yanlis_Defteri!$B$2:$B$401,A43,Yanlis_Defteri!$C$2:$C$401,B43,Yanlis_Defteri!$O$2:$O$401,"Açık")</x:f>
        <x:v>0</x:v>
      </x:c>
      <x:c r="K43" t="str">
        <x:f>IF(OR(D43&lt;&gt;"Evet",E43&lt;&gt;"Evet"),"Eksik",IF(I43&lt;0.8,"Zayıf",IF(OR(I43&lt;0.9,J43&gt;0),"Pekiştirme","Güçlü")))</x:f>
        <x:v>Eksik</x:v>
      </x:c>
      <x:c r="L43" t="str">
        <x:f>IF(K43="Güçlü","Normal ilerle",IF(K43="Pekiştirme","10-20 hedefli soru + açık hataların +1/+7/+21 tekrarları",IF(K43="Zayıf","İlgili videoya dönüş + 20-30 hedefli soru + MEB yeniden doğrulama","Önce kitap konu bölümünü ve MEB doğrulamasını tamamla")))</x:f>
        <x:v>Önce kitap konu bölümünü ve MEB doğrulamasını tamamla</x:v>
      </x:c>
      <x:c r="M43" t="str"/>
    </x:row>
    <x:row r="44">
      <x:c r="A44" t="str">
        <x:v>Türkçe</x:v>
      </x:c>
      <x:c r="B44" t="str">
        <x:v>Zarflar</x:v>
      </x:c>
      <x:c r="C44" s="12" t="n">
        <x:v>46348</x:v>
      </x:c>
      <x:c r="D44" t="str">
        <x:v>Hayır</x:v>
      </x:c>
      <x:c r="E44" t="str">
        <x:f>IF(COUNTIFS(MEB_Takibi!$B$2:$B$110,A44,MEB_Takibi!$C$2:$C$110,B44,MEB_Takibi!$K$2:$K$110,"Tamamlandı")&gt;0,"Evet","Hayır")</x:f>
        <x:v>Hayır</x:v>
      </x:c>
      <x:c r="F44" t="n">
        <x:f>SUMIFS(MEB_Takibi!$F$2:$F$110,MEB_Takibi!$B$2:$B$110,A44,MEB_Takibi!$C$2:$C$110,B44)</x:f>
        <x:v>0</x:v>
      </x:c>
      <x:c r="G44" t="n">
        <x:f>SUMIFS(MEB_Takibi!$G$2:$G$110,MEB_Takibi!$B$2:$B$110,A44,MEB_Takibi!$C$2:$C$110,B44)</x:f>
        <x:v>0</x:v>
      </x:c>
      <x:c r="H44" t="n">
        <x:f>SUMIFS(MEB_Takibi!$H$2:$H$110,MEB_Takibi!$B$2:$B$110,A44,MEB_Takibi!$C$2:$C$110,B44)</x:f>
        <x:v>0</x:v>
      </x:c>
      <x:c r="I44" s="22" t="str">
        <x:f>IF(SUM(F44:H44)=0,"",F44/SUM(F44:H44))</x:f>
      </x:c>
      <x:c r="J44" t="n">
        <x:f>COUNTIFS(Yanlis_Defteri!$B$2:$B$401,A44,Yanlis_Defteri!$C$2:$C$401,B44,Yanlis_Defteri!$O$2:$O$401,"Açık")</x:f>
        <x:v>0</x:v>
      </x:c>
      <x:c r="K44" t="str">
        <x:f>IF(OR(D44&lt;&gt;"Evet",E44&lt;&gt;"Evet"),"Eksik",IF(I44&lt;0.8,"Zayıf",IF(OR(I44&lt;0.9,J44&gt;0),"Pekiştirme","Güçlü")))</x:f>
        <x:v>Eksik</x:v>
      </x:c>
      <x:c r="L44" t="str">
        <x:f>IF(K44="Güçlü","Normal ilerle",IF(K44="Pekiştirme","10-20 hedefli soru + açık hataların +1/+7/+21 tekrarları",IF(K44="Zayıf","İlgili videoya dönüş + 20-30 hedefli soru + MEB yeniden doğrulama","Önce kitap konu bölümünü ve MEB doğrulamasını tamamla")))</x:f>
        <x:v>Önce kitap konu bölümünü ve MEB doğrulamasını tamamla</x:v>
      </x:c>
      <x:c r="M44" t="str"/>
    </x:row>
    <x:row r="45">
      <x:c r="A45" t="str">
        <x:v>Türkçe</x:v>
      </x:c>
      <x:c r="B45" t="str">
        <x:v>Edat - Bağlaç - Ünlem</x:v>
      </x:c>
      <x:c r="C45" s="12" t="n">
        <x:v>46353</x:v>
      </x:c>
      <x:c r="D45" t="str">
        <x:v>Hayır</x:v>
      </x:c>
      <x:c r="E45" t="str">
        <x:f>IF(COUNTIFS(MEB_Takibi!$B$2:$B$110,A45,MEB_Takibi!$C$2:$C$110,B45,MEB_Takibi!$K$2:$K$110,"Tamamlandı")&gt;0,"Evet","Hayır")</x:f>
        <x:v>Hayır</x:v>
      </x:c>
      <x:c r="F45" t="n">
        <x:f>SUMIFS(MEB_Takibi!$F$2:$F$110,MEB_Takibi!$B$2:$B$110,A45,MEB_Takibi!$C$2:$C$110,B45)</x:f>
        <x:v>0</x:v>
      </x:c>
      <x:c r="G45" t="n">
        <x:f>SUMIFS(MEB_Takibi!$G$2:$G$110,MEB_Takibi!$B$2:$B$110,A45,MEB_Takibi!$C$2:$C$110,B45)</x:f>
        <x:v>0</x:v>
      </x:c>
      <x:c r="H45" t="n">
        <x:f>SUMIFS(MEB_Takibi!$H$2:$H$110,MEB_Takibi!$B$2:$B$110,A45,MEB_Takibi!$C$2:$C$110,B45)</x:f>
        <x:v>0</x:v>
      </x:c>
      <x:c r="I45" s="22" t="str">
        <x:f>IF(SUM(F45:H45)=0,"",F45/SUM(F45:H45))</x:f>
      </x:c>
      <x:c r="J45" t="n">
        <x:f>COUNTIFS(Yanlis_Defteri!$B$2:$B$401,A45,Yanlis_Defteri!$C$2:$C$401,B45,Yanlis_Defteri!$O$2:$O$401,"Açık")</x:f>
        <x:v>0</x:v>
      </x:c>
      <x:c r="K45" t="str">
        <x:f>IF(OR(D45&lt;&gt;"Evet",E45&lt;&gt;"Evet"),"Eksik",IF(I45&lt;0.8,"Zayıf",IF(OR(I45&lt;0.9,J45&gt;0),"Pekiştirme","Güçlü")))</x:f>
        <x:v>Eksik</x:v>
      </x:c>
      <x:c r="L45" t="str">
        <x:f>IF(K45="Güçlü","Normal ilerle",IF(K45="Pekiştirme","10-20 hedefli soru + açık hataların +1/+7/+21 tekrarları",IF(K45="Zayıf","İlgili videoya dönüş + 20-30 hedefli soru + MEB yeniden doğrulama","Önce kitap konu bölümünü ve MEB doğrulamasını tamamla")))</x:f>
        <x:v>Önce kitap konu bölümünü ve MEB doğrulamasını tamamla</x:v>
      </x:c>
      <x:c r="M45" t="str"/>
    </x:row>
    <x:row r="46">
      <x:c r="A46" t="str">
        <x:v>Türkçe</x:v>
      </x:c>
      <x:c r="B46" t="str">
        <x:v>Fiiller</x:v>
      </x:c>
      <x:c r="C46" s="12" t="n">
        <x:v>46358</x:v>
      </x:c>
      <x:c r="D46" t="str">
        <x:v>Hayır</x:v>
      </x:c>
      <x:c r="E46" t="str">
        <x:f>IF(COUNTIFS(MEB_Takibi!$B$2:$B$110,A46,MEB_Takibi!$C$2:$C$110,B46,MEB_Takibi!$K$2:$K$110,"Tamamlandı")&gt;0,"Evet","Hayır")</x:f>
        <x:v>Hayır</x:v>
      </x:c>
      <x:c r="F46" t="n">
        <x:f>SUMIFS(MEB_Takibi!$F$2:$F$110,MEB_Takibi!$B$2:$B$110,A46,MEB_Takibi!$C$2:$C$110,B46)</x:f>
        <x:v>0</x:v>
      </x:c>
      <x:c r="G46" t="n">
        <x:f>SUMIFS(MEB_Takibi!$G$2:$G$110,MEB_Takibi!$B$2:$B$110,A46,MEB_Takibi!$C$2:$C$110,B46)</x:f>
        <x:v>0</x:v>
      </x:c>
      <x:c r="H46" t="n">
        <x:f>SUMIFS(MEB_Takibi!$H$2:$H$110,MEB_Takibi!$B$2:$B$110,A46,MEB_Takibi!$C$2:$C$110,B46)</x:f>
        <x:v>0</x:v>
      </x:c>
      <x:c r="I46" s="22" t="str">
        <x:f>IF(SUM(F46:H46)=0,"",F46/SUM(F46:H46))</x:f>
      </x:c>
      <x:c r="J46" t="n">
        <x:f>COUNTIFS(Yanlis_Defteri!$B$2:$B$401,A46,Yanlis_Defteri!$C$2:$C$401,B46,Yanlis_Defteri!$O$2:$O$401,"Açık")</x:f>
        <x:v>0</x:v>
      </x:c>
      <x:c r="K46" t="str">
        <x:f>IF(OR(D46&lt;&gt;"Evet",E46&lt;&gt;"Evet"),"Eksik",IF(I46&lt;0.8,"Zayıf",IF(OR(I46&lt;0.9,J46&gt;0),"Pekiştirme","Güçlü")))</x:f>
        <x:v>Eksik</x:v>
      </x:c>
      <x:c r="L46" t="str">
        <x:f>IF(K46="Güçlü","Normal ilerle",IF(K46="Pekiştirme","10-20 hedefli soru + açık hataların +1/+7/+21 tekrarları",IF(K46="Zayıf","İlgili videoya dönüş + 20-30 hedefli soru + MEB yeniden doğrulama","Önce kitap konu bölümünü ve MEB doğrulamasını tamamla")))</x:f>
        <x:v>Önce kitap konu bölümünü ve MEB doğrulamasını tamamla</x:v>
      </x:c>
      <x:c r="M46" t="str"/>
    </x:row>
    <x:row r="47">
      <x:c r="A47" t="str">
        <x:v>Türkçe</x:v>
      </x:c>
      <x:c r="B47" t="str">
        <x:v>Ek Fiil</x:v>
      </x:c>
      <x:c r="C47" s="12" t="n">
        <x:v>46361</x:v>
      </x:c>
      <x:c r="D47" t="str">
        <x:v>Hayır</x:v>
      </x:c>
      <x:c r="E47" t="str">
        <x:f>IF(COUNTIFS(MEB_Takibi!$B$2:$B$110,A47,MEB_Takibi!$C$2:$C$110,B47,MEB_Takibi!$K$2:$K$110,"Tamamlandı")&gt;0,"Evet","Hayır")</x:f>
        <x:v>Hayır</x:v>
      </x:c>
      <x:c r="F47" t="n">
        <x:f>SUMIFS(MEB_Takibi!$F$2:$F$110,MEB_Takibi!$B$2:$B$110,A47,MEB_Takibi!$C$2:$C$110,B47)</x:f>
        <x:v>0</x:v>
      </x:c>
      <x:c r="G47" t="n">
        <x:f>SUMIFS(MEB_Takibi!$G$2:$G$110,MEB_Takibi!$B$2:$B$110,A47,MEB_Takibi!$C$2:$C$110,B47)</x:f>
        <x:v>0</x:v>
      </x:c>
      <x:c r="H47" t="n">
        <x:f>SUMIFS(MEB_Takibi!$H$2:$H$110,MEB_Takibi!$B$2:$B$110,A47,MEB_Takibi!$C$2:$C$110,B47)</x:f>
        <x:v>0</x:v>
      </x:c>
      <x:c r="I47" s="22" t="str">
        <x:f>IF(SUM(F47:H47)=0,"",F47/SUM(F47:H47))</x:f>
      </x:c>
      <x:c r="J47" t="n">
        <x:f>COUNTIFS(Yanlis_Defteri!$B$2:$B$401,A47,Yanlis_Defteri!$C$2:$C$401,B47,Yanlis_Defteri!$O$2:$O$401,"Açık")</x:f>
        <x:v>0</x:v>
      </x:c>
      <x:c r="K47" t="str">
        <x:f>IF(OR(D47&lt;&gt;"Evet",E47&lt;&gt;"Evet"),"Eksik",IF(I47&lt;0.8,"Zayıf",IF(OR(I47&lt;0.9,J47&gt;0),"Pekiştirme","Güçlü")))</x:f>
        <x:v>Eksik</x:v>
      </x:c>
      <x:c r="L47" t="str">
        <x:f>IF(K47="Güçlü","Normal ilerle",IF(K47="Pekiştirme","10-20 hedefli soru + açık hataların +1/+7/+21 tekrarları",IF(K47="Zayıf","İlgili videoya dönüş + 20-30 hedefli soru + MEB yeniden doğrulama","Önce kitap konu bölümünü ve MEB doğrulamasını tamamla")))</x:f>
        <x:v>Önce kitap konu bölümünü ve MEB doğrulamasını tamamla</x:v>
      </x:c>
      <x:c r="M47" t="str"/>
    </x:row>
    <x:row r="48">
      <x:c r="A48" t="str">
        <x:v>Türkçe</x:v>
      </x:c>
      <x:c r="B48" t="str">
        <x:v>Fiilimsiler</x:v>
      </x:c>
      <x:c r="C48" s="12" t="n">
        <x:v>46366</x:v>
      </x:c>
      <x:c r="D48" t="str">
        <x:v>Hayır</x:v>
      </x:c>
      <x:c r="E48" t="str">
        <x:f>IF(COUNTIFS(MEB_Takibi!$B$2:$B$110,A48,MEB_Takibi!$C$2:$C$110,B48,MEB_Takibi!$K$2:$K$110,"Tamamlandı")&gt;0,"Evet","Hayır")</x:f>
        <x:v>Hayır</x:v>
      </x:c>
      <x:c r="F48" t="n">
        <x:f>SUMIFS(MEB_Takibi!$F$2:$F$110,MEB_Takibi!$B$2:$B$110,A48,MEB_Takibi!$C$2:$C$110,B48)</x:f>
        <x:v>0</x:v>
      </x:c>
      <x:c r="G48" t="n">
        <x:f>SUMIFS(MEB_Takibi!$G$2:$G$110,MEB_Takibi!$B$2:$B$110,A48,MEB_Takibi!$C$2:$C$110,B48)</x:f>
        <x:v>0</x:v>
      </x:c>
      <x:c r="H48" t="n">
        <x:f>SUMIFS(MEB_Takibi!$H$2:$H$110,MEB_Takibi!$B$2:$B$110,A48,MEB_Takibi!$C$2:$C$110,B48)</x:f>
        <x:v>0</x:v>
      </x:c>
      <x:c r="I48" s="22" t="str">
        <x:f>IF(SUM(F48:H48)=0,"",F48/SUM(F48:H48))</x:f>
      </x:c>
      <x:c r="J48" t="n">
        <x:f>COUNTIFS(Yanlis_Defteri!$B$2:$B$401,A48,Yanlis_Defteri!$C$2:$C$401,B48,Yanlis_Defteri!$O$2:$O$401,"Açık")</x:f>
        <x:v>0</x:v>
      </x:c>
      <x:c r="K48" t="str">
        <x:f>IF(OR(D48&lt;&gt;"Evet",E48&lt;&gt;"Evet"),"Eksik",IF(I48&lt;0.8,"Zayıf",IF(OR(I48&lt;0.9,J48&gt;0),"Pekiştirme","Güçlü")))</x:f>
        <x:v>Eksik</x:v>
      </x:c>
      <x:c r="L48" t="str">
        <x:f>IF(K48="Güçlü","Normal ilerle",IF(K48="Pekiştirme","10-20 hedefli soru + açık hataların +1/+7/+21 tekrarları",IF(K48="Zayıf","İlgili videoya dönüş + 20-30 hedefli soru + MEB yeniden doğrulama","Önce kitap konu bölümünü ve MEB doğrulamasını tamamla")))</x:f>
        <x:v>Önce kitap konu bölümünü ve MEB doğrulamasını tamamla</x:v>
      </x:c>
      <x:c r="M48" t="str"/>
    </x:row>
    <x:row r="49">
      <x:c r="A49" t="str">
        <x:v>Türkçe</x:v>
      </x:c>
      <x:c r="B49" t="str">
        <x:v>Cümlenin Ögeleri</x:v>
      </x:c>
      <x:c r="C49" s="12" t="n">
        <x:v>46371</x:v>
      </x:c>
      <x:c r="D49" t="str">
        <x:v>Hayır</x:v>
      </x:c>
      <x:c r="E49" t="str">
        <x:f>IF(COUNTIFS(MEB_Takibi!$B$2:$B$110,A49,MEB_Takibi!$C$2:$C$110,B49,MEB_Takibi!$K$2:$K$110,"Tamamlandı")&gt;0,"Evet","Hayır")</x:f>
        <x:v>Hayır</x:v>
      </x:c>
      <x:c r="F49" t="n">
        <x:f>SUMIFS(MEB_Takibi!$F$2:$F$110,MEB_Takibi!$B$2:$B$110,A49,MEB_Takibi!$C$2:$C$110,B49)</x:f>
        <x:v>0</x:v>
      </x:c>
      <x:c r="G49" t="n">
        <x:f>SUMIFS(MEB_Takibi!$G$2:$G$110,MEB_Takibi!$B$2:$B$110,A49,MEB_Takibi!$C$2:$C$110,B49)</x:f>
        <x:v>0</x:v>
      </x:c>
      <x:c r="H49" t="n">
        <x:f>SUMIFS(MEB_Takibi!$H$2:$H$110,MEB_Takibi!$B$2:$B$110,A49,MEB_Takibi!$C$2:$C$110,B49)</x:f>
        <x:v>0</x:v>
      </x:c>
      <x:c r="I49" s="22" t="str">
        <x:f>IF(SUM(F49:H49)=0,"",F49/SUM(F49:H49))</x:f>
      </x:c>
      <x:c r="J49" t="n">
        <x:f>COUNTIFS(Yanlis_Defteri!$B$2:$B$401,A49,Yanlis_Defteri!$C$2:$C$401,B49,Yanlis_Defteri!$O$2:$O$401,"Açık")</x:f>
        <x:v>0</x:v>
      </x:c>
      <x:c r="K49" t="str">
        <x:f>IF(OR(D49&lt;&gt;"Evet",E49&lt;&gt;"Evet"),"Eksik",IF(I49&lt;0.8,"Zayıf",IF(OR(I49&lt;0.9,J49&gt;0),"Pekiştirme","Güçlü")))</x:f>
        <x:v>Eksik</x:v>
      </x:c>
      <x:c r="L49" t="str">
        <x:f>IF(K49="Güçlü","Normal ilerle",IF(K49="Pekiştirme","10-20 hedefli soru + açık hataların +1/+7/+21 tekrarları",IF(K49="Zayıf","İlgili videoya dönüş + 20-30 hedefli soru + MEB yeniden doğrulama","Önce kitap konu bölümünü ve MEB doğrulamasını tamamla")))</x:f>
        <x:v>Önce kitap konu bölümünü ve MEB doğrulamasını tamamla</x:v>
      </x:c>
      <x:c r="M49" t="str"/>
    </x:row>
    <x:row r="50">
      <x:c r="A50" t="str">
        <x:v>Türkçe</x:v>
      </x:c>
      <x:c r="B50" t="str">
        <x:v>Fiilde Çatı</x:v>
      </x:c>
      <x:c r="C50" s="12" t="n">
        <x:v>46375</x:v>
      </x:c>
      <x:c r="D50" t="str">
        <x:v>Hayır</x:v>
      </x:c>
      <x:c r="E50" t="str">
        <x:f>IF(COUNTIFS(MEB_Takibi!$B$2:$B$110,A50,MEB_Takibi!$C$2:$C$110,B50,MEB_Takibi!$K$2:$K$110,"Tamamlandı")&gt;0,"Evet","Hayır")</x:f>
        <x:v>Hayır</x:v>
      </x:c>
      <x:c r="F50" t="n">
        <x:f>SUMIFS(MEB_Takibi!$F$2:$F$110,MEB_Takibi!$B$2:$B$110,A50,MEB_Takibi!$C$2:$C$110,B50)</x:f>
        <x:v>0</x:v>
      </x:c>
      <x:c r="G50" t="n">
        <x:f>SUMIFS(MEB_Takibi!$G$2:$G$110,MEB_Takibi!$B$2:$B$110,A50,MEB_Takibi!$C$2:$C$110,B50)</x:f>
        <x:v>0</x:v>
      </x:c>
      <x:c r="H50" t="n">
        <x:f>SUMIFS(MEB_Takibi!$H$2:$H$110,MEB_Takibi!$B$2:$B$110,A50,MEB_Takibi!$C$2:$C$110,B50)</x:f>
        <x:v>0</x:v>
      </x:c>
      <x:c r="I50" s="22" t="str">
        <x:f>IF(SUM(F50:H50)=0,"",F50/SUM(F50:H50))</x:f>
      </x:c>
      <x:c r="J50" t="n">
        <x:f>COUNTIFS(Yanlis_Defteri!$B$2:$B$401,A50,Yanlis_Defteri!$C$2:$C$401,B50,Yanlis_Defteri!$O$2:$O$401,"Açık")</x:f>
        <x:v>0</x:v>
      </x:c>
      <x:c r="K50" t="str">
        <x:f>IF(OR(D50&lt;&gt;"Evet",E50&lt;&gt;"Evet"),"Eksik",IF(I50&lt;0.8,"Zayıf",IF(OR(I50&lt;0.9,J50&gt;0),"Pekiştirme","Güçlü")))</x:f>
        <x:v>Eksik</x:v>
      </x:c>
      <x:c r="L50" t="str">
        <x:f>IF(K50="Güçlü","Normal ilerle",IF(K50="Pekiştirme","10-20 hedefli soru + açık hataların +1/+7/+21 tekrarları",IF(K50="Zayıf","İlgili videoya dönüş + 20-30 hedefli soru + MEB yeniden doğrulama","Önce kitap konu bölümünü ve MEB doğrulamasını tamamla")))</x:f>
        <x:v>Önce kitap konu bölümünü ve MEB doğrulamasını tamamla</x:v>
      </x:c>
      <x:c r="M50" t="str"/>
    </x:row>
    <x:row r="51">
      <x:c r="A51" t="str">
        <x:v>Türkçe</x:v>
      </x:c>
      <x:c r="B51" t="str">
        <x:v>Cümle Türleri</x:v>
      </x:c>
      <x:c r="C51" s="12" t="n">
        <x:v>46379</x:v>
      </x:c>
      <x:c r="D51" t="str">
        <x:v>Hayır</x:v>
      </x:c>
      <x:c r="E51" t="str">
        <x:f>IF(COUNTIFS(MEB_Takibi!$B$2:$B$110,A51,MEB_Takibi!$C$2:$C$110,B51,MEB_Takibi!$K$2:$K$110,"Tamamlandı")&gt;0,"Evet","Hayır")</x:f>
        <x:v>Hayır</x:v>
      </x:c>
      <x:c r="F51" t="n">
        <x:f>SUMIFS(MEB_Takibi!$F$2:$F$110,MEB_Takibi!$B$2:$B$110,A51,MEB_Takibi!$C$2:$C$110,B51)</x:f>
        <x:v>0</x:v>
      </x:c>
      <x:c r="G51" t="n">
        <x:f>SUMIFS(MEB_Takibi!$G$2:$G$110,MEB_Takibi!$B$2:$B$110,A51,MEB_Takibi!$C$2:$C$110,B51)</x:f>
        <x:v>0</x:v>
      </x:c>
      <x:c r="H51" t="n">
        <x:f>SUMIFS(MEB_Takibi!$H$2:$H$110,MEB_Takibi!$B$2:$B$110,A51,MEB_Takibi!$C$2:$C$110,B51)</x:f>
        <x:v>0</x:v>
      </x:c>
      <x:c r="I51" s="22" t="str">
        <x:f>IF(SUM(F51:H51)=0,"",F51/SUM(F51:H51))</x:f>
      </x:c>
      <x:c r="J51" t="n">
        <x:f>COUNTIFS(Yanlis_Defteri!$B$2:$B$401,A51,Yanlis_Defteri!$C$2:$C$401,B51,Yanlis_Defteri!$O$2:$O$401,"Açık")</x:f>
        <x:v>0</x:v>
      </x:c>
      <x:c r="K51" t="str">
        <x:f>IF(OR(D51&lt;&gt;"Evet",E51&lt;&gt;"Evet"),"Eksik",IF(I51&lt;0.8,"Zayıf",IF(OR(I51&lt;0.9,J51&gt;0),"Pekiştirme","Güçlü")))</x:f>
        <x:v>Eksik</x:v>
      </x:c>
      <x:c r="L51" t="str">
        <x:f>IF(K51="Güçlü","Normal ilerle",IF(K51="Pekiştirme","10-20 hedefli soru + açık hataların +1/+7/+21 tekrarları",IF(K51="Zayıf","İlgili videoya dönüş + 20-30 hedefli soru + MEB yeniden doğrulama","Önce kitap konu bölümünü ve MEB doğrulamasını tamamla")))</x:f>
        <x:v>Önce kitap konu bölümünü ve MEB doğrulamasını tamamla</x:v>
      </x:c>
      <x:c r="M51" t="str"/>
    </x:row>
    <x:row r="52">
      <x:c r="A52" t="str">
        <x:v>Türkçe</x:v>
      </x:c>
      <x:c r="B52" t="str">
        <x:v>Anlatım Bozuklukları</x:v>
      </x:c>
      <x:c r="C52" s="12" t="n">
        <x:v>46383</x:v>
      </x:c>
      <x:c r="D52" t="str">
        <x:v>Hayır</x:v>
      </x:c>
      <x:c r="E52" t="str">
        <x:f>IF(COUNTIFS(MEB_Takibi!$B$2:$B$110,A52,MEB_Takibi!$C$2:$C$110,B52,MEB_Takibi!$K$2:$K$110,"Tamamlandı")&gt;0,"Evet","Hayır")</x:f>
        <x:v>Hayır</x:v>
      </x:c>
      <x:c r="F52" t="n">
        <x:f>SUMIFS(MEB_Takibi!$F$2:$F$110,MEB_Takibi!$B$2:$B$110,A52,MEB_Takibi!$C$2:$C$110,B52)</x:f>
        <x:v>0</x:v>
      </x:c>
      <x:c r="G52" t="n">
        <x:f>SUMIFS(MEB_Takibi!$G$2:$G$110,MEB_Takibi!$B$2:$B$110,A52,MEB_Takibi!$C$2:$C$110,B52)</x:f>
        <x:v>0</x:v>
      </x:c>
      <x:c r="H52" t="n">
        <x:f>SUMIFS(MEB_Takibi!$H$2:$H$110,MEB_Takibi!$B$2:$B$110,A52,MEB_Takibi!$C$2:$C$110,B52)</x:f>
        <x:v>0</x:v>
      </x:c>
      <x:c r="I52" s="22" t="str">
        <x:f>IF(SUM(F52:H52)=0,"",F52/SUM(F52:H52))</x:f>
      </x:c>
      <x:c r="J52" t="n">
        <x:f>COUNTIFS(Yanlis_Defteri!$B$2:$B$401,A52,Yanlis_Defteri!$C$2:$C$401,B52,Yanlis_Defteri!$O$2:$O$401,"Açık")</x:f>
        <x:v>0</x:v>
      </x:c>
      <x:c r="K52" t="str">
        <x:f>IF(OR(D52&lt;&gt;"Evet",E52&lt;&gt;"Evet"),"Eksik",IF(I52&lt;0.8,"Zayıf",IF(OR(I52&lt;0.9,J52&gt;0),"Pekiştirme","Güçlü")))</x:f>
        <x:v>Eksik</x:v>
      </x:c>
      <x:c r="L52" t="str">
        <x:f>IF(K52="Güçlü","Normal ilerle",IF(K52="Pekiştirme","10-20 hedefli soru + açık hataların +1/+7/+21 tekrarları",IF(K52="Zayıf","İlgili videoya dönüş + 20-30 hedefli soru + MEB yeniden doğrulama","Önce kitap konu bölümünü ve MEB doğrulamasını tamamla")))</x:f>
        <x:v>Önce kitap konu bölümünü ve MEB doğrulamasını tamamla</x:v>
      </x:c>
      <x:c r="M52" t="str"/>
    </x:row>
    <x:row r="53">
      <x:c r="A53" t="str">
        <x:v>Türkçe</x:v>
      </x:c>
      <x:c r="B53" t="str">
        <x:v>Metin Türleri ve Söz Sanatları</x:v>
      </x:c>
      <x:c r="C53" s="12" t="n">
        <x:v>46386</x:v>
      </x:c>
      <x:c r="D53" t="str">
        <x:v>Hayır</x:v>
      </x:c>
      <x:c r="E53" t="str">
        <x:f>IF(COUNTIFS(MEB_Takibi!$B$2:$B$110,A53,MEB_Takibi!$C$2:$C$110,B53,MEB_Takibi!$K$2:$K$110,"Tamamlandı")&gt;0,"Evet","Hayır")</x:f>
        <x:v>Hayır</x:v>
      </x:c>
      <x:c r="F53" t="n">
        <x:f>SUMIFS(MEB_Takibi!$F$2:$F$110,MEB_Takibi!$B$2:$B$110,A53,MEB_Takibi!$C$2:$C$110,B53)</x:f>
        <x:v>0</x:v>
      </x:c>
      <x:c r="G53" t="n">
        <x:f>SUMIFS(MEB_Takibi!$G$2:$G$110,MEB_Takibi!$B$2:$B$110,A53,MEB_Takibi!$C$2:$C$110,B53)</x:f>
        <x:v>0</x:v>
      </x:c>
      <x:c r="H53" t="n">
        <x:f>SUMIFS(MEB_Takibi!$H$2:$H$110,MEB_Takibi!$B$2:$B$110,A53,MEB_Takibi!$C$2:$C$110,B53)</x:f>
        <x:v>0</x:v>
      </x:c>
      <x:c r="I53" s="22" t="str">
        <x:f>IF(SUM(F53:H53)=0,"",F53/SUM(F53:H53))</x:f>
      </x:c>
      <x:c r="J53" t="n">
        <x:f>COUNTIFS(Yanlis_Defteri!$B$2:$B$401,A53,Yanlis_Defteri!$C$2:$C$401,B53,Yanlis_Defteri!$O$2:$O$401,"Açık")</x:f>
        <x:v>0</x:v>
      </x:c>
      <x:c r="K53" t="str">
        <x:f>IF(OR(D53&lt;&gt;"Evet",E53&lt;&gt;"Evet"),"Eksik",IF(I53&lt;0.8,"Zayıf",IF(OR(I53&lt;0.9,J53&gt;0),"Pekiştirme","Güçlü")))</x:f>
        <x:v>Eksik</x:v>
      </x:c>
      <x:c r="L53" t="str">
        <x:f>IF(K53="Güçlü","Normal ilerle",IF(K53="Pekiştirme","10-20 hedefli soru + açık hataların +1/+7/+21 tekrarları",IF(K53="Zayıf","İlgili videoya dönüş + 20-30 hedefli soru + MEB yeniden doğrulama","Önce kitap konu bölümünü ve MEB doğrulamasını tamamla")))</x:f>
        <x:v>Önce kitap konu bölümünü ve MEB doğrulamasını tamamla</x:v>
      </x:c>
      <x:c r="M53" t="str"/>
    </x:row>
    <x:row r="54">
      <x:c r="A54" t="str">
        <x:v>Türkçe</x:v>
      </x:c>
      <x:c r="B54" t="str">
        <x:v>Görsel Okuma, Grafik ve Sözel Mantık</x:v>
      </x:c>
      <x:c r="C54" s="12" t="n">
        <x:v>46390</x:v>
      </x:c>
      <x:c r="D54" t="str">
        <x:v>Hayır</x:v>
      </x:c>
      <x:c r="E54" t="str">
        <x:f>IF(COUNTIFS(MEB_Takibi!$B$2:$B$110,A54,MEB_Takibi!$C$2:$C$110,B54,MEB_Takibi!$K$2:$K$110,"Tamamlandı")&gt;0,"Evet","Hayır")</x:f>
        <x:v>Hayır</x:v>
      </x:c>
      <x:c r="F54" t="n">
        <x:f>SUMIFS(MEB_Takibi!$F$2:$F$110,MEB_Takibi!$B$2:$B$110,A54,MEB_Takibi!$C$2:$C$110,B54)</x:f>
        <x:v>0</x:v>
      </x:c>
      <x:c r="G54" t="n">
        <x:f>SUMIFS(MEB_Takibi!$G$2:$G$110,MEB_Takibi!$B$2:$B$110,A54,MEB_Takibi!$C$2:$C$110,B54)</x:f>
        <x:v>0</x:v>
      </x:c>
      <x:c r="H54" t="n">
        <x:f>SUMIFS(MEB_Takibi!$H$2:$H$110,MEB_Takibi!$B$2:$B$110,A54,MEB_Takibi!$C$2:$C$110,B54)</x:f>
        <x:v>0</x:v>
      </x:c>
      <x:c r="I54" s="22" t="str">
        <x:f>IF(SUM(F54:H54)=0,"",F54/SUM(F54:H54))</x:f>
      </x:c>
      <x:c r="J54" t="n">
        <x:f>COUNTIFS(Yanlis_Defteri!$B$2:$B$401,A54,Yanlis_Defteri!$C$2:$C$401,B54,Yanlis_Defteri!$O$2:$O$401,"Açık")</x:f>
        <x:v>0</x:v>
      </x:c>
      <x:c r="K54" t="str">
        <x:f>IF(OR(D54&lt;&gt;"Evet",E54&lt;&gt;"Evet"),"Eksik",IF(I54&lt;0.8,"Zayıf",IF(OR(I54&lt;0.9,J54&gt;0),"Pekiştirme","Güçlü")))</x:f>
        <x:v>Eksik</x:v>
      </x:c>
      <x:c r="L54" t="str">
        <x:f>IF(K54="Güçlü","Normal ilerle",IF(K54="Pekiştirme","10-20 hedefli soru + açık hataların +1/+7/+21 tekrarları",IF(K54="Zayıf","İlgili videoya dönüş + 20-30 hedefli soru + MEB yeniden doğrulama","Önce kitap konu bölümünü ve MEB doğrulamasını tamamla")))</x:f>
        <x:v>Önce kitap konu bölümünü ve MEB doğrulamasını tamamla</x:v>
      </x:c>
      <x:c r="M54" t="str"/>
    </x:row>
    <x:row r="55">
      <x:c r="A55" t="str">
        <x:v>Fen</x:v>
      </x:c>
      <x:c r="B55" t="str">
        <x:v>Mevsimlerin Oluşumu</x:v>
      </x:c>
      <x:c r="C55" s="12" t="n">
        <x:v>46300</x:v>
      </x:c>
      <x:c r="D55" t="str">
        <x:v>Hayır</x:v>
      </x:c>
      <x:c r="E55" t="str">
        <x:f>IF(COUNTIFS(MEB_Takibi!$B$2:$B$110,A55,MEB_Takibi!$C$2:$C$110,B55,MEB_Takibi!$K$2:$K$110,"Tamamlandı")&gt;0,"Evet","Hayır")</x:f>
        <x:v>Hayır</x:v>
      </x:c>
      <x:c r="F55" t="n">
        <x:f>SUMIFS(MEB_Takibi!$F$2:$F$110,MEB_Takibi!$B$2:$B$110,A55,MEB_Takibi!$C$2:$C$110,B55)</x:f>
        <x:v>0</x:v>
      </x:c>
      <x:c r="G55" t="n">
        <x:f>SUMIFS(MEB_Takibi!$G$2:$G$110,MEB_Takibi!$B$2:$B$110,A55,MEB_Takibi!$C$2:$C$110,B55)</x:f>
        <x:v>0</x:v>
      </x:c>
      <x:c r="H55" t="n">
        <x:f>SUMIFS(MEB_Takibi!$H$2:$H$110,MEB_Takibi!$B$2:$B$110,A55,MEB_Takibi!$C$2:$C$110,B55)</x:f>
        <x:v>0</x:v>
      </x:c>
      <x:c r="I55" s="22" t="str">
        <x:f>IF(SUM(F55:H55)=0,"",F55/SUM(F55:H55))</x:f>
      </x:c>
      <x:c r="J55" t="n">
        <x:f>COUNTIFS(Yanlis_Defteri!$B$2:$B$401,A55,Yanlis_Defteri!$C$2:$C$401,B55,Yanlis_Defteri!$O$2:$O$401,"Açık")</x:f>
        <x:v>0</x:v>
      </x:c>
      <x:c r="K55" t="str">
        <x:f>IF(OR(D55&lt;&gt;"Evet",E55&lt;&gt;"Evet"),"Eksik",IF(I55&lt;0.8,"Zayıf",IF(OR(I55&lt;0.9,J55&gt;0),"Pekiştirme","Güçlü")))</x:f>
        <x:v>Eksik</x:v>
      </x:c>
      <x:c r="L55" t="str">
        <x:f>IF(K55="Güçlü","Normal ilerle",IF(K55="Pekiştirme","10-20 hedefli soru + açık hataların +1/+7/+21 tekrarları",IF(K55="Zayıf","İlgili videoya dönüş + 20-30 hedefli soru + MEB yeniden doğrulama","Önce kitap konu bölümünü ve MEB doğrulamasını tamamla")))</x:f>
        <x:v>Önce kitap konu bölümünü ve MEB doğrulamasını tamamla</x:v>
      </x:c>
      <x:c r="M55" t="str"/>
    </x:row>
    <x:row r="56">
      <x:c r="A56" t="str">
        <x:v>Fen</x:v>
      </x:c>
      <x:c r="B56" t="str">
        <x:v>İklim ve Hava Hareketleri</x:v>
      </x:c>
      <x:c r="C56" s="12" t="n">
        <x:v>46308</x:v>
      </x:c>
      <x:c r="D56" t="str">
        <x:v>Hayır</x:v>
      </x:c>
      <x:c r="E56" t="str">
        <x:f>IF(COUNTIFS(MEB_Takibi!$B$2:$B$110,A56,MEB_Takibi!$C$2:$C$110,B56,MEB_Takibi!$K$2:$K$110,"Tamamlandı")&gt;0,"Evet","Hayır")</x:f>
        <x:v>Hayır</x:v>
      </x:c>
      <x:c r="F56" t="n">
        <x:f>SUMIFS(MEB_Takibi!$F$2:$F$110,MEB_Takibi!$B$2:$B$110,A56,MEB_Takibi!$C$2:$C$110,B56)</x:f>
        <x:v>0</x:v>
      </x:c>
      <x:c r="G56" t="n">
        <x:f>SUMIFS(MEB_Takibi!$G$2:$G$110,MEB_Takibi!$B$2:$B$110,A56,MEB_Takibi!$C$2:$C$110,B56)</x:f>
        <x:v>0</x:v>
      </x:c>
      <x:c r="H56" t="n">
        <x:f>SUMIFS(MEB_Takibi!$H$2:$H$110,MEB_Takibi!$B$2:$B$110,A56,MEB_Takibi!$C$2:$C$110,B56)</x:f>
        <x:v>0</x:v>
      </x:c>
      <x:c r="I56" s="22" t="str">
        <x:f>IF(SUM(F56:H56)=0,"",F56/SUM(F56:H56))</x:f>
      </x:c>
      <x:c r="J56" t="n">
        <x:f>COUNTIFS(Yanlis_Defteri!$B$2:$B$401,A56,Yanlis_Defteri!$C$2:$C$401,B56,Yanlis_Defteri!$O$2:$O$401,"Açık")</x:f>
        <x:v>0</x:v>
      </x:c>
      <x:c r="K56" t="str">
        <x:f>IF(OR(D56&lt;&gt;"Evet",E56&lt;&gt;"Evet"),"Eksik",IF(I56&lt;0.8,"Zayıf",IF(OR(I56&lt;0.9,J56&gt;0),"Pekiştirme","Güçlü")))</x:f>
        <x:v>Eksik</x:v>
      </x:c>
      <x:c r="L56" t="str">
        <x:f>IF(K56="Güçlü","Normal ilerle",IF(K56="Pekiştirme","10-20 hedefli soru + açık hataların +1/+7/+21 tekrarları",IF(K56="Zayıf","İlgili videoya dönüş + 20-30 hedefli soru + MEB yeniden doğrulama","Önce kitap konu bölümünü ve MEB doğrulamasını tamamla")))</x:f>
        <x:v>Önce kitap konu bölümünü ve MEB doğrulamasını tamamla</x:v>
      </x:c>
      <x:c r="M56" t="str"/>
    </x:row>
    <x:row r="57">
      <x:c r="A57" t="str">
        <x:v>Fen</x:v>
      </x:c>
      <x:c r="B57" t="str">
        <x:v>DNA ve Genetik Kod</x:v>
      </x:c>
      <x:c r="C57" s="12" t="n">
        <x:v>46316</x:v>
      </x:c>
      <x:c r="D57" t="str">
        <x:v>Hayır</x:v>
      </x:c>
      <x:c r="E57" t="str">
        <x:f>IF(COUNTIFS(MEB_Takibi!$B$2:$B$110,A57,MEB_Takibi!$C$2:$C$110,B57,MEB_Takibi!$K$2:$K$110,"Tamamlandı")&gt;0,"Evet","Hayır")</x:f>
        <x:v>Hayır</x:v>
      </x:c>
      <x:c r="F57" t="n">
        <x:f>SUMIFS(MEB_Takibi!$F$2:$F$110,MEB_Takibi!$B$2:$B$110,A57,MEB_Takibi!$C$2:$C$110,B57)</x:f>
        <x:v>0</x:v>
      </x:c>
      <x:c r="G57" t="n">
        <x:f>SUMIFS(MEB_Takibi!$G$2:$G$110,MEB_Takibi!$B$2:$B$110,A57,MEB_Takibi!$C$2:$C$110,B57)</x:f>
        <x:v>0</x:v>
      </x:c>
      <x:c r="H57" t="n">
        <x:f>SUMIFS(MEB_Takibi!$H$2:$H$110,MEB_Takibi!$B$2:$B$110,A57,MEB_Takibi!$C$2:$C$110,B57)</x:f>
        <x:v>0</x:v>
      </x:c>
      <x:c r="I57" s="22" t="str">
        <x:f>IF(SUM(F57:H57)=0,"",F57/SUM(F57:H57))</x:f>
      </x:c>
      <x:c r="J57" t="n">
        <x:f>COUNTIFS(Yanlis_Defteri!$B$2:$B$401,A57,Yanlis_Defteri!$C$2:$C$401,B57,Yanlis_Defteri!$O$2:$O$401,"Açık")</x:f>
        <x:v>0</x:v>
      </x:c>
      <x:c r="K57" t="str">
        <x:f>IF(OR(D57&lt;&gt;"Evet",E57&lt;&gt;"Evet"),"Eksik",IF(I57&lt;0.8,"Zayıf",IF(OR(I57&lt;0.9,J57&gt;0),"Pekiştirme","Güçlü")))</x:f>
        <x:v>Eksik</x:v>
      </x:c>
      <x:c r="L57" t="str">
        <x:f>IF(K57="Güçlü","Normal ilerle",IF(K57="Pekiştirme","10-20 hedefli soru + açık hataların +1/+7/+21 tekrarları",IF(K57="Zayıf","İlgili videoya dönüş + 20-30 hedefli soru + MEB yeniden doğrulama","Önce kitap konu bölümünü ve MEB doğrulamasını tamamla")))</x:f>
        <x:v>Önce kitap konu bölümünü ve MEB doğrulamasını tamamla</x:v>
      </x:c>
      <x:c r="M57" t="str"/>
    </x:row>
    <x:row r="58">
      <x:c r="A58" t="str">
        <x:v>Fen</x:v>
      </x:c>
      <x:c r="B58" t="str">
        <x:v>Kalıtım</x:v>
      </x:c>
      <x:c r="C58" s="12" t="n">
        <x:v>46324</x:v>
      </x:c>
      <x:c r="D58" t="str">
        <x:v>Hayır</x:v>
      </x:c>
      <x:c r="E58" t="str">
        <x:f>IF(COUNTIFS(MEB_Takibi!$B$2:$B$110,A58,MEB_Takibi!$C$2:$C$110,B58,MEB_Takibi!$K$2:$K$110,"Tamamlandı")&gt;0,"Evet","Hayır")</x:f>
        <x:v>Hayır</x:v>
      </x:c>
      <x:c r="F58" t="n">
        <x:f>SUMIFS(MEB_Takibi!$F$2:$F$110,MEB_Takibi!$B$2:$B$110,A58,MEB_Takibi!$C$2:$C$110,B58)</x:f>
        <x:v>0</x:v>
      </x:c>
      <x:c r="G58" t="n">
        <x:f>SUMIFS(MEB_Takibi!$G$2:$G$110,MEB_Takibi!$B$2:$B$110,A58,MEB_Takibi!$C$2:$C$110,B58)</x:f>
        <x:v>0</x:v>
      </x:c>
      <x:c r="H58" t="n">
        <x:f>SUMIFS(MEB_Takibi!$H$2:$H$110,MEB_Takibi!$B$2:$B$110,A58,MEB_Takibi!$C$2:$C$110,B58)</x:f>
        <x:v>0</x:v>
      </x:c>
      <x:c r="I58" s="22" t="str">
        <x:f>IF(SUM(F58:H58)=0,"",F58/SUM(F58:H58))</x:f>
      </x:c>
      <x:c r="J58" t="n">
        <x:f>COUNTIFS(Yanlis_Defteri!$B$2:$B$401,A58,Yanlis_Defteri!$C$2:$C$401,B58,Yanlis_Defteri!$O$2:$O$401,"Açık")</x:f>
        <x:v>0</x:v>
      </x:c>
      <x:c r="K58" t="str">
        <x:f>IF(OR(D58&lt;&gt;"Evet",E58&lt;&gt;"Evet"),"Eksik",IF(I58&lt;0.8,"Zayıf",IF(OR(I58&lt;0.9,J58&gt;0),"Pekiştirme","Güçlü")))</x:f>
        <x:v>Eksik</x:v>
      </x:c>
      <x:c r="L58" t="str">
        <x:f>IF(K58="Güçlü","Normal ilerle",IF(K58="Pekiştirme","10-20 hedefli soru + açık hataların +1/+7/+21 tekrarları",IF(K58="Zayıf","İlgili videoya dönüş + 20-30 hedefli soru + MEB yeniden doğrulama","Önce kitap konu bölümünü ve MEB doğrulamasını tamamla")))</x:f>
        <x:v>Önce kitap konu bölümünü ve MEB doğrulamasını tamamla</x:v>
      </x:c>
      <x:c r="M58" t="str"/>
    </x:row>
    <x:row r="59">
      <x:c r="A59" t="str">
        <x:v>Fen</x:v>
      </x:c>
      <x:c r="B59" t="str">
        <x:v>Mutasyon - Modifikasyon - Adaptasyon</x:v>
      </x:c>
      <x:c r="C59" s="12" t="n">
        <x:v>46332</x:v>
      </x:c>
      <x:c r="D59" t="str">
        <x:v>Hayır</x:v>
      </x:c>
      <x:c r="E59" t="str">
        <x:f>IF(COUNTIFS(MEB_Takibi!$B$2:$B$110,A59,MEB_Takibi!$C$2:$C$110,B59,MEB_Takibi!$K$2:$K$110,"Tamamlandı")&gt;0,"Evet","Hayır")</x:f>
        <x:v>Hayır</x:v>
      </x:c>
      <x:c r="F59" t="n">
        <x:f>SUMIFS(MEB_Takibi!$F$2:$F$110,MEB_Takibi!$B$2:$B$110,A59,MEB_Takibi!$C$2:$C$110,B59)</x:f>
        <x:v>0</x:v>
      </x:c>
      <x:c r="G59" t="n">
        <x:f>SUMIFS(MEB_Takibi!$G$2:$G$110,MEB_Takibi!$B$2:$B$110,A59,MEB_Takibi!$C$2:$C$110,B59)</x:f>
        <x:v>0</x:v>
      </x:c>
      <x:c r="H59" t="n">
        <x:f>SUMIFS(MEB_Takibi!$H$2:$H$110,MEB_Takibi!$B$2:$B$110,A59,MEB_Takibi!$C$2:$C$110,B59)</x:f>
        <x:v>0</x:v>
      </x:c>
      <x:c r="I59" s="22" t="str">
        <x:f>IF(SUM(F59:H59)=0,"",F59/SUM(F59:H59))</x:f>
      </x:c>
      <x:c r="J59" t="n">
        <x:f>COUNTIFS(Yanlis_Defteri!$B$2:$B$401,A59,Yanlis_Defteri!$C$2:$C$401,B59,Yanlis_Defteri!$O$2:$O$401,"Açık")</x:f>
        <x:v>0</x:v>
      </x:c>
      <x:c r="K59" t="str">
        <x:f>IF(OR(D59&lt;&gt;"Evet",E59&lt;&gt;"Evet"),"Eksik",IF(I59&lt;0.8,"Zayıf",IF(OR(I59&lt;0.9,J59&gt;0),"Pekiştirme","Güçlü")))</x:f>
        <x:v>Eksik</x:v>
      </x:c>
      <x:c r="L59" t="str">
        <x:f>IF(K59="Güçlü","Normal ilerle",IF(K59="Pekiştirme","10-20 hedefli soru + açık hataların +1/+7/+21 tekrarları",IF(K59="Zayıf","İlgili videoya dönüş + 20-30 hedefli soru + MEB yeniden doğrulama","Önce kitap konu bölümünü ve MEB doğrulamasını tamamla")))</x:f>
        <x:v>Önce kitap konu bölümünü ve MEB doğrulamasını tamamla</x:v>
      </x:c>
      <x:c r="M59" t="str"/>
    </x:row>
    <x:row r="60">
      <x:c r="A60" t="str">
        <x:v>Fen</x:v>
      </x:c>
      <x:c r="B60" t="str">
        <x:v>Biyoteknoloji</x:v>
      </x:c>
      <x:c r="C60" s="12" t="n">
        <x:v>46340</x:v>
      </x:c>
      <x:c r="D60" t="str">
        <x:v>Hayır</x:v>
      </x:c>
      <x:c r="E60" t="str">
        <x:f>IF(COUNTIFS(MEB_Takibi!$B$2:$B$110,A60,MEB_Takibi!$C$2:$C$110,B60,MEB_Takibi!$K$2:$K$110,"Tamamlandı")&gt;0,"Evet","Hayır")</x:f>
        <x:v>Hayır</x:v>
      </x:c>
      <x:c r="F60" t="n">
        <x:f>SUMIFS(MEB_Takibi!$F$2:$F$110,MEB_Takibi!$B$2:$B$110,A60,MEB_Takibi!$C$2:$C$110,B60)</x:f>
        <x:v>0</x:v>
      </x:c>
      <x:c r="G60" t="n">
        <x:f>SUMIFS(MEB_Takibi!$G$2:$G$110,MEB_Takibi!$B$2:$B$110,A60,MEB_Takibi!$C$2:$C$110,B60)</x:f>
        <x:v>0</x:v>
      </x:c>
      <x:c r="H60" t="n">
        <x:f>SUMIFS(MEB_Takibi!$H$2:$H$110,MEB_Takibi!$B$2:$B$110,A60,MEB_Takibi!$C$2:$C$110,B60)</x:f>
        <x:v>0</x:v>
      </x:c>
      <x:c r="I60" s="22" t="str">
        <x:f>IF(SUM(F60:H60)=0,"",F60/SUM(F60:H60))</x:f>
      </x:c>
      <x:c r="J60" t="n">
        <x:f>COUNTIFS(Yanlis_Defteri!$B$2:$B$401,A60,Yanlis_Defteri!$C$2:$C$401,B60,Yanlis_Defteri!$O$2:$O$401,"Açık")</x:f>
        <x:v>0</x:v>
      </x:c>
      <x:c r="K60" t="str">
        <x:f>IF(OR(D60&lt;&gt;"Evet",E60&lt;&gt;"Evet"),"Eksik",IF(I60&lt;0.8,"Zayıf",IF(OR(I60&lt;0.9,J60&gt;0),"Pekiştirme","Güçlü")))</x:f>
        <x:v>Eksik</x:v>
      </x:c>
      <x:c r="L60" t="str">
        <x:f>IF(K60="Güçlü","Normal ilerle",IF(K60="Pekiştirme","10-20 hedefli soru + açık hataların +1/+7/+21 tekrarları",IF(K60="Zayıf","İlgili videoya dönüş + 20-30 hedefli soru + MEB yeniden doğrulama","Önce kitap konu bölümünü ve MEB doğrulamasını tamamla")))</x:f>
        <x:v>Önce kitap konu bölümünü ve MEB doğrulamasını tamamla</x:v>
      </x:c>
      <x:c r="M60" t="str"/>
    </x:row>
    <x:row r="61">
      <x:c r="A61" t="str">
        <x:v>Fen</x:v>
      </x:c>
      <x:c r="B61" t="str">
        <x:v>Katı Basıncı</x:v>
      </x:c>
      <x:c r="C61" s="12" t="n">
        <x:v>46347</x:v>
      </x:c>
      <x:c r="D61" t="str">
        <x:v>Hayır</x:v>
      </x:c>
      <x:c r="E61" t="str">
        <x:f>IF(COUNTIFS(MEB_Takibi!$B$2:$B$110,A61,MEB_Takibi!$C$2:$C$110,B61,MEB_Takibi!$K$2:$K$110,"Tamamlandı")&gt;0,"Evet","Hayır")</x:f>
        <x:v>Hayır</x:v>
      </x:c>
      <x:c r="F61" t="n">
        <x:f>SUMIFS(MEB_Takibi!$F$2:$F$110,MEB_Takibi!$B$2:$B$110,A61,MEB_Takibi!$C$2:$C$110,B61)</x:f>
        <x:v>0</x:v>
      </x:c>
      <x:c r="G61" t="n">
        <x:f>SUMIFS(MEB_Takibi!$G$2:$G$110,MEB_Takibi!$B$2:$B$110,A61,MEB_Takibi!$C$2:$C$110,B61)</x:f>
        <x:v>0</x:v>
      </x:c>
      <x:c r="H61" t="n">
        <x:f>SUMIFS(MEB_Takibi!$H$2:$H$110,MEB_Takibi!$B$2:$B$110,A61,MEB_Takibi!$C$2:$C$110,B61)</x:f>
        <x:v>0</x:v>
      </x:c>
      <x:c r="I61" s="22" t="str">
        <x:f>IF(SUM(F61:H61)=0,"",F61/SUM(F61:H61))</x:f>
      </x:c>
      <x:c r="J61" t="n">
        <x:f>COUNTIFS(Yanlis_Defteri!$B$2:$B$401,A61,Yanlis_Defteri!$C$2:$C$401,B61,Yanlis_Defteri!$O$2:$O$401,"Açık")</x:f>
        <x:v>0</x:v>
      </x:c>
      <x:c r="K61" t="str">
        <x:f>IF(OR(D61&lt;&gt;"Evet",E61&lt;&gt;"Evet"),"Eksik",IF(I61&lt;0.8,"Zayıf",IF(OR(I61&lt;0.9,J61&gt;0),"Pekiştirme","Güçlü")))</x:f>
        <x:v>Eksik</x:v>
      </x:c>
      <x:c r="L61" t="str">
        <x:f>IF(K61="Güçlü","Normal ilerle",IF(K61="Pekiştirme","10-20 hedefli soru + açık hataların +1/+7/+21 tekrarları",IF(K61="Zayıf","İlgili videoya dönüş + 20-30 hedefli soru + MEB yeniden doğrulama","Önce kitap konu bölümünü ve MEB doğrulamasını tamamla")))</x:f>
        <x:v>Önce kitap konu bölümünü ve MEB doğrulamasını tamamla</x:v>
      </x:c>
      <x:c r="M61" t="str"/>
    </x:row>
    <x:row r="62">
      <x:c r="A62" t="str">
        <x:v>Fen</x:v>
      </x:c>
      <x:c r="B62" t="str">
        <x:v>Sıvı Basıncı</x:v>
      </x:c>
      <x:c r="C62" s="12" t="n">
        <x:v>46354</x:v>
      </x:c>
      <x:c r="D62" t="str">
        <x:v>Hayır</x:v>
      </x:c>
      <x:c r="E62" t="str">
        <x:f>IF(COUNTIFS(MEB_Takibi!$B$2:$B$110,A62,MEB_Takibi!$C$2:$C$110,B62,MEB_Takibi!$K$2:$K$110,"Tamamlandı")&gt;0,"Evet","Hayır")</x:f>
        <x:v>Hayır</x:v>
      </x:c>
      <x:c r="F62" t="n">
        <x:f>SUMIFS(MEB_Takibi!$F$2:$F$110,MEB_Takibi!$B$2:$B$110,A62,MEB_Takibi!$C$2:$C$110,B62)</x:f>
        <x:v>0</x:v>
      </x:c>
      <x:c r="G62" t="n">
        <x:f>SUMIFS(MEB_Takibi!$G$2:$G$110,MEB_Takibi!$B$2:$B$110,A62,MEB_Takibi!$C$2:$C$110,B62)</x:f>
        <x:v>0</x:v>
      </x:c>
      <x:c r="H62" t="n">
        <x:f>SUMIFS(MEB_Takibi!$H$2:$H$110,MEB_Takibi!$B$2:$B$110,A62,MEB_Takibi!$C$2:$C$110,B62)</x:f>
        <x:v>0</x:v>
      </x:c>
      <x:c r="I62" s="22" t="str">
        <x:f>IF(SUM(F62:H62)=0,"",F62/SUM(F62:H62))</x:f>
      </x:c>
      <x:c r="J62" t="n">
        <x:f>COUNTIFS(Yanlis_Defteri!$B$2:$B$401,A62,Yanlis_Defteri!$C$2:$C$401,B62,Yanlis_Defteri!$O$2:$O$401,"Açık")</x:f>
        <x:v>0</x:v>
      </x:c>
      <x:c r="K62" t="str">
        <x:f>IF(OR(D62&lt;&gt;"Evet",E62&lt;&gt;"Evet"),"Eksik",IF(I62&lt;0.8,"Zayıf",IF(OR(I62&lt;0.9,J62&gt;0),"Pekiştirme","Güçlü")))</x:f>
        <x:v>Eksik</x:v>
      </x:c>
      <x:c r="L62" t="str">
        <x:f>IF(K62="Güçlü","Normal ilerle",IF(K62="Pekiştirme","10-20 hedefli soru + açık hataların +1/+7/+21 tekrarları",IF(K62="Zayıf","İlgili videoya dönüş + 20-30 hedefli soru + MEB yeniden doğrulama","Önce kitap konu bölümünü ve MEB doğrulamasını tamamla")))</x:f>
        <x:v>Önce kitap konu bölümünü ve MEB doğrulamasını tamamla</x:v>
      </x:c>
      <x:c r="M62" t="str"/>
    </x:row>
    <x:row r="63">
      <x:c r="A63" t="str">
        <x:v>Fen</x:v>
      </x:c>
      <x:c r="B63" t="str">
        <x:v>Gaz Basıncı</x:v>
      </x:c>
      <x:c r="C63" s="12" t="n">
        <x:v>46361</x:v>
      </x:c>
      <x:c r="D63" t="str">
        <x:v>Hayır</x:v>
      </x:c>
      <x:c r="E63" t="str">
        <x:f>IF(COUNTIFS(MEB_Takibi!$B$2:$B$110,A63,MEB_Takibi!$C$2:$C$110,B63,MEB_Takibi!$K$2:$K$110,"Tamamlandı")&gt;0,"Evet","Hayır")</x:f>
        <x:v>Hayır</x:v>
      </x:c>
      <x:c r="F63" t="n">
        <x:f>SUMIFS(MEB_Takibi!$F$2:$F$110,MEB_Takibi!$B$2:$B$110,A63,MEB_Takibi!$C$2:$C$110,B63)</x:f>
        <x:v>0</x:v>
      </x:c>
      <x:c r="G63" t="n">
        <x:f>SUMIFS(MEB_Takibi!$G$2:$G$110,MEB_Takibi!$B$2:$B$110,A63,MEB_Takibi!$C$2:$C$110,B63)</x:f>
        <x:v>0</x:v>
      </x:c>
      <x:c r="H63" t="n">
        <x:f>SUMIFS(MEB_Takibi!$H$2:$H$110,MEB_Takibi!$B$2:$B$110,A63,MEB_Takibi!$C$2:$C$110,B63)</x:f>
        <x:v>0</x:v>
      </x:c>
      <x:c r="I63" s="22" t="str">
        <x:f>IF(SUM(F63:H63)=0,"",F63/SUM(F63:H63))</x:f>
      </x:c>
      <x:c r="J63" t="n">
        <x:f>COUNTIFS(Yanlis_Defteri!$B$2:$B$401,A63,Yanlis_Defteri!$C$2:$C$401,B63,Yanlis_Defteri!$O$2:$O$401,"Açık")</x:f>
        <x:v>0</x:v>
      </x:c>
      <x:c r="K63" t="str">
        <x:f>IF(OR(D63&lt;&gt;"Evet",E63&lt;&gt;"Evet"),"Eksik",IF(I63&lt;0.8,"Zayıf",IF(OR(I63&lt;0.9,J63&gt;0),"Pekiştirme","Güçlü")))</x:f>
        <x:v>Eksik</x:v>
      </x:c>
      <x:c r="L63" t="str">
        <x:f>IF(K63="Güçlü","Normal ilerle",IF(K63="Pekiştirme","10-20 hedefli soru + açık hataların +1/+7/+21 tekrarları",IF(K63="Zayıf","İlgili videoya dönüş + 20-30 hedefli soru + MEB yeniden doğrulama","Önce kitap konu bölümünü ve MEB doğrulamasını tamamla")))</x:f>
        <x:v>Önce kitap konu bölümünü ve MEB doğrulamasını tamamla</x:v>
      </x:c>
      <x:c r="M63" t="str"/>
    </x:row>
    <x:row r="64">
      <x:c r="A64" t="str">
        <x:v>Fen</x:v>
      </x:c>
      <x:c r="B64" t="str">
        <x:v>Periyodik Sistem</x:v>
      </x:c>
      <x:c r="C64" s="12" t="n">
        <x:v>46368</x:v>
      </x:c>
      <x:c r="D64" t="str">
        <x:v>Hayır</x:v>
      </x:c>
      <x:c r="E64" t="str">
        <x:f>IF(COUNTIFS(MEB_Takibi!$B$2:$B$110,A64,MEB_Takibi!$C$2:$C$110,B64,MEB_Takibi!$K$2:$K$110,"Tamamlandı")&gt;0,"Evet","Hayır")</x:f>
        <x:v>Hayır</x:v>
      </x:c>
      <x:c r="F64" t="n">
        <x:f>SUMIFS(MEB_Takibi!$F$2:$F$110,MEB_Takibi!$B$2:$B$110,A64,MEB_Takibi!$C$2:$C$110,B64)</x:f>
        <x:v>0</x:v>
      </x:c>
      <x:c r="G64" t="n">
        <x:f>SUMIFS(MEB_Takibi!$G$2:$G$110,MEB_Takibi!$B$2:$B$110,A64,MEB_Takibi!$C$2:$C$110,B64)</x:f>
        <x:v>0</x:v>
      </x:c>
      <x:c r="H64" t="n">
        <x:f>SUMIFS(MEB_Takibi!$H$2:$H$110,MEB_Takibi!$B$2:$B$110,A64,MEB_Takibi!$C$2:$C$110,B64)</x:f>
        <x:v>0</x:v>
      </x:c>
      <x:c r="I64" s="22" t="str">
        <x:f>IF(SUM(F64:H64)=0,"",F64/SUM(F64:H64))</x:f>
      </x:c>
      <x:c r="J64" t="n">
        <x:f>COUNTIFS(Yanlis_Defteri!$B$2:$B$401,A64,Yanlis_Defteri!$C$2:$C$401,B64,Yanlis_Defteri!$O$2:$O$401,"Açık")</x:f>
        <x:v>0</x:v>
      </x:c>
      <x:c r="K64" t="str">
        <x:f>IF(OR(D64&lt;&gt;"Evet",E64&lt;&gt;"Evet"),"Eksik",IF(I64&lt;0.8,"Zayıf",IF(OR(I64&lt;0.9,J64&gt;0),"Pekiştirme","Güçlü")))</x:f>
        <x:v>Eksik</x:v>
      </x:c>
      <x:c r="L64" t="str">
        <x:f>IF(K64="Güçlü","Normal ilerle",IF(K64="Pekiştirme","10-20 hedefli soru + açık hataların +1/+7/+21 tekrarları",IF(K64="Zayıf","İlgili videoya dönüş + 20-30 hedefli soru + MEB yeniden doğrulama","Önce kitap konu bölümünü ve MEB doğrulamasını tamamla")))</x:f>
        <x:v>Önce kitap konu bölümünü ve MEB doğrulamasını tamamla</x:v>
      </x:c>
      <x:c r="M64" t="str"/>
    </x:row>
    <x:row r="65">
      <x:c r="A65" t="str">
        <x:v>Fen</x:v>
      </x:c>
      <x:c r="B65" t="str">
        <x:v>Fiziksel ve Kimyasal Değişimler / Kimyasal Tepkimeler</x:v>
      </x:c>
      <x:c r="C65" s="12" t="n">
        <x:v>46376</x:v>
      </x:c>
      <x:c r="D65" t="str">
        <x:v>Hayır</x:v>
      </x:c>
      <x:c r="E65" t="str">
        <x:f>IF(COUNTIFS(MEB_Takibi!$B$2:$B$110,A65,MEB_Takibi!$C$2:$C$110,B65,MEB_Takibi!$K$2:$K$110,"Tamamlandı")&gt;0,"Evet","Hayır")</x:f>
        <x:v>Hayır</x:v>
      </x:c>
      <x:c r="F65" t="n">
        <x:f>SUMIFS(MEB_Takibi!$F$2:$F$110,MEB_Takibi!$B$2:$B$110,A65,MEB_Takibi!$C$2:$C$110,B65)</x:f>
        <x:v>0</x:v>
      </x:c>
      <x:c r="G65" t="n">
        <x:f>SUMIFS(MEB_Takibi!$G$2:$G$110,MEB_Takibi!$B$2:$B$110,A65,MEB_Takibi!$C$2:$C$110,B65)</x:f>
        <x:v>0</x:v>
      </x:c>
      <x:c r="H65" t="n">
        <x:f>SUMIFS(MEB_Takibi!$H$2:$H$110,MEB_Takibi!$B$2:$B$110,A65,MEB_Takibi!$C$2:$C$110,B65)</x:f>
        <x:v>0</x:v>
      </x:c>
      <x:c r="I65" s="22" t="str">
        <x:f>IF(SUM(F65:H65)=0,"",F65/SUM(F65:H65))</x:f>
      </x:c>
      <x:c r="J65" t="n">
        <x:f>COUNTIFS(Yanlis_Defteri!$B$2:$B$401,A65,Yanlis_Defteri!$C$2:$C$401,B65,Yanlis_Defteri!$O$2:$O$401,"Açık")</x:f>
        <x:v>0</x:v>
      </x:c>
      <x:c r="K65" t="str">
        <x:f>IF(OR(D65&lt;&gt;"Evet",E65&lt;&gt;"Evet"),"Eksik",IF(I65&lt;0.8,"Zayıf",IF(OR(I65&lt;0.9,J65&gt;0),"Pekiştirme","Güçlü")))</x:f>
        <x:v>Eksik</x:v>
      </x:c>
      <x:c r="L65" t="str">
        <x:f>IF(K65="Güçlü","Normal ilerle",IF(K65="Pekiştirme","10-20 hedefli soru + açık hataların +1/+7/+21 tekrarları",IF(K65="Zayıf","İlgili videoya dönüş + 20-30 hedefli soru + MEB yeniden doğrulama","Önce kitap konu bölümünü ve MEB doğrulamasını tamamla")))</x:f>
        <x:v>Önce kitap konu bölümünü ve MEB doğrulamasını tamamla</x:v>
      </x:c>
      <x:c r="M65" t="str"/>
    </x:row>
    <x:row r="66">
      <x:c r="A66" t="str">
        <x:v>Fen</x:v>
      </x:c>
      <x:c r="B66" t="str">
        <x:v>Asitler ve Bazlar</x:v>
      </x:c>
      <x:c r="C66" s="12" t="n">
        <x:v>46384</x:v>
      </x:c>
      <x:c r="D66" t="str">
        <x:v>Hayır</x:v>
      </x:c>
      <x:c r="E66" t="str">
        <x:f>IF(COUNTIFS(MEB_Takibi!$B$2:$B$110,A66,MEB_Takibi!$C$2:$C$110,B66,MEB_Takibi!$K$2:$K$110,"Tamamlandı")&gt;0,"Evet","Hayır")</x:f>
        <x:v>Hayır</x:v>
      </x:c>
      <x:c r="F66" t="n">
        <x:f>SUMIFS(MEB_Takibi!$F$2:$F$110,MEB_Takibi!$B$2:$B$110,A66,MEB_Takibi!$C$2:$C$110,B66)</x:f>
        <x:v>0</x:v>
      </x:c>
      <x:c r="G66" t="n">
        <x:f>SUMIFS(MEB_Takibi!$G$2:$G$110,MEB_Takibi!$B$2:$B$110,A66,MEB_Takibi!$C$2:$C$110,B66)</x:f>
        <x:v>0</x:v>
      </x:c>
      <x:c r="H66" t="n">
        <x:f>SUMIFS(MEB_Takibi!$H$2:$H$110,MEB_Takibi!$B$2:$B$110,A66,MEB_Takibi!$C$2:$C$110,B66)</x:f>
        <x:v>0</x:v>
      </x:c>
      <x:c r="I66" s="22" t="str">
        <x:f>IF(SUM(F66:H66)=0,"",F66/SUM(F66:H66))</x:f>
      </x:c>
      <x:c r="J66" t="n">
        <x:f>COUNTIFS(Yanlis_Defteri!$B$2:$B$401,A66,Yanlis_Defteri!$C$2:$C$401,B66,Yanlis_Defteri!$O$2:$O$401,"Açık")</x:f>
        <x:v>0</x:v>
      </x:c>
      <x:c r="K66" t="str">
        <x:f>IF(OR(D66&lt;&gt;"Evet",E66&lt;&gt;"Evet"),"Eksik",IF(I66&lt;0.8,"Zayıf",IF(OR(I66&lt;0.9,J66&gt;0),"Pekiştirme","Güçlü")))</x:f>
        <x:v>Eksik</x:v>
      </x:c>
      <x:c r="L66" t="str">
        <x:f>IF(K66="Güçlü","Normal ilerle",IF(K66="Pekiştirme","10-20 hedefli soru + açık hataların +1/+7/+21 tekrarları",IF(K66="Zayıf","İlgili videoya dönüş + 20-30 hedefli soru + MEB yeniden doğrulama","Önce kitap konu bölümünü ve MEB doğrulamasını tamamla")))</x:f>
        <x:v>Önce kitap konu bölümünü ve MEB doğrulamasını tamamla</x:v>
      </x:c>
      <x:c r="M66" t="str"/>
    </x:row>
    <x:row r="67">
      <x:c r="A67" t="str">
        <x:v>Fen</x:v>
      </x:c>
      <x:c r="B67" t="str">
        <x:v>Maddenin Isı ile Etkileşimi</x:v>
      </x:c>
      <x:c r="C67" s="12" t="n">
        <x:v>46392</x:v>
      </x:c>
      <x:c r="D67" t="str">
        <x:v>Hayır</x:v>
      </x:c>
      <x:c r="E67" t="str">
        <x:f>IF(COUNTIFS(MEB_Takibi!$B$2:$B$110,A67,MEB_Takibi!$C$2:$C$110,B67,MEB_Takibi!$K$2:$K$110,"Tamamlandı")&gt;0,"Evet","Hayır")</x:f>
        <x:v>Hayır</x:v>
      </x:c>
      <x:c r="F67" t="n">
        <x:f>SUMIFS(MEB_Takibi!$F$2:$F$110,MEB_Takibi!$B$2:$B$110,A67,MEB_Takibi!$C$2:$C$110,B67)</x:f>
        <x:v>0</x:v>
      </x:c>
      <x:c r="G67" t="n">
        <x:f>SUMIFS(MEB_Takibi!$G$2:$G$110,MEB_Takibi!$B$2:$B$110,A67,MEB_Takibi!$C$2:$C$110,B67)</x:f>
        <x:v>0</x:v>
      </x:c>
      <x:c r="H67" t="n">
        <x:f>SUMIFS(MEB_Takibi!$H$2:$H$110,MEB_Takibi!$B$2:$B$110,A67,MEB_Takibi!$C$2:$C$110,B67)</x:f>
        <x:v>0</x:v>
      </x:c>
      <x:c r="I67" s="22" t="str">
        <x:f>IF(SUM(F67:H67)=0,"",F67/SUM(F67:H67))</x:f>
      </x:c>
      <x:c r="J67" t="n">
        <x:f>COUNTIFS(Yanlis_Defteri!$B$2:$B$401,A67,Yanlis_Defteri!$C$2:$C$401,B67,Yanlis_Defteri!$O$2:$O$401,"Açık")</x:f>
        <x:v>0</x:v>
      </x:c>
      <x:c r="K67" t="str">
        <x:f>IF(OR(D67&lt;&gt;"Evet",E67&lt;&gt;"Evet"),"Eksik",IF(I67&lt;0.8,"Zayıf",IF(OR(I67&lt;0.9,J67&gt;0),"Pekiştirme","Güçlü")))</x:f>
        <x:v>Eksik</x:v>
      </x:c>
      <x:c r="L67" t="str">
        <x:f>IF(K67="Güçlü","Normal ilerle",IF(K67="Pekiştirme","10-20 hedefli soru + açık hataların +1/+7/+21 tekrarları",IF(K67="Zayıf","İlgili videoya dönüş + 20-30 hedefli soru + MEB yeniden doğrulama","Önce kitap konu bölümünü ve MEB doğrulamasını tamamla")))</x:f>
        <x:v>Önce kitap konu bölümünü ve MEB doğrulamasını tamamla</x:v>
      </x:c>
      <x:c r="M67" t="str"/>
    </x:row>
    <x:row r="68">
      <x:c r="A68" t="str">
        <x:v>Fen</x:v>
      </x:c>
      <x:c r="B68" t="str">
        <x:v>Basit Makineler - Makaralar</x:v>
      </x:c>
      <x:c r="C68" s="12" t="n">
        <x:v>46400</x:v>
      </x:c>
      <x:c r="D68" t="str">
        <x:v>Hayır</x:v>
      </x:c>
      <x:c r="E68" t="str">
        <x:f>IF(COUNTIFS(MEB_Takibi!$B$2:$B$110,A68,MEB_Takibi!$C$2:$C$110,B68,MEB_Takibi!$K$2:$K$110,"Tamamlandı")&gt;0,"Evet","Hayır")</x:f>
        <x:v>Hayır</x:v>
      </x:c>
      <x:c r="F68" t="n">
        <x:f>SUMIFS(MEB_Takibi!$F$2:$F$110,MEB_Takibi!$B$2:$B$110,A68,MEB_Takibi!$C$2:$C$110,B68)</x:f>
        <x:v>0</x:v>
      </x:c>
      <x:c r="G68" t="n">
        <x:f>SUMIFS(MEB_Takibi!$G$2:$G$110,MEB_Takibi!$B$2:$B$110,A68,MEB_Takibi!$C$2:$C$110,B68)</x:f>
        <x:v>0</x:v>
      </x:c>
      <x:c r="H68" t="n">
        <x:f>SUMIFS(MEB_Takibi!$H$2:$H$110,MEB_Takibi!$B$2:$B$110,A68,MEB_Takibi!$C$2:$C$110,B68)</x:f>
        <x:v>0</x:v>
      </x:c>
      <x:c r="I68" s="22" t="str">
        <x:f>IF(SUM(F68:H68)=0,"",F68/SUM(F68:H68))</x:f>
      </x:c>
      <x:c r="J68" t="n">
        <x:f>COUNTIFS(Yanlis_Defteri!$B$2:$B$401,A68,Yanlis_Defteri!$C$2:$C$401,B68,Yanlis_Defteri!$O$2:$O$401,"Açık")</x:f>
        <x:v>0</x:v>
      </x:c>
      <x:c r="K68" t="str">
        <x:f>IF(OR(D68&lt;&gt;"Evet",E68&lt;&gt;"Evet"),"Eksik",IF(I68&lt;0.8,"Zayıf",IF(OR(I68&lt;0.9,J68&gt;0),"Pekiştirme","Güçlü")))</x:f>
        <x:v>Eksik</x:v>
      </x:c>
      <x:c r="L68" t="str">
        <x:f>IF(K68="Güçlü","Normal ilerle",IF(K68="Pekiştirme","10-20 hedefli soru + açık hataların +1/+7/+21 tekrarları",IF(K68="Zayıf","İlgili videoya dönüş + 20-30 hedefli soru + MEB yeniden doğrulama","Önce kitap konu bölümünü ve MEB doğrulamasını tamamla")))</x:f>
        <x:v>Önce kitap konu bölümünü ve MEB doğrulamasını tamamla</x:v>
      </x:c>
      <x:c r="M68" t="str"/>
    </x:row>
    <x:row r="69">
      <x:c r="A69" t="str">
        <x:v>Fen</x:v>
      </x:c>
      <x:c r="B69" t="str">
        <x:v>Basit Makineler - Kaldıraçlar</x:v>
      </x:c>
      <x:c r="C69" s="12" t="n">
        <x:v>46408</x:v>
      </x:c>
      <x:c r="D69" t="str">
        <x:v>Hayır</x:v>
      </x:c>
      <x:c r="E69" t="str">
        <x:f>IF(COUNTIFS(MEB_Takibi!$B$2:$B$110,A69,MEB_Takibi!$C$2:$C$110,B69,MEB_Takibi!$K$2:$K$110,"Tamamlandı")&gt;0,"Evet","Hayır")</x:f>
        <x:v>Hayır</x:v>
      </x:c>
      <x:c r="F69" t="n">
        <x:f>SUMIFS(MEB_Takibi!$F$2:$F$110,MEB_Takibi!$B$2:$B$110,A69,MEB_Takibi!$C$2:$C$110,B69)</x:f>
        <x:v>0</x:v>
      </x:c>
      <x:c r="G69" t="n">
        <x:f>SUMIFS(MEB_Takibi!$G$2:$G$110,MEB_Takibi!$B$2:$B$110,A69,MEB_Takibi!$C$2:$C$110,B69)</x:f>
        <x:v>0</x:v>
      </x:c>
      <x:c r="H69" t="n">
        <x:f>SUMIFS(MEB_Takibi!$H$2:$H$110,MEB_Takibi!$B$2:$B$110,A69,MEB_Takibi!$C$2:$C$110,B69)</x:f>
        <x:v>0</x:v>
      </x:c>
      <x:c r="I69" s="22" t="str">
        <x:f>IF(SUM(F69:H69)=0,"",F69/SUM(F69:H69))</x:f>
      </x:c>
      <x:c r="J69" t="n">
        <x:f>COUNTIFS(Yanlis_Defteri!$B$2:$B$401,A69,Yanlis_Defteri!$C$2:$C$401,B69,Yanlis_Defteri!$O$2:$O$401,"Açık")</x:f>
        <x:v>0</x:v>
      </x:c>
      <x:c r="K69" t="str">
        <x:f>IF(OR(D69&lt;&gt;"Evet",E69&lt;&gt;"Evet"),"Eksik",IF(I69&lt;0.8,"Zayıf",IF(OR(I69&lt;0.9,J69&gt;0),"Pekiştirme","Güçlü")))</x:f>
        <x:v>Eksik</x:v>
      </x:c>
      <x:c r="L69" t="str">
        <x:f>IF(K69="Güçlü","Normal ilerle",IF(K69="Pekiştirme","10-20 hedefli soru + açık hataların +1/+7/+21 tekrarları",IF(K69="Zayıf","İlgili videoya dönüş + 20-30 hedefli soru + MEB yeniden doğrulama","Önce kitap konu bölümünü ve MEB doğrulamasını tamamla")))</x:f>
        <x:v>Önce kitap konu bölümünü ve MEB doğrulamasını tamamla</x:v>
      </x:c>
      <x:c r="M69" t="str"/>
    </x:row>
    <x:row r="70">
      <x:c r="A70" t="str">
        <x:v>Fen</x:v>
      </x:c>
      <x:c r="B70" t="str">
        <x:v>Basit Makineler - Eğik Düzlem / Çıkrık</x:v>
      </x:c>
      <x:c r="C70" s="12" t="n">
        <x:v>46416</x:v>
      </x:c>
      <x:c r="D70" t="str">
        <x:v>Hayır</x:v>
      </x:c>
      <x:c r="E70" t="str">
        <x:f>IF(COUNTIFS(MEB_Takibi!$B$2:$B$110,A70,MEB_Takibi!$C$2:$C$110,B70,MEB_Takibi!$K$2:$K$110,"Tamamlandı")&gt;0,"Evet","Hayır")</x:f>
        <x:v>Hayır</x:v>
      </x:c>
      <x:c r="F70" t="n">
        <x:f>SUMIFS(MEB_Takibi!$F$2:$F$110,MEB_Takibi!$B$2:$B$110,A70,MEB_Takibi!$C$2:$C$110,B70)</x:f>
        <x:v>0</x:v>
      </x:c>
      <x:c r="G70" t="n">
        <x:f>SUMIFS(MEB_Takibi!$G$2:$G$110,MEB_Takibi!$B$2:$B$110,A70,MEB_Takibi!$C$2:$C$110,B70)</x:f>
        <x:v>0</x:v>
      </x:c>
      <x:c r="H70" t="n">
        <x:f>SUMIFS(MEB_Takibi!$H$2:$H$110,MEB_Takibi!$B$2:$B$110,A70,MEB_Takibi!$C$2:$C$110,B70)</x:f>
        <x:v>0</x:v>
      </x:c>
      <x:c r="I70" s="22" t="str">
        <x:f>IF(SUM(F70:H70)=0,"",F70/SUM(F70:H70))</x:f>
      </x:c>
      <x:c r="J70" t="n">
        <x:f>COUNTIFS(Yanlis_Defteri!$B$2:$B$401,A70,Yanlis_Defteri!$C$2:$C$401,B70,Yanlis_Defteri!$O$2:$O$401,"Açık")</x:f>
        <x:v>0</x:v>
      </x:c>
      <x:c r="K70" t="str">
        <x:f>IF(OR(D70&lt;&gt;"Evet",E70&lt;&gt;"Evet"),"Eksik",IF(I70&lt;0.8,"Zayıf",IF(OR(I70&lt;0.9,J70&gt;0),"Pekiştirme","Güçlü")))</x:f>
        <x:v>Eksik</x:v>
      </x:c>
      <x:c r="L70" t="str">
        <x:f>IF(K70="Güçlü","Normal ilerle",IF(K70="Pekiştirme","10-20 hedefli soru + açık hataların +1/+7/+21 tekrarları",IF(K70="Zayıf","İlgili videoya dönüş + 20-30 hedefli soru + MEB yeniden doğrulama","Önce kitap konu bölümünü ve MEB doğrulamasını tamamla")))</x:f>
        <x:v>Önce kitap konu bölümünü ve MEB doğrulamasını tamamla</x:v>
      </x:c>
      <x:c r="M70" t="str"/>
    </x:row>
    <x:row r="71">
      <x:c r="A71" t="str">
        <x:v>Fen</x:v>
      </x:c>
      <x:c r="B71" t="str">
        <x:v>Besin Zinciri ve Enerji Akışı</x:v>
      </x:c>
      <x:c r="C71" s="12" t="n">
        <x:v>46424</x:v>
      </x:c>
      <x:c r="D71" t="str">
        <x:v>Hayır</x:v>
      </x:c>
      <x:c r="E71" t="str">
        <x:f>IF(COUNTIFS(MEB_Takibi!$B$2:$B$110,A71,MEB_Takibi!$C$2:$C$110,B71,MEB_Takibi!$K$2:$K$110,"Tamamlandı")&gt;0,"Evet","Hayır")</x:f>
        <x:v>Hayır</x:v>
      </x:c>
      <x:c r="F71" t="n">
        <x:f>SUMIFS(MEB_Takibi!$F$2:$F$110,MEB_Takibi!$B$2:$B$110,A71,MEB_Takibi!$C$2:$C$110,B71)</x:f>
        <x:v>0</x:v>
      </x:c>
      <x:c r="G71" t="n">
        <x:f>SUMIFS(MEB_Takibi!$G$2:$G$110,MEB_Takibi!$B$2:$B$110,A71,MEB_Takibi!$C$2:$C$110,B71)</x:f>
        <x:v>0</x:v>
      </x:c>
      <x:c r="H71" t="n">
        <x:f>SUMIFS(MEB_Takibi!$H$2:$H$110,MEB_Takibi!$B$2:$B$110,A71,MEB_Takibi!$C$2:$C$110,B71)</x:f>
        <x:v>0</x:v>
      </x:c>
      <x:c r="I71" s="22" t="str">
        <x:f>IF(SUM(F71:H71)=0,"",F71/SUM(F71:H71))</x:f>
      </x:c>
      <x:c r="J71" t="n">
        <x:f>COUNTIFS(Yanlis_Defteri!$B$2:$B$401,A71,Yanlis_Defteri!$C$2:$C$401,B71,Yanlis_Defteri!$O$2:$O$401,"Açık")</x:f>
        <x:v>0</x:v>
      </x:c>
      <x:c r="K71" t="str">
        <x:f>IF(OR(D71&lt;&gt;"Evet",E71&lt;&gt;"Evet"),"Eksik",IF(I71&lt;0.8,"Zayıf",IF(OR(I71&lt;0.9,J71&gt;0),"Pekiştirme","Güçlü")))</x:f>
        <x:v>Eksik</x:v>
      </x:c>
      <x:c r="L71" t="str">
        <x:f>IF(K71="Güçlü","Normal ilerle",IF(K71="Pekiştirme","10-20 hedefli soru + açık hataların +1/+7/+21 tekrarları",IF(K71="Zayıf","İlgili videoya dönüş + 20-30 hedefli soru + MEB yeniden doğrulama","Önce kitap konu bölümünü ve MEB doğrulamasını tamamla")))</x:f>
        <x:v>Önce kitap konu bölümünü ve MEB doğrulamasını tamamla</x:v>
      </x:c>
      <x:c r="M71" t="str"/>
    </x:row>
    <x:row r="72">
      <x:c r="A72" t="str">
        <x:v>Fen</x:v>
      </x:c>
      <x:c r="B72" t="str">
        <x:v>Fotosentez</x:v>
      </x:c>
      <x:c r="C72" s="12" t="n">
        <x:v>46431</x:v>
      </x:c>
      <x:c r="D72" t="str">
        <x:v>Hayır</x:v>
      </x:c>
      <x:c r="E72" t="str">
        <x:f>IF(COUNTIFS(MEB_Takibi!$B$2:$B$110,A72,MEB_Takibi!$C$2:$C$110,B72,MEB_Takibi!$K$2:$K$110,"Tamamlandı")&gt;0,"Evet","Hayır")</x:f>
        <x:v>Hayır</x:v>
      </x:c>
      <x:c r="F72" t="n">
        <x:f>SUMIFS(MEB_Takibi!$F$2:$F$110,MEB_Takibi!$B$2:$B$110,A72,MEB_Takibi!$C$2:$C$110,B72)</x:f>
        <x:v>0</x:v>
      </x:c>
      <x:c r="G72" t="n">
        <x:f>SUMIFS(MEB_Takibi!$G$2:$G$110,MEB_Takibi!$B$2:$B$110,A72,MEB_Takibi!$C$2:$C$110,B72)</x:f>
        <x:v>0</x:v>
      </x:c>
      <x:c r="H72" t="n">
        <x:f>SUMIFS(MEB_Takibi!$H$2:$H$110,MEB_Takibi!$B$2:$B$110,A72,MEB_Takibi!$C$2:$C$110,B72)</x:f>
        <x:v>0</x:v>
      </x:c>
      <x:c r="I72" s="22" t="str">
        <x:f>IF(SUM(F72:H72)=0,"",F72/SUM(F72:H72))</x:f>
      </x:c>
      <x:c r="J72" t="n">
        <x:f>COUNTIFS(Yanlis_Defteri!$B$2:$B$401,A72,Yanlis_Defteri!$C$2:$C$401,B72,Yanlis_Defteri!$O$2:$O$401,"Açık")</x:f>
        <x:v>0</x:v>
      </x:c>
      <x:c r="K72" t="str">
        <x:f>IF(OR(D72&lt;&gt;"Evet",E72&lt;&gt;"Evet"),"Eksik",IF(I72&lt;0.8,"Zayıf",IF(OR(I72&lt;0.9,J72&gt;0),"Pekiştirme","Güçlü")))</x:f>
        <x:v>Eksik</x:v>
      </x:c>
      <x:c r="L72" t="str">
        <x:f>IF(K72="Güçlü","Normal ilerle",IF(K72="Pekiştirme","10-20 hedefli soru + açık hataların +1/+7/+21 tekrarları",IF(K72="Zayıf","İlgili videoya dönüş + 20-30 hedefli soru + MEB yeniden doğrulama","Önce kitap konu bölümünü ve MEB doğrulamasını tamamla")))</x:f>
        <x:v>Önce kitap konu bölümünü ve MEB doğrulamasını tamamla</x:v>
      </x:c>
      <x:c r="M72" t="str"/>
    </x:row>
    <x:row r="73">
      <x:c r="A73" t="str">
        <x:v>Fen</x:v>
      </x:c>
      <x:c r="B73" t="str">
        <x:v>Solunum</x:v>
      </x:c>
      <x:c r="C73" s="12" t="n">
        <x:v>46438</x:v>
      </x:c>
      <x:c r="D73" t="str">
        <x:v>Hayır</x:v>
      </x:c>
      <x:c r="E73" t="str">
        <x:f>IF(COUNTIFS(MEB_Takibi!$B$2:$B$110,A73,MEB_Takibi!$C$2:$C$110,B73,MEB_Takibi!$K$2:$K$110,"Tamamlandı")&gt;0,"Evet","Hayır")</x:f>
        <x:v>Hayır</x:v>
      </x:c>
      <x:c r="F73" t="n">
        <x:f>SUMIFS(MEB_Takibi!$F$2:$F$110,MEB_Takibi!$B$2:$B$110,A73,MEB_Takibi!$C$2:$C$110,B73)</x:f>
        <x:v>0</x:v>
      </x:c>
      <x:c r="G73" t="n">
        <x:f>SUMIFS(MEB_Takibi!$G$2:$G$110,MEB_Takibi!$B$2:$B$110,A73,MEB_Takibi!$C$2:$C$110,B73)</x:f>
        <x:v>0</x:v>
      </x:c>
      <x:c r="H73" t="n">
        <x:f>SUMIFS(MEB_Takibi!$H$2:$H$110,MEB_Takibi!$B$2:$B$110,A73,MEB_Takibi!$C$2:$C$110,B73)</x:f>
        <x:v>0</x:v>
      </x:c>
      <x:c r="I73" s="22" t="str">
        <x:f>IF(SUM(F73:H73)=0,"",F73/SUM(F73:H73))</x:f>
      </x:c>
      <x:c r="J73" t="n">
        <x:f>COUNTIFS(Yanlis_Defteri!$B$2:$B$401,A73,Yanlis_Defteri!$C$2:$C$401,B73,Yanlis_Defteri!$O$2:$O$401,"Açık")</x:f>
        <x:v>0</x:v>
      </x:c>
      <x:c r="K73" t="str">
        <x:f>IF(OR(D73&lt;&gt;"Evet",E73&lt;&gt;"Evet"),"Eksik",IF(I73&lt;0.8,"Zayıf",IF(OR(I73&lt;0.9,J73&gt;0),"Pekiştirme","Güçlü")))</x:f>
        <x:v>Eksik</x:v>
      </x:c>
      <x:c r="L73" t="str">
        <x:f>IF(K73="Güçlü","Normal ilerle",IF(K73="Pekiştirme","10-20 hedefli soru + açık hataların +1/+7/+21 tekrarları",IF(K73="Zayıf","İlgili videoya dönüş + 20-30 hedefli soru + MEB yeniden doğrulama","Önce kitap konu bölümünü ve MEB doğrulamasını tamamla")))</x:f>
        <x:v>Önce kitap konu bölümünü ve MEB doğrulamasını tamamla</x:v>
      </x:c>
      <x:c r="M73" t="str"/>
    </x:row>
    <x:row r="74">
      <x:c r="A74" t="str">
        <x:v>Fen</x:v>
      </x:c>
      <x:c r="B74" t="str">
        <x:v>Madde Döngüleri ve Sürdürülebilir Kalkınma</x:v>
      </x:c>
      <x:c r="C74" s="12" t="n">
        <x:v>46445</x:v>
      </x:c>
      <x:c r="D74" t="str">
        <x:v>Hayır</x:v>
      </x:c>
      <x:c r="E74" t="str">
        <x:f>IF(COUNTIFS(MEB_Takibi!$B$2:$B$110,A74,MEB_Takibi!$C$2:$C$110,B74,MEB_Takibi!$K$2:$K$110,"Tamamlandı")&gt;0,"Evet","Hayır")</x:f>
        <x:v>Hayır</x:v>
      </x:c>
      <x:c r="F74" t="n">
        <x:f>SUMIFS(MEB_Takibi!$F$2:$F$110,MEB_Takibi!$B$2:$B$110,A74,MEB_Takibi!$C$2:$C$110,B74)</x:f>
        <x:v>0</x:v>
      </x:c>
      <x:c r="G74" t="n">
        <x:f>SUMIFS(MEB_Takibi!$G$2:$G$110,MEB_Takibi!$B$2:$B$110,A74,MEB_Takibi!$C$2:$C$110,B74)</x:f>
        <x:v>0</x:v>
      </x:c>
      <x:c r="H74" t="n">
        <x:f>SUMIFS(MEB_Takibi!$H$2:$H$110,MEB_Takibi!$B$2:$B$110,A74,MEB_Takibi!$C$2:$C$110,B74)</x:f>
        <x:v>0</x:v>
      </x:c>
      <x:c r="I74" s="22" t="str">
        <x:f>IF(SUM(F74:H74)=0,"",F74/SUM(F74:H74))</x:f>
      </x:c>
      <x:c r="J74" t="n">
        <x:f>COUNTIFS(Yanlis_Defteri!$B$2:$B$401,A74,Yanlis_Defteri!$C$2:$C$401,B74,Yanlis_Defteri!$O$2:$O$401,"Açık")</x:f>
        <x:v>0</x:v>
      </x:c>
      <x:c r="K74" t="str">
        <x:f>IF(OR(D74&lt;&gt;"Evet",E74&lt;&gt;"Evet"),"Eksik",IF(I74&lt;0.8,"Zayıf",IF(OR(I74&lt;0.9,J74&gt;0),"Pekiştirme","Güçlü")))</x:f>
        <x:v>Eksik</x:v>
      </x:c>
      <x:c r="L74" t="str">
        <x:f>IF(K74="Güçlü","Normal ilerle",IF(K74="Pekiştirme","10-20 hedefli soru + açık hataların +1/+7/+21 tekrarları",IF(K74="Zayıf","İlgili videoya dönüş + 20-30 hedefli soru + MEB yeniden doğrulama","Önce kitap konu bölümünü ve MEB doğrulamasını tamamla")))</x:f>
        <x:v>Önce kitap konu bölümünü ve MEB doğrulamasını tamamla</x:v>
      </x:c>
      <x:c r="M74" t="str"/>
    </x:row>
    <x:row r="75">
      <x:c r="A75" t="str">
        <x:v>Fen</x:v>
      </x:c>
      <x:c r="B75" t="str">
        <x:v>Elektrik Yükleri ve Elektriklenme</x:v>
      </x:c>
      <x:c r="C75" s="12" t="n">
        <x:v>46452</x:v>
      </x:c>
      <x:c r="D75" t="str">
        <x:v>Hayır</x:v>
      </x:c>
      <x:c r="E75" t="str">
        <x:f>IF(COUNTIFS(MEB_Takibi!$B$2:$B$110,A75,MEB_Takibi!$C$2:$C$110,B75,MEB_Takibi!$K$2:$K$110,"Tamamlandı")&gt;0,"Evet","Hayır")</x:f>
        <x:v>Hayır</x:v>
      </x:c>
      <x:c r="F75" t="n">
        <x:f>SUMIFS(MEB_Takibi!$F$2:$F$110,MEB_Takibi!$B$2:$B$110,A75,MEB_Takibi!$C$2:$C$110,B75)</x:f>
        <x:v>0</x:v>
      </x:c>
      <x:c r="G75" t="n">
        <x:f>SUMIFS(MEB_Takibi!$G$2:$G$110,MEB_Takibi!$B$2:$B$110,A75,MEB_Takibi!$C$2:$C$110,B75)</x:f>
        <x:v>0</x:v>
      </x:c>
      <x:c r="H75" t="n">
        <x:f>SUMIFS(MEB_Takibi!$H$2:$H$110,MEB_Takibi!$B$2:$B$110,A75,MEB_Takibi!$C$2:$C$110,B75)</x:f>
        <x:v>0</x:v>
      </x:c>
      <x:c r="I75" s="22" t="str">
        <x:f>IF(SUM(F75:H75)=0,"",F75/SUM(F75:H75))</x:f>
      </x:c>
      <x:c r="J75" t="n">
        <x:f>COUNTIFS(Yanlis_Defteri!$B$2:$B$401,A75,Yanlis_Defteri!$C$2:$C$401,B75,Yanlis_Defteri!$O$2:$O$401,"Açık")</x:f>
        <x:v>0</x:v>
      </x:c>
      <x:c r="K75" t="str">
        <x:f>IF(OR(D75&lt;&gt;"Evet",E75&lt;&gt;"Evet"),"Eksik",IF(I75&lt;0.8,"Zayıf",IF(OR(I75&lt;0.9,J75&gt;0),"Pekiştirme","Güçlü")))</x:f>
        <x:v>Eksik</x:v>
      </x:c>
      <x:c r="L75" t="str">
        <x:f>IF(K75="Güçlü","Normal ilerle",IF(K75="Pekiştirme","10-20 hedefli soru + açık hataların +1/+7/+21 tekrarları",IF(K75="Zayıf","İlgili videoya dönüş + 20-30 hedefli soru + MEB yeniden doğrulama","Önce kitap konu bölümünü ve MEB doğrulamasını tamamla")))</x:f>
        <x:v>Önce kitap konu bölümünü ve MEB doğrulamasını tamamla</x:v>
      </x:c>
      <x:c r="M75" t="str"/>
    </x:row>
    <x:row r="76">
      <x:c r="A76" t="str">
        <x:v>Fen</x:v>
      </x:c>
      <x:c r="B76" t="str">
        <x:v>Elektrik Yüklü Cisimler</x:v>
      </x:c>
      <x:c r="C76" s="12" t="n">
        <x:v>46460</x:v>
      </x:c>
      <x:c r="D76" t="str">
        <x:v>Hayır</x:v>
      </x:c>
      <x:c r="E76" t="str">
        <x:f>IF(COUNTIFS(MEB_Takibi!$B$2:$B$110,A76,MEB_Takibi!$C$2:$C$110,B76,MEB_Takibi!$K$2:$K$110,"Tamamlandı")&gt;0,"Evet","Hayır")</x:f>
        <x:v>Hayır</x:v>
      </x:c>
      <x:c r="F76" t="n">
        <x:f>SUMIFS(MEB_Takibi!$F$2:$F$110,MEB_Takibi!$B$2:$B$110,A76,MEB_Takibi!$C$2:$C$110,B76)</x:f>
        <x:v>0</x:v>
      </x:c>
      <x:c r="G76" t="n">
        <x:f>SUMIFS(MEB_Takibi!$G$2:$G$110,MEB_Takibi!$B$2:$B$110,A76,MEB_Takibi!$C$2:$C$110,B76)</x:f>
        <x:v>0</x:v>
      </x:c>
      <x:c r="H76" t="n">
        <x:f>SUMIFS(MEB_Takibi!$H$2:$H$110,MEB_Takibi!$B$2:$B$110,A76,MEB_Takibi!$C$2:$C$110,B76)</x:f>
        <x:v>0</x:v>
      </x:c>
      <x:c r="I76" s="22" t="str">
        <x:f>IF(SUM(F76:H76)=0,"",F76/SUM(F76:H76))</x:f>
      </x:c>
      <x:c r="J76" t="n">
        <x:f>COUNTIFS(Yanlis_Defteri!$B$2:$B$401,A76,Yanlis_Defteri!$C$2:$C$401,B76,Yanlis_Defteri!$O$2:$O$401,"Açık")</x:f>
        <x:v>0</x:v>
      </x:c>
      <x:c r="K76" t="str">
        <x:f>IF(OR(D76&lt;&gt;"Evet",E76&lt;&gt;"Evet"),"Eksik",IF(I76&lt;0.8,"Zayıf",IF(OR(I76&lt;0.9,J76&gt;0),"Pekiştirme","Güçlü")))</x:f>
        <x:v>Eksik</x:v>
      </x:c>
      <x:c r="L76" t="str">
        <x:f>IF(K76="Güçlü","Normal ilerle",IF(K76="Pekiştirme","10-20 hedefli soru + açık hataların +1/+7/+21 tekrarları",IF(K76="Zayıf","İlgili videoya dönüş + 20-30 hedefli soru + MEB yeniden doğrulama","Önce kitap konu bölümünü ve MEB doğrulamasını tamamla")))</x:f>
        <x:v>Önce kitap konu bölümünü ve MEB doğrulamasını tamamla</x:v>
      </x:c>
      <x:c r="M76" t="str"/>
    </x:row>
    <x:row r="77">
      <x:c r="A77" t="str">
        <x:v>Fen</x:v>
      </x:c>
      <x:c r="B77" t="str">
        <x:v>Elektrik Enerjisinin Dönüşümü</x:v>
      </x:c>
      <x:c r="C77" s="12" t="n">
        <x:v>46468</x:v>
      </x:c>
      <x:c r="D77" t="str">
        <x:v>Hayır</x:v>
      </x:c>
      <x:c r="E77" t="str">
        <x:f>IF(COUNTIFS(MEB_Takibi!$B$2:$B$110,A77,MEB_Takibi!$C$2:$C$110,B77,MEB_Takibi!$K$2:$K$110,"Tamamlandı")&gt;0,"Evet","Hayır")</x:f>
        <x:v>Hayır</x:v>
      </x:c>
      <x:c r="F77" t="n">
        <x:f>SUMIFS(MEB_Takibi!$F$2:$F$110,MEB_Takibi!$B$2:$B$110,A77,MEB_Takibi!$C$2:$C$110,B77)</x:f>
        <x:v>0</x:v>
      </x:c>
      <x:c r="G77" t="n">
        <x:f>SUMIFS(MEB_Takibi!$G$2:$G$110,MEB_Takibi!$B$2:$B$110,A77,MEB_Takibi!$C$2:$C$110,B77)</x:f>
        <x:v>0</x:v>
      </x:c>
      <x:c r="H77" t="n">
        <x:f>SUMIFS(MEB_Takibi!$H$2:$H$110,MEB_Takibi!$B$2:$B$110,A77,MEB_Takibi!$C$2:$C$110,B77)</x:f>
        <x:v>0</x:v>
      </x:c>
      <x:c r="I77" s="22" t="str">
        <x:f>IF(SUM(F77:H77)=0,"",F77/SUM(F77:H77))</x:f>
      </x:c>
      <x:c r="J77" t="n">
        <x:f>COUNTIFS(Yanlis_Defteri!$B$2:$B$401,A77,Yanlis_Defteri!$C$2:$C$401,B77,Yanlis_Defteri!$O$2:$O$401,"Açık")</x:f>
        <x:v>0</x:v>
      </x:c>
      <x:c r="K77" t="str">
        <x:f>IF(OR(D77&lt;&gt;"Evet",E77&lt;&gt;"Evet"),"Eksik",IF(I77&lt;0.8,"Zayıf",IF(OR(I77&lt;0.9,J77&gt;0),"Pekiştirme","Güçlü")))</x:f>
        <x:v>Eksik</x:v>
      </x:c>
      <x:c r="L77" t="str">
        <x:f>IF(K77="Güçlü","Normal ilerle",IF(K77="Pekiştirme","10-20 hedefli soru + açık hataların +1/+7/+21 tekrarları",IF(K77="Zayıf","İlgili videoya dönüş + 20-30 hedefli soru + MEB yeniden doğrulama","Önce kitap konu bölümünü ve MEB doğrulamasını tamamla")))</x:f>
        <x:v>Önce kitap konu bölümünü ve MEB doğrulamasını tamamla</x:v>
      </x:c>
      <x:c r="M77" t="str"/>
    </x:row>
    <x:row r="78">
      <x:c r="A78" t="str">
        <x:v>İnkılap</x:v>
      </x:c>
      <x:c r="B78" t="str">
        <x:v>Bir Kahraman Doğuyor - Avrupa ve Osmanlı’nın Durumu</x:v>
      </x:c>
      <x:c r="C78" s="12" t="n">
        <x:v>46306</x:v>
      </x:c>
      <x:c r="D78" t="str">
        <x:v>Hayır</x:v>
      </x:c>
      <x:c r="E78" t="str">
        <x:f>IF(COUNTIFS(MEB_Takibi!$B$2:$B$110,A78,MEB_Takibi!$C$2:$C$110,B78,MEB_Takibi!$K$2:$K$110,"Tamamlandı")&gt;0,"Evet","Hayır")</x:f>
        <x:v>Hayır</x:v>
      </x:c>
      <x:c r="F78" t="n">
        <x:f>SUMIFS(MEB_Takibi!$F$2:$F$110,MEB_Takibi!$B$2:$B$110,A78,MEB_Takibi!$C$2:$C$110,B78)</x:f>
        <x:v>0</x:v>
      </x:c>
      <x:c r="G78" t="n">
        <x:f>SUMIFS(MEB_Takibi!$G$2:$G$110,MEB_Takibi!$B$2:$B$110,A78,MEB_Takibi!$C$2:$C$110,B78)</x:f>
        <x:v>0</x:v>
      </x:c>
      <x:c r="H78" t="n">
        <x:f>SUMIFS(MEB_Takibi!$H$2:$H$110,MEB_Takibi!$B$2:$B$110,A78,MEB_Takibi!$C$2:$C$110,B78)</x:f>
        <x:v>0</x:v>
      </x:c>
      <x:c r="I78" s="22" t="str">
        <x:f>IF(SUM(F78:H78)=0,"",F78/SUM(F78:H78))</x:f>
      </x:c>
      <x:c r="J78" t="n">
        <x:f>COUNTIFS(Yanlis_Defteri!$B$2:$B$401,A78,Yanlis_Defteri!$C$2:$C$401,B78,Yanlis_Defteri!$O$2:$O$401,"Açık")</x:f>
        <x:v>0</x:v>
      </x:c>
      <x:c r="K78" t="str">
        <x:f>IF(OR(D78&lt;&gt;"Evet",E78&lt;&gt;"Evet"),"Eksik",IF(I78&lt;0.8,"Zayıf",IF(OR(I78&lt;0.9,J78&gt;0),"Pekiştirme","Güçlü")))</x:f>
        <x:v>Eksik</x:v>
      </x:c>
      <x:c r="L78" t="str">
        <x:f>IF(K78="Güçlü","Normal ilerle",IF(K78="Pekiştirme","10-20 hedefli soru + açık hataların +1/+7/+21 tekrarları",IF(K78="Zayıf","İlgili videoya dönüş + 20-30 hedefli soru + MEB yeniden doğrulama","Önce kitap konu bölümünü ve MEB doğrulamasını tamamla")))</x:f>
        <x:v>Önce kitap konu bölümünü ve MEB doğrulamasını tamamla</x:v>
      </x:c>
      <x:c r="M78" t="str"/>
    </x:row>
    <x:row r="79">
      <x:c r="A79" t="str">
        <x:v>İnkılap</x:v>
      </x:c>
      <x:c r="B79" t="str">
        <x:v>Mustafa Kemal’in Çocukluk, Eğitim ve Fikir Hayatı</x:v>
      </x:c>
      <x:c r="C79" s="12" t="n">
        <x:v>46318</x:v>
      </x:c>
      <x:c r="D79" t="str">
        <x:v>Hayır</x:v>
      </x:c>
      <x:c r="E79" t="str">
        <x:f>IF(COUNTIFS(MEB_Takibi!$B$2:$B$110,A79,MEB_Takibi!$C$2:$C$110,B79,MEB_Takibi!$K$2:$K$110,"Tamamlandı")&gt;0,"Evet","Hayır")</x:f>
        <x:v>Hayır</x:v>
      </x:c>
      <x:c r="F79" t="n">
        <x:f>SUMIFS(MEB_Takibi!$F$2:$F$110,MEB_Takibi!$B$2:$B$110,A79,MEB_Takibi!$C$2:$C$110,B79)</x:f>
        <x:v>0</x:v>
      </x:c>
      <x:c r="G79" t="n">
        <x:f>SUMIFS(MEB_Takibi!$G$2:$G$110,MEB_Takibi!$B$2:$B$110,A79,MEB_Takibi!$C$2:$C$110,B79)</x:f>
        <x:v>0</x:v>
      </x:c>
      <x:c r="H79" t="n">
        <x:f>SUMIFS(MEB_Takibi!$H$2:$H$110,MEB_Takibi!$B$2:$B$110,A79,MEB_Takibi!$C$2:$C$110,B79)</x:f>
        <x:v>0</x:v>
      </x:c>
      <x:c r="I79" s="22" t="str">
        <x:f>IF(SUM(F79:H79)=0,"",F79/SUM(F79:H79))</x:f>
      </x:c>
      <x:c r="J79" t="n">
        <x:f>COUNTIFS(Yanlis_Defteri!$B$2:$B$401,A79,Yanlis_Defteri!$C$2:$C$401,B79,Yanlis_Defteri!$O$2:$O$401,"Açık")</x:f>
        <x:v>0</x:v>
      </x:c>
      <x:c r="K79" t="str">
        <x:f>IF(OR(D79&lt;&gt;"Evet",E79&lt;&gt;"Evet"),"Eksik",IF(I79&lt;0.8,"Zayıf",IF(OR(I79&lt;0.9,J79&gt;0),"Pekiştirme","Güçlü")))</x:f>
        <x:v>Eksik</x:v>
      </x:c>
      <x:c r="L79" t="str">
        <x:f>IF(K79="Güçlü","Normal ilerle",IF(K79="Pekiştirme","10-20 hedefli soru + açık hataların +1/+7/+21 tekrarları",IF(K79="Zayıf","İlgili videoya dönüş + 20-30 hedefli soru + MEB yeniden doğrulama","Önce kitap konu bölümünü ve MEB doğrulamasını tamamla")))</x:f>
        <x:v>Önce kitap konu bölümünü ve MEB doğrulamasını tamamla</x:v>
      </x:c>
      <x:c r="M79" t="str"/>
    </x:row>
    <x:row r="80">
      <x:c r="A80" t="str">
        <x:v>İnkılap</x:v>
      </x:c>
      <x:c r="B80" t="str">
        <x:v>Mustafa Kemal’in Askerlik Hayatı</x:v>
      </x:c>
      <x:c r="C80" s="12" t="n">
        <x:v>46330</x:v>
      </x:c>
      <x:c r="D80" t="str">
        <x:v>Hayır</x:v>
      </x:c>
      <x:c r="E80" t="str">
        <x:f>IF(COUNTIFS(MEB_Takibi!$B$2:$B$110,A80,MEB_Takibi!$C$2:$C$110,B80,MEB_Takibi!$K$2:$K$110,"Tamamlandı")&gt;0,"Evet","Hayır")</x:f>
        <x:v>Hayır</x:v>
      </x:c>
      <x:c r="F80" t="n">
        <x:f>SUMIFS(MEB_Takibi!$F$2:$F$110,MEB_Takibi!$B$2:$B$110,A80,MEB_Takibi!$C$2:$C$110,B80)</x:f>
        <x:v>0</x:v>
      </x:c>
      <x:c r="G80" t="n">
        <x:f>SUMIFS(MEB_Takibi!$G$2:$G$110,MEB_Takibi!$B$2:$B$110,A80,MEB_Takibi!$C$2:$C$110,B80)</x:f>
        <x:v>0</x:v>
      </x:c>
      <x:c r="H80" t="n">
        <x:f>SUMIFS(MEB_Takibi!$H$2:$H$110,MEB_Takibi!$B$2:$B$110,A80,MEB_Takibi!$C$2:$C$110,B80)</x:f>
        <x:v>0</x:v>
      </x:c>
      <x:c r="I80" s="22" t="str">
        <x:f>IF(SUM(F80:H80)=0,"",F80/SUM(F80:H80))</x:f>
      </x:c>
      <x:c r="J80" t="n">
        <x:f>COUNTIFS(Yanlis_Defteri!$B$2:$B$401,A80,Yanlis_Defteri!$C$2:$C$401,B80,Yanlis_Defteri!$O$2:$O$401,"Açık")</x:f>
        <x:v>0</x:v>
      </x:c>
      <x:c r="K80" t="str">
        <x:f>IF(OR(D80&lt;&gt;"Evet",E80&lt;&gt;"Evet"),"Eksik",IF(I80&lt;0.8,"Zayıf",IF(OR(I80&lt;0.9,J80&gt;0),"Pekiştirme","Güçlü")))</x:f>
        <x:v>Eksik</x:v>
      </x:c>
      <x:c r="L80" t="str">
        <x:f>IF(K80="Güçlü","Normal ilerle",IF(K80="Pekiştirme","10-20 hedefli soru + açık hataların +1/+7/+21 tekrarları",IF(K80="Zayıf","İlgili videoya dönüş + 20-30 hedefli soru + MEB yeniden doğrulama","Önce kitap konu bölümünü ve MEB doğrulamasını tamamla")))</x:f>
        <x:v>Önce kitap konu bölümünü ve MEB doğrulamasını tamamla</x:v>
      </x:c>
      <x:c r="M80" t="str"/>
    </x:row>
    <x:row r="81">
      <x:c r="A81" t="str">
        <x:v>İnkılap</x:v>
      </x:c>
      <x:c r="B81" t="str">
        <x:v>I. Dünya Savaşı ve Osmanlı Devleti</x:v>
      </x:c>
      <x:c r="C81" s="12" t="n">
        <x:v>46342</x:v>
      </x:c>
      <x:c r="D81" t="str">
        <x:v>Hayır</x:v>
      </x:c>
      <x:c r="E81" t="str">
        <x:f>IF(COUNTIFS(MEB_Takibi!$B$2:$B$110,A81,MEB_Takibi!$C$2:$C$110,B81,MEB_Takibi!$K$2:$K$110,"Tamamlandı")&gt;0,"Evet","Hayır")</x:f>
        <x:v>Hayır</x:v>
      </x:c>
      <x:c r="F81" t="n">
        <x:f>SUMIFS(MEB_Takibi!$F$2:$F$110,MEB_Takibi!$B$2:$B$110,A81,MEB_Takibi!$C$2:$C$110,B81)</x:f>
        <x:v>0</x:v>
      </x:c>
      <x:c r="G81" t="n">
        <x:f>SUMIFS(MEB_Takibi!$G$2:$G$110,MEB_Takibi!$B$2:$B$110,A81,MEB_Takibi!$C$2:$C$110,B81)</x:f>
        <x:v>0</x:v>
      </x:c>
      <x:c r="H81" t="n">
        <x:f>SUMIFS(MEB_Takibi!$H$2:$H$110,MEB_Takibi!$B$2:$B$110,A81,MEB_Takibi!$C$2:$C$110,B81)</x:f>
        <x:v>0</x:v>
      </x:c>
      <x:c r="I81" s="22" t="str">
        <x:f>IF(SUM(F81:H81)=0,"",F81/SUM(F81:H81))</x:f>
      </x:c>
      <x:c r="J81" t="n">
        <x:f>COUNTIFS(Yanlis_Defteri!$B$2:$B$401,A81,Yanlis_Defteri!$C$2:$C$401,B81,Yanlis_Defteri!$O$2:$O$401,"Açık")</x:f>
        <x:v>0</x:v>
      </x:c>
      <x:c r="K81" t="str">
        <x:f>IF(OR(D81&lt;&gt;"Evet",E81&lt;&gt;"Evet"),"Eksik",IF(I81&lt;0.8,"Zayıf",IF(OR(I81&lt;0.9,J81&gt;0),"Pekiştirme","Güçlü")))</x:f>
        <x:v>Eksik</x:v>
      </x:c>
      <x:c r="L81" t="str">
        <x:f>IF(K81="Güçlü","Normal ilerle",IF(K81="Pekiştirme","10-20 hedefli soru + açık hataların +1/+7/+21 tekrarları",IF(K81="Zayıf","İlgili videoya dönüş + 20-30 hedefli soru + MEB yeniden doğrulama","Önce kitap konu bölümünü ve MEB doğrulamasını tamamla")))</x:f>
        <x:v>Önce kitap konu bölümünü ve MEB doğrulamasını tamamla</x:v>
      </x:c>
      <x:c r="M81" t="str"/>
    </x:row>
    <x:row r="82">
      <x:c r="A82" t="str">
        <x:v>İnkılap</x:v>
      </x:c>
      <x:c r="B82" t="str">
        <x:v>Mondros, İşgaller, Cemiyetler ve Kuvayımilliye</x:v>
      </x:c>
      <x:c r="C82" s="12" t="n">
        <x:v>46358</x:v>
      </x:c>
      <x:c r="D82" t="str">
        <x:v>Hayır</x:v>
      </x:c>
      <x:c r="E82" t="str">
        <x:f>IF(COUNTIFS(MEB_Takibi!$B$2:$B$110,A82,MEB_Takibi!$C$2:$C$110,B82,MEB_Takibi!$K$2:$K$110,"Tamamlandı")&gt;0,"Evet","Hayır")</x:f>
        <x:v>Hayır</x:v>
      </x:c>
      <x:c r="F82" t="n">
        <x:f>SUMIFS(MEB_Takibi!$F$2:$F$110,MEB_Takibi!$B$2:$B$110,A82,MEB_Takibi!$C$2:$C$110,B82)</x:f>
        <x:v>0</x:v>
      </x:c>
      <x:c r="G82" t="n">
        <x:f>SUMIFS(MEB_Takibi!$G$2:$G$110,MEB_Takibi!$B$2:$B$110,A82,MEB_Takibi!$C$2:$C$110,B82)</x:f>
        <x:v>0</x:v>
      </x:c>
      <x:c r="H82" t="n">
        <x:f>SUMIFS(MEB_Takibi!$H$2:$H$110,MEB_Takibi!$B$2:$B$110,A82,MEB_Takibi!$C$2:$C$110,B82)</x:f>
        <x:v>0</x:v>
      </x:c>
      <x:c r="I82" s="22" t="str">
        <x:f>IF(SUM(F82:H82)=0,"",F82/SUM(F82:H82))</x:f>
      </x:c>
      <x:c r="J82" t="n">
        <x:f>COUNTIFS(Yanlis_Defteri!$B$2:$B$401,A82,Yanlis_Defteri!$C$2:$C$401,B82,Yanlis_Defteri!$O$2:$O$401,"Açık")</x:f>
        <x:v>0</x:v>
      </x:c>
      <x:c r="K82" t="str">
        <x:f>IF(OR(D82&lt;&gt;"Evet",E82&lt;&gt;"Evet"),"Eksik",IF(I82&lt;0.8,"Zayıf",IF(OR(I82&lt;0.9,J82&gt;0),"Pekiştirme","Güçlü")))</x:f>
        <x:v>Eksik</x:v>
      </x:c>
      <x:c r="L82" t="str">
        <x:f>IF(K82="Güçlü","Normal ilerle",IF(K82="Pekiştirme","10-20 hedefli soru + açık hataların +1/+7/+21 tekrarları",IF(K82="Zayıf","İlgili videoya dönüş + 20-30 hedefli soru + MEB yeniden doğrulama","Önce kitap konu bölümünü ve MEB doğrulamasını tamamla")))</x:f>
        <x:v>Önce kitap konu bölümünü ve MEB doğrulamasını tamamla</x:v>
      </x:c>
      <x:c r="M82" t="str"/>
    </x:row>
    <x:row r="83">
      <x:c r="A83" t="str">
        <x:v>İnkılap</x:v>
      </x:c>
      <x:c r="B83" t="str">
        <x:v>Genelgeler, Kongreler, Misakımillî ve TBMM</x:v>
      </x:c>
      <x:c r="C83" s="12" t="n">
        <x:v>46374</x:v>
      </x:c>
      <x:c r="D83" t="str">
        <x:v>Hayır</x:v>
      </x:c>
      <x:c r="E83" t="str">
        <x:f>IF(COUNTIFS(MEB_Takibi!$B$2:$B$110,A83,MEB_Takibi!$C$2:$C$110,B83,MEB_Takibi!$K$2:$K$110,"Tamamlandı")&gt;0,"Evet","Hayır")</x:f>
        <x:v>Hayır</x:v>
      </x:c>
      <x:c r="F83" t="n">
        <x:f>SUMIFS(MEB_Takibi!$F$2:$F$110,MEB_Takibi!$B$2:$B$110,A83,MEB_Takibi!$C$2:$C$110,B83)</x:f>
        <x:v>0</x:v>
      </x:c>
      <x:c r="G83" t="n">
        <x:f>SUMIFS(MEB_Takibi!$G$2:$G$110,MEB_Takibi!$B$2:$B$110,A83,MEB_Takibi!$C$2:$C$110,B83)</x:f>
        <x:v>0</x:v>
      </x:c>
      <x:c r="H83" t="n">
        <x:f>SUMIFS(MEB_Takibi!$H$2:$H$110,MEB_Takibi!$B$2:$B$110,A83,MEB_Takibi!$C$2:$C$110,B83)</x:f>
        <x:v>0</x:v>
      </x:c>
      <x:c r="I83" s="22" t="str">
        <x:f>IF(SUM(F83:H83)=0,"",F83/SUM(F83:H83))</x:f>
      </x:c>
      <x:c r="J83" t="n">
        <x:f>COUNTIFS(Yanlis_Defteri!$B$2:$B$401,A83,Yanlis_Defteri!$C$2:$C$401,B83,Yanlis_Defteri!$O$2:$O$401,"Açık")</x:f>
        <x:v>0</x:v>
      </x:c>
      <x:c r="K83" t="str">
        <x:f>IF(OR(D83&lt;&gt;"Evet",E83&lt;&gt;"Evet"),"Eksik",IF(I83&lt;0.8,"Zayıf",IF(OR(I83&lt;0.9,J83&gt;0),"Pekiştirme","Güçlü")))</x:f>
        <x:v>Eksik</x:v>
      </x:c>
      <x:c r="L83" t="str">
        <x:f>IF(K83="Güçlü","Normal ilerle",IF(K83="Pekiştirme","10-20 hedefli soru + açık hataların +1/+7/+21 tekrarları",IF(K83="Zayıf","İlgili videoya dönüş + 20-30 hedefli soru + MEB yeniden doğrulama","Önce kitap konu bölümünü ve MEB doğrulamasını tamamla")))</x:f>
        <x:v>Önce kitap konu bölümünü ve MEB doğrulamasını tamamla</x:v>
      </x:c>
      <x:c r="M83" t="str"/>
    </x:row>
    <x:row r="84">
      <x:c r="A84" t="str">
        <x:v>İnkılap</x:v>
      </x:c>
      <x:c r="B84" t="str">
        <x:v>TBMM’ye Karşı Ayaklanmalar ve Sevr</x:v>
      </x:c>
      <x:c r="C84" s="12" t="n">
        <x:v>46386</x:v>
      </x:c>
      <x:c r="D84" t="str">
        <x:v>Hayır</x:v>
      </x:c>
      <x:c r="E84" t="str">
        <x:f>IF(COUNTIFS(MEB_Takibi!$B$2:$B$110,A84,MEB_Takibi!$C$2:$C$110,B84,MEB_Takibi!$K$2:$K$110,"Tamamlandı")&gt;0,"Evet","Hayır")</x:f>
        <x:v>Hayır</x:v>
      </x:c>
      <x:c r="F84" t="n">
        <x:f>SUMIFS(MEB_Takibi!$F$2:$F$110,MEB_Takibi!$B$2:$B$110,A84,MEB_Takibi!$C$2:$C$110,B84)</x:f>
        <x:v>0</x:v>
      </x:c>
      <x:c r="G84" t="n">
        <x:f>SUMIFS(MEB_Takibi!$G$2:$G$110,MEB_Takibi!$B$2:$B$110,A84,MEB_Takibi!$C$2:$C$110,B84)</x:f>
        <x:v>0</x:v>
      </x:c>
      <x:c r="H84" t="n">
        <x:f>SUMIFS(MEB_Takibi!$H$2:$H$110,MEB_Takibi!$B$2:$B$110,A84,MEB_Takibi!$C$2:$C$110,B84)</x:f>
        <x:v>0</x:v>
      </x:c>
      <x:c r="I84" s="22" t="str">
        <x:f>IF(SUM(F84:H84)=0,"",F84/SUM(F84:H84))</x:f>
      </x:c>
      <x:c r="J84" t="n">
        <x:f>COUNTIFS(Yanlis_Defteri!$B$2:$B$401,A84,Yanlis_Defteri!$C$2:$C$401,B84,Yanlis_Defteri!$O$2:$O$401,"Açık")</x:f>
        <x:v>0</x:v>
      </x:c>
      <x:c r="K84" t="str">
        <x:f>IF(OR(D84&lt;&gt;"Evet",E84&lt;&gt;"Evet"),"Eksik",IF(I84&lt;0.8,"Zayıf",IF(OR(I84&lt;0.9,J84&gt;0),"Pekiştirme","Güçlü")))</x:f>
        <x:v>Eksik</x:v>
      </x:c>
      <x:c r="L84" t="str">
        <x:f>IF(K84="Güçlü","Normal ilerle",IF(K84="Pekiştirme","10-20 hedefli soru + açık hataların +1/+7/+21 tekrarları",IF(K84="Zayıf","İlgili videoya dönüş + 20-30 hedefli soru + MEB yeniden doğrulama","Önce kitap konu bölümünü ve MEB doğrulamasını tamamla")))</x:f>
        <x:v>Önce kitap konu bölümünü ve MEB doğrulamasını tamamla</x:v>
      </x:c>
      <x:c r="M84" t="str"/>
    </x:row>
    <x:row r="85">
      <x:c r="A85" t="str">
        <x:v>İnkılap</x:v>
      </x:c>
      <x:c r="B85" t="str">
        <x:v>Millî Mücadele - Cepheler</x:v>
      </x:c>
      <x:c r="C85" s="12" t="n">
        <x:v>46402</x:v>
      </x:c>
      <x:c r="D85" t="str">
        <x:v>Hayır</x:v>
      </x:c>
      <x:c r="E85" t="str">
        <x:f>IF(COUNTIFS(MEB_Takibi!$B$2:$B$110,A85,MEB_Takibi!$C$2:$C$110,B85,MEB_Takibi!$K$2:$K$110,"Tamamlandı")&gt;0,"Evet","Hayır")</x:f>
        <x:v>Hayır</x:v>
      </x:c>
      <x:c r="F85" t="n">
        <x:f>SUMIFS(MEB_Takibi!$F$2:$F$110,MEB_Takibi!$B$2:$B$110,A85,MEB_Takibi!$C$2:$C$110,B85)</x:f>
        <x:v>0</x:v>
      </x:c>
      <x:c r="G85" t="n">
        <x:f>SUMIFS(MEB_Takibi!$G$2:$G$110,MEB_Takibi!$B$2:$B$110,A85,MEB_Takibi!$C$2:$C$110,B85)</x:f>
        <x:v>0</x:v>
      </x:c>
      <x:c r="H85" t="n">
        <x:f>SUMIFS(MEB_Takibi!$H$2:$H$110,MEB_Takibi!$B$2:$B$110,A85,MEB_Takibi!$C$2:$C$110,B85)</x:f>
        <x:v>0</x:v>
      </x:c>
      <x:c r="I85" s="22" t="str">
        <x:f>IF(SUM(F85:H85)=0,"",F85/SUM(F85:H85))</x:f>
      </x:c>
      <x:c r="J85" t="n">
        <x:f>COUNTIFS(Yanlis_Defteri!$B$2:$B$401,A85,Yanlis_Defteri!$C$2:$C$401,B85,Yanlis_Defteri!$O$2:$O$401,"Açık")</x:f>
        <x:v>0</x:v>
      </x:c>
      <x:c r="K85" t="str">
        <x:f>IF(OR(D85&lt;&gt;"Evet",E85&lt;&gt;"Evet"),"Eksik",IF(I85&lt;0.8,"Zayıf",IF(OR(I85&lt;0.9,J85&gt;0),"Pekiştirme","Güçlü")))</x:f>
        <x:v>Eksik</x:v>
      </x:c>
      <x:c r="L85" t="str">
        <x:f>IF(K85="Güçlü","Normal ilerle",IF(K85="Pekiştirme","10-20 hedefli soru + açık hataların +1/+7/+21 tekrarları",IF(K85="Zayıf","İlgili videoya dönüş + 20-30 hedefli soru + MEB yeniden doğrulama","Önce kitap konu bölümünü ve MEB doğrulamasını tamamla")))</x:f>
        <x:v>Önce kitap konu bölümünü ve MEB doğrulamasını tamamla</x:v>
      </x:c>
      <x:c r="M85" t="str"/>
    </x:row>
    <x:row r="86">
      <x:c r="A86" t="str">
        <x:v>İnkılap</x:v>
      </x:c>
      <x:c r="B86" t="str">
        <x:v>Atatürkçülük ve Çağdaşlaşan Türkiye</x:v>
      </x:c>
      <x:c r="C86" s="12" t="n">
        <x:v>46418</x:v>
      </x:c>
      <x:c r="D86" t="str">
        <x:v>Hayır</x:v>
      </x:c>
      <x:c r="E86" t="str">
        <x:f>IF(COUNTIFS(MEB_Takibi!$B$2:$B$110,A86,MEB_Takibi!$C$2:$C$110,B86,MEB_Takibi!$K$2:$K$110,"Tamamlandı")&gt;0,"Evet","Hayır")</x:f>
        <x:v>Hayır</x:v>
      </x:c>
      <x:c r="F86" t="n">
        <x:f>SUMIFS(MEB_Takibi!$F$2:$F$110,MEB_Takibi!$B$2:$B$110,A86,MEB_Takibi!$C$2:$C$110,B86)</x:f>
        <x:v>0</x:v>
      </x:c>
      <x:c r="G86" t="n">
        <x:f>SUMIFS(MEB_Takibi!$G$2:$G$110,MEB_Takibi!$B$2:$B$110,A86,MEB_Takibi!$C$2:$C$110,B86)</x:f>
        <x:v>0</x:v>
      </x:c>
      <x:c r="H86" t="n">
        <x:f>SUMIFS(MEB_Takibi!$H$2:$H$110,MEB_Takibi!$B$2:$B$110,A86,MEB_Takibi!$C$2:$C$110,B86)</x:f>
        <x:v>0</x:v>
      </x:c>
      <x:c r="I86" s="22" t="str">
        <x:f>IF(SUM(F86:H86)=0,"",F86/SUM(F86:H86))</x:f>
      </x:c>
      <x:c r="J86" t="n">
        <x:f>COUNTIFS(Yanlis_Defteri!$B$2:$B$401,A86,Yanlis_Defteri!$C$2:$C$401,B86,Yanlis_Defteri!$O$2:$O$401,"Açık")</x:f>
        <x:v>0</x:v>
      </x:c>
      <x:c r="K86" t="str">
        <x:f>IF(OR(D86&lt;&gt;"Evet",E86&lt;&gt;"Evet"),"Eksik",IF(I86&lt;0.8,"Zayıf",IF(OR(I86&lt;0.9,J86&gt;0),"Pekiştirme","Güçlü")))</x:f>
        <x:v>Eksik</x:v>
      </x:c>
      <x:c r="L86" t="str">
        <x:f>IF(K86="Güçlü","Normal ilerle",IF(K86="Pekiştirme","10-20 hedefli soru + açık hataların +1/+7/+21 tekrarları",IF(K86="Zayıf","İlgili videoya dönüş + 20-30 hedefli soru + MEB yeniden doğrulama","Önce kitap konu bölümünü ve MEB doğrulamasını tamamla")))</x:f>
        <x:v>Önce kitap konu bölümünü ve MEB doğrulamasını tamamla</x:v>
      </x:c>
      <x:c r="M86" t="str"/>
    </x:row>
    <x:row r="87">
      <x:c r="A87" t="str">
        <x:v>İnkılap</x:v>
      </x:c>
      <x:c r="B87" t="str">
        <x:v>Demokratikleşme Çabaları</x:v>
      </x:c>
      <x:c r="C87" s="12" t="n">
        <x:v>46430</x:v>
      </x:c>
      <x:c r="D87" t="str">
        <x:v>Hayır</x:v>
      </x:c>
      <x:c r="E87" t="str">
        <x:f>IF(COUNTIFS(MEB_Takibi!$B$2:$B$110,A87,MEB_Takibi!$C$2:$C$110,B87,MEB_Takibi!$K$2:$K$110,"Tamamlandı")&gt;0,"Evet","Hayır")</x:f>
        <x:v>Hayır</x:v>
      </x:c>
      <x:c r="F87" t="n">
        <x:f>SUMIFS(MEB_Takibi!$F$2:$F$110,MEB_Takibi!$B$2:$B$110,A87,MEB_Takibi!$C$2:$C$110,B87)</x:f>
        <x:v>0</x:v>
      </x:c>
      <x:c r="G87" t="n">
        <x:f>SUMIFS(MEB_Takibi!$G$2:$G$110,MEB_Takibi!$B$2:$B$110,A87,MEB_Takibi!$C$2:$C$110,B87)</x:f>
        <x:v>0</x:v>
      </x:c>
      <x:c r="H87" t="n">
        <x:f>SUMIFS(MEB_Takibi!$H$2:$H$110,MEB_Takibi!$B$2:$B$110,A87,MEB_Takibi!$C$2:$C$110,B87)</x:f>
        <x:v>0</x:v>
      </x:c>
      <x:c r="I87" s="22" t="str">
        <x:f>IF(SUM(F87:H87)=0,"",F87/SUM(F87:H87))</x:f>
      </x:c>
      <x:c r="J87" t="n">
        <x:f>COUNTIFS(Yanlis_Defteri!$B$2:$B$401,A87,Yanlis_Defteri!$C$2:$C$401,B87,Yanlis_Defteri!$O$2:$O$401,"Açık")</x:f>
        <x:v>0</x:v>
      </x:c>
      <x:c r="K87" t="str">
        <x:f>IF(OR(D87&lt;&gt;"Evet",E87&lt;&gt;"Evet"),"Eksik",IF(I87&lt;0.8,"Zayıf",IF(OR(I87&lt;0.9,J87&gt;0),"Pekiştirme","Güçlü")))</x:f>
        <x:v>Eksik</x:v>
      </x:c>
      <x:c r="L87" t="str">
        <x:f>IF(K87="Güçlü","Normal ilerle",IF(K87="Pekiştirme","10-20 hedefli soru + açık hataların +1/+7/+21 tekrarları",IF(K87="Zayıf","İlgili videoya dönüş + 20-30 hedefli soru + MEB yeniden doğrulama","Önce kitap konu bölümünü ve MEB doğrulamasını tamamla")))</x:f>
        <x:v>Önce kitap konu bölümünü ve MEB doğrulamasını tamamla</x:v>
      </x:c>
      <x:c r="M87" t="str"/>
    </x:row>
    <x:row r="88">
      <x:c r="A88" t="str">
        <x:v>İnkılap</x:v>
      </x:c>
      <x:c r="B88" t="str">
        <x:v>Atatürk Dönemi Türk Dış Politikası</x:v>
      </x:c>
      <x:c r="C88" s="12" t="n">
        <x:v>46442</x:v>
      </x:c>
      <x:c r="D88" t="str">
        <x:v>Hayır</x:v>
      </x:c>
      <x:c r="E88" t="str">
        <x:f>IF(COUNTIFS(MEB_Takibi!$B$2:$B$110,A88,MEB_Takibi!$C$2:$C$110,B88,MEB_Takibi!$K$2:$K$110,"Tamamlandı")&gt;0,"Evet","Hayır")</x:f>
        <x:v>Hayır</x:v>
      </x:c>
      <x:c r="F88" t="n">
        <x:f>SUMIFS(MEB_Takibi!$F$2:$F$110,MEB_Takibi!$B$2:$B$110,A88,MEB_Takibi!$C$2:$C$110,B88)</x:f>
        <x:v>0</x:v>
      </x:c>
      <x:c r="G88" t="n">
        <x:f>SUMIFS(MEB_Takibi!$G$2:$G$110,MEB_Takibi!$B$2:$B$110,A88,MEB_Takibi!$C$2:$C$110,B88)</x:f>
        <x:v>0</x:v>
      </x:c>
      <x:c r="H88" t="n">
        <x:f>SUMIFS(MEB_Takibi!$H$2:$H$110,MEB_Takibi!$B$2:$B$110,A88,MEB_Takibi!$C$2:$C$110,B88)</x:f>
        <x:v>0</x:v>
      </x:c>
      <x:c r="I88" s="22" t="str">
        <x:f>IF(SUM(F88:H88)=0,"",F88/SUM(F88:H88))</x:f>
      </x:c>
      <x:c r="J88" t="n">
        <x:f>COUNTIFS(Yanlis_Defteri!$B$2:$B$401,A88,Yanlis_Defteri!$C$2:$C$401,B88,Yanlis_Defteri!$O$2:$O$401,"Açık")</x:f>
        <x:v>0</x:v>
      </x:c>
      <x:c r="K88" t="str">
        <x:f>IF(OR(D88&lt;&gt;"Evet",E88&lt;&gt;"Evet"),"Eksik",IF(I88&lt;0.8,"Zayıf",IF(OR(I88&lt;0.9,J88&gt;0),"Pekiştirme","Güçlü")))</x:f>
        <x:v>Eksik</x:v>
      </x:c>
      <x:c r="L88" t="str">
        <x:f>IF(K88="Güçlü","Normal ilerle",IF(K88="Pekiştirme","10-20 hedefli soru + açık hataların +1/+7/+21 tekrarları",IF(K88="Zayıf","İlgili videoya dönüş + 20-30 hedefli soru + MEB yeniden doğrulama","Önce kitap konu bölümünü ve MEB doğrulamasını tamamla")))</x:f>
        <x:v>Önce kitap konu bölümünü ve MEB doğrulamasını tamamla</x:v>
      </x:c>
      <x:c r="M88" t="str"/>
    </x:row>
    <x:row r="89">
      <x:c r="A89" t="str">
        <x:v>İnkılap</x:v>
      </x:c>
      <x:c r="B89" t="str">
        <x:v>Atatürk’ün Ölümü ve Sonrası</x:v>
      </x:c>
      <x:c r="C89" s="12" t="n">
        <x:v>46454</x:v>
      </x:c>
      <x:c r="D89" t="str">
        <x:v>Hayır</x:v>
      </x:c>
      <x:c r="E89" t="str">
        <x:f>IF(COUNTIFS(MEB_Takibi!$B$2:$B$110,A89,MEB_Takibi!$C$2:$C$110,B89,MEB_Takibi!$K$2:$K$110,"Tamamlandı")&gt;0,"Evet","Hayır")</x:f>
        <x:v>Hayır</x:v>
      </x:c>
      <x:c r="F89" t="n">
        <x:f>SUMIFS(MEB_Takibi!$F$2:$F$110,MEB_Takibi!$B$2:$B$110,A89,MEB_Takibi!$C$2:$C$110,B89)</x:f>
        <x:v>0</x:v>
      </x:c>
      <x:c r="G89" t="n">
        <x:f>SUMIFS(MEB_Takibi!$G$2:$G$110,MEB_Takibi!$B$2:$B$110,A89,MEB_Takibi!$C$2:$C$110,B89)</x:f>
        <x:v>0</x:v>
      </x:c>
      <x:c r="H89" t="n">
        <x:f>SUMIFS(MEB_Takibi!$H$2:$H$110,MEB_Takibi!$B$2:$B$110,A89,MEB_Takibi!$C$2:$C$110,B89)</x:f>
        <x:v>0</x:v>
      </x:c>
      <x:c r="I89" s="22" t="str">
        <x:f>IF(SUM(F89:H89)=0,"",F89/SUM(F89:H89))</x:f>
      </x:c>
      <x:c r="J89" t="n">
        <x:f>COUNTIFS(Yanlis_Defteri!$B$2:$B$401,A89,Yanlis_Defteri!$C$2:$C$401,B89,Yanlis_Defteri!$O$2:$O$401,"Açık")</x:f>
        <x:v>0</x:v>
      </x:c>
      <x:c r="K89" t="str">
        <x:f>IF(OR(D89&lt;&gt;"Evet",E89&lt;&gt;"Evet"),"Eksik",IF(I89&lt;0.8,"Zayıf",IF(OR(I89&lt;0.9,J89&gt;0),"Pekiştirme","Güçlü")))</x:f>
        <x:v>Eksik</x:v>
      </x:c>
      <x:c r="L89" t="str">
        <x:f>IF(K89="Güçlü","Normal ilerle",IF(K89="Pekiştirme","10-20 hedefli soru + açık hataların +1/+7/+21 tekrarları",IF(K89="Zayıf","İlgili videoya dönüş + 20-30 hedefli soru + MEB yeniden doğrulama","Önce kitap konu bölümünü ve MEB doğrulamasını tamamla")))</x:f>
        <x:v>Önce kitap konu bölümünü ve MEB doğrulamasını tamamla</x:v>
      </x:c>
      <x:c r="M89" t="str"/>
    </x:row>
    <x:row r="90">
      <x:c r="A90" t="str">
        <x:v>Din</x:v>
      </x:c>
      <x:c r="B90" t="str">
        <x:v>Kader ve Kaza İnancı</x:v>
      </x:c>
      <x:c r="C90" s="12" t="n">
        <x:v>46305</x:v>
      </x:c>
      <x:c r="D90" t="str">
        <x:v>Hayır</x:v>
      </x:c>
      <x:c r="E90" t="str">
        <x:f>IF(COUNTIFS(MEB_Takibi!$B$2:$B$110,A90,MEB_Takibi!$C$2:$C$110,B90,MEB_Takibi!$K$2:$K$110,"Tamamlandı")&gt;0,"Evet","Hayır")</x:f>
        <x:v>Hayır</x:v>
      </x:c>
      <x:c r="F90" t="n">
        <x:f>SUMIFS(MEB_Takibi!$F$2:$F$110,MEB_Takibi!$B$2:$B$110,A90,MEB_Takibi!$C$2:$C$110,B90)</x:f>
        <x:v>0</x:v>
      </x:c>
      <x:c r="G90" t="n">
        <x:f>SUMIFS(MEB_Takibi!$G$2:$G$110,MEB_Takibi!$B$2:$B$110,A90,MEB_Takibi!$C$2:$C$110,B90)</x:f>
        <x:v>0</x:v>
      </x:c>
      <x:c r="H90" t="n">
        <x:f>SUMIFS(MEB_Takibi!$H$2:$H$110,MEB_Takibi!$B$2:$B$110,A90,MEB_Takibi!$C$2:$C$110,B90)</x:f>
        <x:v>0</x:v>
      </x:c>
      <x:c r="I90" s="22" t="str">
        <x:f>IF(SUM(F90:H90)=0,"",F90/SUM(F90:H90))</x:f>
      </x:c>
      <x:c r="J90" t="n">
        <x:f>COUNTIFS(Yanlis_Defteri!$B$2:$B$401,A90,Yanlis_Defteri!$C$2:$C$401,B90,Yanlis_Defteri!$O$2:$O$401,"Açık")</x:f>
        <x:v>0</x:v>
      </x:c>
      <x:c r="K90" t="str">
        <x:f>IF(OR(D90&lt;&gt;"Evet",E90&lt;&gt;"Evet"),"Eksik",IF(I90&lt;0.8,"Zayıf",IF(OR(I90&lt;0.9,J90&gt;0),"Pekiştirme","Güçlü")))</x:f>
        <x:v>Eksik</x:v>
      </x:c>
      <x:c r="L90" t="str">
        <x:f>IF(K90="Güçlü","Normal ilerle",IF(K90="Pekiştirme","10-20 hedefli soru + açık hataların +1/+7/+21 tekrarları",IF(K90="Zayıf","İlgili videoya dönüş + 20-30 hedefli soru + MEB yeniden doğrulama","Önce kitap konu bölümünü ve MEB doğrulamasını tamamla")))</x:f>
        <x:v>Önce kitap konu bölümünü ve MEB doğrulamasını tamamla</x:v>
      </x:c>
      <x:c r="M90" t="str"/>
    </x:row>
    <x:row r="91">
      <x:c r="A91" t="str">
        <x:v>Din</x:v>
      </x:c>
      <x:c r="B91" t="str">
        <x:v>İnsanın İradesi ve Kader / Kaderle İlgili Kavramlar</x:v>
      </x:c>
      <x:c r="C91" s="12" t="n">
        <x:v>46317</x:v>
      </x:c>
      <x:c r="D91" t="str">
        <x:v>Hayır</x:v>
      </x:c>
      <x:c r="E91" t="str">
        <x:f>IF(COUNTIFS(MEB_Takibi!$B$2:$B$110,A91,MEB_Takibi!$C$2:$C$110,B91,MEB_Takibi!$K$2:$K$110,"Tamamlandı")&gt;0,"Evet","Hayır")</x:f>
        <x:v>Hayır</x:v>
      </x:c>
      <x:c r="F91" t="n">
        <x:f>SUMIFS(MEB_Takibi!$F$2:$F$110,MEB_Takibi!$B$2:$B$110,A91,MEB_Takibi!$C$2:$C$110,B91)</x:f>
        <x:v>0</x:v>
      </x:c>
      <x:c r="G91" t="n">
        <x:f>SUMIFS(MEB_Takibi!$G$2:$G$110,MEB_Takibi!$B$2:$B$110,A91,MEB_Takibi!$C$2:$C$110,B91)</x:f>
        <x:v>0</x:v>
      </x:c>
      <x:c r="H91" t="n">
        <x:f>SUMIFS(MEB_Takibi!$H$2:$H$110,MEB_Takibi!$B$2:$B$110,A91,MEB_Takibi!$C$2:$C$110,B91)</x:f>
        <x:v>0</x:v>
      </x:c>
      <x:c r="I91" s="22" t="str">
        <x:f>IF(SUM(F91:H91)=0,"",F91/SUM(F91:H91))</x:f>
      </x:c>
      <x:c r="J91" t="n">
        <x:f>COUNTIFS(Yanlis_Defteri!$B$2:$B$401,A91,Yanlis_Defteri!$C$2:$C$401,B91,Yanlis_Defteri!$O$2:$O$401,"Açık")</x:f>
        <x:v>0</x:v>
      </x:c>
      <x:c r="K91" t="str">
        <x:f>IF(OR(D91&lt;&gt;"Evet",E91&lt;&gt;"Evet"),"Eksik",IF(I91&lt;0.8,"Zayıf",IF(OR(I91&lt;0.9,J91&gt;0),"Pekiştirme","Güçlü")))</x:f>
        <x:v>Eksik</x:v>
      </x:c>
      <x:c r="L91" t="str">
        <x:f>IF(K91="Güçlü","Normal ilerle",IF(K91="Pekiştirme","10-20 hedefli soru + açık hataların +1/+7/+21 tekrarları",IF(K91="Zayıf","İlgili videoya dönüş + 20-30 hedefli soru + MEB yeniden doğrulama","Önce kitap konu bölümünü ve MEB doğrulamasını tamamla")))</x:f>
        <x:v>Önce kitap konu bölümünü ve MEB doğrulamasını tamamla</x:v>
      </x:c>
      <x:c r="M91" t="str"/>
    </x:row>
    <x:row r="92">
      <x:c r="A92" t="str">
        <x:v>Din</x:v>
      </x:c>
      <x:c r="B92" t="str">
        <x:v>Hz. Musa ve Ayetel Kürsi</x:v>
      </x:c>
      <x:c r="C92" s="12" t="n">
        <x:v>46329</x:v>
      </x:c>
      <x:c r="D92" t="str">
        <x:v>Hayır</x:v>
      </x:c>
      <x:c r="E92" t="str">
        <x:f>IF(COUNTIFS(MEB_Takibi!$B$2:$B$110,A92,MEB_Takibi!$C$2:$C$110,B92,MEB_Takibi!$K$2:$K$110,"Tamamlandı")&gt;0,"Evet","Hayır")</x:f>
        <x:v>Hayır</x:v>
      </x:c>
      <x:c r="F92" t="n">
        <x:f>SUMIFS(MEB_Takibi!$F$2:$F$110,MEB_Takibi!$B$2:$B$110,A92,MEB_Takibi!$C$2:$C$110,B92)</x:f>
        <x:v>0</x:v>
      </x:c>
      <x:c r="G92" t="n">
        <x:f>SUMIFS(MEB_Takibi!$G$2:$G$110,MEB_Takibi!$B$2:$B$110,A92,MEB_Takibi!$C$2:$C$110,B92)</x:f>
        <x:v>0</x:v>
      </x:c>
      <x:c r="H92" t="n">
        <x:f>SUMIFS(MEB_Takibi!$H$2:$H$110,MEB_Takibi!$B$2:$B$110,A92,MEB_Takibi!$C$2:$C$110,B92)</x:f>
        <x:v>0</x:v>
      </x:c>
      <x:c r="I92" s="22" t="str">
        <x:f>IF(SUM(F92:H92)=0,"",F92/SUM(F92:H92))</x:f>
      </x:c>
      <x:c r="J92" t="n">
        <x:f>COUNTIFS(Yanlis_Defteri!$B$2:$B$401,A92,Yanlis_Defteri!$C$2:$C$401,B92,Yanlis_Defteri!$O$2:$O$401,"Açık")</x:f>
        <x:v>0</x:v>
      </x:c>
      <x:c r="K92" t="str">
        <x:f>IF(OR(D92&lt;&gt;"Evet",E92&lt;&gt;"Evet"),"Eksik",IF(I92&lt;0.8,"Zayıf",IF(OR(I92&lt;0.9,J92&gt;0),"Pekiştirme","Güçlü")))</x:f>
        <x:v>Eksik</x:v>
      </x:c>
      <x:c r="L92" t="str">
        <x:f>IF(K92="Güçlü","Normal ilerle",IF(K92="Pekiştirme","10-20 hedefli soru + açık hataların +1/+7/+21 tekrarları",IF(K92="Zayıf","İlgili videoya dönüş + 20-30 hedefli soru + MEB yeniden doğrulama","Önce kitap konu bölümünü ve MEB doğrulamasını tamamla")))</x:f>
        <x:v>Önce kitap konu bölümünü ve MEB doğrulamasını tamamla</x:v>
      </x:c>
      <x:c r="M92" t="str"/>
    </x:row>
    <x:row r="93">
      <x:c r="A93" t="str">
        <x:v>Din</x:v>
      </x:c>
      <x:c r="B93" t="str">
        <x:v>Zekât ve Sadaka</x:v>
      </x:c>
      <x:c r="C93" s="12" t="n">
        <x:v>46341</x:v>
      </x:c>
      <x:c r="D93" t="str">
        <x:v>Hayır</x:v>
      </x:c>
      <x:c r="E93" t="str">
        <x:f>IF(COUNTIFS(MEB_Takibi!$B$2:$B$110,A93,MEB_Takibi!$C$2:$C$110,B93,MEB_Takibi!$K$2:$K$110,"Tamamlandı")&gt;0,"Evet","Hayır")</x:f>
        <x:v>Hayır</x:v>
      </x:c>
      <x:c r="F93" t="n">
        <x:f>SUMIFS(MEB_Takibi!$F$2:$F$110,MEB_Takibi!$B$2:$B$110,A93,MEB_Takibi!$C$2:$C$110,B93)</x:f>
        <x:v>0</x:v>
      </x:c>
      <x:c r="G93" t="n">
        <x:f>SUMIFS(MEB_Takibi!$G$2:$G$110,MEB_Takibi!$B$2:$B$110,A93,MEB_Takibi!$C$2:$C$110,B93)</x:f>
        <x:v>0</x:v>
      </x:c>
      <x:c r="H93" t="n">
        <x:f>SUMIFS(MEB_Takibi!$H$2:$H$110,MEB_Takibi!$B$2:$B$110,A93,MEB_Takibi!$C$2:$C$110,B93)</x:f>
        <x:v>0</x:v>
      </x:c>
      <x:c r="I93" s="22" t="str">
        <x:f>IF(SUM(F93:H93)=0,"",F93/SUM(F93:H93))</x:f>
      </x:c>
      <x:c r="J93" t="n">
        <x:f>COUNTIFS(Yanlis_Defteri!$B$2:$B$401,A93,Yanlis_Defteri!$C$2:$C$401,B93,Yanlis_Defteri!$O$2:$O$401,"Açık")</x:f>
        <x:v>0</x:v>
      </x:c>
      <x:c r="K93" t="str">
        <x:f>IF(OR(D93&lt;&gt;"Evet",E93&lt;&gt;"Evet"),"Eksik",IF(I93&lt;0.8,"Zayıf",IF(OR(I93&lt;0.9,J93&gt;0),"Pekiştirme","Güçlü")))</x:f>
        <x:v>Eksik</x:v>
      </x:c>
      <x:c r="L93" t="str">
        <x:f>IF(K93="Güçlü","Normal ilerle",IF(K93="Pekiştirme","10-20 hedefli soru + açık hataların +1/+7/+21 tekrarları",IF(K93="Zayıf","İlgili videoya dönüş + 20-30 hedefli soru + MEB yeniden doğrulama","Önce kitap konu bölümünü ve MEB doğrulamasını tamamla")))</x:f>
        <x:v>Önce kitap konu bölümünü ve MEB doğrulamasını tamamla</x:v>
      </x:c>
      <x:c r="M93" t="str"/>
    </x:row>
    <x:row r="94">
      <x:c r="A94" t="str">
        <x:v>Din</x:v>
      </x:c>
      <x:c r="B94" t="str">
        <x:v>Hz. Şuayb ve Maun Suresi</x:v>
      </x:c>
      <x:c r="C94" s="12" t="n">
        <x:v>46353</x:v>
      </x:c>
      <x:c r="D94" t="str">
        <x:v>Hayır</x:v>
      </x:c>
      <x:c r="E94" t="str">
        <x:f>IF(COUNTIFS(MEB_Takibi!$B$2:$B$110,A94,MEB_Takibi!$C$2:$C$110,B94,MEB_Takibi!$K$2:$K$110,"Tamamlandı")&gt;0,"Evet","Hayır")</x:f>
        <x:v>Hayır</x:v>
      </x:c>
      <x:c r="F94" t="n">
        <x:f>SUMIFS(MEB_Takibi!$F$2:$F$110,MEB_Takibi!$B$2:$B$110,A94,MEB_Takibi!$C$2:$C$110,B94)</x:f>
        <x:v>0</x:v>
      </x:c>
      <x:c r="G94" t="n">
        <x:f>SUMIFS(MEB_Takibi!$G$2:$G$110,MEB_Takibi!$B$2:$B$110,A94,MEB_Takibi!$C$2:$C$110,B94)</x:f>
        <x:v>0</x:v>
      </x:c>
      <x:c r="H94" t="n">
        <x:f>SUMIFS(MEB_Takibi!$H$2:$H$110,MEB_Takibi!$B$2:$B$110,A94,MEB_Takibi!$C$2:$C$110,B94)</x:f>
        <x:v>0</x:v>
      </x:c>
      <x:c r="I94" s="22" t="str">
        <x:f>IF(SUM(F94:H94)=0,"",F94/SUM(F94:H94))</x:f>
      </x:c>
      <x:c r="J94" t="n">
        <x:f>COUNTIFS(Yanlis_Defteri!$B$2:$B$401,A94,Yanlis_Defteri!$C$2:$C$401,B94,Yanlis_Defteri!$O$2:$O$401,"Açık")</x:f>
        <x:v>0</x:v>
      </x:c>
      <x:c r="K94" t="str">
        <x:f>IF(OR(D94&lt;&gt;"Evet",E94&lt;&gt;"Evet"),"Eksik",IF(I94&lt;0.8,"Zayıf",IF(OR(I94&lt;0.9,J94&gt;0),"Pekiştirme","Güçlü")))</x:f>
        <x:v>Eksik</x:v>
      </x:c>
      <x:c r="L94" t="str">
        <x:f>IF(K94="Güçlü","Normal ilerle",IF(K94="Pekiştirme","10-20 hedefli soru + açık hataların +1/+7/+21 tekrarları",IF(K94="Zayıf","İlgili videoya dönüş + 20-30 hedefli soru + MEB yeniden doğrulama","Önce kitap konu bölümünü ve MEB doğrulamasını tamamla")))</x:f>
        <x:v>Önce kitap konu bölümünü ve MEB doğrulamasını tamamla</x:v>
      </x:c>
      <x:c r="M94" t="str"/>
    </x:row>
    <x:row r="95">
      <x:c r="A95" t="str">
        <x:v>Din</x:v>
      </x:c>
      <x:c r="B95" t="str">
        <x:v>Din ve Hayat</x:v>
      </x:c>
      <x:c r="C95" s="12" t="n">
        <x:v>46365</x:v>
      </x:c>
      <x:c r="D95" t="str">
        <x:v>Hayır</x:v>
      </x:c>
      <x:c r="E95" t="str">
        <x:f>IF(COUNTIFS(MEB_Takibi!$B$2:$B$110,A95,MEB_Takibi!$C$2:$C$110,B95,MEB_Takibi!$K$2:$K$110,"Tamamlandı")&gt;0,"Evet","Hayır")</x:f>
        <x:v>Hayır</x:v>
      </x:c>
      <x:c r="F95" t="n">
        <x:f>SUMIFS(MEB_Takibi!$F$2:$F$110,MEB_Takibi!$B$2:$B$110,A95,MEB_Takibi!$C$2:$C$110,B95)</x:f>
        <x:v>0</x:v>
      </x:c>
      <x:c r="G95" t="n">
        <x:f>SUMIFS(MEB_Takibi!$G$2:$G$110,MEB_Takibi!$B$2:$B$110,A95,MEB_Takibi!$C$2:$C$110,B95)</x:f>
        <x:v>0</x:v>
      </x:c>
      <x:c r="H95" t="n">
        <x:f>SUMIFS(MEB_Takibi!$H$2:$H$110,MEB_Takibi!$B$2:$B$110,A95,MEB_Takibi!$C$2:$C$110,B95)</x:f>
        <x:v>0</x:v>
      </x:c>
      <x:c r="I95" s="22" t="str">
        <x:f>IF(SUM(F95:H95)=0,"",F95/SUM(F95:H95))</x:f>
      </x:c>
      <x:c r="J95" t="n">
        <x:f>COUNTIFS(Yanlis_Defteri!$B$2:$B$401,A95,Yanlis_Defteri!$C$2:$C$401,B95,Yanlis_Defteri!$O$2:$O$401,"Açık")</x:f>
        <x:v>0</x:v>
      </x:c>
      <x:c r="K95" t="str">
        <x:f>IF(OR(D95&lt;&gt;"Evet",E95&lt;&gt;"Evet"),"Eksik",IF(I95&lt;0.8,"Zayıf",IF(OR(I95&lt;0.9,J95&gt;0),"Pekiştirme","Güçlü")))</x:f>
        <x:v>Eksik</x:v>
      </x:c>
      <x:c r="L95" t="str">
        <x:f>IF(K95="Güçlü","Normal ilerle",IF(K95="Pekiştirme","10-20 hedefli soru + açık hataların +1/+7/+21 tekrarları",IF(K95="Zayıf","İlgili videoya dönüş + 20-30 hedefli soru + MEB yeniden doğrulama","Önce kitap konu bölümünü ve MEB doğrulamasını tamamla")))</x:f>
        <x:v>Önce kitap konu bölümünü ve MEB doğrulamasını tamamla</x:v>
      </x:c>
      <x:c r="M95" t="str"/>
    </x:row>
    <x:row r="96">
      <x:c r="A96" t="str">
        <x:v>Din</x:v>
      </x:c>
      <x:c r="B96" t="str">
        <x:v>Dinin Temel Gayesi / Hz. Yusuf / Asr Suresi</x:v>
      </x:c>
      <x:c r="C96" s="12" t="n">
        <x:v>46377</x:v>
      </x:c>
      <x:c r="D96" t="str">
        <x:v>Hayır</x:v>
      </x:c>
      <x:c r="E96" t="str">
        <x:f>IF(COUNTIFS(MEB_Takibi!$B$2:$B$110,A96,MEB_Takibi!$C$2:$C$110,B96,MEB_Takibi!$K$2:$K$110,"Tamamlandı")&gt;0,"Evet","Hayır")</x:f>
        <x:v>Hayır</x:v>
      </x:c>
      <x:c r="F96" t="n">
        <x:f>SUMIFS(MEB_Takibi!$F$2:$F$110,MEB_Takibi!$B$2:$B$110,A96,MEB_Takibi!$C$2:$C$110,B96)</x:f>
        <x:v>0</x:v>
      </x:c>
      <x:c r="G96" t="n">
        <x:f>SUMIFS(MEB_Takibi!$G$2:$G$110,MEB_Takibi!$B$2:$B$110,A96,MEB_Takibi!$C$2:$C$110,B96)</x:f>
        <x:v>0</x:v>
      </x:c>
      <x:c r="H96" t="n">
        <x:f>SUMIFS(MEB_Takibi!$H$2:$H$110,MEB_Takibi!$B$2:$B$110,A96,MEB_Takibi!$C$2:$C$110,B96)</x:f>
        <x:v>0</x:v>
      </x:c>
      <x:c r="I96" s="22" t="str">
        <x:f>IF(SUM(F96:H96)=0,"",F96/SUM(F96:H96))</x:f>
      </x:c>
      <x:c r="J96" t="n">
        <x:f>COUNTIFS(Yanlis_Defteri!$B$2:$B$401,A96,Yanlis_Defteri!$C$2:$C$401,B96,Yanlis_Defteri!$O$2:$O$401,"Açık")</x:f>
        <x:v>0</x:v>
      </x:c>
      <x:c r="K96" t="str">
        <x:f>IF(OR(D96&lt;&gt;"Evet",E96&lt;&gt;"Evet"),"Eksik",IF(I96&lt;0.8,"Zayıf",IF(OR(I96&lt;0.9,J96&gt;0),"Pekiştirme","Güçlü")))</x:f>
        <x:v>Eksik</x:v>
      </x:c>
      <x:c r="L96" t="str">
        <x:f>IF(K96="Güçlü","Normal ilerle",IF(K96="Pekiştirme","10-20 hedefli soru + açık hataların +1/+7/+21 tekrarları",IF(K96="Zayıf","İlgili videoya dönüş + 20-30 hedefli soru + MEB yeniden doğrulama","Önce kitap konu bölümünü ve MEB doğrulamasını tamamla")))</x:f>
        <x:v>Önce kitap konu bölümünü ve MEB doğrulamasını tamamla</x:v>
      </x:c>
      <x:c r="M96" t="str"/>
    </x:row>
    <x:row r="97">
      <x:c r="A97" t="str">
        <x:v>Din</x:v>
      </x:c>
      <x:c r="B97" t="str">
        <x:v>Hz. Muhammed’in Örnekliği</x:v>
      </x:c>
      <x:c r="C97" s="12" t="n">
        <x:v>46389</x:v>
      </x:c>
      <x:c r="D97" t="str">
        <x:v>Hayır</x:v>
      </x:c>
      <x:c r="E97" t="str">
        <x:f>IF(COUNTIFS(MEB_Takibi!$B$2:$B$110,A97,MEB_Takibi!$C$2:$C$110,B97,MEB_Takibi!$K$2:$K$110,"Tamamlandı")&gt;0,"Evet","Hayır")</x:f>
        <x:v>Hayır</x:v>
      </x:c>
      <x:c r="F97" t="n">
        <x:f>SUMIFS(MEB_Takibi!$F$2:$F$110,MEB_Takibi!$B$2:$B$110,A97,MEB_Takibi!$C$2:$C$110,B97)</x:f>
        <x:v>0</x:v>
      </x:c>
      <x:c r="G97" t="n">
        <x:f>SUMIFS(MEB_Takibi!$G$2:$G$110,MEB_Takibi!$B$2:$B$110,A97,MEB_Takibi!$C$2:$C$110,B97)</x:f>
        <x:v>0</x:v>
      </x:c>
      <x:c r="H97" t="n">
        <x:f>SUMIFS(MEB_Takibi!$H$2:$H$110,MEB_Takibi!$B$2:$B$110,A97,MEB_Takibi!$C$2:$C$110,B97)</x:f>
        <x:v>0</x:v>
      </x:c>
      <x:c r="I97" s="22" t="str">
        <x:f>IF(SUM(F97:H97)=0,"",F97/SUM(F97:H97))</x:f>
      </x:c>
      <x:c r="J97" t="n">
        <x:f>COUNTIFS(Yanlis_Defteri!$B$2:$B$401,A97,Yanlis_Defteri!$C$2:$C$401,B97,Yanlis_Defteri!$O$2:$O$401,"Açık")</x:f>
        <x:v>0</x:v>
      </x:c>
      <x:c r="K97" t="str">
        <x:f>IF(OR(D97&lt;&gt;"Evet",E97&lt;&gt;"Evet"),"Eksik",IF(I97&lt;0.8,"Zayıf",IF(OR(I97&lt;0.9,J97&gt;0),"Pekiştirme","Güçlü")))</x:f>
        <x:v>Eksik</x:v>
      </x:c>
      <x:c r="L97" t="str">
        <x:f>IF(K97="Güçlü","Normal ilerle",IF(K97="Pekiştirme","10-20 hedefli soru + açık hataların +1/+7/+21 tekrarları",IF(K97="Zayıf","İlgili videoya dönüş + 20-30 hedefli soru + MEB yeniden doğrulama","Önce kitap konu bölümünü ve MEB doğrulamasını tamamla")))</x:f>
        <x:v>Önce kitap konu bölümünü ve MEB doğrulamasını tamamla</x:v>
      </x:c>
      <x:c r="M97" t="str"/>
    </x:row>
    <x:row r="98">
      <x:c r="A98" t="str">
        <x:v>Din</x:v>
      </x:c>
      <x:c r="B98" t="str">
        <x:v>Kureyş Suresi</x:v>
      </x:c>
      <x:c r="C98" s="12" t="n">
        <x:v>46401</x:v>
      </x:c>
      <x:c r="D98" t="str">
        <x:v>Hayır</x:v>
      </x:c>
      <x:c r="E98" t="str">
        <x:f>IF(COUNTIFS(MEB_Takibi!$B$2:$B$110,A98,MEB_Takibi!$C$2:$C$110,B98,MEB_Takibi!$K$2:$K$110,"Tamamlandı")&gt;0,"Evet","Hayır")</x:f>
        <x:v>Hayır</x:v>
      </x:c>
      <x:c r="F98" t="n">
        <x:f>SUMIFS(MEB_Takibi!$F$2:$F$110,MEB_Takibi!$B$2:$B$110,A98,MEB_Takibi!$C$2:$C$110,B98)</x:f>
        <x:v>0</x:v>
      </x:c>
      <x:c r="G98" t="n">
        <x:f>SUMIFS(MEB_Takibi!$G$2:$G$110,MEB_Takibi!$B$2:$B$110,A98,MEB_Takibi!$C$2:$C$110,B98)</x:f>
        <x:v>0</x:v>
      </x:c>
      <x:c r="H98" t="n">
        <x:f>SUMIFS(MEB_Takibi!$H$2:$H$110,MEB_Takibi!$B$2:$B$110,A98,MEB_Takibi!$C$2:$C$110,B98)</x:f>
        <x:v>0</x:v>
      </x:c>
      <x:c r="I98" s="22" t="str">
        <x:f>IF(SUM(F98:H98)=0,"",F98/SUM(F98:H98))</x:f>
      </x:c>
      <x:c r="J98" t="n">
        <x:f>COUNTIFS(Yanlis_Defteri!$B$2:$B$401,A98,Yanlis_Defteri!$C$2:$C$401,B98,Yanlis_Defteri!$O$2:$O$401,"Açık")</x:f>
        <x:v>0</x:v>
      </x:c>
      <x:c r="K98" t="str">
        <x:f>IF(OR(D98&lt;&gt;"Evet",E98&lt;&gt;"Evet"),"Eksik",IF(I98&lt;0.8,"Zayıf",IF(OR(I98&lt;0.9,J98&gt;0),"Pekiştirme","Güçlü")))</x:f>
        <x:v>Eksik</x:v>
      </x:c>
      <x:c r="L98" t="str">
        <x:f>IF(K98="Güçlü","Normal ilerle",IF(K98="Pekiştirme","10-20 hedefli soru + açık hataların +1/+7/+21 tekrarları",IF(K98="Zayıf","İlgili videoya dönüş + 20-30 hedefli soru + MEB yeniden doğrulama","Önce kitap konu bölümünü ve MEB doğrulamasını tamamla")))</x:f>
        <x:v>Önce kitap konu bölümünü ve MEB doğrulamasını tamamla</x:v>
      </x:c>
      <x:c r="M98" t="str"/>
    </x:row>
    <x:row r="99">
      <x:c r="A99" t="str">
        <x:v>Din</x:v>
      </x:c>
      <x:c r="B99" t="str">
        <x:v>Kur’an-ı Kerim ve Özellikleri</x:v>
      </x:c>
      <x:c r="C99" s="12" t="n">
        <x:v>46413</x:v>
      </x:c>
      <x:c r="D99" t="str">
        <x:v>Hayır</x:v>
      </x:c>
      <x:c r="E99" t="str">
        <x:f>IF(COUNTIFS(MEB_Takibi!$B$2:$B$110,A99,MEB_Takibi!$C$2:$C$110,B99,MEB_Takibi!$K$2:$K$110,"Tamamlandı")&gt;0,"Evet","Hayır")</x:f>
        <x:v>Hayır</x:v>
      </x:c>
      <x:c r="F99" t="n">
        <x:f>SUMIFS(MEB_Takibi!$F$2:$F$110,MEB_Takibi!$B$2:$B$110,A99,MEB_Takibi!$C$2:$C$110,B99)</x:f>
        <x:v>0</x:v>
      </x:c>
      <x:c r="G99" t="n">
        <x:f>SUMIFS(MEB_Takibi!$G$2:$G$110,MEB_Takibi!$B$2:$B$110,A99,MEB_Takibi!$C$2:$C$110,B99)</x:f>
        <x:v>0</x:v>
      </x:c>
      <x:c r="H99" t="n">
        <x:f>SUMIFS(MEB_Takibi!$H$2:$H$110,MEB_Takibi!$B$2:$B$110,A99,MEB_Takibi!$C$2:$C$110,B99)</x:f>
        <x:v>0</x:v>
      </x:c>
      <x:c r="I99" s="22" t="str">
        <x:f>IF(SUM(F99:H99)=0,"",F99/SUM(F99:H99))</x:f>
      </x:c>
      <x:c r="J99" t="n">
        <x:f>COUNTIFS(Yanlis_Defteri!$B$2:$B$401,A99,Yanlis_Defteri!$C$2:$C$401,B99,Yanlis_Defteri!$O$2:$O$401,"Açık")</x:f>
        <x:v>0</x:v>
      </x:c>
      <x:c r="K99" t="str">
        <x:f>IF(OR(D99&lt;&gt;"Evet",E99&lt;&gt;"Evet"),"Eksik",IF(I99&lt;0.8,"Zayıf",IF(OR(I99&lt;0.9,J99&gt;0),"Pekiştirme","Güçlü")))</x:f>
        <x:v>Eksik</x:v>
      </x:c>
      <x:c r="L99" t="str">
        <x:f>IF(K99="Güçlü","Normal ilerle",IF(K99="Pekiştirme","10-20 hedefli soru + açık hataların +1/+7/+21 tekrarları",IF(K99="Zayıf","İlgili videoya dönüş + 20-30 hedefli soru + MEB yeniden doğrulama","Önce kitap konu bölümünü ve MEB doğrulamasını tamamla")))</x:f>
        <x:v>Önce kitap konu bölümünü ve MEB doğrulamasını tamamla</x:v>
      </x:c>
      <x:c r="M99" t="str"/>
    </x:row>
    <x:row r="100">
      <x:c r="A100" t="str">
        <x:v>Din</x:v>
      </x:c>
      <x:c r="B100" t="str">
        <x:v>İslam Dininin Temel Kaynakları ve Ana Konular</x:v>
      </x:c>
      <x:c r="C100" s="12" t="n">
        <x:v>46425</x:v>
      </x:c>
      <x:c r="D100" t="str">
        <x:v>Hayır</x:v>
      </x:c>
      <x:c r="E100" t="str">
        <x:f>IF(COUNTIFS(MEB_Takibi!$B$2:$B$110,A100,MEB_Takibi!$C$2:$C$110,B100,MEB_Takibi!$K$2:$K$110,"Tamamlandı")&gt;0,"Evet","Hayır")</x:f>
        <x:v>Hayır</x:v>
      </x:c>
      <x:c r="F100" t="n">
        <x:f>SUMIFS(MEB_Takibi!$F$2:$F$110,MEB_Takibi!$B$2:$B$110,A100,MEB_Takibi!$C$2:$C$110,B100)</x:f>
        <x:v>0</x:v>
      </x:c>
      <x:c r="G100" t="n">
        <x:f>SUMIFS(MEB_Takibi!$G$2:$G$110,MEB_Takibi!$B$2:$B$110,A100,MEB_Takibi!$C$2:$C$110,B100)</x:f>
        <x:v>0</x:v>
      </x:c>
      <x:c r="H100" t="n">
        <x:f>SUMIFS(MEB_Takibi!$H$2:$H$110,MEB_Takibi!$B$2:$B$110,A100,MEB_Takibi!$C$2:$C$110,B100)</x:f>
        <x:v>0</x:v>
      </x:c>
      <x:c r="I100" s="22" t="str">
        <x:f>IF(SUM(F100:H100)=0,"",F100/SUM(F100:H100))</x:f>
      </x:c>
      <x:c r="J100" t="n">
        <x:f>COUNTIFS(Yanlis_Defteri!$B$2:$B$401,A100,Yanlis_Defteri!$C$2:$C$401,B100,Yanlis_Defteri!$O$2:$O$401,"Açık")</x:f>
        <x:v>0</x:v>
      </x:c>
      <x:c r="K100" t="str">
        <x:f>IF(OR(D100&lt;&gt;"Evet",E100&lt;&gt;"Evet"),"Eksik",IF(I100&lt;0.8,"Zayıf",IF(OR(I100&lt;0.9,J100&gt;0),"Pekiştirme","Güçlü")))</x:f>
        <x:v>Eksik</x:v>
      </x:c>
      <x:c r="L100" t="str">
        <x:f>IF(K100="Güçlü","Normal ilerle",IF(K100="Pekiştirme","10-20 hedefli soru + açık hataların +1/+7/+21 tekrarları",IF(K100="Zayıf","İlgili videoya dönüş + 20-30 hedefli soru + MEB yeniden doğrulama","Önce kitap konu bölümünü ve MEB doğrulamasını tamamla")))</x:f>
        <x:v>Önce kitap konu bölümünü ve MEB doğrulamasını tamamla</x:v>
      </x:c>
      <x:c r="M100" t="str"/>
    </x:row>
    <x:row r="101">
      <x:c r="A101" t="str">
        <x:v>İngilizce</x:v>
      </x:c>
      <x:c r="B101" t="str">
        <x:v>Unit 1 - Friendship</x:v>
      </x:c>
      <x:c r="C101" s="12" t="n">
        <x:v>46311</x:v>
      </x:c>
      <x:c r="D101" t="str">
        <x:v>Hayır</x:v>
      </x:c>
      <x:c r="E101" t="str">
        <x:f>IF(COUNTIFS(MEB_Takibi!$B$2:$B$110,A101,MEB_Takibi!$C$2:$C$110,B101,MEB_Takibi!$K$2:$K$110,"Tamamlandı")&gt;0,"Evet","Hayır")</x:f>
        <x:v>Hayır</x:v>
      </x:c>
      <x:c r="F101" t="n">
        <x:f>SUMIFS(MEB_Takibi!$F$2:$F$110,MEB_Takibi!$B$2:$B$110,A101,MEB_Takibi!$C$2:$C$110,B101)</x:f>
        <x:v>0</x:v>
      </x:c>
      <x:c r="G101" t="n">
        <x:f>SUMIFS(MEB_Takibi!$G$2:$G$110,MEB_Takibi!$B$2:$B$110,A101,MEB_Takibi!$C$2:$C$110,B101)</x:f>
        <x:v>0</x:v>
      </x:c>
      <x:c r="H101" t="n">
        <x:f>SUMIFS(MEB_Takibi!$H$2:$H$110,MEB_Takibi!$B$2:$B$110,A101,MEB_Takibi!$C$2:$C$110,B101)</x:f>
        <x:v>0</x:v>
      </x:c>
      <x:c r="I101" s="22" t="str">
        <x:f>IF(SUM(F101:H101)=0,"",F101/SUM(F101:H101))</x:f>
      </x:c>
      <x:c r="J101" t="n">
        <x:f>COUNTIFS(Yanlis_Defteri!$B$2:$B$401,A101,Yanlis_Defteri!$C$2:$C$401,B101,Yanlis_Defteri!$O$2:$O$401,"Açık")</x:f>
        <x:v>0</x:v>
      </x:c>
      <x:c r="K101" t="str">
        <x:f>IF(OR(D101&lt;&gt;"Evet",E101&lt;&gt;"Evet"),"Eksik",IF(I101&lt;0.8,"Zayıf",IF(OR(I101&lt;0.9,J101&gt;0),"Pekiştirme","Güçlü")))</x:f>
        <x:v>Eksik</x:v>
      </x:c>
      <x:c r="L101" t="str">
        <x:f>IF(K101="Güçlü","Normal ilerle",IF(K101="Pekiştirme","10-20 hedefli soru + açık hataların +1/+7/+21 tekrarları",IF(K101="Zayıf","İlgili videoya dönüş + 20-30 hedefli soru + MEB yeniden doğrulama","Önce kitap konu bölümünü ve MEB doğrulamasını tamamla")))</x:f>
        <x:v>Önce kitap konu bölümünü ve MEB doğrulamasını tamamla</x:v>
      </x:c>
      <x:c r="M101" t="str"/>
    </x:row>
    <x:row r="102">
      <x:c r="A102" t="str">
        <x:v>İngilizce</x:v>
      </x:c>
      <x:c r="B102" t="str">
        <x:v>Unit 2 - Teen Life</x:v>
      </x:c>
      <x:c r="C102" s="12" t="n">
        <x:v>46327</x:v>
      </x:c>
      <x:c r="D102" t="str">
        <x:v>Hayır</x:v>
      </x:c>
      <x:c r="E102" t="str">
        <x:f>IF(COUNTIFS(MEB_Takibi!$B$2:$B$110,A102,MEB_Takibi!$C$2:$C$110,B102,MEB_Takibi!$K$2:$K$110,"Tamamlandı")&gt;0,"Evet","Hayır")</x:f>
        <x:v>Hayır</x:v>
      </x:c>
      <x:c r="F102" t="n">
        <x:f>SUMIFS(MEB_Takibi!$F$2:$F$110,MEB_Takibi!$B$2:$B$110,A102,MEB_Takibi!$C$2:$C$110,B102)</x:f>
        <x:v>0</x:v>
      </x:c>
      <x:c r="G102" t="n">
        <x:f>SUMIFS(MEB_Takibi!$G$2:$G$110,MEB_Takibi!$B$2:$B$110,A102,MEB_Takibi!$C$2:$C$110,B102)</x:f>
        <x:v>0</x:v>
      </x:c>
      <x:c r="H102" t="n">
        <x:f>SUMIFS(MEB_Takibi!$H$2:$H$110,MEB_Takibi!$B$2:$B$110,A102,MEB_Takibi!$C$2:$C$110,B102)</x:f>
        <x:v>0</x:v>
      </x:c>
      <x:c r="I102" s="22" t="str">
        <x:f>IF(SUM(F102:H102)=0,"",F102/SUM(F102:H102))</x:f>
      </x:c>
      <x:c r="J102" t="n">
        <x:f>COUNTIFS(Yanlis_Defteri!$B$2:$B$401,A102,Yanlis_Defteri!$C$2:$C$401,B102,Yanlis_Defteri!$O$2:$O$401,"Açık")</x:f>
        <x:v>0</x:v>
      </x:c>
      <x:c r="K102" t="str">
        <x:f>IF(OR(D102&lt;&gt;"Evet",E102&lt;&gt;"Evet"),"Eksik",IF(I102&lt;0.8,"Zayıf",IF(OR(I102&lt;0.9,J102&gt;0),"Pekiştirme","Güçlü")))</x:f>
        <x:v>Eksik</x:v>
      </x:c>
      <x:c r="L102" t="str">
        <x:f>IF(K102="Güçlü","Normal ilerle",IF(K102="Pekiştirme","10-20 hedefli soru + açık hataların +1/+7/+21 tekrarları",IF(K102="Zayıf","İlgili videoya dönüş + 20-30 hedefli soru + MEB yeniden doğrulama","Önce kitap konu bölümünü ve MEB doğrulamasını tamamla")))</x:f>
        <x:v>Önce kitap konu bölümünü ve MEB doğrulamasını tamamla</x:v>
      </x:c>
      <x:c r="M102" t="str"/>
    </x:row>
    <x:row r="103">
      <x:c r="A103" t="str">
        <x:v>İngilizce</x:v>
      </x:c>
      <x:c r="B103" t="str">
        <x:v>Unit 3 - In The Kitchen</x:v>
      </x:c>
      <x:c r="C103" s="12" t="n">
        <x:v>46343</x:v>
      </x:c>
      <x:c r="D103" t="str">
        <x:v>Hayır</x:v>
      </x:c>
      <x:c r="E103" t="str">
        <x:f>IF(COUNTIFS(MEB_Takibi!$B$2:$B$110,A103,MEB_Takibi!$C$2:$C$110,B103,MEB_Takibi!$K$2:$K$110,"Tamamlandı")&gt;0,"Evet","Hayır")</x:f>
        <x:v>Hayır</x:v>
      </x:c>
      <x:c r="F103" t="n">
        <x:f>SUMIFS(MEB_Takibi!$F$2:$F$110,MEB_Takibi!$B$2:$B$110,A103,MEB_Takibi!$C$2:$C$110,B103)</x:f>
        <x:v>0</x:v>
      </x:c>
      <x:c r="G103" t="n">
        <x:f>SUMIFS(MEB_Takibi!$G$2:$G$110,MEB_Takibi!$B$2:$B$110,A103,MEB_Takibi!$C$2:$C$110,B103)</x:f>
        <x:v>0</x:v>
      </x:c>
      <x:c r="H103" t="n">
        <x:f>SUMIFS(MEB_Takibi!$H$2:$H$110,MEB_Takibi!$B$2:$B$110,A103,MEB_Takibi!$C$2:$C$110,B103)</x:f>
        <x:v>0</x:v>
      </x:c>
      <x:c r="I103" s="22" t="str">
        <x:f>IF(SUM(F103:H103)=0,"",F103/SUM(F103:H103))</x:f>
      </x:c>
      <x:c r="J103" t="n">
        <x:f>COUNTIFS(Yanlis_Defteri!$B$2:$B$401,A103,Yanlis_Defteri!$C$2:$C$401,B103,Yanlis_Defteri!$O$2:$O$401,"Açık")</x:f>
        <x:v>0</x:v>
      </x:c>
      <x:c r="K103" t="str">
        <x:f>IF(OR(D103&lt;&gt;"Evet",E103&lt;&gt;"Evet"),"Eksik",IF(I103&lt;0.8,"Zayıf",IF(OR(I103&lt;0.9,J103&gt;0),"Pekiştirme","Güçlü")))</x:f>
        <x:v>Eksik</x:v>
      </x:c>
      <x:c r="L103" t="str">
        <x:f>IF(K103="Güçlü","Normal ilerle",IF(K103="Pekiştirme","10-20 hedefli soru + açık hataların +1/+7/+21 tekrarları",IF(K103="Zayıf","İlgili videoya dönüş + 20-30 hedefli soru + MEB yeniden doğrulama","Önce kitap konu bölümünü ve MEB doğrulamasını tamamla")))</x:f>
        <x:v>Önce kitap konu bölümünü ve MEB doğrulamasını tamamla</x:v>
      </x:c>
      <x:c r="M103" t="str"/>
    </x:row>
    <x:row r="104">
      <x:c r="A104" t="str">
        <x:v>İngilizce</x:v>
      </x:c>
      <x:c r="B104" t="str">
        <x:v>Unit 4 - On The Phone</x:v>
      </x:c>
      <x:c r="C104" s="12" t="n">
        <x:v>46359</x:v>
      </x:c>
      <x:c r="D104" t="str">
        <x:v>Hayır</x:v>
      </x:c>
      <x:c r="E104" t="str">
        <x:f>IF(COUNTIFS(MEB_Takibi!$B$2:$B$110,A104,MEB_Takibi!$C$2:$C$110,B104,MEB_Takibi!$K$2:$K$110,"Tamamlandı")&gt;0,"Evet","Hayır")</x:f>
        <x:v>Hayır</x:v>
      </x:c>
      <x:c r="F104" t="n">
        <x:f>SUMIFS(MEB_Takibi!$F$2:$F$110,MEB_Takibi!$B$2:$B$110,A104,MEB_Takibi!$C$2:$C$110,B104)</x:f>
        <x:v>0</x:v>
      </x:c>
      <x:c r="G104" t="n">
        <x:f>SUMIFS(MEB_Takibi!$G$2:$G$110,MEB_Takibi!$B$2:$B$110,A104,MEB_Takibi!$C$2:$C$110,B104)</x:f>
        <x:v>0</x:v>
      </x:c>
      <x:c r="H104" t="n">
        <x:f>SUMIFS(MEB_Takibi!$H$2:$H$110,MEB_Takibi!$B$2:$B$110,A104,MEB_Takibi!$C$2:$C$110,B104)</x:f>
        <x:v>0</x:v>
      </x:c>
      <x:c r="I104" s="22" t="str">
        <x:f>IF(SUM(F104:H104)=0,"",F104/SUM(F104:H104))</x:f>
      </x:c>
      <x:c r="J104" t="n">
        <x:f>COUNTIFS(Yanlis_Defteri!$B$2:$B$401,A104,Yanlis_Defteri!$C$2:$C$401,B104,Yanlis_Defteri!$O$2:$O$401,"Açık")</x:f>
        <x:v>0</x:v>
      </x:c>
      <x:c r="K104" t="str">
        <x:f>IF(OR(D104&lt;&gt;"Evet",E104&lt;&gt;"Evet"),"Eksik",IF(I104&lt;0.8,"Zayıf",IF(OR(I104&lt;0.9,J104&gt;0),"Pekiştirme","Güçlü")))</x:f>
        <x:v>Eksik</x:v>
      </x:c>
      <x:c r="L104" t="str">
        <x:f>IF(K104="Güçlü","Normal ilerle",IF(K104="Pekiştirme","10-20 hedefli soru + açık hataların +1/+7/+21 tekrarları",IF(K104="Zayıf","İlgili videoya dönüş + 20-30 hedefli soru + MEB yeniden doğrulama","Önce kitap konu bölümünü ve MEB doğrulamasını tamamla")))</x:f>
        <x:v>Önce kitap konu bölümünü ve MEB doğrulamasını tamamla</x:v>
      </x:c>
      <x:c r="M104" t="str"/>
    </x:row>
    <x:row r="105">
      <x:c r="A105" t="str">
        <x:v>İngilizce</x:v>
      </x:c>
      <x:c r="B105" t="str">
        <x:v>Unit 5 - The Internet</x:v>
      </x:c>
      <x:c r="C105" s="12" t="n">
        <x:v>46375</x:v>
      </x:c>
      <x:c r="D105" t="str">
        <x:v>Hayır</x:v>
      </x:c>
      <x:c r="E105" t="str">
        <x:f>IF(COUNTIFS(MEB_Takibi!$B$2:$B$110,A105,MEB_Takibi!$C$2:$C$110,B105,MEB_Takibi!$K$2:$K$110,"Tamamlandı")&gt;0,"Evet","Hayır")</x:f>
        <x:v>Hayır</x:v>
      </x:c>
      <x:c r="F105" t="n">
        <x:f>SUMIFS(MEB_Takibi!$F$2:$F$110,MEB_Takibi!$B$2:$B$110,A105,MEB_Takibi!$C$2:$C$110,B105)</x:f>
        <x:v>0</x:v>
      </x:c>
      <x:c r="G105" t="n">
        <x:f>SUMIFS(MEB_Takibi!$G$2:$G$110,MEB_Takibi!$B$2:$B$110,A105,MEB_Takibi!$C$2:$C$110,B105)</x:f>
        <x:v>0</x:v>
      </x:c>
      <x:c r="H105" t="n">
        <x:f>SUMIFS(MEB_Takibi!$H$2:$H$110,MEB_Takibi!$B$2:$B$110,A105,MEB_Takibi!$C$2:$C$110,B105)</x:f>
        <x:v>0</x:v>
      </x:c>
      <x:c r="I105" s="22" t="str">
        <x:f>IF(SUM(F105:H105)=0,"",F105/SUM(F105:H105))</x:f>
      </x:c>
      <x:c r="J105" t="n">
        <x:f>COUNTIFS(Yanlis_Defteri!$B$2:$B$401,A105,Yanlis_Defteri!$C$2:$C$401,B105,Yanlis_Defteri!$O$2:$O$401,"Açık")</x:f>
        <x:v>0</x:v>
      </x:c>
      <x:c r="K105" t="str">
        <x:f>IF(OR(D105&lt;&gt;"Evet",E105&lt;&gt;"Evet"),"Eksik",IF(I105&lt;0.8,"Zayıf",IF(OR(I105&lt;0.9,J105&gt;0),"Pekiştirme","Güçlü")))</x:f>
        <x:v>Eksik</x:v>
      </x:c>
      <x:c r="L105" t="str">
        <x:f>IF(K105="Güçlü","Normal ilerle",IF(K105="Pekiştirme","10-20 hedefli soru + açık hataların +1/+7/+21 tekrarları",IF(K105="Zayıf","İlgili videoya dönüş + 20-30 hedefli soru + MEB yeniden doğrulama","Önce kitap konu bölümünü ve MEB doğrulamasını tamamla")))</x:f>
        <x:v>Önce kitap konu bölümünü ve MEB doğrulamasını tamamla</x:v>
      </x:c>
      <x:c r="M105" t="str"/>
    </x:row>
    <x:row r="106">
      <x:c r="A106" t="str">
        <x:v>İngilizce</x:v>
      </x:c>
      <x:c r="B106" t="str">
        <x:v>Unit 6 - Adventures</x:v>
      </x:c>
      <x:c r="C106" s="12" t="n">
        <x:v>46391</x:v>
      </x:c>
      <x:c r="D106" t="str">
        <x:v>Hayır</x:v>
      </x:c>
      <x:c r="E106" t="str">
        <x:f>IF(COUNTIFS(MEB_Takibi!$B$2:$B$110,A106,MEB_Takibi!$C$2:$C$110,B106,MEB_Takibi!$K$2:$K$110,"Tamamlandı")&gt;0,"Evet","Hayır")</x:f>
        <x:v>Hayır</x:v>
      </x:c>
      <x:c r="F106" t="n">
        <x:f>SUMIFS(MEB_Takibi!$F$2:$F$110,MEB_Takibi!$B$2:$B$110,A106,MEB_Takibi!$C$2:$C$110,B106)</x:f>
        <x:v>0</x:v>
      </x:c>
      <x:c r="G106" t="n">
        <x:f>SUMIFS(MEB_Takibi!$G$2:$G$110,MEB_Takibi!$B$2:$B$110,A106,MEB_Takibi!$C$2:$C$110,B106)</x:f>
        <x:v>0</x:v>
      </x:c>
      <x:c r="H106" t="n">
        <x:f>SUMIFS(MEB_Takibi!$H$2:$H$110,MEB_Takibi!$B$2:$B$110,A106,MEB_Takibi!$C$2:$C$110,B106)</x:f>
        <x:v>0</x:v>
      </x:c>
      <x:c r="I106" s="22" t="str">
        <x:f>IF(SUM(F106:H106)=0,"",F106/SUM(F106:H106))</x:f>
      </x:c>
      <x:c r="J106" t="n">
        <x:f>COUNTIFS(Yanlis_Defteri!$B$2:$B$401,A106,Yanlis_Defteri!$C$2:$C$401,B106,Yanlis_Defteri!$O$2:$O$401,"Açık")</x:f>
        <x:v>0</x:v>
      </x:c>
      <x:c r="K106" t="str">
        <x:f>IF(OR(D106&lt;&gt;"Evet",E106&lt;&gt;"Evet"),"Eksik",IF(I106&lt;0.8,"Zayıf",IF(OR(I106&lt;0.9,J106&gt;0),"Pekiştirme","Güçlü")))</x:f>
        <x:v>Eksik</x:v>
      </x:c>
      <x:c r="L106" t="str">
        <x:f>IF(K106="Güçlü","Normal ilerle",IF(K106="Pekiştirme","10-20 hedefli soru + açık hataların +1/+7/+21 tekrarları",IF(K106="Zayıf","İlgili videoya dönüş + 20-30 hedefli soru + MEB yeniden doğrulama","Önce kitap konu bölümünü ve MEB doğrulamasını tamamla")))</x:f>
        <x:v>Önce kitap konu bölümünü ve MEB doğrulamasını tamamla</x:v>
      </x:c>
      <x:c r="M106" t="str"/>
    </x:row>
    <x:row r="107">
      <x:c r="A107" t="str">
        <x:v>İngilizce</x:v>
      </x:c>
      <x:c r="B107" t="str">
        <x:v>Unit 7 - Tourism</x:v>
      </x:c>
      <x:c r="C107" s="12" t="n">
        <x:v>46407</x:v>
      </x:c>
      <x:c r="D107" t="str">
        <x:v>Hayır</x:v>
      </x:c>
      <x:c r="E107" t="str">
        <x:f>IF(COUNTIFS(MEB_Takibi!$B$2:$B$110,A107,MEB_Takibi!$C$2:$C$110,B107,MEB_Takibi!$K$2:$K$110,"Tamamlandı")&gt;0,"Evet","Hayır")</x:f>
        <x:v>Hayır</x:v>
      </x:c>
      <x:c r="F107" t="n">
        <x:f>SUMIFS(MEB_Takibi!$F$2:$F$110,MEB_Takibi!$B$2:$B$110,A107,MEB_Takibi!$C$2:$C$110,B107)</x:f>
        <x:v>0</x:v>
      </x:c>
      <x:c r="G107" t="n">
        <x:f>SUMIFS(MEB_Takibi!$G$2:$G$110,MEB_Takibi!$B$2:$B$110,A107,MEB_Takibi!$C$2:$C$110,B107)</x:f>
        <x:v>0</x:v>
      </x:c>
      <x:c r="H107" t="n">
        <x:f>SUMIFS(MEB_Takibi!$H$2:$H$110,MEB_Takibi!$B$2:$B$110,A107,MEB_Takibi!$C$2:$C$110,B107)</x:f>
        <x:v>0</x:v>
      </x:c>
      <x:c r="I107" s="22" t="str">
        <x:f>IF(SUM(F107:H107)=0,"",F107/SUM(F107:H107))</x:f>
      </x:c>
      <x:c r="J107" t="n">
        <x:f>COUNTIFS(Yanlis_Defteri!$B$2:$B$401,A107,Yanlis_Defteri!$C$2:$C$401,B107,Yanlis_Defteri!$O$2:$O$401,"Açık")</x:f>
        <x:v>0</x:v>
      </x:c>
      <x:c r="K107" t="str">
        <x:f>IF(OR(D107&lt;&gt;"Evet",E107&lt;&gt;"Evet"),"Eksik",IF(I107&lt;0.8,"Zayıf",IF(OR(I107&lt;0.9,J107&gt;0),"Pekiştirme","Güçlü")))</x:f>
        <x:v>Eksik</x:v>
      </x:c>
      <x:c r="L107" t="str">
        <x:f>IF(K107="Güçlü","Normal ilerle",IF(K107="Pekiştirme","10-20 hedefli soru + açık hataların +1/+7/+21 tekrarları",IF(K107="Zayıf","İlgili videoya dönüş + 20-30 hedefli soru + MEB yeniden doğrulama","Önce kitap konu bölümünü ve MEB doğrulamasını tamamla")))</x:f>
        <x:v>Önce kitap konu bölümünü ve MEB doğrulamasını tamamla</x:v>
      </x:c>
      <x:c r="M107" t="str"/>
    </x:row>
    <x:row r="108">
      <x:c r="A108" t="str">
        <x:v>İngilizce</x:v>
      </x:c>
      <x:c r="B108" t="str">
        <x:v>Unit 8 - Chores</x:v>
      </x:c>
      <x:c r="C108" s="12" t="n">
        <x:v>46423</x:v>
      </x:c>
      <x:c r="D108" t="str">
        <x:v>Hayır</x:v>
      </x:c>
      <x:c r="E108" t="str">
        <x:f>IF(COUNTIFS(MEB_Takibi!$B$2:$B$110,A108,MEB_Takibi!$C$2:$C$110,B108,MEB_Takibi!$K$2:$K$110,"Tamamlandı")&gt;0,"Evet","Hayır")</x:f>
        <x:v>Hayır</x:v>
      </x:c>
      <x:c r="F108" t="n">
        <x:f>SUMIFS(MEB_Takibi!$F$2:$F$110,MEB_Takibi!$B$2:$B$110,A108,MEB_Takibi!$C$2:$C$110,B108)</x:f>
        <x:v>0</x:v>
      </x:c>
      <x:c r="G108" t="n">
        <x:f>SUMIFS(MEB_Takibi!$G$2:$G$110,MEB_Takibi!$B$2:$B$110,A108,MEB_Takibi!$C$2:$C$110,B108)</x:f>
        <x:v>0</x:v>
      </x:c>
      <x:c r="H108" t="n">
        <x:f>SUMIFS(MEB_Takibi!$H$2:$H$110,MEB_Takibi!$B$2:$B$110,A108,MEB_Takibi!$C$2:$C$110,B108)</x:f>
        <x:v>0</x:v>
      </x:c>
      <x:c r="I108" s="22" t="str">
        <x:f>IF(SUM(F108:H108)=0,"",F108/SUM(F108:H108))</x:f>
      </x:c>
      <x:c r="J108" t="n">
        <x:f>COUNTIFS(Yanlis_Defteri!$B$2:$B$401,A108,Yanlis_Defteri!$C$2:$C$401,B108,Yanlis_Defteri!$O$2:$O$401,"Açık")</x:f>
        <x:v>0</x:v>
      </x:c>
      <x:c r="K108" t="str">
        <x:f>IF(OR(D108&lt;&gt;"Evet",E108&lt;&gt;"Evet"),"Eksik",IF(I108&lt;0.8,"Zayıf",IF(OR(I108&lt;0.9,J108&gt;0),"Pekiştirme","Güçlü")))</x:f>
        <x:v>Eksik</x:v>
      </x:c>
      <x:c r="L108" t="str">
        <x:f>IF(K108="Güçlü","Normal ilerle",IF(K108="Pekiştirme","10-20 hedefli soru + açık hataların +1/+7/+21 tekrarları",IF(K108="Zayıf","İlgili videoya dönüş + 20-30 hedefli soru + MEB yeniden doğrulama","Önce kitap konu bölümünü ve MEB doğrulamasını tamamla")))</x:f>
        <x:v>Önce kitap konu bölümünü ve MEB doğrulamasını tamamla</x:v>
      </x:c>
      <x:c r="M108" t="str"/>
    </x:row>
    <x:row r="109">
      <x:c r="A109" t="str">
        <x:v>İngilizce</x:v>
      </x:c>
      <x:c r="B109" t="str">
        <x:v>Unit 9 - Science</x:v>
      </x:c>
      <x:c r="C109" s="12" t="n">
        <x:v>46439</x:v>
      </x:c>
      <x:c r="D109" t="str">
        <x:v>Hayır</x:v>
      </x:c>
      <x:c r="E109" t="str">
        <x:f>IF(COUNTIFS(MEB_Takibi!$B$2:$B$110,A109,MEB_Takibi!$C$2:$C$110,B109,MEB_Takibi!$K$2:$K$110,"Tamamlandı")&gt;0,"Evet","Hayır")</x:f>
        <x:v>Hayır</x:v>
      </x:c>
      <x:c r="F109" t="n">
        <x:f>SUMIFS(MEB_Takibi!$F$2:$F$110,MEB_Takibi!$B$2:$B$110,A109,MEB_Takibi!$C$2:$C$110,B109)</x:f>
        <x:v>0</x:v>
      </x:c>
      <x:c r="G109" t="n">
        <x:f>SUMIFS(MEB_Takibi!$G$2:$G$110,MEB_Takibi!$B$2:$B$110,A109,MEB_Takibi!$C$2:$C$110,B109)</x:f>
        <x:v>0</x:v>
      </x:c>
      <x:c r="H109" t="n">
        <x:f>SUMIFS(MEB_Takibi!$H$2:$H$110,MEB_Takibi!$B$2:$B$110,A109,MEB_Takibi!$C$2:$C$110,B109)</x:f>
        <x:v>0</x:v>
      </x:c>
      <x:c r="I109" s="22" t="str">
        <x:f>IF(SUM(F109:H109)=0,"",F109/SUM(F109:H109))</x:f>
      </x:c>
      <x:c r="J109" t="n">
        <x:f>COUNTIFS(Yanlis_Defteri!$B$2:$B$401,A109,Yanlis_Defteri!$C$2:$C$401,B109,Yanlis_Defteri!$O$2:$O$401,"Açık")</x:f>
        <x:v>0</x:v>
      </x:c>
      <x:c r="K109" t="str">
        <x:f>IF(OR(D109&lt;&gt;"Evet",E109&lt;&gt;"Evet"),"Eksik",IF(I109&lt;0.8,"Zayıf",IF(OR(I109&lt;0.9,J109&gt;0),"Pekiştirme","Güçlü")))</x:f>
        <x:v>Eksik</x:v>
      </x:c>
      <x:c r="L109" t="str">
        <x:f>IF(K109="Güçlü","Normal ilerle",IF(K109="Pekiştirme","10-20 hedefli soru + açık hataların +1/+7/+21 tekrarları",IF(K109="Zayıf","İlgili videoya dönüş + 20-30 hedefli soru + MEB yeniden doğrulama","Önce kitap konu bölümünü ve MEB doğrulamasını tamamla")))</x:f>
        <x:v>Önce kitap konu bölümünü ve MEB doğrulamasını tamamla</x:v>
      </x:c>
      <x:c r="M109" t="str"/>
    </x:row>
    <x:row r="110">
      <x:c r="A110" t="str">
        <x:v>İngilizce</x:v>
      </x:c>
      <x:c r="B110" t="str">
        <x:v>Unit 10 - Natural Forces</x:v>
      </x:c>
      <x:c r="C110" s="12" t="n">
        <x:v>46455</x:v>
      </x:c>
      <x:c r="D110" t="str">
        <x:v>Hayır</x:v>
      </x:c>
      <x:c r="E110" t="str">
        <x:f>IF(COUNTIFS(MEB_Takibi!$B$2:$B$110,A110,MEB_Takibi!$C$2:$C$110,B110,MEB_Takibi!$K$2:$K$110,"Tamamlandı")&gt;0,"Evet","Hayır")</x:f>
        <x:v>Hayır</x:v>
      </x:c>
      <x:c r="F110" t="n">
        <x:f>SUMIFS(MEB_Takibi!$F$2:$F$110,MEB_Takibi!$B$2:$B$110,A110,MEB_Takibi!$C$2:$C$110,B110)</x:f>
        <x:v>0</x:v>
      </x:c>
      <x:c r="G110" t="n">
        <x:f>SUMIFS(MEB_Takibi!$G$2:$G$110,MEB_Takibi!$B$2:$B$110,A110,MEB_Takibi!$C$2:$C$110,B110)</x:f>
        <x:v>0</x:v>
      </x:c>
      <x:c r="H110" t="n">
        <x:f>SUMIFS(MEB_Takibi!$H$2:$H$110,MEB_Takibi!$B$2:$B$110,A110,MEB_Takibi!$C$2:$C$110,B110)</x:f>
        <x:v>0</x:v>
      </x:c>
      <x:c r="I110" s="22" t="str">
        <x:f>IF(SUM(F110:H110)=0,"",F110/SUM(F110:H110))</x:f>
      </x:c>
      <x:c r="J110" t="n">
        <x:f>COUNTIFS(Yanlis_Defteri!$B$2:$B$401,A110,Yanlis_Defteri!$C$2:$C$401,B110,Yanlis_Defteri!$O$2:$O$401,"Açık")</x:f>
        <x:v>0</x:v>
      </x:c>
      <x:c r="K110" t="str">
        <x:f>IF(OR(D110&lt;&gt;"Evet",E110&lt;&gt;"Evet"),"Eksik",IF(I110&lt;0.8,"Zayıf",IF(OR(I110&lt;0.9,J110&gt;0),"Pekiştirme","Güçlü")))</x:f>
        <x:v>Eksik</x:v>
      </x:c>
      <x:c r="L110" t="str">
        <x:f>IF(K110="Güçlü","Normal ilerle",IF(K110="Pekiştirme","10-20 hedefli soru + açık hataların +1/+7/+21 tekrarları",IF(K110="Zayıf","İlgili videoya dönüş + 20-30 hedefli soru + MEB yeniden doğrulama","Önce kitap konu bölümünü ve MEB doğrulamasını tamamla")))</x:f>
        <x:v>Önce kitap konu bölümünü ve MEB doğrulamasını tamamla</x:v>
      </x:c>
      <x:c r="M110" t="str"/>
    </x:row>
  </x:sheetData>
  <x:conditionalFormatting sqref="K2:K110">
    <x:cfRule type="expression" dxfId="4" priority="1">
      <x:formula>K2="Güçlü"</x:formula>
    </x:cfRule>
    <x:cfRule type="expression" dxfId="5" priority="2">
      <x:formula>K2="Pekiştirme"</x:formula>
    </x:cfRule>
    <x:cfRule type="expression" dxfId="6" priority="3">
      <x:formula>K2="Zayıf"</x:formula>
    </x:cfRule>
  </x:conditionalFormatting>
  <x:dataValidations count="1">
    <x:dataValidation type="list" sqref="D2:E110">
      <x:formula1>"Hayır,Evet"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a266dd6e48457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20" hidden="0" customWidth="1"/>
    <x:col min="5" max="5" width="20" hidden="0" customWidth="1"/>
    <x:col min="6" max="6" width="14" hidden="0" customWidth="1"/>
    <x:col min="7" max="7" width="16" hidden="0" customWidth="1"/>
    <x:col min="8" max="8" width="17" hidden="0" customWidth="1"/>
    <x:col min="9" max="9" width="14" hidden="0" customWidth="1"/>
    <x:col min="10" max="10" width="22" hidden="0" customWidth="1"/>
    <x:col min="11" max="11" width="14" hidden="0" customWidth="1"/>
    <x:col min="12" max="12" width="58" hidden="0" customWidth="1"/>
  </x:cols>
  <x:sheetData>
    <x:row r="1">
      <x:c r="A1" s="6" t="str">
        <x:v>Hafta</x:v>
      </x:c>
      <x:c r="B1" s="6" t="str">
        <x:v>Başlangıç</x:v>
      </x:c>
      <x:c r="C1" s="6" t="str">
        <x:v>Bitiş</x:v>
      </x:c>
      <x:c r="D1" s="6" t="str">
        <x:v>Planlanan Zorunlu</x:v>
      </x:c>
      <x:c r="E1" s="6" t="str">
        <x:v>Tamamlanan Zorunlu</x:v>
      </x:c>
      <x:c r="F1" s="6" t="str">
        <x:v>Tamamlanma</x:v>
      </x:c>
      <x:c r="G1" s="6" t="str">
        <x:v>Tamamlanan Deneme</x:v>
      </x:c>
      <x:c r="H1" s="6" t="str">
        <x:v>Ort. Deneme Net</x:v>
      </x:c>
      <x:c r="I1" s="6" t="str">
        <x:v>Açık Hata</x:v>
      </x:c>
      <x:c r="J1" s="6" t="str">
        <x:v>Zayıf/Pekiştirme Konu</x:v>
      </x:c>
      <x:c r="K1" s="6" t="str">
        <x:v>Kaynak Riski</x:v>
      </x:c>
      <x:c r="L1" s="6" t="str">
        <x:v>Koçluk Kararı</x:v>
      </x:c>
    </x:row>
    <x:row r="2">
      <x:c r="A2" t="n">
        <x:v>1</x:v>
      </x:c>
      <x:c r="B2" s="12" t="n">
        <x:v>46296</x:v>
      </x:c>
      <x:c r="C2" s="12" t="n">
        <x:v>46302</x:v>
      </x:c>
      <x:c r="D2" t="n">
        <x:f>COUNTIFS(Gunluk_Gorevler!$B$2:$B$2948,"&gt;="&amp;B2,Gunluk_Gorevler!$B$2:$B$2948,"&lt;="&amp;C2,Gunluk_Gorevler!$Q$2:$Q$2948,"Evet")</x:f>
        <x:v>59</x:v>
      </x:c>
      <x:c r="E2" t="n">
        <x:f>COUNTIFS(Gunluk_Gorevler!$B$2:$B$2948,"&gt;="&amp;B2,Gunluk_Gorevler!$B$2:$B$2948,"&lt;="&amp;C2,Gunluk_Gorevler!$Q$2:$Q$2948,"Evet",Gunluk_Gorevler!$R$2:$R$2948,"Tamamlandı")</x:f>
        <x:v>0</x:v>
      </x:c>
      <x:c r="F2" s="22" t="n">
        <x:f>IF(D2=0,"",E2/D2)</x:f>
        <x:v>0</x:v>
      </x:c>
      <x:c r="G2" t="n">
        <x:f>COUNTIFS(Deneme_Takibi!$B$2:$B$61,"&gt;="&amp;B2,Deneme_Takibi!$B$2:$B$61,"&lt;="&amp;C2,Deneme_Takibi!$AM$2:$AM$61,"Tamamlandı")</x:f>
        <x:v>0</x:v>
      </x:c>
      <x:c r="H2" t="str">
        <x:f>IFERROR(SUMIFS(Deneme_Takibi!$AE$2:$AE$61,Deneme_Takibi!$B$2:$B$61,"&gt;="&amp;B2,Deneme_Takibi!$B$2:$B$61,"&lt;="&amp;C2,Deneme_Takibi!$AM$2:$AM$61,"Tamamlandı")/COUNTIFS(Deneme_Takibi!$B$2:$B$61,"&gt;="&amp;B2,Deneme_Takibi!$B$2:$B$61,"&lt;="&amp;C2,Deneme_Takibi!$AM$2:$AM$61,"Tamamlandı"),"")</x:f>
      </x:c>
      <x:c r="I2" t="n">
        <x:f>COUNTIF(Yanlis_Defteri!$O$2:$O$401,"Açık")</x:f>
        <x:v>0</x:v>
      </x:c>
      <x:c r="J2" t="n">
        <x:f>COUNTIF(Konu_Ustaligi!$K$2:$K$110,"Zayıf")+COUNTIF(Konu_Ustaligi!$K$2:$K$110,"Pekiştirme")</x:f>
        <x:v>0</x:v>
      </x:c>
      <x:c r="K2" t="n">
        <x:f>COUNTIF(Kaynak_Ilerleme!$L$2:$L$11,"Gecikmiş")</x:f>
        <x:v>0</x:v>
      </x:c>
      <x:c r="L2" t="str"/>
    </x:row>
    <x:row r="3">
      <x:c r="A3" t="n">
        <x:v>2</x:v>
      </x:c>
      <x:c r="B3" s="12" t="n">
        <x:v>46303</x:v>
      </x:c>
      <x:c r="C3" s="12" t="n">
        <x:v>46309</x:v>
      </x:c>
      <x:c r="D3" t="n">
        <x:f>COUNTIFS(Gunluk_Gorevler!$B$2:$B$2948,"&gt;="&amp;B3,Gunluk_Gorevler!$B$2:$B$2948,"&lt;="&amp;C3,Gunluk_Gorevler!$Q$2:$Q$2948,"Evet")</x:f>
        <x:v>59</x:v>
      </x:c>
      <x:c r="E3" t="n">
        <x:f>COUNTIFS(Gunluk_Gorevler!$B$2:$B$2948,"&gt;="&amp;B3,Gunluk_Gorevler!$B$2:$B$2948,"&lt;="&amp;C3,Gunluk_Gorevler!$Q$2:$Q$2948,"Evet",Gunluk_Gorevler!$R$2:$R$2948,"Tamamlandı")</x:f>
        <x:v>0</x:v>
      </x:c>
      <x:c r="F3" s="22" t="n">
        <x:f>IF(D3=0,"",E3/D3)</x:f>
        <x:v>0</x:v>
      </x:c>
      <x:c r="G3" t="n">
        <x:f>COUNTIFS(Deneme_Takibi!$B$2:$B$61,"&gt;="&amp;B3,Deneme_Takibi!$B$2:$B$61,"&lt;="&amp;C3,Deneme_Takibi!$AM$2:$AM$61,"Tamamlandı")</x:f>
        <x:v>0</x:v>
      </x:c>
      <x:c r="H3" t="str">
        <x:f>IFERROR(SUMIFS(Deneme_Takibi!$AE$2:$AE$61,Deneme_Takibi!$B$2:$B$61,"&gt;="&amp;B3,Deneme_Takibi!$B$2:$B$61,"&lt;="&amp;C3,Deneme_Takibi!$AM$2:$AM$61,"Tamamlandı")/COUNTIFS(Deneme_Takibi!$B$2:$B$61,"&gt;="&amp;B3,Deneme_Takibi!$B$2:$B$61,"&lt;="&amp;C3,Deneme_Takibi!$AM$2:$AM$61,"Tamamlandı"),"")</x:f>
      </x:c>
      <x:c r="I3" t="n">
        <x:f>COUNTIF(Yanlis_Defteri!$O$2:$O$401,"Açık")</x:f>
        <x:v>0</x:v>
      </x:c>
      <x:c r="J3" t="n">
        <x:f>COUNTIF(Konu_Ustaligi!$K$2:$K$110,"Zayıf")+COUNTIF(Konu_Ustaligi!$K$2:$K$110,"Pekiştirme")</x:f>
        <x:v>0</x:v>
      </x:c>
      <x:c r="K3" t="n">
        <x:f>COUNTIF(Kaynak_Ilerleme!$L$2:$L$11,"Gecikmiş")</x:f>
        <x:v>0</x:v>
      </x:c>
      <x:c r="L3" t="str"/>
    </x:row>
    <x:row r="4">
      <x:c r="A4" t="n">
        <x:v>3</x:v>
      </x:c>
      <x:c r="B4" s="12" t="n">
        <x:v>46310</x:v>
      </x:c>
      <x:c r="C4" s="12" t="n">
        <x:v>46316</x:v>
      </x:c>
      <x:c r="D4" t="n">
        <x:f>COUNTIFS(Gunluk_Gorevler!$B$2:$B$2948,"&gt;="&amp;B4,Gunluk_Gorevler!$B$2:$B$2948,"&lt;="&amp;C4,Gunluk_Gorevler!$Q$2:$Q$2948,"Evet")</x:f>
        <x:v>59</x:v>
      </x:c>
      <x:c r="E4" t="n">
        <x:f>COUNTIFS(Gunluk_Gorevler!$B$2:$B$2948,"&gt;="&amp;B4,Gunluk_Gorevler!$B$2:$B$2948,"&lt;="&amp;C4,Gunluk_Gorevler!$Q$2:$Q$2948,"Evet",Gunluk_Gorevler!$R$2:$R$2948,"Tamamlandı")</x:f>
        <x:v>0</x:v>
      </x:c>
      <x:c r="F4" s="22" t="n">
        <x:f>IF(D4=0,"",E4/D4)</x:f>
        <x:v>0</x:v>
      </x:c>
      <x:c r="G4" t="n">
        <x:f>COUNTIFS(Deneme_Takibi!$B$2:$B$61,"&gt;="&amp;B4,Deneme_Takibi!$B$2:$B$61,"&lt;="&amp;C4,Deneme_Takibi!$AM$2:$AM$61,"Tamamlandı")</x:f>
        <x:v>0</x:v>
      </x:c>
      <x:c r="H4" t="str">
        <x:f>IFERROR(SUMIFS(Deneme_Takibi!$AE$2:$AE$61,Deneme_Takibi!$B$2:$B$61,"&gt;="&amp;B4,Deneme_Takibi!$B$2:$B$61,"&lt;="&amp;C4,Deneme_Takibi!$AM$2:$AM$61,"Tamamlandı")/COUNTIFS(Deneme_Takibi!$B$2:$B$61,"&gt;="&amp;B4,Deneme_Takibi!$B$2:$B$61,"&lt;="&amp;C4,Deneme_Takibi!$AM$2:$AM$61,"Tamamlandı"),"")</x:f>
      </x:c>
      <x:c r="I4" t="n">
        <x:f>COUNTIF(Yanlis_Defteri!$O$2:$O$401,"Açık")</x:f>
        <x:v>0</x:v>
      </x:c>
      <x:c r="J4" t="n">
        <x:f>COUNTIF(Konu_Ustaligi!$K$2:$K$110,"Zayıf")+COUNTIF(Konu_Ustaligi!$K$2:$K$110,"Pekiştirme")</x:f>
        <x:v>0</x:v>
      </x:c>
      <x:c r="K4" t="n">
        <x:f>COUNTIF(Kaynak_Ilerleme!$L$2:$L$11,"Gecikmiş")</x:f>
        <x:v>0</x:v>
      </x:c>
      <x:c r="L4" t="str"/>
    </x:row>
    <x:row r="5">
      <x:c r="A5" t="n">
        <x:v>4</x:v>
      </x:c>
      <x:c r="B5" s="12" t="n">
        <x:v>46317</x:v>
      </x:c>
      <x:c r="C5" s="12" t="n">
        <x:v>46323</x:v>
      </x:c>
      <x:c r="D5" t="n">
        <x:f>COUNTIFS(Gunluk_Gorevler!$B$2:$B$2948,"&gt;="&amp;B5,Gunluk_Gorevler!$B$2:$B$2948,"&lt;="&amp;C5,Gunluk_Gorevler!$Q$2:$Q$2948,"Evet")</x:f>
        <x:v>59</x:v>
      </x:c>
      <x:c r="E5" t="n">
        <x:f>COUNTIFS(Gunluk_Gorevler!$B$2:$B$2948,"&gt;="&amp;B5,Gunluk_Gorevler!$B$2:$B$2948,"&lt;="&amp;C5,Gunluk_Gorevler!$Q$2:$Q$2948,"Evet",Gunluk_Gorevler!$R$2:$R$2948,"Tamamlandı")</x:f>
        <x:v>0</x:v>
      </x:c>
      <x:c r="F5" s="22" t="n">
        <x:f>IF(D5=0,"",E5/D5)</x:f>
        <x:v>0</x:v>
      </x:c>
      <x:c r="G5" t="n">
        <x:f>COUNTIFS(Deneme_Takibi!$B$2:$B$61,"&gt;="&amp;B5,Deneme_Takibi!$B$2:$B$61,"&lt;="&amp;C5,Deneme_Takibi!$AM$2:$AM$61,"Tamamlandı")</x:f>
        <x:v>0</x:v>
      </x:c>
      <x:c r="H5" t="str">
        <x:f>IFERROR(SUMIFS(Deneme_Takibi!$AE$2:$AE$61,Deneme_Takibi!$B$2:$B$61,"&gt;="&amp;B5,Deneme_Takibi!$B$2:$B$61,"&lt;="&amp;C5,Deneme_Takibi!$AM$2:$AM$61,"Tamamlandı")/COUNTIFS(Deneme_Takibi!$B$2:$B$61,"&gt;="&amp;B5,Deneme_Takibi!$B$2:$B$61,"&lt;="&amp;C5,Deneme_Takibi!$AM$2:$AM$61,"Tamamlandı"),"")</x:f>
      </x:c>
      <x:c r="I5" t="n">
        <x:f>COUNTIF(Yanlis_Defteri!$O$2:$O$401,"Açık")</x:f>
        <x:v>0</x:v>
      </x:c>
      <x:c r="J5" t="n">
        <x:f>COUNTIF(Konu_Ustaligi!$K$2:$K$110,"Zayıf")+COUNTIF(Konu_Ustaligi!$K$2:$K$110,"Pekiştirme")</x:f>
        <x:v>0</x:v>
      </x:c>
      <x:c r="K5" t="n">
        <x:f>COUNTIF(Kaynak_Ilerleme!$L$2:$L$11,"Gecikmiş")</x:f>
        <x:v>0</x:v>
      </x:c>
      <x:c r="L5" t="str"/>
    </x:row>
    <x:row r="6">
      <x:c r="A6" t="n">
        <x:v>5</x:v>
      </x:c>
      <x:c r="B6" s="12" t="n">
        <x:v>46324</x:v>
      </x:c>
      <x:c r="C6" s="12" t="n">
        <x:v>46330</x:v>
      </x:c>
      <x:c r="D6" t="n">
        <x:f>COUNTIFS(Gunluk_Gorevler!$B$2:$B$2948,"&gt;="&amp;B6,Gunluk_Gorevler!$B$2:$B$2948,"&lt;="&amp;C6,Gunluk_Gorevler!$Q$2:$Q$2948,"Evet")</x:f>
        <x:v>59</x:v>
      </x:c>
      <x:c r="E6" t="n">
        <x:f>COUNTIFS(Gunluk_Gorevler!$B$2:$B$2948,"&gt;="&amp;B6,Gunluk_Gorevler!$B$2:$B$2948,"&lt;="&amp;C6,Gunluk_Gorevler!$Q$2:$Q$2948,"Evet",Gunluk_Gorevler!$R$2:$R$2948,"Tamamlandı")</x:f>
        <x:v>0</x:v>
      </x:c>
      <x:c r="F6" s="22" t="n">
        <x:f>IF(D6=0,"",E6/D6)</x:f>
        <x:v>0</x:v>
      </x:c>
      <x:c r="G6" t="n">
        <x:f>COUNTIFS(Deneme_Takibi!$B$2:$B$61,"&gt;="&amp;B6,Deneme_Takibi!$B$2:$B$61,"&lt;="&amp;C6,Deneme_Takibi!$AM$2:$AM$61,"Tamamlandı")</x:f>
        <x:v>0</x:v>
      </x:c>
      <x:c r="H6" t="str">
        <x:f>IFERROR(SUMIFS(Deneme_Takibi!$AE$2:$AE$61,Deneme_Takibi!$B$2:$B$61,"&gt;="&amp;B6,Deneme_Takibi!$B$2:$B$61,"&lt;="&amp;C6,Deneme_Takibi!$AM$2:$AM$61,"Tamamlandı")/COUNTIFS(Deneme_Takibi!$B$2:$B$61,"&gt;="&amp;B6,Deneme_Takibi!$B$2:$B$61,"&lt;="&amp;C6,Deneme_Takibi!$AM$2:$AM$61,"Tamamlandı"),"")</x:f>
      </x:c>
      <x:c r="I6" t="n">
        <x:f>COUNTIF(Yanlis_Defteri!$O$2:$O$401,"Açık")</x:f>
        <x:v>0</x:v>
      </x:c>
      <x:c r="J6" t="n">
        <x:f>COUNTIF(Konu_Ustaligi!$K$2:$K$110,"Zayıf")+COUNTIF(Konu_Ustaligi!$K$2:$K$110,"Pekiştirme")</x:f>
        <x:v>0</x:v>
      </x:c>
      <x:c r="K6" t="n">
        <x:f>COUNTIF(Kaynak_Ilerleme!$L$2:$L$11,"Gecikmiş")</x:f>
        <x:v>0</x:v>
      </x:c>
      <x:c r="L6" t="str"/>
    </x:row>
    <x:row r="7">
      <x:c r="A7" t="n">
        <x:v>6</x:v>
      </x:c>
      <x:c r="B7" s="12" t="n">
        <x:v>46331</x:v>
      </x:c>
      <x:c r="C7" s="12" t="n">
        <x:v>46337</x:v>
      </x:c>
      <x:c r="D7" t="n">
        <x:f>COUNTIFS(Gunluk_Gorevler!$B$2:$B$2948,"&gt;="&amp;B7,Gunluk_Gorevler!$B$2:$B$2948,"&lt;="&amp;C7,Gunluk_Gorevler!$Q$2:$Q$2948,"Evet")</x:f>
        <x:v>59</x:v>
      </x:c>
      <x:c r="E7" t="n">
        <x:f>COUNTIFS(Gunluk_Gorevler!$B$2:$B$2948,"&gt;="&amp;B7,Gunluk_Gorevler!$B$2:$B$2948,"&lt;="&amp;C7,Gunluk_Gorevler!$Q$2:$Q$2948,"Evet",Gunluk_Gorevler!$R$2:$R$2948,"Tamamlandı")</x:f>
        <x:v>0</x:v>
      </x:c>
      <x:c r="F7" s="22" t="n">
        <x:f>IF(D7=0,"",E7/D7)</x:f>
        <x:v>0</x:v>
      </x:c>
      <x:c r="G7" t="n">
        <x:f>COUNTIFS(Deneme_Takibi!$B$2:$B$61,"&gt;="&amp;B7,Deneme_Takibi!$B$2:$B$61,"&lt;="&amp;C7,Deneme_Takibi!$AM$2:$AM$61,"Tamamlandı")</x:f>
        <x:v>0</x:v>
      </x:c>
      <x:c r="H7" t="str">
        <x:f>IFERROR(SUMIFS(Deneme_Takibi!$AE$2:$AE$61,Deneme_Takibi!$B$2:$B$61,"&gt;="&amp;B7,Deneme_Takibi!$B$2:$B$61,"&lt;="&amp;C7,Deneme_Takibi!$AM$2:$AM$61,"Tamamlandı")/COUNTIFS(Deneme_Takibi!$B$2:$B$61,"&gt;="&amp;B7,Deneme_Takibi!$B$2:$B$61,"&lt;="&amp;C7,Deneme_Takibi!$AM$2:$AM$61,"Tamamlandı"),"")</x:f>
      </x:c>
      <x:c r="I7" t="n">
        <x:f>COUNTIF(Yanlis_Defteri!$O$2:$O$401,"Açık")</x:f>
        <x:v>0</x:v>
      </x:c>
      <x:c r="J7" t="n">
        <x:f>COUNTIF(Konu_Ustaligi!$K$2:$K$110,"Zayıf")+COUNTIF(Konu_Ustaligi!$K$2:$K$110,"Pekiştirme")</x:f>
        <x:v>0</x:v>
      </x:c>
      <x:c r="K7" t="n">
        <x:f>COUNTIF(Kaynak_Ilerleme!$L$2:$L$11,"Gecikmiş")</x:f>
        <x:v>0</x:v>
      </x:c>
      <x:c r="L7" t="str"/>
    </x:row>
    <x:row r="8">
      <x:c r="A8" t="n">
        <x:v>7</x:v>
      </x:c>
      <x:c r="B8" s="12" t="n">
        <x:v>46338</x:v>
      </x:c>
      <x:c r="C8" s="12" t="n">
        <x:v>46344</x:v>
      </x:c>
      <x:c r="D8" t="n">
        <x:f>COUNTIFS(Gunluk_Gorevler!$B$2:$B$2948,"&gt;="&amp;B8,Gunluk_Gorevler!$B$2:$B$2948,"&lt;="&amp;C8,Gunluk_Gorevler!$Q$2:$Q$2948,"Evet")</x:f>
        <x:v>59</x:v>
      </x:c>
      <x:c r="E8" t="n">
        <x:f>COUNTIFS(Gunluk_Gorevler!$B$2:$B$2948,"&gt;="&amp;B8,Gunluk_Gorevler!$B$2:$B$2948,"&lt;="&amp;C8,Gunluk_Gorevler!$Q$2:$Q$2948,"Evet",Gunluk_Gorevler!$R$2:$R$2948,"Tamamlandı")</x:f>
        <x:v>0</x:v>
      </x:c>
      <x:c r="F8" s="22" t="n">
        <x:f>IF(D8=0,"",E8/D8)</x:f>
        <x:v>0</x:v>
      </x:c>
      <x:c r="G8" t="n">
        <x:f>COUNTIFS(Deneme_Takibi!$B$2:$B$61,"&gt;="&amp;B8,Deneme_Takibi!$B$2:$B$61,"&lt;="&amp;C8,Deneme_Takibi!$AM$2:$AM$61,"Tamamlandı")</x:f>
        <x:v>0</x:v>
      </x:c>
      <x:c r="H8" t="str">
        <x:f>IFERROR(SUMIFS(Deneme_Takibi!$AE$2:$AE$61,Deneme_Takibi!$B$2:$B$61,"&gt;="&amp;B8,Deneme_Takibi!$B$2:$B$61,"&lt;="&amp;C8,Deneme_Takibi!$AM$2:$AM$61,"Tamamlandı")/COUNTIFS(Deneme_Takibi!$B$2:$B$61,"&gt;="&amp;B8,Deneme_Takibi!$B$2:$B$61,"&lt;="&amp;C8,Deneme_Takibi!$AM$2:$AM$61,"Tamamlandı"),"")</x:f>
      </x:c>
      <x:c r="I8" t="n">
        <x:f>COUNTIF(Yanlis_Defteri!$O$2:$O$401,"Açık")</x:f>
        <x:v>0</x:v>
      </x:c>
      <x:c r="J8" t="n">
        <x:f>COUNTIF(Konu_Ustaligi!$K$2:$K$110,"Zayıf")+COUNTIF(Konu_Ustaligi!$K$2:$K$110,"Pekiştirme")</x:f>
        <x:v>0</x:v>
      </x:c>
      <x:c r="K8" t="n">
        <x:f>COUNTIF(Kaynak_Ilerleme!$L$2:$L$11,"Gecikmiş")</x:f>
        <x:v>0</x:v>
      </x:c>
      <x:c r="L8" t="str"/>
    </x:row>
    <x:row r="9">
      <x:c r="A9" t="n">
        <x:v>8</x:v>
      </x:c>
      <x:c r="B9" s="12" t="n">
        <x:v>46345</x:v>
      </x:c>
      <x:c r="C9" s="12" t="n">
        <x:v>46351</x:v>
      </x:c>
      <x:c r="D9" t="n">
        <x:f>COUNTIFS(Gunluk_Gorevler!$B$2:$B$2948,"&gt;="&amp;B9,Gunluk_Gorevler!$B$2:$B$2948,"&lt;="&amp;C9,Gunluk_Gorevler!$Q$2:$Q$2948,"Evet")</x:f>
        <x:v>59</x:v>
      </x:c>
      <x:c r="E9" t="n">
        <x:f>COUNTIFS(Gunluk_Gorevler!$B$2:$B$2948,"&gt;="&amp;B9,Gunluk_Gorevler!$B$2:$B$2948,"&lt;="&amp;C9,Gunluk_Gorevler!$Q$2:$Q$2948,"Evet",Gunluk_Gorevler!$R$2:$R$2948,"Tamamlandı")</x:f>
        <x:v>0</x:v>
      </x:c>
      <x:c r="F9" s="22" t="n">
        <x:f>IF(D9=0,"",E9/D9)</x:f>
        <x:v>0</x:v>
      </x:c>
      <x:c r="G9" t="n">
        <x:f>COUNTIFS(Deneme_Takibi!$B$2:$B$61,"&gt;="&amp;B9,Deneme_Takibi!$B$2:$B$61,"&lt;="&amp;C9,Deneme_Takibi!$AM$2:$AM$61,"Tamamlandı")</x:f>
        <x:v>0</x:v>
      </x:c>
      <x:c r="H9" t="str">
        <x:f>IFERROR(SUMIFS(Deneme_Takibi!$AE$2:$AE$61,Deneme_Takibi!$B$2:$B$61,"&gt;="&amp;B9,Deneme_Takibi!$B$2:$B$61,"&lt;="&amp;C9,Deneme_Takibi!$AM$2:$AM$61,"Tamamlandı")/COUNTIFS(Deneme_Takibi!$B$2:$B$61,"&gt;="&amp;B9,Deneme_Takibi!$B$2:$B$61,"&lt;="&amp;C9,Deneme_Takibi!$AM$2:$AM$61,"Tamamlandı"),"")</x:f>
      </x:c>
      <x:c r="I9" t="n">
        <x:f>COUNTIF(Yanlis_Defteri!$O$2:$O$401,"Açık")</x:f>
        <x:v>0</x:v>
      </x:c>
      <x:c r="J9" t="n">
        <x:f>COUNTIF(Konu_Ustaligi!$K$2:$K$110,"Zayıf")+COUNTIF(Konu_Ustaligi!$K$2:$K$110,"Pekiştirme")</x:f>
        <x:v>0</x:v>
      </x:c>
      <x:c r="K9" t="n">
        <x:f>COUNTIF(Kaynak_Ilerleme!$L$2:$L$11,"Gecikmiş")</x:f>
        <x:v>0</x:v>
      </x:c>
      <x:c r="L9" t="str"/>
    </x:row>
    <x:row r="10">
      <x:c r="A10" t="n">
        <x:v>9</x:v>
      </x:c>
      <x:c r="B10" s="12" t="n">
        <x:v>46352</x:v>
      </x:c>
      <x:c r="C10" s="12" t="n">
        <x:v>46358</x:v>
      </x:c>
      <x:c r="D10" t="n">
        <x:f>COUNTIFS(Gunluk_Gorevler!$B$2:$B$2948,"&gt;="&amp;B10,Gunluk_Gorevler!$B$2:$B$2948,"&lt;="&amp;C10,Gunluk_Gorevler!$Q$2:$Q$2948,"Evet")</x:f>
        <x:v>59</x:v>
      </x:c>
      <x:c r="E10" t="n">
        <x:f>COUNTIFS(Gunluk_Gorevler!$B$2:$B$2948,"&gt;="&amp;B10,Gunluk_Gorevler!$B$2:$B$2948,"&lt;="&amp;C10,Gunluk_Gorevler!$Q$2:$Q$2948,"Evet",Gunluk_Gorevler!$R$2:$R$2948,"Tamamlandı")</x:f>
        <x:v>0</x:v>
      </x:c>
      <x:c r="F10" s="22" t="n">
        <x:f>IF(D10=0,"",E10/D10)</x:f>
        <x:v>0</x:v>
      </x:c>
      <x:c r="G10" t="n">
        <x:f>COUNTIFS(Deneme_Takibi!$B$2:$B$61,"&gt;="&amp;B10,Deneme_Takibi!$B$2:$B$61,"&lt;="&amp;C10,Deneme_Takibi!$AM$2:$AM$61,"Tamamlandı")</x:f>
        <x:v>0</x:v>
      </x:c>
      <x:c r="H10" t="str">
        <x:f>IFERROR(SUMIFS(Deneme_Takibi!$AE$2:$AE$61,Deneme_Takibi!$B$2:$B$61,"&gt;="&amp;B10,Deneme_Takibi!$B$2:$B$61,"&lt;="&amp;C10,Deneme_Takibi!$AM$2:$AM$61,"Tamamlandı")/COUNTIFS(Deneme_Takibi!$B$2:$B$61,"&gt;="&amp;B10,Deneme_Takibi!$B$2:$B$61,"&lt;="&amp;C10,Deneme_Takibi!$AM$2:$AM$61,"Tamamlandı"),"")</x:f>
      </x:c>
      <x:c r="I10" t="n">
        <x:f>COUNTIF(Yanlis_Defteri!$O$2:$O$401,"Açık")</x:f>
        <x:v>0</x:v>
      </x:c>
      <x:c r="J10" t="n">
        <x:f>COUNTIF(Konu_Ustaligi!$K$2:$K$110,"Zayıf")+COUNTIF(Konu_Ustaligi!$K$2:$K$110,"Pekiştirme")</x:f>
        <x:v>0</x:v>
      </x:c>
      <x:c r="K10" t="n">
        <x:f>COUNTIF(Kaynak_Ilerleme!$L$2:$L$11,"Gecikmiş")</x:f>
        <x:v>0</x:v>
      </x:c>
      <x:c r="L10" t="str"/>
    </x:row>
    <x:row r="11">
      <x:c r="A11" t="n">
        <x:v>10</x:v>
      </x:c>
      <x:c r="B11" s="12" t="n">
        <x:v>46359</x:v>
      </x:c>
      <x:c r="C11" s="12" t="n">
        <x:v>46365</x:v>
      </x:c>
      <x:c r="D11" t="n">
        <x:f>COUNTIFS(Gunluk_Gorevler!$B$2:$B$2948,"&gt;="&amp;B11,Gunluk_Gorevler!$B$2:$B$2948,"&lt;="&amp;C11,Gunluk_Gorevler!$Q$2:$Q$2948,"Evet")</x:f>
        <x:v>59</x:v>
      </x:c>
      <x:c r="E11" t="n">
        <x:f>COUNTIFS(Gunluk_Gorevler!$B$2:$B$2948,"&gt;="&amp;B11,Gunluk_Gorevler!$B$2:$B$2948,"&lt;="&amp;C11,Gunluk_Gorevler!$Q$2:$Q$2948,"Evet",Gunluk_Gorevler!$R$2:$R$2948,"Tamamlandı")</x:f>
        <x:v>0</x:v>
      </x:c>
      <x:c r="F11" s="22" t="n">
        <x:f>IF(D11=0,"",E11/D11)</x:f>
        <x:v>0</x:v>
      </x:c>
      <x:c r="G11" t="n">
        <x:f>COUNTIFS(Deneme_Takibi!$B$2:$B$61,"&gt;="&amp;B11,Deneme_Takibi!$B$2:$B$61,"&lt;="&amp;C11,Deneme_Takibi!$AM$2:$AM$61,"Tamamlandı")</x:f>
        <x:v>0</x:v>
      </x:c>
      <x:c r="H11" t="str">
        <x:f>IFERROR(SUMIFS(Deneme_Takibi!$AE$2:$AE$61,Deneme_Takibi!$B$2:$B$61,"&gt;="&amp;B11,Deneme_Takibi!$B$2:$B$61,"&lt;="&amp;C11,Deneme_Takibi!$AM$2:$AM$61,"Tamamlandı")/COUNTIFS(Deneme_Takibi!$B$2:$B$61,"&gt;="&amp;B11,Deneme_Takibi!$B$2:$B$61,"&lt;="&amp;C11,Deneme_Takibi!$AM$2:$AM$61,"Tamamlandı"),"")</x:f>
      </x:c>
      <x:c r="I11" t="n">
        <x:f>COUNTIF(Yanlis_Defteri!$O$2:$O$401,"Açık")</x:f>
        <x:v>0</x:v>
      </x:c>
      <x:c r="J11" t="n">
        <x:f>COUNTIF(Konu_Ustaligi!$K$2:$K$110,"Zayıf")+COUNTIF(Konu_Ustaligi!$K$2:$K$110,"Pekiştirme")</x:f>
        <x:v>0</x:v>
      </x:c>
      <x:c r="K11" t="n">
        <x:f>COUNTIF(Kaynak_Ilerleme!$L$2:$L$11,"Gecikmiş")</x:f>
        <x:v>0</x:v>
      </x:c>
      <x:c r="L11" t="str"/>
    </x:row>
    <x:row r="12">
      <x:c r="A12" t="n">
        <x:v>11</x:v>
      </x:c>
      <x:c r="B12" s="12" t="n">
        <x:v>46366</x:v>
      </x:c>
      <x:c r="C12" s="12" t="n">
        <x:v>46372</x:v>
      </x:c>
      <x:c r="D12" t="n">
        <x:f>COUNTIFS(Gunluk_Gorevler!$B$2:$B$2948,"&gt;="&amp;B12,Gunluk_Gorevler!$B$2:$B$2948,"&lt;="&amp;C12,Gunluk_Gorevler!$Q$2:$Q$2948,"Evet")</x:f>
        <x:v>59</x:v>
      </x:c>
      <x:c r="E12" t="n">
        <x:f>COUNTIFS(Gunluk_Gorevler!$B$2:$B$2948,"&gt;="&amp;B12,Gunluk_Gorevler!$B$2:$B$2948,"&lt;="&amp;C12,Gunluk_Gorevler!$Q$2:$Q$2948,"Evet",Gunluk_Gorevler!$R$2:$R$2948,"Tamamlandı")</x:f>
        <x:v>0</x:v>
      </x:c>
      <x:c r="F12" s="22" t="n">
        <x:f>IF(D12=0,"",E12/D12)</x:f>
        <x:v>0</x:v>
      </x:c>
      <x:c r="G12" t="n">
        <x:f>COUNTIFS(Deneme_Takibi!$B$2:$B$61,"&gt;="&amp;B12,Deneme_Takibi!$B$2:$B$61,"&lt;="&amp;C12,Deneme_Takibi!$AM$2:$AM$61,"Tamamlandı")</x:f>
        <x:v>0</x:v>
      </x:c>
      <x:c r="H12" t="str">
        <x:f>IFERROR(SUMIFS(Deneme_Takibi!$AE$2:$AE$61,Deneme_Takibi!$B$2:$B$61,"&gt;="&amp;B12,Deneme_Takibi!$B$2:$B$61,"&lt;="&amp;C12,Deneme_Takibi!$AM$2:$AM$61,"Tamamlandı")/COUNTIFS(Deneme_Takibi!$B$2:$B$61,"&gt;="&amp;B12,Deneme_Takibi!$B$2:$B$61,"&lt;="&amp;C12,Deneme_Takibi!$AM$2:$AM$61,"Tamamlandı"),"")</x:f>
      </x:c>
      <x:c r="I12" t="n">
        <x:f>COUNTIF(Yanlis_Defteri!$O$2:$O$401,"Açık")</x:f>
        <x:v>0</x:v>
      </x:c>
      <x:c r="J12" t="n">
        <x:f>COUNTIF(Konu_Ustaligi!$K$2:$K$110,"Zayıf")+COUNTIF(Konu_Ustaligi!$K$2:$K$110,"Pekiştirme")</x:f>
        <x:v>0</x:v>
      </x:c>
      <x:c r="K12" t="n">
        <x:f>COUNTIF(Kaynak_Ilerleme!$L$2:$L$11,"Gecikmiş")</x:f>
        <x:v>0</x:v>
      </x:c>
      <x:c r="L12" t="str"/>
    </x:row>
    <x:row r="13">
      <x:c r="A13" t="n">
        <x:v>12</x:v>
      </x:c>
      <x:c r="B13" s="12" t="n">
        <x:v>46373</x:v>
      </x:c>
      <x:c r="C13" s="12" t="n">
        <x:v>46379</x:v>
      </x:c>
      <x:c r="D13" t="n">
        <x:f>COUNTIFS(Gunluk_Gorevler!$B$2:$B$2948,"&gt;="&amp;B13,Gunluk_Gorevler!$B$2:$B$2948,"&lt;="&amp;C13,Gunluk_Gorevler!$Q$2:$Q$2948,"Evet")</x:f>
        <x:v>59</x:v>
      </x:c>
      <x:c r="E13" t="n">
        <x:f>COUNTIFS(Gunluk_Gorevler!$B$2:$B$2948,"&gt;="&amp;B13,Gunluk_Gorevler!$B$2:$B$2948,"&lt;="&amp;C13,Gunluk_Gorevler!$Q$2:$Q$2948,"Evet",Gunluk_Gorevler!$R$2:$R$2948,"Tamamlandı")</x:f>
        <x:v>0</x:v>
      </x:c>
      <x:c r="F13" s="22" t="n">
        <x:f>IF(D13=0,"",E13/D13)</x:f>
        <x:v>0</x:v>
      </x:c>
      <x:c r="G13" t="n">
        <x:f>COUNTIFS(Deneme_Takibi!$B$2:$B$61,"&gt;="&amp;B13,Deneme_Takibi!$B$2:$B$61,"&lt;="&amp;C13,Deneme_Takibi!$AM$2:$AM$61,"Tamamlandı")</x:f>
        <x:v>0</x:v>
      </x:c>
      <x:c r="H13" t="str">
        <x:f>IFERROR(SUMIFS(Deneme_Takibi!$AE$2:$AE$61,Deneme_Takibi!$B$2:$B$61,"&gt;="&amp;B13,Deneme_Takibi!$B$2:$B$61,"&lt;="&amp;C13,Deneme_Takibi!$AM$2:$AM$61,"Tamamlandı")/COUNTIFS(Deneme_Takibi!$B$2:$B$61,"&gt;="&amp;B13,Deneme_Takibi!$B$2:$B$61,"&lt;="&amp;C13,Deneme_Takibi!$AM$2:$AM$61,"Tamamlandı"),"")</x:f>
      </x:c>
      <x:c r="I13" t="n">
        <x:f>COUNTIF(Yanlis_Defteri!$O$2:$O$401,"Açık")</x:f>
        <x:v>0</x:v>
      </x:c>
      <x:c r="J13" t="n">
        <x:f>COUNTIF(Konu_Ustaligi!$K$2:$K$110,"Zayıf")+COUNTIF(Konu_Ustaligi!$K$2:$K$110,"Pekiştirme")</x:f>
        <x:v>0</x:v>
      </x:c>
      <x:c r="K13" t="n">
        <x:f>COUNTIF(Kaynak_Ilerleme!$L$2:$L$11,"Gecikmiş")</x:f>
        <x:v>0</x:v>
      </x:c>
      <x:c r="L13" t="str"/>
    </x:row>
    <x:row r="14">
      <x:c r="A14" t="n">
        <x:v>13</x:v>
      </x:c>
      <x:c r="B14" s="12" t="n">
        <x:v>46380</x:v>
      </x:c>
      <x:c r="C14" s="12" t="n">
        <x:v>46386</x:v>
      </x:c>
      <x:c r="D14" t="n">
        <x:f>COUNTIFS(Gunluk_Gorevler!$B$2:$B$2948,"&gt;="&amp;B14,Gunluk_Gorevler!$B$2:$B$2948,"&lt;="&amp;C14,Gunluk_Gorevler!$Q$2:$Q$2948,"Evet")</x:f>
        <x:v>59</x:v>
      </x:c>
      <x:c r="E14" t="n">
        <x:f>COUNTIFS(Gunluk_Gorevler!$B$2:$B$2948,"&gt;="&amp;B14,Gunluk_Gorevler!$B$2:$B$2948,"&lt;="&amp;C14,Gunluk_Gorevler!$Q$2:$Q$2948,"Evet",Gunluk_Gorevler!$R$2:$R$2948,"Tamamlandı")</x:f>
        <x:v>0</x:v>
      </x:c>
      <x:c r="F14" s="22" t="n">
        <x:f>IF(D14=0,"",E14/D14)</x:f>
        <x:v>0</x:v>
      </x:c>
      <x:c r="G14" t="n">
        <x:f>COUNTIFS(Deneme_Takibi!$B$2:$B$61,"&gt;="&amp;B14,Deneme_Takibi!$B$2:$B$61,"&lt;="&amp;C14,Deneme_Takibi!$AM$2:$AM$61,"Tamamlandı")</x:f>
        <x:v>0</x:v>
      </x:c>
      <x:c r="H14" t="str">
        <x:f>IFERROR(SUMIFS(Deneme_Takibi!$AE$2:$AE$61,Deneme_Takibi!$B$2:$B$61,"&gt;="&amp;B14,Deneme_Takibi!$B$2:$B$61,"&lt;="&amp;C14,Deneme_Takibi!$AM$2:$AM$61,"Tamamlandı")/COUNTIFS(Deneme_Takibi!$B$2:$B$61,"&gt;="&amp;B14,Deneme_Takibi!$B$2:$B$61,"&lt;="&amp;C14,Deneme_Takibi!$AM$2:$AM$61,"Tamamlandı"),"")</x:f>
      </x:c>
      <x:c r="I14" t="n">
        <x:f>COUNTIF(Yanlis_Defteri!$O$2:$O$401,"Açık")</x:f>
        <x:v>0</x:v>
      </x:c>
      <x:c r="J14" t="n">
        <x:f>COUNTIF(Konu_Ustaligi!$K$2:$K$110,"Zayıf")+COUNTIF(Konu_Ustaligi!$K$2:$K$110,"Pekiştirme")</x:f>
        <x:v>0</x:v>
      </x:c>
      <x:c r="K14" t="n">
        <x:f>COUNTIF(Kaynak_Ilerleme!$L$2:$L$11,"Gecikmiş")</x:f>
        <x:v>0</x:v>
      </x:c>
      <x:c r="L14" t="str"/>
    </x:row>
    <x:row r="15">
      <x:c r="A15" t="n">
        <x:v>14</x:v>
      </x:c>
      <x:c r="B15" s="12" t="n">
        <x:v>46387</x:v>
      </x:c>
      <x:c r="C15" s="12" t="n">
        <x:v>46393</x:v>
      </x:c>
      <x:c r="D15" t="n">
        <x:f>COUNTIFS(Gunluk_Gorevler!$B$2:$B$2948,"&gt;="&amp;B15,Gunluk_Gorevler!$B$2:$B$2948,"&lt;="&amp;C15,Gunluk_Gorevler!$Q$2:$Q$2948,"Evet")</x:f>
        <x:v>59</x:v>
      </x:c>
      <x:c r="E15" t="n">
        <x:f>COUNTIFS(Gunluk_Gorevler!$B$2:$B$2948,"&gt;="&amp;B15,Gunluk_Gorevler!$B$2:$B$2948,"&lt;="&amp;C15,Gunluk_Gorevler!$Q$2:$Q$2948,"Evet",Gunluk_Gorevler!$R$2:$R$2948,"Tamamlandı")</x:f>
        <x:v>0</x:v>
      </x:c>
      <x:c r="F15" s="22" t="n">
        <x:f>IF(D15=0,"",E15/D15)</x:f>
        <x:v>0</x:v>
      </x:c>
      <x:c r="G15" t="n">
        <x:f>COUNTIFS(Deneme_Takibi!$B$2:$B$61,"&gt;="&amp;B15,Deneme_Takibi!$B$2:$B$61,"&lt;="&amp;C15,Deneme_Takibi!$AM$2:$AM$61,"Tamamlandı")</x:f>
        <x:v>0</x:v>
      </x:c>
      <x:c r="H15" t="str">
        <x:f>IFERROR(SUMIFS(Deneme_Takibi!$AE$2:$AE$61,Deneme_Takibi!$B$2:$B$61,"&gt;="&amp;B15,Deneme_Takibi!$B$2:$B$61,"&lt;="&amp;C15,Deneme_Takibi!$AM$2:$AM$61,"Tamamlandı")/COUNTIFS(Deneme_Takibi!$B$2:$B$61,"&gt;="&amp;B15,Deneme_Takibi!$B$2:$B$61,"&lt;="&amp;C15,Deneme_Takibi!$AM$2:$AM$61,"Tamamlandı"),"")</x:f>
      </x:c>
      <x:c r="I15" t="n">
        <x:f>COUNTIF(Yanlis_Defteri!$O$2:$O$401,"Açık")</x:f>
        <x:v>0</x:v>
      </x:c>
      <x:c r="J15" t="n">
        <x:f>COUNTIF(Konu_Ustaligi!$K$2:$K$110,"Zayıf")+COUNTIF(Konu_Ustaligi!$K$2:$K$110,"Pekiştirme")</x:f>
        <x:v>0</x:v>
      </x:c>
      <x:c r="K15" t="n">
        <x:f>COUNTIF(Kaynak_Ilerleme!$L$2:$L$11,"Gecikmiş")</x:f>
        <x:v>0</x:v>
      </x:c>
      <x:c r="L15" t="str"/>
    </x:row>
    <x:row r="16">
      <x:c r="A16" t="n">
        <x:v>15</x:v>
      </x:c>
      <x:c r="B16" s="12" t="n">
        <x:v>46394</x:v>
      </x:c>
      <x:c r="C16" s="12" t="n">
        <x:v>46400</x:v>
      </x:c>
      <x:c r="D16" t="n">
        <x:f>COUNTIFS(Gunluk_Gorevler!$B$2:$B$2948,"&gt;="&amp;B16,Gunluk_Gorevler!$B$2:$B$2948,"&lt;="&amp;C16,Gunluk_Gorevler!$Q$2:$Q$2948,"Evet")</x:f>
        <x:v>59</x:v>
      </x:c>
      <x:c r="E16" t="n">
        <x:f>COUNTIFS(Gunluk_Gorevler!$B$2:$B$2948,"&gt;="&amp;B16,Gunluk_Gorevler!$B$2:$B$2948,"&lt;="&amp;C16,Gunluk_Gorevler!$Q$2:$Q$2948,"Evet",Gunluk_Gorevler!$R$2:$R$2948,"Tamamlandı")</x:f>
        <x:v>0</x:v>
      </x:c>
      <x:c r="F16" s="22" t="n">
        <x:f>IF(D16=0,"",E16/D16)</x:f>
        <x:v>0</x:v>
      </x:c>
      <x:c r="G16" t="n">
        <x:f>COUNTIFS(Deneme_Takibi!$B$2:$B$61,"&gt;="&amp;B16,Deneme_Takibi!$B$2:$B$61,"&lt;="&amp;C16,Deneme_Takibi!$AM$2:$AM$61,"Tamamlandı")</x:f>
        <x:v>0</x:v>
      </x:c>
      <x:c r="H16" t="str">
        <x:f>IFERROR(SUMIFS(Deneme_Takibi!$AE$2:$AE$61,Deneme_Takibi!$B$2:$B$61,"&gt;="&amp;B16,Deneme_Takibi!$B$2:$B$61,"&lt;="&amp;C16,Deneme_Takibi!$AM$2:$AM$61,"Tamamlandı")/COUNTIFS(Deneme_Takibi!$B$2:$B$61,"&gt;="&amp;B16,Deneme_Takibi!$B$2:$B$61,"&lt;="&amp;C16,Deneme_Takibi!$AM$2:$AM$61,"Tamamlandı"),"")</x:f>
      </x:c>
      <x:c r="I16" t="n">
        <x:f>COUNTIF(Yanlis_Defteri!$O$2:$O$401,"Açık")</x:f>
        <x:v>0</x:v>
      </x:c>
      <x:c r="J16" t="n">
        <x:f>COUNTIF(Konu_Ustaligi!$K$2:$K$110,"Zayıf")+COUNTIF(Konu_Ustaligi!$K$2:$K$110,"Pekiştirme")</x:f>
        <x:v>0</x:v>
      </x:c>
      <x:c r="K16" t="n">
        <x:f>COUNTIF(Kaynak_Ilerleme!$L$2:$L$11,"Gecikmiş")</x:f>
        <x:v>0</x:v>
      </x:c>
      <x:c r="L16" t="str"/>
    </x:row>
    <x:row r="17">
      <x:c r="A17" t="n">
        <x:v>16</x:v>
      </x:c>
      <x:c r="B17" s="12" t="n">
        <x:v>46401</x:v>
      </x:c>
      <x:c r="C17" s="12" t="n">
        <x:v>46407</x:v>
      </x:c>
      <x:c r="D17" t="n">
        <x:f>COUNTIFS(Gunluk_Gorevler!$B$2:$B$2948,"&gt;="&amp;B17,Gunluk_Gorevler!$B$2:$B$2948,"&lt;="&amp;C17,Gunluk_Gorevler!$Q$2:$Q$2948,"Evet")</x:f>
        <x:v>59</x:v>
      </x:c>
      <x:c r="E17" t="n">
        <x:f>COUNTIFS(Gunluk_Gorevler!$B$2:$B$2948,"&gt;="&amp;B17,Gunluk_Gorevler!$B$2:$B$2948,"&lt;="&amp;C17,Gunluk_Gorevler!$Q$2:$Q$2948,"Evet",Gunluk_Gorevler!$R$2:$R$2948,"Tamamlandı")</x:f>
        <x:v>0</x:v>
      </x:c>
      <x:c r="F17" s="22" t="n">
        <x:f>IF(D17=0,"",E17/D17)</x:f>
        <x:v>0</x:v>
      </x:c>
      <x:c r="G17" t="n">
        <x:f>COUNTIFS(Deneme_Takibi!$B$2:$B$61,"&gt;="&amp;B17,Deneme_Takibi!$B$2:$B$61,"&lt;="&amp;C17,Deneme_Takibi!$AM$2:$AM$61,"Tamamlandı")</x:f>
        <x:v>0</x:v>
      </x:c>
      <x:c r="H17" t="str">
        <x:f>IFERROR(SUMIFS(Deneme_Takibi!$AE$2:$AE$61,Deneme_Takibi!$B$2:$B$61,"&gt;="&amp;B17,Deneme_Takibi!$B$2:$B$61,"&lt;="&amp;C17,Deneme_Takibi!$AM$2:$AM$61,"Tamamlandı")/COUNTIFS(Deneme_Takibi!$B$2:$B$61,"&gt;="&amp;B17,Deneme_Takibi!$B$2:$B$61,"&lt;="&amp;C17,Deneme_Takibi!$AM$2:$AM$61,"Tamamlandı"),"")</x:f>
      </x:c>
      <x:c r="I17" t="n">
        <x:f>COUNTIF(Yanlis_Defteri!$O$2:$O$401,"Açık")</x:f>
        <x:v>0</x:v>
      </x:c>
      <x:c r="J17" t="n">
        <x:f>COUNTIF(Konu_Ustaligi!$K$2:$K$110,"Zayıf")+COUNTIF(Konu_Ustaligi!$K$2:$K$110,"Pekiştirme")</x:f>
        <x:v>0</x:v>
      </x:c>
      <x:c r="K17" t="n">
        <x:f>COUNTIF(Kaynak_Ilerleme!$L$2:$L$11,"Gecikmiş")</x:f>
        <x:v>0</x:v>
      </x:c>
      <x:c r="L17" t="str"/>
    </x:row>
    <x:row r="18">
      <x:c r="A18" t="n">
        <x:v>17</x:v>
      </x:c>
      <x:c r="B18" s="12" t="n">
        <x:v>46408</x:v>
      </x:c>
      <x:c r="C18" s="12" t="n">
        <x:v>46414</x:v>
      </x:c>
      <x:c r="D18" t="n">
        <x:f>COUNTIFS(Gunluk_Gorevler!$B$2:$B$2948,"&gt;="&amp;B18,Gunluk_Gorevler!$B$2:$B$2948,"&lt;="&amp;C18,Gunluk_Gorevler!$Q$2:$Q$2948,"Evet")</x:f>
        <x:v>59</x:v>
      </x:c>
      <x:c r="E18" t="n">
        <x:f>COUNTIFS(Gunluk_Gorevler!$B$2:$B$2948,"&gt;="&amp;B18,Gunluk_Gorevler!$B$2:$B$2948,"&lt;="&amp;C18,Gunluk_Gorevler!$Q$2:$Q$2948,"Evet",Gunluk_Gorevler!$R$2:$R$2948,"Tamamlandı")</x:f>
        <x:v>0</x:v>
      </x:c>
      <x:c r="F18" s="22" t="n">
        <x:f>IF(D18=0,"",E18/D18)</x:f>
        <x:v>0</x:v>
      </x:c>
      <x:c r="G18" t="n">
        <x:f>COUNTIFS(Deneme_Takibi!$B$2:$B$61,"&gt;="&amp;B18,Deneme_Takibi!$B$2:$B$61,"&lt;="&amp;C18,Deneme_Takibi!$AM$2:$AM$61,"Tamamlandı")</x:f>
        <x:v>0</x:v>
      </x:c>
      <x:c r="H18" t="str">
        <x:f>IFERROR(SUMIFS(Deneme_Takibi!$AE$2:$AE$61,Deneme_Takibi!$B$2:$B$61,"&gt;="&amp;B18,Deneme_Takibi!$B$2:$B$61,"&lt;="&amp;C18,Deneme_Takibi!$AM$2:$AM$61,"Tamamlandı")/COUNTIFS(Deneme_Takibi!$B$2:$B$61,"&gt;="&amp;B18,Deneme_Takibi!$B$2:$B$61,"&lt;="&amp;C18,Deneme_Takibi!$AM$2:$AM$61,"Tamamlandı"),"")</x:f>
      </x:c>
      <x:c r="I18" t="n">
        <x:f>COUNTIF(Yanlis_Defteri!$O$2:$O$401,"Açık")</x:f>
        <x:v>0</x:v>
      </x:c>
      <x:c r="J18" t="n">
        <x:f>COUNTIF(Konu_Ustaligi!$K$2:$K$110,"Zayıf")+COUNTIF(Konu_Ustaligi!$K$2:$K$110,"Pekiştirme")</x:f>
        <x:v>0</x:v>
      </x:c>
      <x:c r="K18" t="n">
        <x:f>COUNTIF(Kaynak_Ilerleme!$L$2:$L$11,"Gecikmiş")</x:f>
        <x:v>0</x:v>
      </x:c>
      <x:c r="L18" t="str"/>
    </x:row>
    <x:row r="19">
      <x:c r="A19" t="n">
        <x:v>18</x:v>
      </x:c>
      <x:c r="B19" s="12" t="n">
        <x:v>46415</x:v>
      </x:c>
      <x:c r="C19" s="12" t="n">
        <x:v>46421</x:v>
      </x:c>
      <x:c r="D19" t="n">
        <x:f>COUNTIFS(Gunluk_Gorevler!$B$2:$B$2948,"&gt;="&amp;B19,Gunluk_Gorevler!$B$2:$B$2948,"&lt;="&amp;C19,Gunluk_Gorevler!$Q$2:$Q$2948,"Evet")</x:f>
        <x:v>59</x:v>
      </x:c>
      <x:c r="E19" t="n">
        <x:f>COUNTIFS(Gunluk_Gorevler!$B$2:$B$2948,"&gt;="&amp;B19,Gunluk_Gorevler!$B$2:$B$2948,"&lt;="&amp;C19,Gunluk_Gorevler!$Q$2:$Q$2948,"Evet",Gunluk_Gorevler!$R$2:$R$2948,"Tamamlandı")</x:f>
        <x:v>0</x:v>
      </x:c>
      <x:c r="F19" s="22" t="n">
        <x:f>IF(D19=0,"",E19/D19)</x:f>
        <x:v>0</x:v>
      </x:c>
      <x:c r="G19" t="n">
        <x:f>COUNTIFS(Deneme_Takibi!$B$2:$B$61,"&gt;="&amp;B19,Deneme_Takibi!$B$2:$B$61,"&lt;="&amp;C19,Deneme_Takibi!$AM$2:$AM$61,"Tamamlandı")</x:f>
        <x:v>0</x:v>
      </x:c>
      <x:c r="H19" t="str">
        <x:f>IFERROR(SUMIFS(Deneme_Takibi!$AE$2:$AE$61,Deneme_Takibi!$B$2:$B$61,"&gt;="&amp;B19,Deneme_Takibi!$B$2:$B$61,"&lt;="&amp;C19,Deneme_Takibi!$AM$2:$AM$61,"Tamamlandı")/COUNTIFS(Deneme_Takibi!$B$2:$B$61,"&gt;="&amp;B19,Deneme_Takibi!$B$2:$B$61,"&lt;="&amp;C19,Deneme_Takibi!$AM$2:$AM$61,"Tamamlandı"),"")</x:f>
      </x:c>
      <x:c r="I19" t="n">
        <x:f>COUNTIF(Yanlis_Defteri!$O$2:$O$401,"Açık")</x:f>
        <x:v>0</x:v>
      </x:c>
      <x:c r="J19" t="n">
        <x:f>COUNTIF(Konu_Ustaligi!$K$2:$K$110,"Zayıf")+COUNTIF(Konu_Ustaligi!$K$2:$K$110,"Pekiştirme")</x:f>
        <x:v>0</x:v>
      </x:c>
      <x:c r="K19" t="n">
        <x:f>COUNTIF(Kaynak_Ilerleme!$L$2:$L$11,"Gecikmiş")</x:f>
        <x:v>0</x:v>
      </x:c>
      <x:c r="L19" t="str"/>
    </x:row>
    <x:row r="20">
      <x:c r="A20" t="n">
        <x:v>19</x:v>
      </x:c>
      <x:c r="B20" s="12" t="n">
        <x:v>46422</x:v>
      </x:c>
      <x:c r="C20" s="12" t="n">
        <x:v>46428</x:v>
      </x:c>
      <x:c r="D20" t="n">
        <x:f>COUNTIFS(Gunluk_Gorevler!$B$2:$B$2948,"&gt;="&amp;B20,Gunluk_Gorevler!$B$2:$B$2948,"&lt;="&amp;C20,Gunluk_Gorevler!$Q$2:$Q$2948,"Evet")</x:f>
        <x:v>59</x:v>
      </x:c>
      <x:c r="E20" t="n">
        <x:f>COUNTIFS(Gunluk_Gorevler!$B$2:$B$2948,"&gt;="&amp;B20,Gunluk_Gorevler!$B$2:$B$2948,"&lt;="&amp;C20,Gunluk_Gorevler!$Q$2:$Q$2948,"Evet",Gunluk_Gorevler!$R$2:$R$2948,"Tamamlandı")</x:f>
        <x:v>0</x:v>
      </x:c>
      <x:c r="F20" s="22" t="n">
        <x:f>IF(D20=0,"",E20/D20)</x:f>
        <x:v>0</x:v>
      </x:c>
      <x:c r="G20" t="n">
        <x:f>COUNTIFS(Deneme_Takibi!$B$2:$B$61,"&gt;="&amp;B20,Deneme_Takibi!$B$2:$B$61,"&lt;="&amp;C20,Deneme_Takibi!$AM$2:$AM$61,"Tamamlandı")</x:f>
        <x:v>0</x:v>
      </x:c>
      <x:c r="H20" t="str">
        <x:f>IFERROR(SUMIFS(Deneme_Takibi!$AE$2:$AE$61,Deneme_Takibi!$B$2:$B$61,"&gt;="&amp;B20,Deneme_Takibi!$B$2:$B$61,"&lt;="&amp;C20,Deneme_Takibi!$AM$2:$AM$61,"Tamamlandı")/COUNTIFS(Deneme_Takibi!$B$2:$B$61,"&gt;="&amp;B20,Deneme_Takibi!$B$2:$B$61,"&lt;="&amp;C20,Deneme_Takibi!$AM$2:$AM$61,"Tamamlandı"),"")</x:f>
      </x:c>
      <x:c r="I20" t="n">
        <x:f>COUNTIF(Yanlis_Defteri!$O$2:$O$401,"Açık")</x:f>
        <x:v>0</x:v>
      </x:c>
      <x:c r="J20" t="n">
        <x:f>COUNTIF(Konu_Ustaligi!$K$2:$K$110,"Zayıf")+COUNTIF(Konu_Ustaligi!$K$2:$K$110,"Pekiştirme")</x:f>
        <x:v>0</x:v>
      </x:c>
      <x:c r="K20" t="n">
        <x:f>COUNTIF(Kaynak_Ilerleme!$L$2:$L$11,"Gecikmiş")</x:f>
        <x:v>0</x:v>
      </x:c>
      <x:c r="L20" t="str"/>
    </x:row>
    <x:row r="21">
      <x:c r="A21" t="n">
        <x:v>20</x:v>
      </x:c>
      <x:c r="B21" s="12" t="n">
        <x:v>46429</x:v>
      </x:c>
      <x:c r="C21" s="12" t="n">
        <x:v>46435</x:v>
      </x:c>
      <x:c r="D21" t="n">
        <x:f>COUNTIFS(Gunluk_Gorevler!$B$2:$B$2948,"&gt;="&amp;B21,Gunluk_Gorevler!$B$2:$B$2948,"&lt;="&amp;C21,Gunluk_Gorevler!$Q$2:$Q$2948,"Evet")</x:f>
        <x:v>59</x:v>
      </x:c>
      <x:c r="E21" t="n">
        <x:f>COUNTIFS(Gunluk_Gorevler!$B$2:$B$2948,"&gt;="&amp;B21,Gunluk_Gorevler!$B$2:$B$2948,"&lt;="&amp;C21,Gunluk_Gorevler!$Q$2:$Q$2948,"Evet",Gunluk_Gorevler!$R$2:$R$2948,"Tamamlandı")</x:f>
        <x:v>0</x:v>
      </x:c>
      <x:c r="F21" s="22" t="n">
        <x:f>IF(D21=0,"",E21/D21)</x:f>
        <x:v>0</x:v>
      </x:c>
      <x:c r="G21" t="n">
        <x:f>COUNTIFS(Deneme_Takibi!$B$2:$B$61,"&gt;="&amp;B21,Deneme_Takibi!$B$2:$B$61,"&lt;="&amp;C21,Deneme_Takibi!$AM$2:$AM$61,"Tamamlandı")</x:f>
        <x:v>0</x:v>
      </x:c>
      <x:c r="H21" t="str">
        <x:f>IFERROR(SUMIFS(Deneme_Takibi!$AE$2:$AE$61,Deneme_Takibi!$B$2:$B$61,"&gt;="&amp;B21,Deneme_Takibi!$B$2:$B$61,"&lt;="&amp;C21,Deneme_Takibi!$AM$2:$AM$61,"Tamamlandı")/COUNTIFS(Deneme_Takibi!$B$2:$B$61,"&gt;="&amp;B21,Deneme_Takibi!$B$2:$B$61,"&lt;="&amp;C21,Deneme_Takibi!$AM$2:$AM$61,"Tamamlandı"),"")</x:f>
      </x:c>
      <x:c r="I21" t="n">
        <x:f>COUNTIF(Yanlis_Defteri!$O$2:$O$401,"Açık")</x:f>
        <x:v>0</x:v>
      </x:c>
      <x:c r="J21" t="n">
        <x:f>COUNTIF(Konu_Ustaligi!$K$2:$K$110,"Zayıf")+COUNTIF(Konu_Ustaligi!$K$2:$K$110,"Pekiştirme")</x:f>
        <x:v>0</x:v>
      </x:c>
      <x:c r="K21" t="n">
        <x:f>COUNTIF(Kaynak_Ilerleme!$L$2:$L$11,"Gecikmiş")</x:f>
        <x:v>0</x:v>
      </x:c>
      <x:c r="L21" t="str"/>
    </x:row>
    <x:row r="22">
      <x:c r="A22" t="n">
        <x:v>21</x:v>
      </x:c>
      <x:c r="B22" s="12" t="n">
        <x:v>46436</x:v>
      </x:c>
      <x:c r="C22" s="12" t="n">
        <x:v>46442</x:v>
      </x:c>
      <x:c r="D22" t="n">
        <x:f>COUNTIFS(Gunluk_Gorevler!$B$2:$B$2948,"&gt;="&amp;B22,Gunluk_Gorevler!$B$2:$B$2948,"&lt;="&amp;C22,Gunluk_Gorevler!$Q$2:$Q$2948,"Evet")</x:f>
        <x:v>59</x:v>
      </x:c>
      <x:c r="E22" t="n">
        <x:f>COUNTIFS(Gunluk_Gorevler!$B$2:$B$2948,"&gt;="&amp;B22,Gunluk_Gorevler!$B$2:$B$2948,"&lt;="&amp;C22,Gunluk_Gorevler!$Q$2:$Q$2948,"Evet",Gunluk_Gorevler!$R$2:$R$2948,"Tamamlandı")</x:f>
        <x:v>0</x:v>
      </x:c>
      <x:c r="F22" s="22" t="n">
        <x:f>IF(D22=0,"",E22/D22)</x:f>
        <x:v>0</x:v>
      </x:c>
      <x:c r="G22" t="n">
        <x:f>COUNTIFS(Deneme_Takibi!$B$2:$B$61,"&gt;="&amp;B22,Deneme_Takibi!$B$2:$B$61,"&lt;="&amp;C22,Deneme_Takibi!$AM$2:$AM$61,"Tamamlandı")</x:f>
        <x:v>0</x:v>
      </x:c>
      <x:c r="H22" t="str">
        <x:f>IFERROR(SUMIFS(Deneme_Takibi!$AE$2:$AE$61,Deneme_Takibi!$B$2:$B$61,"&gt;="&amp;B22,Deneme_Takibi!$B$2:$B$61,"&lt;="&amp;C22,Deneme_Takibi!$AM$2:$AM$61,"Tamamlandı")/COUNTIFS(Deneme_Takibi!$B$2:$B$61,"&gt;="&amp;B22,Deneme_Takibi!$B$2:$B$61,"&lt;="&amp;C22,Deneme_Takibi!$AM$2:$AM$61,"Tamamlandı"),"")</x:f>
      </x:c>
      <x:c r="I22" t="n">
        <x:f>COUNTIF(Yanlis_Defteri!$O$2:$O$401,"Açık")</x:f>
        <x:v>0</x:v>
      </x:c>
      <x:c r="J22" t="n">
        <x:f>COUNTIF(Konu_Ustaligi!$K$2:$K$110,"Zayıf")+COUNTIF(Konu_Ustaligi!$K$2:$K$110,"Pekiştirme")</x:f>
        <x:v>0</x:v>
      </x:c>
      <x:c r="K22" t="n">
        <x:f>COUNTIF(Kaynak_Ilerleme!$L$2:$L$11,"Gecikmiş")</x:f>
        <x:v>0</x:v>
      </x:c>
      <x:c r="L22" t="str"/>
    </x:row>
    <x:row r="23">
      <x:c r="A23" t="n">
        <x:v>22</x:v>
      </x:c>
      <x:c r="B23" s="12" t="n">
        <x:v>46443</x:v>
      </x:c>
      <x:c r="C23" s="12" t="n">
        <x:v>46449</x:v>
      </x:c>
      <x:c r="D23" t="n">
        <x:f>COUNTIFS(Gunluk_Gorevler!$B$2:$B$2948,"&gt;="&amp;B23,Gunluk_Gorevler!$B$2:$B$2948,"&lt;="&amp;C23,Gunluk_Gorevler!$Q$2:$Q$2948,"Evet")</x:f>
        <x:v>59</x:v>
      </x:c>
      <x:c r="E23" t="n">
        <x:f>COUNTIFS(Gunluk_Gorevler!$B$2:$B$2948,"&gt;="&amp;B23,Gunluk_Gorevler!$B$2:$B$2948,"&lt;="&amp;C23,Gunluk_Gorevler!$Q$2:$Q$2948,"Evet",Gunluk_Gorevler!$R$2:$R$2948,"Tamamlandı")</x:f>
        <x:v>0</x:v>
      </x:c>
      <x:c r="F23" s="22" t="n">
        <x:f>IF(D23=0,"",E23/D23)</x:f>
        <x:v>0</x:v>
      </x:c>
      <x:c r="G23" t="n">
        <x:f>COUNTIFS(Deneme_Takibi!$B$2:$B$61,"&gt;="&amp;B23,Deneme_Takibi!$B$2:$B$61,"&lt;="&amp;C23,Deneme_Takibi!$AM$2:$AM$61,"Tamamlandı")</x:f>
        <x:v>0</x:v>
      </x:c>
      <x:c r="H23" t="str">
        <x:f>IFERROR(SUMIFS(Deneme_Takibi!$AE$2:$AE$61,Deneme_Takibi!$B$2:$B$61,"&gt;="&amp;B23,Deneme_Takibi!$B$2:$B$61,"&lt;="&amp;C23,Deneme_Takibi!$AM$2:$AM$61,"Tamamlandı")/COUNTIFS(Deneme_Takibi!$B$2:$B$61,"&gt;="&amp;B23,Deneme_Takibi!$B$2:$B$61,"&lt;="&amp;C23,Deneme_Takibi!$AM$2:$AM$61,"Tamamlandı"),"")</x:f>
      </x:c>
      <x:c r="I23" t="n">
        <x:f>COUNTIF(Yanlis_Defteri!$O$2:$O$401,"Açık")</x:f>
        <x:v>0</x:v>
      </x:c>
      <x:c r="J23" t="n">
        <x:f>COUNTIF(Konu_Ustaligi!$K$2:$K$110,"Zayıf")+COUNTIF(Konu_Ustaligi!$K$2:$K$110,"Pekiştirme")</x:f>
        <x:v>0</x:v>
      </x:c>
      <x:c r="K23" t="n">
        <x:f>COUNTIF(Kaynak_Ilerleme!$L$2:$L$11,"Gecikmiş")</x:f>
        <x:v>0</x:v>
      </x:c>
      <x:c r="L23" t="str"/>
    </x:row>
    <x:row r="24">
      <x:c r="A24" t="n">
        <x:v>23</x:v>
      </x:c>
      <x:c r="B24" s="12" t="n">
        <x:v>46450</x:v>
      </x:c>
      <x:c r="C24" s="12" t="n">
        <x:v>46456</x:v>
      </x:c>
      <x:c r="D24" t="n">
        <x:f>COUNTIFS(Gunluk_Gorevler!$B$2:$B$2948,"&gt;="&amp;B24,Gunluk_Gorevler!$B$2:$B$2948,"&lt;="&amp;C24,Gunluk_Gorevler!$Q$2:$Q$2948,"Evet")</x:f>
        <x:v>59</x:v>
      </x:c>
      <x:c r="E24" t="n">
        <x:f>COUNTIFS(Gunluk_Gorevler!$B$2:$B$2948,"&gt;="&amp;B24,Gunluk_Gorevler!$B$2:$B$2948,"&lt;="&amp;C24,Gunluk_Gorevler!$Q$2:$Q$2948,"Evet",Gunluk_Gorevler!$R$2:$R$2948,"Tamamlandı")</x:f>
        <x:v>0</x:v>
      </x:c>
      <x:c r="F24" s="22" t="n">
        <x:f>IF(D24=0,"",E24/D24)</x:f>
        <x:v>0</x:v>
      </x:c>
      <x:c r="G24" t="n">
        <x:f>COUNTIFS(Deneme_Takibi!$B$2:$B$61,"&gt;="&amp;B24,Deneme_Takibi!$B$2:$B$61,"&lt;="&amp;C24,Deneme_Takibi!$AM$2:$AM$61,"Tamamlandı")</x:f>
        <x:v>0</x:v>
      </x:c>
      <x:c r="H24" t="str">
        <x:f>IFERROR(SUMIFS(Deneme_Takibi!$AE$2:$AE$61,Deneme_Takibi!$B$2:$B$61,"&gt;="&amp;B24,Deneme_Takibi!$B$2:$B$61,"&lt;="&amp;C24,Deneme_Takibi!$AM$2:$AM$61,"Tamamlandı")/COUNTIFS(Deneme_Takibi!$B$2:$B$61,"&gt;="&amp;B24,Deneme_Takibi!$B$2:$B$61,"&lt;="&amp;C24,Deneme_Takibi!$AM$2:$AM$61,"Tamamlandı"),"")</x:f>
      </x:c>
      <x:c r="I24" t="n">
        <x:f>COUNTIF(Yanlis_Defteri!$O$2:$O$401,"Açık")</x:f>
        <x:v>0</x:v>
      </x:c>
      <x:c r="J24" t="n">
        <x:f>COUNTIF(Konu_Ustaligi!$K$2:$K$110,"Zayıf")+COUNTIF(Konu_Ustaligi!$K$2:$K$110,"Pekiştirme")</x:f>
        <x:v>0</x:v>
      </x:c>
      <x:c r="K24" t="n">
        <x:f>COUNTIF(Kaynak_Ilerleme!$L$2:$L$11,"Gecikmiş")</x:f>
        <x:v>0</x:v>
      </x:c>
      <x:c r="L24" t="str"/>
    </x:row>
    <x:row r="25">
      <x:c r="A25" t="n">
        <x:v>24</x:v>
      </x:c>
      <x:c r="B25" s="12" t="n">
        <x:v>46457</x:v>
      </x:c>
      <x:c r="C25" s="12" t="n">
        <x:v>46463</x:v>
      </x:c>
      <x:c r="D25" t="n">
        <x:f>COUNTIFS(Gunluk_Gorevler!$B$2:$B$2948,"&gt;="&amp;B25,Gunluk_Gorevler!$B$2:$B$2948,"&lt;="&amp;C25,Gunluk_Gorevler!$Q$2:$Q$2948,"Evet")</x:f>
        <x:v>59</x:v>
      </x:c>
      <x:c r="E25" t="n">
        <x:f>COUNTIFS(Gunluk_Gorevler!$B$2:$B$2948,"&gt;="&amp;B25,Gunluk_Gorevler!$B$2:$B$2948,"&lt;="&amp;C25,Gunluk_Gorevler!$Q$2:$Q$2948,"Evet",Gunluk_Gorevler!$R$2:$R$2948,"Tamamlandı")</x:f>
        <x:v>0</x:v>
      </x:c>
      <x:c r="F25" s="22" t="n">
        <x:f>IF(D25=0,"",E25/D25)</x:f>
        <x:v>0</x:v>
      </x:c>
      <x:c r="G25" t="n">
        <x:f>COUNTIFS(Deneme_Takibi!$B$2:$B$61,"&gt;="&amp;B25,Deneme_Takibi!$B$2:$B$61,"&lt;="&amp;C25,Deneme_Takibi!$AM$2:$AM$61,"Tamamlandı")</x:f>
        <x:v>0</x:v>
      </x:c>
      <x:c r="H25" t="str">
        <x:f>IFERROR(SUMIFS(Deneme_Takibi!$AE$2:$AE$61,Deneme_Takibi!$B$2:$B$61,"&gt;="&amp;B25,Deneme_Takibi!$B$2:$B$61,"&lt;="&amp;C25,Deneme_Takibi!$AM$2:$AM$61,"Tamamlandı")/COUNTIFS(Deneme_Takibi!$B$2:$B$61,"&gt;="&amp;B25,Deneme_Takibi!$B$2:$B$61,"&lt;="&amp;C25,Deneme_Takibi!$AM$2:$AM$61,"Tamamlandı"),"")</x:f>
      </x:c>
      <x:c r="I25" t="n">
        <x:f>COUNTIF(Yanlis_Defteri!$O$2:$O$401,"Açık")</x:f>
        <x:v>0</x:v>
      </x:c>
      <x:c r="J25" t="n">
        <x:f>COUNTIF(Konu_Ustaligi!$K$2:$K$110,"Zayıf")+COUNTIF(Konu_Ustaligi!$K$2:$K$110,"Pekiştirme")</x:f>
        <x:v>0</x:v>
      </x:c>
      <x:c r="K25" t="n">
        <x:f>COUNTIF(Kaynak_Ilerleme!$L$2:$L$11,"Gecikmiş")</x:f>
        <x:v>0</x:v>
      </x:c>
      <x:c r="L25" t="str"/>
    </x:row>
    <x:row r="26">
      <x:c r="A26" t="n">
        <x:v>25</x:v>
      </x:c>
      <x:c r="B26" s="12" t="n">
        <x:v>46464</x:v>
      </x:c>
      <x:c r="C26" s="12" t="n">
        <x:v>46470</x:v>
      </x:c>
      <x:c r="D26" t="n">
        <x:f>COUNTIFS(Gunluk_Gorevler!$B$2:$B$2948,"&gt;="&amp;B26,Gunluk_Gorevler!$B$2:$B$2948,"&lt;="&amp;C26,Gunluk_Gorevler!$Q$2:$Q$2948,"Evet")</x:f>
        <x:v>59</x:v>
      </x:c>
      <x:c r="E26" t="n">
        <x:f>COUNTIFS(Gunluk_Gorevler!$B$2:$B$2948,"&gt;="&amp;B26,Gunluk_Gorevler!$B$2:$B$2948,"&lt;="&amp;C26,Gunluk_Gorevler!$Q$2:$Q$2948,"Evet",Gunluk_Gorevler!$R$2:$R$2948,"Tamamlandı")</x:f>
        <x:v>0</x:v>
      </x:c>
      <x:c r="F26" s="22" t="n">
        <x:f>IF(D26=0,"",E26/D26)</x:f>
        <x:v>0</x:v>
      </x:c>
      <x:c r="G26" t="n">
        <x:f>COUNTIFS(Deneme_Takibi!$B$2:$B$61,"&gt;="&amp;B26,Deneme_Takibi!$B$2:$B$61,"&lt;="&amp;C26,Deneme_Takibi!$AM$2:$AM$61,"Tamamlandı")</x:f>
        <x:v>0</x:v>
      </x:c>
      <x:c r="H26" t="str">
        <x:f>IFERROR(SUMIFS(Deneme_Takibi!$AE$2:$AE$61,Deneme_Takibi!$B$2:$B$61,"&gt;="&amp;B26,Deneme_Takibi!$B$2:$B$61,"&lt;="&amp;C26,Deneme_Takibi!$AM$2:$AM$61,"Tamamlandı")/COUNTIFS(Deneme_Takibi!$B$2:$B$61,"&gt;="&amp;B26,Deneme_Takibi!$B$2:$B$61,"&lt;="&amp;C26,Deneme_Takibi!$AM$2:$AM$61,"Tamamlandı"),"")</x:f>
      </x:c>
      <x:c r="I26" t="n">
        <x:f>COUNTIF(Yanlis_Defteri!$O$2:$O$401,"Açık")</x:f>
        <x:v>0</x:v>
      </x:c>
      <x:c r="J26" t="n">
        <x:f>COUNTIF(Konu_Ustaligi!$K$2:$K$110,"Zayıf")+COUNTIF(Konu_Ustaligi!$K$2:$K$110,"Pekiştirme")</x:f>
        <x:v>0</x:v>
      </x:c>
      <x:c r="K26" t="n">
        <x:f>COUNTIF(Kaynak_Ilerleme!$L$2:$L$11,"Gecikmiş")</x:f>
        <x:v>0</x:v>
      </x:c>
      <x:c r="L26" t="str"/>
    </x:row>
    <x:row r="27">
      <x:c r="A27" t="n">
        <x:v>26</x:v>
      </x:c>
      <x:c r="B27" s="12" t="n">
        <x:v>46471</x:v>
      </x:c>
      <x:c r="C27" s="12" t="n">
        <x:v>46477</x:v>
      </x:c>
      <x:c r="D27" t="n">
        <x:f>COUNTIFS(Gunluk_Gorevler!$B$2:$B$2948,"&gt;="&amp;B27,Gunluk_Gorevler!$B$2:$B$2948,"&lt;="&amp;C27,Gunluk_Gorevler!$Q$2:$Q$2948,"Evet")</x:f>
        <x:v>59</x:v>
      </x:c>
      <x:c r="E27" t="n">
        <x:f>COUNTIFS(Gunluk_Gorevler!$B$2:$B$2948,"&gt;="&amp;B27,Gunluk_Gorevler!$B$2:$B$2948,"&lt;="&amp;C27,Gunluk_Gorevler!$Q$2:$Q$2948,"Evet",Gunluk_Gorevler!$R$2:$R$2948,"Tamamlandı")</x:f>
        <x:v>0</x:v>
      </x:c>
      <x:c r="F27" s="22" t="n">
        <x:f>IF(D27=0,"",E27/D27)</x:f>
        <x:v>0</x:v>
      </x:c>
      <x:c r="G27" t="n">
        <x:f>COUNTIFS(Deneme_Takibi!$B$2:$B$61,"&gt;="&amp;B27,Deneme_Takibi!$B$2:$B$61,"&lt;="&amp;C27,Deneme_Takibi!$AM$2:$AM$61,"Tamamlandı")</x:f>
        <x:v>0</x:v>
      </x:c>
      <x:c r="H27" t="str">
        <x:f>IFERROR(SUMIFS(Deneme_Takibi!$AE$2:$AE$61,Deneme_Takibi!$B$2:$B$61,"&gt;="&amp;B27,Deneme_Takibi!$B$2:$B$61,"&lt;="&amp;C27,Deneme_Takibi!$AM$2:$AM$61,"Tamamlandı")/COUNTIFS(Deneme_Takibi!$B$2:$B$61,"&gt;="&amp;B27,Deneme_Takibi!$B$2:$B$61,"&lt;="&amp;C27,Deneme_Takibi!$AM$2:$AM$61,"Tamamlandı"),"")</x:f>
      </x:c>
      <x:c r="I27" t="n">
        <x:f>COUNTIF(Yanlis_Defteri!$O$2:$O$401,"Açık")</x:f>
        <x:v>0</x:v>
      </x:c>
      <x:c r="J27" t="n">
        <x:f>COUNTIF(Konu_Ustaligi!$K$2:$K$110,"Zayıf")+COUNTIF(Konu_Ustaligi!$K$2:$K$110,"Pekiştirme")</x:f>
        <x:v>0</x:v>
      </x:c>
      <x:c r="K27" t="n">
        <x:f>COUNTIF(Kaynak_Ilerleme!$L$2:$L$11,"Gecikmiş")</x:f>
        <x:v>0</x:v>
      </x:c>
      <x:c r="L27" t="str"/>
    </x:row>
    <x:row r="28">
      <x:c r="A28" t="n">
        <x:v>27</x:v>
      </x:c>
      <x:c r="B28" s="12" t="n">
        <x:v>46478</x:v>
      </x:c>
      <x:c r="C28" s="12" t="n">
        <x:v>46484</x:v>
      </x:c>
      <x:c r="D28" t="n">
        <x:f>COUNTIFS(Gunluk_Gorevler!$B$2:$B$2948,"&gt;="&amp;B28,Gunluk_Gorevler!$B$2:$B$2948,"&lt;="&amp;C28,Gunluk_Gorevler!$Q$2:$Q$2948,"Evet")</x:f>
        <x:v>59</x:v>
      </x:c>
      <x:c r="E28" t="n">
        <x:f>COUNTIFS(Gunluk_Gorevler!$B$2:$B$2948,"&gt;="&amp;B28,Gunluk_Gorevler!$B$2:$B$2948,"&lt;="&amp;C28,Gunluk_Gorevler!$Q$2:$Q$2948,"Evet",Gunluk_Gorevler!$R$2:$R$2948,"Tamamlandı")</x:f>
        <x:v>0</x:v>
      </x:c>
      <x:c r="F28" s="22" t="n">
        <x:f>IF(D28=0,"",E28/D28)</x:f>
        <x:v>0</x:v>
      </x:c>
      <x:c r="G28" t="n">
        <x:f>COUNTIFS(Deneme_Takibi!$B$2:$B$61,"&gt;="&amp;B28,Deneme_Takibi!$B$2:$B$61,"&lt;="&amp;C28,Deneme_Takibi!$AM$2:$AM$61,"Tamamlandı")</x:f>
        <x:v>0</x:v>
      </x:c>
      <x:c r="H28" t="str">
        <x:f>IFERROR(SUMIFS(Deneme_Takibi!$AE$2:$AE$61,Deneme_Takibi!$B$2:$B$61,"&gt;="&amp;B28,Deneme_Takibi!$B$2:$B$61,"&lt;="&amp;C28,Deneme_Takibi!$AM$2:$AM$61,"Tamamlandı")/COUNTIFS(Deneme_Takibi!$B$2:$B$61,"&gt;="&amp;B28,Deneme_Takibi!$B$2:$B$61,"&lt;="&amp;C28,Deneme_Takibi!$AM$2:$AM$61,"Tamamlandı"),"")</x:f>
      </x:c>
      <x:c r="I28" t="n">
        <x:f>COUNTIF(Yanlis_Defteri!$O$2:$O$401,"Açık")</x:f>
        <x:v>0</x:v>
      </x:c>
      <x:c r="J28" t="n">
        <x:f>COUNTIF(Konu_Ustaligi!$K$2:$K$110,"Zayıf")+COUNTIF(Konu_Ustaligi!$K$2:$K$110,"Pekiştirme")</x:f>
        <x:v>0</x:v>
      </x:c>
      <x:c r="K28" t="n">
        <x:f>COUNTIF(Kaynak_Ilerleme!$L$2:$L$11,"Gecikmiş")</x:f>
        <x:v>0</x:v>
      </x:c>
      <x:c r="L28" t="str"/>
    </x:row>
    <x:row r="29">
      <x:c r="A29" t="n">
        <x:v>28</x:v>
      </x:c>
      <x:c r="B29" s="12" t="n">
        <x:v>46485</x:v>
      </x:c>
      <x:c r="C29" s="12" t="n">
        <x:v>46491</x:v>
      </x:c>
      <x:c r="D29" t="n">
        <x:f>COUNTIFS(Gunluk_Gorevler!$B$2:$B$2948,"&gt;="&amp;B29,Gunluk_Gorevler!$B$2:$B$2948,"&lt;="&amp;C29,Gunluk_Gorevler!$Q$2:$Q$2948,"Evet")</x:f>
        <x:v>57</x:v>
      </x:c>
      <x:c r="E29" t="n">
        <x:f>COUNTIFS(Gunluk_Gorevler!$B$2:$B$2948,"&gt;="&amp;B29,Gunluk_Gorevler!$B$2:$B$2948,"&lt;="&amp;C29,Gunluk_Gorevler!$Q$2:$Q$2948,"Evet",Gunluk_Gorevler!$R$2:$R$2948,"Tamamlandı")</x:f>
        <x:v>0</x:v>
      </x:c>
      <x:c r="F29" s="22" t="n">
        <x:f>IF(D29=0,"",E29/D29)</x:f>
        <x:v>0</x:v>
      </x:c>
      <x:c r="G29" t="n">
        <x:f>COUNTIFS(Deneme_Takibi!$B$2:$B$61,"&gt;="&amp;B29,Deneme_Takibi!$B$2:$B$61,"&lt;="&amp;C29,Deneme_Takibi!$AM$2:$AM$61,"Tamamlandı")</x:f>
        <x:v>0</x:v>
      </x:c>
      <x:c r="H29" t="str">
        <x:f>IFERROR(SUMIFS(Deneme_Takibi!$AE$2:$AE$61,Deneme_Takibi!$B$2:$B$61,"&gt;="&amp;B29,Deneme_Takibi!$B$2:$B$61,"&lt;="&amp;C29,Deneme_Takibi!$AM$2:$AM$61,"Tamamlandı")/COUNTIFS(Deneme_Takibi!$B$2:$B$61,"&gt;="&amp;B29,Deneme_Takibi!$B$2:$B$61,"&lt;="&amp;C29,Deneme_Takibi!$AM$2:$AM$61,"Tamamlandı"),"")</x:f>
      </x:c>
      <x:c r="I29" t="n">
        <x:f>COUNTIF(Yanlis_Defteri!$O$2:$O$401,"Açık")</x:f>
        <x:v>0</x:v>
      </x:c>
      <x:c r="J29" t="n">
        <x:f>COUNTIF(Konu_Ustaligi!$K$2:$K$110,"Zayıf")+COUNTIF(Konu_Ustaligi!$K$2:$K$110,"Pekiştirme")</x:f>
        <x:v>0</x:v>
      </x:c>
      <x:c r="K29" t="n">
        <x:f>COUNTIF(Kaynak_Ilerleme!$L$2:$L$11,"Gecikmiş")</x:f>
        <x:v>0</x:v>
      </x:c>
      <x:c r="L29" t="str"/>
    </x:row>
    <x:row r="30">
      <x:c r="A30" t="n">
        <x:v>29</x:v>
      </x:c>
      <x:c r="B30" s="12" t="n">
        <x:v>46492</x:v>
      </x:c>
      <x:c r="C30" s="12" t="n">
        <x:v>46498</x:v>
      </x:c>
      <x:c r="D30" t="n">
        <x:f>COUNTIFS(Gunluk_Gorevler!$B$2:$B$2948,"&gt;="&amp;B30,Gunluk_Gorevler!$B$2:$B$2948,"&lt;="&amp;C30,Gunluk_Gorevler!$Q$2:$Q$2948,"Evet")</x:f>
        <x:v>42</x:v>
      </x:c>
      <x:c r="E30" t="n">
        <x:f>COUNTIFS(Gunluk_Gorevler!$B$2:$B$2948,"&gt;="&amp;B30,Gunluk_Gorevler!$B$2:$B$2948,"&lt;="&amp;C30,Gunluk_Gorevler!$Q$2:$Q$2948,"Evet",Gunluk_Gorevler!$R$2:$R$2948,"Tamamlandı")</x:f>
        <x:v>0</x:v>
      </x:c>
      <x:c r="F30" s="22" t="n">
        <x:f>IF(D30=0,"",E30/D30)</x:f>
        <x:v>0</x:v>
      </x:c>
      <x:c r="G30" t="n">
        <x:f>COUNTIFS(Deneme_Takibi!$B$2:$B$61,"&gt;="&amp;B30,Deneme_Takibi!$B$2:$B$61,"&lt;="&amp;C30,Deneme_Takibi!$AM$2:$AM$61,"Tamamlandı")</x:f>
        <x:v>0</x:v>
      </x:c>
      <x:c r="H30" t="str">
        <x:f>IFERROR(SUMIFS(Deneme_Takibi!$AE$2:$AE$61,Deneme_Takibi!$B$2:$B$61,"&gt;="&amp;B30,Deneme_Takibi!$B$2:$B$61,"&lt;="&amp;C30,Deneme_Takibi!$AM$2:$AM$61,"Tamamlandı")/COUNTIFS(Deneme_Takibi!$B$2:$B$61,"&gt;="&amp;B30,Deneme_Takibi!$B$2:$B$61,"&lt;="&amp;C30,Deneme_Takibi!$AM$2:$AM$61,"Tamamlandı"),"")</x:f>
      </x:c>
      <x:c r="I30" t="n">
        <x:f>COUNTIF(Yanlis_Defteri!$O$2:$O$401,"Açık")</x:f>
        <x:v>0</x:v>
      </x:c>
      <x:c r="J30" t="n">
        <x:f>COUNTIF(Konu_Ustaligi!$K$2:$K$110,"Zayıf")+COUNTIF(Konu_Ustaligi!$K$2:$K$110,"Pekiştirme")</x:f>
        <x:v>0</x:v>
      </x:c>
      <x:c r="K30" t="n">
        <x:f>COUNTIF(Kaynak_Ilerleme!$L$2:$L$11,"Gecikmiş")</x:f>
        <x:v>0</x:v>
      </x:c>
      <x:c r="L30" t="str"/>
    </x:row>
    <x:row r="31">
      <x:c r="A31" t="n">
        <x:v>30</x:v>
      </x:c>
      <x:c r="B31" s="12" t="n">
        <x:v>46499</x:v>
      </x:c>
      <x:c r="C31" s="12" t="n">
        <x:v>46505</x:v>
      </x:c>
      <x:c r="D31" t="n">
        <x:f>COUNTIFS(Gunluk_Gorevler!$B$2:$B$2948,"&gt;="&amp;B31,Gunluk_Gorevler!$B$2:$B$2948,"&lt;="&amp;C31,Gunluk_Gorevler!$Q$2:$Q$2948,"Evet")</x:f>
        <x:v>42</x:v>
      </x:c>
      <x:c r="E31" t="n">
        <x:f>COUNTIFS(Gunluk_Gorevler!$B$2:$B$2948,"&gt;="&amp;B31,Gunluk_Gorevler!$B$2:$B$2948,"&lt;="&amp;C31,Gunluk_Gorevler!$Q$2:$Q$2948,"Evet",Gunluk_Gorevler!$R$2:$R$2948,"Tamamlandı")</x:f>
        <x:v>0</x:v>
      </x:c>
      <x:c r="F31" s="22" t="n">
        <x:f>IF(D31=0,"",E31/D31)</x:f>
        <x:v>0</x:v>
      </x:c>
      <x:c r="G31" t="n">
        <x:f>COUNTIFS(Deneme_Takibi!$B$2:$B$61,"&gt;="&amp;B31,Deneme_Takibi!$B$2:$B$61,"&lt;="&amp;C31,Deneme_Takibi!$AM$2:$AM$61,"Tamamlandı")</x:f>
        <x:v>0</x:v>
      </x:c>
      <x:c r="H31" t="str">
        <x:f>IFERROR(SUMIFS(Deneme_Takibi!$AE$2:$AE$61,Deneme_Takibi!$B$2:$B$61,"&gt;="&amp;B31,Deneme_Takibi!$B$2:$B$61,"&lt;="&amp;C31,Deneme_Takibi!$AM$2:$AM$61,"Tamamlandı")/COUNTIFS(Deneme_Takibi!$B$2:$B$61,"&gt;="&amp;B31,Deneme_Takibi!$B$2:$B$61,"&lt;="&amp;C31,Deneme_Takibi!$AM$2:$AM$61,"Tamamlandı"),"")</x:f>
      </x:c>
      <x:c r="I31" t="n">
        <x:f>COUNTIF(Yanlis_Defteri!$O$2:$O$401,"Açık")</x:f>
        <x:v>0</x:v>
      </x:c>
      <x:c r="J31" t="n">
        <x:f>COUNTIF(Konu_Ustaligi!$K$2:$K$110,"Zayıf")+COUNTIF(Konu_Ustaligi!$K$2:$K$110,"Pekiştirme")</x:f>
        <x:v>0</x:v>
      </x:c>
      <x:c r="K31" t="n">
        <x:f>COUNTIF(Kaynak_Ilerleme!$L$2:$L$11,"Gecikmiş")</x:f>
        <x:v>0</x:v>
      </x:c>
      <x:c r="L31" t="str"/>
    </x:row>
    <x:row r="32">
      <x:c r="A32" t="n">
        <x:v>31</x:v>
      </x:c>
      <x:c r="B32" s="12" t="n">
        <x:v>46506</x:v>
      </x:c>
      <x:c r="C32" s="12" t="n">
        <x:v>46512</x:v>
      </x:c>
      <x:c r="D32" t="n">
        <x:f>COUNTIFS(Gunluk_Gorevler!$B$2:$B$2948,"&gt;="&amp;B32,Gunluk_Gorevler!$B$2:$B$2948,"&lt;="&amp;C32,Gunluk_Gorevler!$Q$2:$Q$2948,"Evet")</x:f>
        <x:v>42</x:v>
      </x:c>
      <x:c r="E32" t="n">
        <x:f>COUNTIFS(Gunluk_Gorevler!$B$2:$B$2948,"&gt;="&amp;B32,Gunluk_Gorevler!$B$2:$B$2948,"&lt;="&amp;C32,Gunluk_Gorevler!$Q$2:$Q$2948,"Evet",Gunluk_Gorevler!$R$2:$R$2948,"Tamamlandı")</x:f>
        <x:v>0</x:v>
      </x:c>
      <x:c r="F32" s="22" t="n">
        <x:f>IF(D32=0,"",E32/D32)</x:f>
        <x:v>0</x:v>
      </x:c>
      <x:c r="G32" t="n">
        <x:f>COUNTIFS(Deneme_Takibi!$B$2:$B$61,"&gt;="&amp;B32,Deneme_Takibi!$B$2:$B$61,"&lt;="&amp;C32,Deneme_Takibi!$AM$2:$AM$61,"Tamamlandı")</x:f>
        <x:v>0</x:v>
      </x:c>
      <x:c r="H32" t="str">
        <x:f>IFERROR(SUMIFS(Deneme_Takibi!$AE$2:$AE$61,Deneme_Takibi!$B$2:$B$61,"&gt;="&amp;B32,Deneme_Takibi!$B$2:$B$61,"&lt;="&amp;C32,Deneme_Takibi!$AM$2:$AM$61,"Tamamlandı")/COUNTIFS(Deneme_Takibi!$B$2:$B$61,"&gt;="&amp;B32,Deneme_Takibi!$B$2:$B$61,"&lt;="&amp;C32,Deneme_Takibi!$AM$2:$AM$61,"Tamamlandı"),"")</x:f>
      </x:c>
      <x:c r="I32" t="n">
        <x:f>COUNTIF(Yanlis_Defteri!$O$2:$O$401,"Açık")</x:f>
        <x:v>0</x:v>
      </x:c>
      <x:c r="J32" t="n">
        <x:f>COUNTIF(Konu_Ustaligi!$K$2:$K$110,"Zayıf")+COUNTIF(Konu_Ustaligi!$K$2:$K$110,"Pekiştirme")</x:f>
        <x:v>0</x:v>
      </x:c>
      <x:c r="K32" t="n">
        <x:f>COUNTIF(Kaynak_Ilerleme!$L$2:$L$11,"Gecikmiş")</x:f>
        <x:v>0</x:v>
      </x:c>
      <x:c r="L32" t="str"/>
    </x:row>
    <x:row r="33">
      <x:c r="A33" t="n">
        <x:v>32</x:v>
      </x:c>
      <x:c r="B33" s="12" t="n">
        <x:v>46513</x:v>
      </x:c>
      <x:c r="C33" s="12" t="n">
        <x:v>46519</x:v>
      </x:c>
      <x:c r="D33" t="n">
        <x:f>COUNTIFS(Gunluk_Gorevler!$B$2:$B$2948,"&gt;="&amp;B33,Gunluk_Gorevler!$B$2:$B$2948,"&lt;="&amp;C33,Gunluk_Gorevler!$Q$2:$Q$2948,"Evet")</x:f>
        <x:v>42</x:v>
      </x:c>
      <x:c r="E33" t="n">
        <x:f>COUNTIFS(Gunluk_Gorevler!$B$2:$B$2948,"&gt;="&amp;B33,Gunluk_Gorevler!$B$2:$B$2948,"&lt;="&amp;C33,Gunluk_Gorevler!$Q$2:$Q$2948,"Evet",Gunluk_Gorevler!$R$2:$R$2948,"Tamamlandı")</x:f>
        <x:v>0</x:v>
      </x:c>
      <x:c r="F33" s="22" t="n">
        <x:f>IF(D33=0,"",E33/D33)</x:f>
        <x:v>0</x:v>
      </x:c>
      <x:c r="G33" t="n">
        <x:f>COUNTIFS(Deneme_Takibi!$B$2:$B$61,"&gt;="&amp;B33,Deneme_Takibi!$B$2:$B$61,"&lt;="&amp;C33,Deneme_Takibi!$AM$2:$AM$61,"Tamamlandı")</x:f>
        <x:v>0</x:v>
      </x:c>
      <x:c r="H33" t="str">
        <x:f>IFERROR(SUMIFS(Deneme_Takibi!$AE$2:$AE$61,Deneme_Takibi!$B$2:$B$61,"&gt;="&amp;B33,Deneme_Takibi!$B$2:$B$61,"&lt;="&amp;C33,Deneme_Takibi!$AM$2:$AM$61,"Tamamlandı")/COUNTIFS(Deneme_Takibi!$B$2:$B$61,"&gt;="&amp;B33,Deneme_Takibi!$B$2:$B$61,"&lt;="&amp;C33,Deneme_Takibi!$AM$2:$AM$61,"Tamamlandı"),"")</x:f>
      </x:c>
      <x:c r="I33" t="n">
        <x:f>COUNTIF(Yanlis_Defteri!$O$2:$O$401,"Açık")</x:f>
        <x:v>0</x:v>
      </x:c>
      <x:c r="J33" t="n">
        <x:f>COUNTIF(Konu_Ustaligi!$K$2:$K$110,"Zayıf")+COUNTIF(Konu_Ustaligi!$K$2:$K$110,"Pekiştirme")</x:f>
        <x:v>0</x:v>
      </x:c>
      <x:c r="K33" t="n">
        <x:f>COUNTIF(Kaynak_Ilerleme!$L$2:$L$11,"Gecikmiş")</x:f>
        <x:v>0</x:v>
      </x:c>
      <x:c r="L33" t="str"/>
    </x:row>
    <x:row r="34">
      <x:c r="A34" t="n">
        <x:v>33</x:v>
      </x:c>
      <x:c r="B34" s="12" t="n">
        <x:v>46520</x:v>
      </x:c>
      <x:c r="C34" s="12" t="n">
        <x:v>46526</x:v>
      </x:c>
      <x:c r="D34" t="n">
        <x:f>COUNTIFS(Gunluk_Gorevler!$B$2:$B$2948,"&gt;="&amp;B34,Gunluk_Gorevler!$B$2:$B$2948,"&lt;="&amp;C34,Gunluk_Gorevler!$Q$2:$Q$2948,"Evet")</x:f>
        <x:v>42</x:v>
      </x:c>
      <x:c r="E34" t="n">
        <x:f>COUNTIFS(Gunluk_Gorevler!$B$2:$B$2948,"&gt;="&amp;B34,Gunluk_Gorevler!$B$2:$B$2948,"&lt;="&amp;C34,Gunluk_Gorevler!$Q$2:$Q$2948,"Evet",Gunluk_Gorevler!$R$2:$R$2948,"Tamamlandı")</x:f>
        <x:v>0</x:v>
      </x:c>
      <x:c r="F34" s="22" t="n">
        <x:f>IF(D34=0,"",E34/D34)</x:f>
        <x:v>0</x:v>
      </x:c>
      <x:c r="G34" t="n">
        <x:f>COUNTIFS(Deneme_Takibi!$B$2:$B$61,"&gt;="&amp;B34,Deneme_Takibi!$B$2:$B$61,"&lt;="&amp;C34,Deneme_Takibi!$AM$2:$AM$61,"Tamamlandı")</x:f>
        <x:v>0</x:v>
      </x:c>
      <x:c r="H34" t="str">
        <x:f>IFERROR(SUMIFS(Deneme_Takibi!$AE$2:$AE$61,Deneme_Takibi!$B$2:$B$61,"&gt;="&amp;B34,Deneme_Takibi!$B$2:$B$61,"&lt;="&amp;C34,Deneme_Takibi!$AM$2:$AM$61,"Tamamlandı")/COUNTIFS(Deneme_Takibi!$B$2:$B$61,"&gt;="&amp;B34,Deneme_Takibi!$B$2:$B$61,"&lt;="&amp;C34,Deneme_Takibi!$AM$2:$AM$61,"Tamamlandı"),"")</x:f>
      </x:c>
      <x:c r="I34" t="n">
        <x:f>COUNTIF(Yanlis_Defteri!$O$2:$O$401,"Açık")</x:f>
        <x:v>0</x:v>
      </x:c>
      <x:c r="J34" t="n">
        <x:f>COUNTIF(Konu_Ustaligi!$K$2:$K$110,"Zayıf")+COUNTIF(Konu_Ustaligi!$K$2:$K$110,"Pekiştirme")</x:f>
        <x:v>0</x:v>
      </x:c>
      <x:c r="K34" t="n">
        <x:f>COUNTIF(Kaynak_Ilerleme!$L$2:$L$11,"Gecikmiş")</x:f>
        <x:v>0</x:v>
      </x:c>
      <x:c r="L34" t="str"/>
    </x:row>
    <x:row r="35">
      <x:c r="A35" t="n">
        <x:v>34</x:v>
      </x:c>
      <x:c r="B35" s="12" t="n">
        <x:v>46527</x:v>
      </x:c>
      <x:c r="C35" s="12" t="n">
        <x:v>46533</x:v>
      </x:c>
      <x:c r="D35" t="n">
        <x:f>COUNTIFS(Gunluk_Gorevler!$B$2:$B$2948,"&gt;="&amp;B35,Gunluk_Gorevler!$B$2:$B$2948,"&lt;="&amp;C35,Gunluk_Gorevler!$Q$2:$Q$2948,"Evet")</x:f>
        <x:v>42</x:v>
      </x:c>
      <x:c r="E35" t="n">
        <x:f>COUNTIFS(Gunluk_Gorevler!$B$2:$B$2948,"&gt;="&amp;B35,Gunluk_Gorevler!$B$2:$B$2948,"&lt;="&amp;C35,Gunluk_Gorevler!$Q$2:$Q$2948,"Evet",Gunluk_Gorevler!$R$2:$R$2948,"Tamamlandı")</x:f>
        <x:v>0</x:v>
      </x:c>
      <x:c r="F35" s="22" t="n">
        <x:f>IF(D35=0,"",E35/D35)</x:f>
        <x:v>0</x:v>
      </x:c>
      <x:c r="G35" t="n">
        <x:f>COUNTIFS(Deneme_Takibi!$B$2:$B$61,"&gt;="&amp;B35,Deneme_Takibi!$B$2:$B$61,"&lt;="&amp;C35,Deneme_Takibi!$AM$2:$AM$61,"Tamamlandı")</x:f>
        <x:v>0</x:v>
      </x:c>
      <x:c r="H35" t="str">
        <x:f>IFERROR(SUMIFS(Deneme_Takibi!$AE$2:$AE$61,Deneme_Takibi!$B$2:$B$61,"&gt;="&amp;B35,Deneme_Takibi!$B$2:$B$61,"&lt;="&amp;C35,Deneme_Takibi!$AM$2:$AM$61,"Tamamlandı")/COUNTIFS(Deneme_Takibi!$B$2:$B$61,"&gt;="&amp;B35,Deneme_Takibi!$B$2:$B$61,"&lt;="&amp;C35,Deneme_Takibi!$AM$2:$AM$61,"Tamamlandı"),"")</x:f>
      </x:c>
      <x:c r="I35" t="n">
        <x:f>COUNTIF(Yanlis_Defteri!$O$2:$O$401,"Açık")</x:f>
        <x:v>0</x:v>
      </x:c>
      <x:c r="J35" t="n">
        <x:f>COUNTIF(Konu_Ustaligi!$K$2:$K$110,"Zayıf")+COUNTIF(Konu_Ustaligi!$K$2:$K$110,"Pekiştirme")</x:f>
        <x:v>0</x:v>
      </x:c>
      <x:c r="K35" t="n">
        <x:f>COUNTIF(Kaynak_Ilerleme!$L$2:$L$11,"Gecikmiş")</x:f>
        <x:v>0</x:v>
      </x:c>
      <x:c r="L35" t="str"/>
    </x:row>
    <x:row r="36">
      <x:c r="A36" t="n">
        <x:v>35</x:v>
      </x:c>
      <x:c r="B36" s="12" t="n">
        <x:v>46534</x:v>
      </x:c>
      <x:c r="C36" s="12" t="n">
        <x:v>46540</x:v>
      </x:c>
      <x:c r="D36" t="n">
        <x:f>COUNTIFS(Gunluk_Gorevler!$B$2:$B$2948,"&gt;="&amp;B36,Gunluk_Gorevler!$B$2:$B$2948,"&lt;="&amp;C36,Gunluk_Gorevler!$Q$2:$Q$2948,"Evet")</x:f>
        <x:v>42</x:v>
      </x:c>
      <x:c r="E36" t="n">
        <x:f>COUNTIFS(Gunluk_Gorevler!$B$2:$B$2948,"&gt;="&amp;B36,Gunluk_Gorevler!$B$2:$B$2948,"&lt;="&amp;C36,Gunluk_Gorevler!$Q$2:$Q$2948,"Evet",Gunluk_Gorevler!$R$2:$R$2948,"Tamamlandı")</x:f>
        <x:v>0</x:v>
      </x:c>
      <x:c r="F36" s="22" t="n">
        <x:f>IF(D36=0,"",E36/D36)</x:f>
        <x:v>0</x:v>
      </x:c>
      <x:c r="G36" t="n">
        <x:f>COUNTIFS(Deneme_Takibi!$B$2:$B$61,"&gt;="&amp;B36,Deneme_Takibi!$B$2:$B$61,"&lt;="&amp;C36,Deneme_Takibi!$AM$2:$AM$61,"Tamamlandı")</x:f>
        <x:v>0</x:v>
      </x:c>
      <x:c r="H36" t="str">
        <x:f>IFERROR(SUMIFS(Deneme_Takibi!$AE$2:$AE$61,Deneme_Takibi!$B$2:$B$61,"&gt;="&amp;B36,Deneme_Takibi!$B$2:$B$61,"&lt;="&amp;C36,Deneme_Takibi!$AM$2:$AM$61,"Tamamlandı")/COUNTIFS(Deneme_Takibi!$B$2:$B$61,"&gt;="&amp;B36,Deneme_Takibi!$B$2:$B$61,"&lt;="&amp;C36,Deneme_Takibi!$AM$2:$AM$61,"Tamamlandı"),"")</x:f>
      </x:c>
      <x:c r="I36" t="n">
        <x:f>COUNTIF(Yanlis_Defteri!$O$2:$O$401,"Açık")</x:f>
        <x:v>0</x:v>
      </x:c>
      <x:c r="J36" t="n">
        <x:f>COUNTIF(Konu_Ustaligi!$K$2:$K$110,"Zayıf")+COUNTIF(Konu_Ustaligi!$K$2:$K$110,"Pekiştirme")</x:f>
        <x:v>0</x:v>
      </x:c>
      <x:c r="K36" t="n">
        <x:f>COUNTIF(Kaynak_Ilerleme!$L$2:$L$11,"Gecikmiş")</x:f>
        <x:v>0</x:v>
      </x:c>
      <x:c r="L36" t="str"/>
    </x:row>
    <x:row r="37">
      <x:c r="A37" t="n">
        <x:v>36</x:v>
      </x:c>
      <x:c r="B37" s="12" t="n">
        <x:v>46541</x:v>
      </x:c>
      <x:c r="C37" s="12" t="n">
        <x:v>46547</x:v>
      </x:c>
      <x:c r="D37" t="n">
        <x:f>COUNTIFS(Gunluk_Gorevler!$B$2:$B$2948,"&gt;="&amp;B37,Gunluk_Gorevler!$B$2:$B$2948,"&lt;="&amp;C37,Gunluk_Gorevler!$Q$2:$Q$2948,"Evet")</x:f>
        <x:v>42</x:v>
      </x:c>
      <x:c r="E37" t="n">
        <x:f>COUNTIFS(Gunluk_Gorevler!$B$2:$B$2948,"&gt;="&amp;B37,Gunluk_Gorevler!$B$2:$B$2948,"&lt;="&amp;C37,Gunluk_Gorevler!$Q$2:$Q$2948,"Evet",Gunluk_Gorevler!$R$2:$R$2948,"Tamamlandı")</x:f>
        <x:v>0</x:v>
      </x:c>
      <x:c r="F37" s="22" t="n">
        <x:f>IF(D37=0,"",E37/D37)</x:f>
        <x:v>0</x:v>
      </x:c>
      <x:c r="G37" t="n">
        <x:f>COUNTIFS(Deneme_Takibi!$B$2:$B$61,"&gt;="&amp;B37,Deneme_Takibi!$B$2:$B$61,"&lt;="&amp;C37,Deneme_Takibi!$AM$2:$AM$61,"Tamamlandı")</x:f>
        <x:v>0</x:v>
      </x:c>
      <x:c r="H37" t="str">
        <x:f>IFERROR(SUMIFS(Deneme_Takibi!$AE$2:$AE$61,Deneme_Takibi!$B$2:$B$61,"&gt;="&amp;B37,Deneme_Takibi!$B$2:$B$61,"&lt;="&amp;C37,Deneme_Takibi!$AM$2:$AM$61,"Tamamlandı")/COUNTIFS(Deneme_Takibi!$B$2:$B$61,"&gt;="&amp;B37,Deneme_Takibi!$B$2:$B$61,"&lt;="&amp;C37,Deneme_Takibi!$AM$2:$AM$61,"Tamamlandı"),"")</x:f>
      </x:c>
      <x:c r="I37" t="n">
        <x:f>COUNTIF(Yanlis_Defteri!$O$2:$O$401,"Açık")</x:f>
        <x:v>0</x:v>
      </x:c>
      <x:c r="J37" t="n">
        <x:f>COUNTIF(Konu_Ustaligi!$K$2:$K$110,"Zayıf")+COUNTIF(Konu_Ustaligi!$K$2:$K$110,"Pekiştirme")</x:f>
        <x:v>0</x:v>
      </x:c>
      <x:c r="K37" t="n">
        <x:f>COUNTIF(Kaynak_Ilerleme!$L$2:$L$11,"Gecikmiş")</x:f>
        <x:v>0</x:v>
      </x:c>
      <x:c r="L37" t="str"/>
    </x:row>
    <x:row r="38">
      <x:c r="A38" t="n">
        <x:v>37</x:v>
      </x:c>
      <x:c r="B38" s="12" t="n">
        <x:v>46548</x:v>
      </x:c>
      <x:c r="C38" s="12" t="n">
        <x:v>46551</x:v>
      </x:c>
      <x:c r="D38" t="n">
        <x:f>COUNTIFS(Gunluk_Gorevler!$B$2:$B$2948,"&gt;="&amp;B38,Gunluk_Gorevler!$B$2:$B$2948,"&lt;="&amp;C38,Gunluk_Gorevler!$Q$2:$Q$2948,"Evet")</x:f>
        <x:v>19</x:v>
      </x:c>
      <x:c r="E38" t="n">
        <x:f>COUNTIFS(Gunluk_Gorevler!$B$2:$B$2948,"&gt;="&amp;B38,Gunluk_Gorevler!$B$2:$B$2948,"&lt;="&amp;C38,Gunluk_Gorevler!$Q$2:$Q$2948,"Evet",Gunluk_Gorevler!$R$2:$R$2948,"Tamamlandı")</x:f>
        <x:v>0</x:v>
      </x:c>
      <x:c r="F38" s="22" t="n">
        <x:f>IF(D38=0,"",E38/D38)</x:f>
        <x:v>0</x:v>
      </x:c>
      <x:c r="G38" t="n">
        <x:f>COUNTIFS(Deneme_Takibi!$B$2:$B$61,"&gt;="&amp;B38,Deneme_Takibi!$B$2:$B$61,"&lt;="&amp;C38,Deneme_Takibi!$AM$2:$AM$61,"Tamamlandı")</x:f>
        <x:v>0</x:v>
      </x:c>
      <x:c r="H38" t="str">
        <x:f>IFERROR(SUMIFS(Deneme_Takibi!$AE$2:$AE$61,Deneme_Takibi!$B$2:$B$61,"&gt;="&amp;B38,Deneme_Takibi!$B$2:$B$61,"&lt;="&amp;C38,Deneme_Takibi!$AM$2:$AM$61,"Tamamlandı")/COUNTIFS(Deneme_Takibi!$B$2:$B$61,"&gt;="&amp;B38,Deneme_Takibi!$B$2:$B$61,"&lt;="&amp;C38,Deneme_Takibi!$AM$2:$AM$61,"Tamamlandı"),"")</x:f>
      </x:c>
      <x:c r="I38" t="n">
        <x:f>COUNTIF(Yanlis_Defteri!$O$2:$O$401,"Açık")</x:f>
        <x:v>0</x:v>
      </x:c>
      <x:c r="J38" t="n">
        <x:f>COUNTIF(Konu_Ustaligi!$K$2:$K$110,"Zayıf")+COUNTIF(Konu_Ustaligi!$K$2:$K$110,"Pekiştirme")</x:f>
        <x:v>0</x:v>
      </x:c>
      <x:c r="K38" t="n">
        <x:f>COUNTIF(Kaynak_Ilerleme!$L$2:$L$11,"Gecikmiş")</x:f>
        <x:v>0</x:v>
      </x:c>
      <x:c r="L38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6" hidden="0" customWidth="1"/>
    <x:col min="4" max="4" width="23" hidden="0" customWidth="1"/>
    <x:col min="5" max="5" width="17" hidden="0" customWidth="1"/>
    <x:col min="6" max="6" width="28" hidden="0" customWidth="1"/>
    <x:col min="7" max="7" width="62" hidden="0" customWidth="1"/>
    <x:col min="8" max="8" width="58" hidden="0" customWidth="1"/>
    <x:col min="9" max="9" width="16" hidden="0" customWidth="1"/>
    <x:col min="10" max="10" width="60" hidden="0" customWidth="1"/>
  </x:cols>
  <x:sheetData>
    <x:row r="1">
      <x:c r="A1" s="6" t="str">
        <x:v>Sıra</x:v>
      </x:c>
      <x:c r="B1" s="6" t="str">
        <x:v>Aşama</x:v>
      </x:c>
      <x:c r="C1" s="6" t="str">
        <x:v>Konu</x:v>
      </x:c>
      <x:c r="D1" s="6" t="str">
        <x:v>Planlanan Konu/Video Oturumu</x:v>
      </x:c>
      <x:c r="E1" s="6" t="str">
        <x:v>Konu Sonu MEB Gate</x:v>
      </x:c>
      <x:c r="F1" s="6" t="str">
        <x:v>Video Kaynağı</x:v>
      </x:c>
      <x:c r="G1" s="6" t="str">
        <x:v>Genel Oynatma Listesi</x:v>
      </x:c>
      <x:c r="H1" s="6" t="str">
        <x:v>Soru Kaynağı</x:v>
      </x:c>
      <x:c r="I1" s="6" t="str">
        <x:v>Durum</x:v>
      </x:c>
      <x:c r="J1" s="6" t="str">
        <x:v>Not</x:v>
      </x:c>
    </x:row>
    <x:row r="2">
      <x:c r="A2" s="14" t="n">
        <x:v>1</x:v>
      </x:c>
      <x:c r="B2" s="14" t="str">
        <x:v>Temel</x:v>
      </x:c>
      <x:c r="C2" s="14" t="str">
        <x:v>Temel Kavramlar</x:v>
      </x:c>
      <x:c r="D2" s="14" t="n">
        <x:v>1</x:v>
      </x:c>
      <x:c r="E2" s="15" t="n">
        <x:v>46297</x:v>
      </x:c>
      <x:c r="F2" s="14" t="str">
        <x:v>Matematik Ana</x:v>
      </x:c>
      <x:c r="G2" s="14" t="str">
        <x:v>https://www.youtube.com/watch?v=EuJ89QzqrAg&amp;list=PLicNtF7vp6fnfDqrRLH6H7fIbzYT4ct4F&amp;index=11</x:v>
      </x:c>
      <x:c r="H2" s="14" t="str">
        <x:v>MUBA 8. Sınıf Başlangıç Matematik (ISBN 9789756526972) (eşleşen bölüm) + MEB temel destek</x:v>
      </x:c>
      <x:c r="I2" s="14" t="str">
        <x:v>Planlandı</x:v>
      </x:c>
      <x:c r="J2" s="14" t="str">
        <x:v>Son video/konu oturumunda kitap bölümünü kapat; sonraki gün MEB doğrulaması. MEB &lt;80% ise zayıf, 80-89% pekiştirme, ≥90% ve açık hata yoksa güçlü.</x:v>
      </x:c>
    </x:row>
    <x:row r="3">
      <x:c r="A3" s="14" t="n">
        <x:v>2</x:v>
      </x:c>
      <x:c r="B3" s="14" t="str">
        <x:v>Temel</x:v>
      </x:c>
      <x:c r="C3" s="14" t="str">
        <x:v>Doğal Sayılar</x:v>
      </x:c>
      <x:c r="D3" s="14" t="n">
        <x:v>1</x:v>
      </x:c>
      <x:c r="E3" s="15" t="n">
        <x:v>46299</x:v>
      </x:c>
      <x:c r="F3" s="14" t="str">
        <x:v>Matematik Ana</x:v>
      </x:c>
      <x:c r="G3" s="14" t="str">
        <x:v>https://www.youtube.com/watch?v=EuJ89QzqrAg&amp;list=PLicNtF7vp6fnfDqrRLH6H7fIbzYT4ct4F&amp;index=11</x:v>
      </x:c>
      <x:c r="H3" s="14" t="str">
        <x:v>MUBA 8. Sınıf Başlangıç Matematik (ISBN 9789756526972) (eşleşen bölüm) + MEB temel destek</x:v>
      </x:c>
      <x:c r="I3" s="14" t="str">
        <x:v>Planlandı</x:v>
      </x:c>
      <x:c r="J3" s="14" t="str">
        <x:v>Son video/konu oturumunda kitap bölümünü kapat; sonraki gün MEB doğrulaması. MEB &lt;80% ise zayıf, 80-89% pekiştirme, ≥90% ve açık hata yoksa güçlü.</x:v>
      </x:c>
    </x:row>
    <x:row r="4">
      <x:c r="A4" s="14" t="n">
        <x:v>3</x:v>
      </x:c>
      <x:c r="B4" s="14" t="str">
        <x:v>Temel</x:v>
      </x:c>
      <x:c r="C4" s="14" t="str">
        <x:v>Tam Sayılar</x:v>
      </x:c>
      <x:c r="D4" s="14" t="n">
        <x:v>2</x:v>
      </x:c>
      <x:c r="E4" s="15" t="n">
        <x:v>46302</x:v>
      </x:c>
      <x:c r="F4" s="14" t="str">
        <x:v>Matematik Ana</x:v>
      </x:c>
      <x:c r="G4" s="14" t="str">
        <x:v>https://www.youtube.com/watch?v=EuJ89QzqrAg&amp;list=PLicNtF7vp6fnfDqrRLH6H7fIbzYT4ct4F&amp;index=11</x:v>
      </x:c>
      <x:c r="H4" s="14" t="str">
        <x:v>MUBA 8. Sınıf Başlangıç Matematik (ISBN 9789756526972) (eşleşen bölüm) + MEB temel destek</x:v>
      </x:c>
      <x:c r="I4" s="14" t="str">
        <x:v>Planlandı</x:v>
      </x:c>
      <x:c r="J4" s="14" t="str">
        <x:v>Son video/konu oturumunda kitap bölümünü kapat; sonraki gün MEB doğrulaması. MEB &lt;80% ise zayıf, 80-89% pekiştirme, ≥90% ve açık hata yoksa güçlü.</x:v>
      </x:c>
    </x:row>
    <x:row r="5">
      <x:c r="A5" s="14" t="n">
        <x:v>4</x:v>
      </x:c>
      <x:c r="B5" s="14" t="str">
        <x:v>Temel</x:v>
      </x:c>
      <x:c r="C5" s="14" t="str">
        <x:v>Rasyonel Sayılar</x:v>
      </x:c>
      <x:c r="D5" s="14" t="n">
        <x:v>4</x:v>
      </x:c>
      <x:c r="E5" s="15" t="n">
        <x:v>46307</x:v>
      </x:c>
      <x:c r="F5" s="14" t="str">
        <x:v>Matematik Ana</x:v>
      </x:c>
      <x:c r="G5" s="14" t="str">
        <x:v>https://www.youtube.com/watch?v=EuJ89QzqrAg&amp;list=PLicNtF7vp6fnfDqrRLH6H7fIbzYT4ct4F&amp;index=11</x:v>
      </x:c>
      <x:c r="H5" s="14" t="str">
        <x:v>MUBA 8. Sınıf Başlangıç Matematik (ISBN 9789756526972) (eşleşen bölüm) + MEB temel destek</x:v>
      </x:c>
      <x:c r="I5" s="14" t="str">
        <x:v>Planlandı</x:v>
      </x:c>
      <x:c r="J5" s="14" t="str">
        <x:v>Son video/konu oturumunda kitap bölümünü kapat; sonraki gün MEB doğrulaması. MEB &lt;80% ise zayıf, 80-89% pekiştirme, ≥90% ve açık hata yoksa güçlü.</x:v>
      </x:c>
    </x:row>
    <x:row r="6">
      <x:c r="A6" s="14" t="n">
        <x:v>5</x:v>
      </x:c>
      <x:c r="B6" s="14" t="str">
        <x:v>Temel</x:v>
      </x:c>
      <x:c r="C6" s="14" t="str">
        <x:v>Ardışık Sayılar</x:v>
      </x:c>
      <x:c r="D6" s="14" t="n">
        <x:v>2</x:v>
      </x:c>
      <x:c r="E6" s="15" t="n">
        <x:v>46310</x:v>
      </x:c>
      <x:c r="F6" s="14" t="str">
        <x:v>Matematik Ana</x:v>
      </x:c>
      <x:c r="G6" s="14" t="str">
        <x:v>https://www.youtube.com/watch?v=EuJ89QzqrAg&amp;list=PLicNtF7vp6fnfDqrRLH6H7fIbzYT4ct4F&amp;index=11</x:v>
      </x:c>
      <x:c r="H6" s="14" t="str">
        <x:v>MUBA 8. Sınıf Başlangıç Matematik (ISBN 9789756526972) (eşleşen bölüm) + MEB temel destek</x:v>
      </x:c>
      <x:c r="I6" s="14" t="str">
        <x:v>Planlandı</x:v>
      </x:c>
      <x:c r="J6" s="14" t="str">
        <x:v>Son video/konu oturumunda kitap bölümünü kapat; sonraki gün MEB doğrulaması. MEB &lt;80% ise zayıf, 80-89% pekiştirme, ≥90% ve açık hata yoksa güçlü.</x:v>
      </x:c>
    </x:row>
    <x:row r="7">
      <x:c r="A7" s="14" t="n">
        <x:v>6</x:v>
      </x:c>
      <x:c r="B7" s="14" t="str">
        <x:v>Temel</x:v>
      </x:c>
      <x:c r="C7" s="14" t="str">
        <x:v>Asal Sayılar ve Aralarında Asallık</x:v>
      </x:c>
      <x:c r="D7" s="14" t="n">
        <x:v>2</x:v>
      </x:c>
      <x:c r="E7" s="15" t="n">
        <x:v>46313</x:v>
      </x:c>
      <x:c r="F7" s="14" t="str">
        <x:v>Matematik Ana</x:v>
      </x:c>
      <x:c r="G7" s="14" t="str">
        <x:v>https://www.youtube.com/watch?v=EuJ89QzqrAg&amp;list=PLicNtF7vp6fnfDqrRLH6H7fIbzYT4ct4F&amp;index=11</x:v>
      </x:c>
      <x:c r="H7" s="14" t="str">
        <x:v>MUBA 8. Sınıf Başlangıç Matematik (ISBN 9789756526972) (eşleşen bölüm) + MEB temel destek</x:v>
      </x:c>
      <x:c r="I7" s="14" t="str">
        <x:v>Planlandı</x:v>
      </x:c>
      <x:c r="J7" s="14" t="str">
        <x:v>Son video/konu oturumunda kitap bölümünü kapat; sonraki gün MEB doğrulaması. MEB &lt;80% ise zayıf, 80-89% pekiştirme, ≥90% ve açık hata yoksa güçlü.</x:v>
      </x:c>
    </x:row>
    <x:row r="8">
      <x:c r="A8" s="14" t="n">
        <x:v>7</x:v>
      </x:c>
      <x:c r="B8" s="14" t="str">
        <x:v>Temel</x:v>
      </x:c>
      <x:c r="C8" s="14" t="str">
        <x:v>Sayı Basamakları</x:v>
      </x:c>
      <x:c r="D8" s="14" t="n">
        <x:v>2</x:v>
      </x:c>
      <x:c r="E8" s="15" t="n">
        <x:v>46316</x:v>
      </x:c>
      <x:c r="F8" s="14" t="str">
        <x:v>Matematik Ana</x:v>
      </x:c>
      <x:c r="G8" s="14" t="str">
        <x:v>https://www.youtube.com/watch?v=EuJ89QzqrAg&amp;list=PLicNtF7vp6fnfDqrRLH6H7fIbzYT4ct4F&amp;index=11</x:v>
      </x:c>
      <x:c r="H8" s="14" t="str">
        <x:v>MUBA 8. Sınıf Başlangıç Matematik (ISBN 9789756526972) (eşleşen bölüm) + MEB temel destek</x:v>
      </x:c>
      <x:c r="I8" s="14" t="str">
        <x:v>Planlandı</x:v>
      </x:c>
      <x:c r="J8" s="14" t="str">
        <x:v>Son video/konu oturumunda kitap bölümünü kapat; sonraki gün MEB doğrulaması. MEB &lt;80% ise zayıf, 80-89% pekiştirme, ≥90% ve açık hata yoksa güçlü.</x:v>
      </x:c>
    </x:row>
    <x:row r="9">
      <x:c r="A9" s="14" t="n">
        <x:v>8</x:v>
      </x:c>
      <x:c r="B9" s="14" t="str">
        <x:v>Temel</x:v>
      </x:c>
      <x:c r="C9" s="14" t="str">
        <x:v>Bölme ve Bölünebilme</x:v>
      </x:c>
      <x:c r="D9" s="14" t="n">
        <x:v>5</x:v>
      </x:c>
      <x:c r="E9" s="15" t="n">
        <x:v>46322</x:v>
      </x:c>
      <x:c r="F9" s="14" t="str">
        <x:v>Matematik Ana</x:v>
      </x:c>
      <x:c r="G9" s="14" t="str">
        <x:v>https://www.youtube.com/watch?v=EuJ89QzqrAg&amp;list=PLicNtF7vp6fnfDqrRLH6H7fIbzYT4ct4F&amp;index=11</x:v>
      </x:c>
      <x:c r="H9" s="14" t="str">
        <x:v>MUBA 8. Sınıf Başlangıç Matematik (ISBN 9789756526972) (eşleşen bölüm) + MEB temel destek</x:v>
      </x:c>
      <x:c r="I9" s="14" t="str">
        <x:v>Planlandı</x:v>
      </x:c>
      <x:c r="J9" s="14" t="str">
        <x:v>Son video/konu oturumunda kitap bölümünü kapat; sonraki gün MEB doğrulaması. MEB &lt;80% ise zayıf, 80-89% pekiştirme, ≥90% ve açık hata yoksa güçlü.</x:v>
      </x:c>
    </x:row>
    <x:row r="10">
      <x:c r="A10" s="14" t="n">
        <x:v>9</x:v>
      </x:c>
      <x:c r="B10" s="14" t="str">
        <x:v>Temel</x:v>
      </x:c>
      <x:c r="C10" s="14" t="str">
        <x:v>Asal Çarpanlara Ayırma</x:v>
      </x:c>
      <x:c r="D10" s="14" t="n">
        <x:v>3</x:v>
      </x:c>
      <x:c r="E10" s="15" t="n">
        <x:v>46326</x:v>
      </x:c>
      <x:c r="F10" s="14" t="str">
        <x:v>Matematik Ana</x:v>
      </x:c>
      <x:c r="G10" s="14" t="str">
        <x:v>https://www.youtube.com/watch?v=EuJ89QzqrAg&amp;list=PLicNtF7vp6fnfDqrRLH6H7fIbzYT4ct4F&amp;index=11</x:v>
      </x:c>
      <x:c r="H10" s="14" t="str">
        <x:v>MUBA 8. Sınıf Başlangıç Matematik (ISBN 9789756526972) (eşleşen bölüm) + MEB temel destek</x:v>
      </x:c>
      <x:c r="I10" s="14" t="str">
        <x:v>Planlandı</x:v>
      </x:c>
      <x:c r="J10" s="14" t="str">
        <x:v>Son video/konu oturumunda kitap bölümünü kapat; sonraki gün MEB doğrulaması. MEB &lt;80% ise zayıf, 80-89% pekiştirme, ≥90% ve açık hata yoksa güçlü.</x:v>
      </x:c>
    </x:row>
    <x:row r="11">
      <x:c r="A11" s="14" t="n">
        <x:v>10</x:v>
      </x:c>
      <x:c r="B11" s="14" t="str">
        <x:v>Temel</x:v>
      </x:c>
      <x:c r="C11" s="14" t="str">
        <x:v>EBOB - EKOK</x:v>
      </x:c>
      <x:c r="D11" s="14" t="n">
        <x:v>3</x:v>
      </x:c>
      <x:c r="E11" s="15" t="n">
        <x:v>46330</x:v>
      </x:c>
      <x:c r="F11" s="14" t="str">
        <x:v>Matematik Ana</x:v>
      </x:c>
      <x:c r="G11" s="14" t="str">
        <x:v>https://www.youtube.com/watch?v=EuJ89QzqrAg&amp;list=PLicNtF7vp6fnfDqrRLH6H7fIbzYT4ct4F&amp;index=11</x:v>
      </x:c>
      <x:c r="H11" s="14" t="str">
        <x:v>MUBA 8. Sınıf Başlangıç Matematik (ISBN 9789756526972) (eşleşen bölüm) + MEB temel destek</x:v>
      </x:c>
      <x:c r="I11" s="14" t="str">
        <x:v>Planlandı</x:v>
      </x:c>
      <x:c r="J11" s="14" t="str">
        <x:v>Son video/konu oturumunda kitap bölümünü kapat; sonraki gün MEB doğrulaması. MEB &lt;80% ise zayıf, 80-89% pekiştirme, ≥90% ve açık hata yoksa güçlü.</x:v>
      </x:c>
    </x:row>
    <x:row r="12">
      <x:c r="A12" s="14" t="n">
        <x:v>11</x:v>
      </x:c>
      <x:c r="B12" s="14" t="str">
        <x:v>Temel</x:v>
      </x:c>
      <x:c r="C12" s="14" t="str">
        <x:v>Sıralama ve Basit Eşitsizlik Altyapısı</x:v>
      </x:c>
      <x:c r="D12" s="14" t="n">
        <x:v>2</x:v>
      </x:c>
      <x:c r="E12" s="15" t="n">
        <x:v>46333</x:v>
      </x:c>
      <x:c r="F12" s="14" t="str">
        <x:v>Matematik Ana</x:v>
      </x:c>
      <x:c r="G12" s="14" t="str">
        <x:v>https://www.youtube.com/watch?v=EuJ89QzqrAg&amp;list=PLicNtF7vp6fnfDqrRLH6H7fIbzYT4ct4F&amp;index=11</x:v>
      </x:c>
      <x:c r="H12" s="14" t="str">
        <x:v>MUBA 8. Sınıf Başlangıç Matematik (ISBN 9789756526972) (eşleşen bölüm) + MEB temel destek</x:v>
      </x:c>
      <x:c r="I12" s="14" t="str">
        <x:v>Planlandı</x:v>
      </x:c>
      <x:c r="J12" s="14" t="str">
        <x:v>Son video/konu oturumunda kitap bölümünü kapat; sonraki gün MEB doğrulaması. MEB &lt;80% ise zayıf, 80-89% pekiştirme, ≥90% ve açık hata yoksa güçlü.</x:v>
      </x:c>
    </x:row>
    <x:row r="13">
      <x:c r="A13" s="14" t="n">
        <x:v>12</x:v>
      </x:c>
      <x:c r="B13" s="14" t="str">
        <x:v>Temel</x:v>
      </x:c>
      <x:c r="C13" s="14" t="str">
        <x:v>Mutlak Değer ve Sayı Doğrusu</x:v>
      </x:c>
      <x:c r="D13" s="14" t="n">
        <x:v>2</x:v>
      </x:c>
      <x:c r="E13" s="15" t="n">
        <x:v>46336</x:v>
      </x:c>
      <x:c r="F13" s="14" t="str">
        <x:v>Matematik Ana</x:v>
      </x:c>
      <x:c r="G13" s="14" t="str">
        <x:v>https://www.youtube.com/watch?v=EuJ89QzqrAg&amp;list=PLicNtF7vp6fnfDqrRLH6H7fIbzYT4ct4F&amp;index=11</x:v>
      </x:c>
      <x:c r="H13" s="14" t="str">
        <x:v>MUBA 8. Sınıf Başlangıç Matematik (ISBN 9789756526972) (eşleşen bölüm) + MEB temel destek</x:v>
      </x:c>
      <x:c r="I13" s="14" t="str">
        <x:v>Planlandı</x:v>
      </x:c>
      <x:c r="J13" s="14" t="str">
        <x:v>Son video/konu oturumunda kitap bölümünü kapat; sonraki gün MEB doğrulaması. MEB &lt;80% ise zayıf, 80-89% pekiştirme, ≥90% ve açık hata yoksa güçlü.</x:v>
      </x:c>
    </x:row>
    <x:row r="14">
      <x:c r="A14" s="14" t="n">
        <x:v>13</x:v>
      </x:c>
      <x:c r="B14" s="14" t="str">
        <x:v>Temel</x:v>
      </x:c>
      <x:c r="C14" s="14" t="str">
        <x:v>Üslü Sayılar ve Bilimsel Gösterim Altyapısı</x:v>
      </x:c>
      <x:c r="D14" s="14" t="n">
        <x:v>4</x:v>
      </x:c>
      <x:c r="E14" s="15" t="n">
        <x:v>46341</x:v>
      </x:c>
      <x:c r="F14" s="14" t="str">
        <x:v>Matematik Ana</x:v>
      </x:c>
      <x:c r="G14" s="14" t="str">
        <x:v>https://www.youtube.com/watch?v=EuJ89QzqrAg&amp;list=PLicNtF7vp6fnfDqrRLH6H7fIbzYT4ct4F&amp;index=11</x:v>
      </x:c>
      <x:c r="H14" s="14" t="str">
        <x:v>MUBA 8. Sınıf Başlangıç Matematik (ISBN 9789756526972) (eşleşen bölüm) + MEB temel destek</x:v>
      </x:c>
      <x:c r="I14" s="14" t="str">
        <x:v>Planlandı</x:v>
      </x:c>
      <x:c r="J14" s="14" t="str">
        <x:v>Son video/konu oturumunda kitap bölümünü kapat; sonraki gün MEB doğrulaması. MEB &lt;80% ise zayıf, 80-89% pekiştirme, ≥90% ve açık hata yoksa güçlü.</x:v>
      </x:c>
    </x:row>
    <x:row r="15">
      <x:c r="A15" s="14" t="n">
        <x:v>14</x:v>
      </x:c>
      <x:c r="B15" s="14" t="str">
        <x:v>Temel</x:v>
      </x:c>
      <x:c r="C15" s="14" t="str">
        <x:v>Köklü Sayılar Altyapısı</x:v>
      </x:c>
      <x:c r="D15" s="14" t="n">
        <x:v>5</x:v>
      </x:c>
      <x:c r="E15" s="15" t="n">
        <x:v>46347</x:v>
      </x:c>
      <x:c r="F15" s="14" t="str">
        <x:v>Matematik Ana</x:v>
      </x:c>
      <x:c r="G15" s="14" t="str">
        <x:v>https://www.youtube.com/watch?v=EuJ89QzqrAg&amp;list=PLicNtF7vp6fnfDqrRLH6H7fIbzYT4ct4F&amp;index=11</x:v>
      </x:c>
      <x:c r="H15" s="14" t="str">
        <x:v>MUBA 8. Sınıf Başlangıç Matematik (ISBN 9789756526972) (eşleşen bölüm) + MEB temel destek</x:v>
      </x:c>
      <x:c r="I15" s="14" t="str">
        <x:v>Planlandı</x:v>
      </x:c>
      <x:c r="J15" s="14" t="str">
        <x:v>Son video/konu oturumunda kitap bölümünü kapat; sonraki gün MEB doğrulaması. MEB &lt;80% ise zayıf, 80-89% pekiştirme, ≥90% ve açık hata yoksa güçlü.</x:v>
      </x:c>
    </x:row>
    <x:row r="16">
      <x:c r="A16" s="14" t="n">
        <x:v>15</x:v>
      </x:c>
      <x:c r="B16" s="14" t="str">
        <x:v>Temel</x:v>
      </x:c>
      <x:c r="C16" s="14" t="str">
        <x:v>Oran - Orantı</x:v>
      </x:c>
      <x:c r="D16" s="14" t="n">
        <x:v>4</x:v>
      </x:c>
      <x:c r="E16" s="15" t="n">
        <x:v>46352</x:v>
      </x:c>
      <x:c r="F16" s="14" t="str">
        <x:v>Matematik Ana</x:v>
      </x:c>
      <x:c r="G16" s="14" t="str">
        <x:v>https://www.youtube.com/watch?v=EuJ89QzqrAg&amp;list=PLicNtF7vp6fnfDqrRLH6H7fIbzYT4ct4F&amp;index=11</x:v>
      </x:c>
      <x:c r="H16" s="14" t="str">
        <x:v>MUBA 8. Sınıf Başlangıç Matematik (ISBN 9789756526972) (eşleşen bölüm) + MEB temel destek</x:v>
      </x:c>
      <x:c r="I16" s="14" t="str">
        <x:v>Planlandı</x:v>
      </x:c>
      <x:c r="J16" s="14" t="str">
        <x:v>Son video/konu oturumunda kitap bölümünü kapat; sonraki gün MEB doğrulaması. MEB &lt;80% ise zayıf, 80-89% pekiştirme, ≥90% ve açık hata yoksa güçlü.</x:v>
      </x:c>
    </x:row>
    <x:row r="17">
      <x:c r="A17" s="14" t="n">
        <x:v>16</x:v>
      </x:c>
      <x:c r="B17" s="14" t="str">
        <x:v>Temel</x:v>
      </x:c>
      <x:c r="C17" s="14" t="str">
        <x:v>Denklem Çözme</x:v>
      </x:c>
      <x:c r="D17" s="14" t="n">
        <x:v>2</x:v>
      </x:c>
      <x:c r="E17" s="15" t="n">
        <x:v>46355</x:v>
      </x:c>
      <x:c r="F17" s="14" t="str">
        <x:v>Matematik Ana</x:v>
      </x:c>
      <x:c r="G17" s="14" t="str">
        <x:v>https://www.youtube.com/watch?v=EuJ89QzqrAg&amp;list=PLicNtF7vp6fnfDqrRLH6H7fIbzYT4ct4F&amp;index=11</x:v>
      </x:c>
      <x:c r="H17" s="14" t="str">
        <x:v>MUBA 8. Sınıf Başlangıç Matematik (ISBN 9789756526972) (eşleşen bölüm) + MEB temel destek</x:v>
      </x:c>
      <x:c r="I17" s="14" t="str">
        <x:v>Planlandı</x:v>
      </x:c>
      <x:c r="J17" s="14" t="str">
        <x:v>Son video/konu oturumunda kitap bölümünü kapat; sonraki gün MEB doğrulaması. MEB &lt;80% ise zayıf, 80-89% pekiştirme, ≥90% ve açık hata yoksa güçlü.</x:v>
      </x:c>
    </x:row>
    <x:row r="18">
      <x:c r="A18" s="14" t="n">
        <x:v>17</x:v>
      </x:c>
      <x:c r="B18" s="14" t="str">
        <x:v>Temel</x:v>
      </x:c>
      <x:c r="C18" s="14" t="str">
        <x:v>Denklem Kurma Problemleri</x:v>
      </x:c>
      <x:c r="D18" s="14" t="n">
        <x:v>4</x:v>
      </x:c>
      <x:c r="E18" s="15" t="n">
        <x:v>46360</x:v>
      </x:c>
      <x:c r="F18" s="14" t="str">
        <x:v>Matematik Ana</x:v>
      </x:c>
      <x:c r="G18" s="14" t="str">
        <x:v>https://www.youtube.com/watch?v=EuJ89QzqrAg&amp;list=PLicNtF7vp6fnfDqrRLH6H7fIbzYT4ct4F&amp;index=11</x:v>
      </x:c>
      <x:c r="H18" s="14" t="str">
        <x:v>MUBA 8. Sınıf Başlangıç Matematik (ISBN 9789756526972) (eşleşen bölüm) + MEB temel destek</x:v>
      </x:c>
      <x:c r="I18" s="14" t="str">
        <x:v>Planlandı</x:v>
      </x:c>
      <x:c r="J18" s="14" t="str">
        <x:v>Son video/konu oturumunda kitap bölümünü kapat; sonraki gün MEB doğrulaması. MEB &lt;80% ise zayıf, 80-89% pekiştirme, ≥90% ve açık hata yoksa güçlü.</x:v>
      </x:c>
    </x:row>
    <x:row r="19">
      <x:c r="A19" s="14" t="n">
        <x:v>18</x:v>
      </x:c>
      <x:c r="B19" s="14" t="str">
        <x:v>Temel</x:v>
      </x:c>
      <x:c r="C19" s="14" t="str">
        <x:v>Yüzde ve Temel Problem Çeşitleri</x:v>
      </x:c>
      <x:c r="D19" s="14" t="n">
        <x:v>4</x:v>
      </x:c>
      <x:c r="E19" s="15" t="n">
        <x:v>46365</x:v>
      </x:c>
      <x:c r="F19" s="14" t="str">
        <x:v>Matematik Ana</x:v>
      </x:c>
      <x:c r="G19" s="14" t="str">
        <x:v>https://www.youtube.com/watch?v=EuJ89QzqrAg&amp;list=PLicNtF7vp6fnfDqrRLH6H7fIbzYT4ct4F&amp;index=11</x:v>
      </x:c>
      <x:c r="H19" s="14" t="str">
        <x:v>MUBA 8. Sınıf Başlangıç Matematik (ISBN 9789756526972) (eşleşen bölüm) + MEB temel destek</x:v>
      </x:c>
      <x:c r="I19" s="14" t="str">
        <x:v>Planlandı</x:v>
      </x:c>
      <x:c r="J19" s="14" t="str">
        <x:v>Son video/konu oturumunda kitap bölümünü kapat; sonraki gün MEB doğrulaması. MEB &lt;80% ise zayıf, 80-89% pekiştirme, ≥90% ve açık hata yoksa güçlü.</x:v>
      </x:c>
    </x:row>
    <x:row r="20">
      <x:c r="A20" s="14" t="n">
        <x:v>19</x:v>
      </x:c>
      <x:c r="B20" s="14" t="str">
        <x:v>LGS 8</x:v>
      </x:c>
      <x:c r="C20" s="14" t="str">
        <x:v>Çarpanlar ve Katlar</x:v>
      </x:c>
      <x:c r="D20" s="14" t="n">
        <x:v>3</x:v>
      </x:c>
      <x:c r="E20" s="15" t="n">
        <x:v>46369</x:v>
      </x:c>
      <x:c r="F20" s="14" t="str">
        <x:v>Matematik Yedek</x:v>
      </x:c>
      <x:c r="G20" s="14" t="str">
        <x:v>https://www.youtube.com/watch?v=Z7exqEHEqQA&amp;list=PLHN_SjKO7rCI&amp;index=3</x:v>
      </x:c>
      <x:c r="H20" s="14" t="str">
        <x:v>MUBA 8. Sınıf Başlangıç Matematik (ISBN 9789756526972); tamamlandıysa Mozaik 8. Sınıf Matematik</x:v>
      </x:c>
      <x:c r="I20" s="14" t="str">
        <x:v>Planlandı</x:v>
      </x:c>
      <x:c r="J20" s="14" t="str">
        <x:v>Son video/konu oturumunda kitap bölümünü kapat; sonraki gün MEB doğrulaması. MEB &lt;80% ise zayıf, 80-89% pekiştirme, ≥90% ve açık hata yoksa güçlü.</x:v>
      </x:c>
    </x:row>
    <x:row r="21">
      <x:c r="A21" s="14" t="n">
        <x:v>20</x:v>
      </x:c>
      <x:c r="B21" s="14" t="str">
        <x:v>LGS 8</x:v>
      </x:c>
      <x:c r="C21" s="14" t="str">
        <x:v>Üslü İfadeler</x:v>
      </x:c>
      <x:c r="D21" s="14" t="n">
        <x:v>3</x:v>
      </x:c>
      <x:c r="E21" s="15" t="n">
        <x:v>46373</x:v>
      </x:c>
      <x:c r="F21" s="14" t="str">
        <x:v>Matematik Ana</x:v>
      </x:c>
      <x:c r="G21" s="14" t="str">
        <x:v>https://www.youtube.com/watch?v=EuJ89QzqrAg&amp;list=PLicNtF7vp6fnfDqrRLH6H7fIbzYT4ct4F&amp;index=11</x:v>
      </x:c>
      <x:c r="H21" s="14" t="str">
        <x:v>MUBA 8. Sınıf Başlangıç Matematik (ISBN 9789756526972); tamamlandıysa Mozaik 8. Sınıf Matematik</x:v>
      </x:c>
      <x:c r="I21" s="14" t="str">
        <x:v>Planlandı</x:v>
      </x:c>
      <x:c r="J21" s="14" t="str">
        <x:v>Son video/konu oturumunda kitap bölümünü kapat; sonraki gün MEB doğrulaması. MEB &lt;80% ise zayıf, 80-89% pekiştirme, ≥90% ve açık hata yoksa güçlü.</x:v>
      </x:c>
    </x:row>
    <x:row r="22">
      <x:c r="A22" s="14" t="n">
        <x:v>21</x:v>
      </x:c>
      <x:c r="B22" s="14" t="str">
        <x:v>LGS 8</x:v>
      </x:c>
      <x:c r="C22" s="14" t="str">
        <x:v>Kareköklü İfadeler</x:v>
      </x:c>
      <x:c r="D22" s="14" t="n">
        <x:v>4</x:v>
      </x:c>
      <x:c r="E22" s="15" t="n">
        <x:v>46378</x:v>
      </x:c>
      <x:c r="F22" s="14" t="str">
        <x:v>Matematik Ana</x:v>
      </x:c>
      <x:c r="G22" s="14" t="str">
        <x:v>https://www.youtube.com/watch?v=EuJ89QzqrAg&amp;list=PLicNtF7vp6fnfDqrRLH6H7fIbzYT4ct4F&amp;index=11</x:v>
      </x:c>
      <x:c r="H22" s="14" t="str">
        <x:v>MUBA 8. Sınıf Başlangıç Matematik (ISBN 9789756526972); tamamlandıysa Mozaik 8. Sınıf Matematik</x:v>
      </x:c>
      <x:c r="I22" s="14" t="str">
        <x:v>Planlandı</x:v>
      </x:c>
      <x:c r="J22" s="14" t="str">
        <x:v>Son video/konu oturumunda kitap bölümünü kapat; sonraki gün MEB doğrulaması. MEB &lt;80% ise zayıf, 80-89% pekiştirme, ≥90% ve açık hata yoksa güçlü.</x:v>
      </x:c>
    </x:row>
    <x:row r="23">
      <x:c r="A23" s="14" t="n">
        <x:v>22</x:v>
      </x:c>
      <x:c r="B23" s="14" t="str">
        <x:v>LGS 8</x:v>
      </x:c>
      <x:c r="C23" s="14" t="str">
        <x:v>Veri Analizi</x:v>
      </x:c>
      <x:c r="D23" s="14" t="n">
        <x:v>2</x:v>
      </x:c>
      <x:c r="E23" s="15" t="n">
        <x:v>46381</x:v>
      </x:c>
      <x:c r="F23" s="14" t="str">
        <x:v>Matematik Ana</x:v>
      </x:c>
      <x:c r="G23" s="14" t="str">
        <x:v>https://www.youtube.com/watch?v=EuJ89QzqrAg&amp;list=PLicNtF7vp6fnfDqrRLH6H7fIbzYT4ct4F&amp;index=11</x:v>
      </x:c>
      <x:c r="H23" s="14" t="str">
        <x:v>MUBA 8. Sınıf Başlangıç Matematik (ISBN 9789756526972); tamamlandıysa Mozaik 8. Sınıf Matematik</x:v>
      </x:c>
      <x:c r="I23" s="14" t="str">
        <x:v>Planlandı</x:v>
      </x:c>
      <x:c r="J23" s="14" t="str">
        <x:v>Son video/konu oturumunda kitap bölümünü kapat; sonraki gün MEB doğrulaması. MEB &lt;80% ise zayıf, 80-89% pekiştirme, ≥90% ve açık hata yoksa güçlü.</x:v>
      </x:c>
    </x:row>
    <x:row r="24">
      <x:c r="A24" s="14" t="n">
        <x:v>23</x:v>
      </x:c>
      <x:c r="B24" s="14" t="str">
        <x:v>LGS 8</x:v>
      </x:c>
      <x:c r="C24" s="14" t="str">
        <x:v>Basit Olayların Olma Olasılığı</x:v>
      </x:c>
      <x:c r="D24" s="14" t="n">
        <x:v>2</x:v>
      </x:c>
      <x:c r="E24" s="15" t="n">
        <x:v>46384</x:v>
      </x:c>
      <x:c r="F24" s="14" t="str">
        <x:v>Matematik Ana</x:v>
      </x:c>
      <x:c r="G24" s="14" t="str">
        <x:v>https://www.youtube.com/watch?v=EuJ89QzqrAg&amp;list=PLicNtF7vp6fnfDqrRLH6H7fIbzYT4ct4F&amp;index=11</x:v>
      </x:c>
      <x:c r="H24" s="14" t="str">
        <x:v>MUBA 8. Sınıf Başlangıç Matematik (ISBN 9789756526972); tamamlandıysa Mozaik 8. Sınıf Matematik</x:v>
      </x:c>
      <x:c r="I24" s="14" t="str">
        <x:v>Planlandı</x:v>
      </x:c>
      <x:c r="J24" s="14" t="str">
        <x:v>Son video/konu oturumunda kitap bölümünü kapat; sonraki gün MEB doğrulaması. MEB &lt;80% ise zayıf, 80-89% pekiştirme, ≥90% ve açık hata yoksa güçlü.</x:v>
      </x:c>
    </x:row>
    <x:row r="25">
      <x:c r="A25" s="14" t="n">
        <x:v>24</x:v>
      </x:c>
      <x:c r="B25" s="14" t="str">
        <x:v>LGS 8</x:v>
      </x:c>
      <x:c r="C25" s="14" t="str">
        <x:v>Cebirsel İfadeler ve Özdeşlikler</x:v>
      </x:c>
      <x:c r="D25" s="14" t="n">
        <x:v>4</x:v>
      </x:c>
      <x:c r="E25" s="15" t="n">
        <x:v>46389</x:v>
      </x:c>
      <x:c r="F25" s="14" t="str">
        <x:v>Matematik Ana</x:v>
      </x:c>
      <x:c r="G25" s="14" t="str">
        <x:v>https://www.youtube.com/watch?v=EuJ89QzqrAg&amp;list=PLicNtF7vp6fnfDqrRLH6H7fIbzYT4ct4F&amp;index=11</x:v>
      </x:c>
      <x:c r="H25" s="14" t="str">
        <x:v>MUBA 8. Sınıf Başlangıç Matematik (ISBN 9789756526972); tamamlandıysa Mozaik 8. Sınıf Matematik</x:v>
      </x:c>
      <x:c r="I25" s="14" t="str">
        <x:v>Planlandı</x:v>
      </x:c>
      <x:c r="J25" s="14" t="str">
        <x:v>Son video/konu oturumunda kitap bölümünü kapat; sonraki gün MEB doğrulaması. MEB &lt;80% ise zayıf, 80-89% pekiştirme, ≥90% ve açık hata yoksa güçlü.</x:v>
      </x:c>
    </x:row>
    <x:row r="26">
      <x:c r="A26" s="14" t="n">
        <x:v>25</x:v>
      </x:c>
      <x:c r="B26" s="14" t="str">
        <x:v>LGS 8</x:v>
      </x:c>
      <x:c r="C26" s="14" t="str">
        <x:v>Doğrusal Denklemler</x:v>
      </x:c>
      <x:c r="D26" s="14" t="n">
        <x:v>4</x:v>
      </x:c>
      <x:c r="E26" s="15" t="n">
        <x:v>46394</x:v>
      </x:c>
      <x:c r="F26" s="14" t="str">
        <x:v>Matematik Ana</x:v>
      </x:c>
      <x:c r="G26" s="14" t="str">
        <x:v>https://www.youtube.com/watch?v=EuJ89QzqrAg&amp;list=PLicNtF7vp6fnfDqrRLH6H7fIbzYT4ct4F&amp;index=11</x:v>
      </x:c>
      <x:c r="H26" s="14" t="str">
        <x:v>MUBA 8. Sınıf Başlangıç Matematik (ISBN 9789756526972); tamamlandıysa Mozaik 8. Sınıf Matematik</x:v>
      </x:c>
      <x:c r="I26" s="14" t="str">
        <x:v>Planlandı</x:v>
      </x:c>
      <x:c r="J26" s="14" t="str">
        <x:v>Son video/konu oturumunda kitap bölümünü kapat; sonraki gün MEB doğrulaması. MEB &lt;80% ise zayıf, 80-89% pekiştirme, ≥90% ve açık hata yoksa güçlü.</x:v>
      </x:c>
    </x:row>
    <x:row r="27">
      <x:c r="A27" s="14" t="n">
        <x:v>26</x:v>
      </x:c>
      <x:c r="B27" s="14" t="str">
        <x:v>LGS 8</x:v>
      </x:c>
      <x:c r="C27" s="14" t="str">
        <x:v>Eşitsizlikler</x:v>
      </x:c>
      <x:c r="D27" s="14" t="n">
        <x:v>3</x:v>
      </x:c>
      <x:c r="E27" s="15" t="n">
        <x:v>46398</x:v>
      </x:c>
      <x:c r="F27" s="14" t="str">
        <x:v>Matematik Ana</x:v>
      </x:c>
      <x:c r="G27" s="14" t="str">
        <x:v>https://www.youtube.com/watch?v=EuJ89QzqrAg&amp;list=PLicNtF7vp6fnfDqrRLH6H7fIbzYT4ct4F&amp;index=11</x:v>
      </x:c>
      <x:c r="H27" s="14" t="str">
        <x:v>MUBA 8. Sınıf Başlangıç Matematik (ISBN 9789756526972); tamamlandıysa Mozaik 8. Sınıf Matematik</x:v>
      </x:c>
      <x:c r="I27" s="14" t="str">
        <x:v>Planlandı</x:v>
      </x:c>
      <x:c r="J27" s="14" t="str">
        <x:v>Son video/konu oturumunda kitap bölümünü kapat; sonraki gün MEB doğrulaması. MEB &lt;80% ise zayıf, 80-89% pekiştirme, ≥90% ve açık hata yoksa güçlü.</x:v>
      </x:c>
    </x:row>
    <x:row r="28">
      <x:c r="A28" s="14" t="n">
        <x:v>27</x:v>
      </x:c>
      <x:c r="B28" s="14" t="str">
        <x:v>LGS 8</x:v>
      </x:c>
      <x:c r="C28" s="14" t="str">
        <x:v>Üçgenler</x:v>
      </x:c>
      <x:c r="D28" s="14" t="n">
        <x:v>4</x:v>
      </x:c>
      <x:c r="E28" s="15" t="n">
        <x:v>46403</x:v>
      </x:c>
      <x:c r="F28" s="14" t="str">
        <x:v>Matematik Yedek</x:v>
      </x:c>
      <x:c r="G28" s="14" t="str">
        <x:v>https://www.youtube.com/watch?v=Z7exqEHEqQA&amp;list=PLHN_SjKO7rCI&amp;index=3</x:v>
      </x:c>
      <x:c r="H28" s="14" t="str">
        <x:v>MUBA 8. Sınıf Başlangıç Matematik (ISBN 9789756526972); tamamlandıysa Mozaik 8. Sınıf Matematik</x:v>
      </x:c>
      <x:c r="I28" s="14" t="str">
        <x:v>Planlandı</x:v>
      </x:c>
      <x:c r="J28" s="14" t="str">
        <x:v>Son video/konu oturumunda kitap bölümünü kapat; sonraki gün MEB doğrulaması. MEB &lt;80% ise zayıf, 80-89% pekiştirme, ≥90% ve açık hata yoksa güçlü.</x:v>
      </x:c>
    </x:row>
    <x:row r="29">
      <x:c r="A29" s="14" t="n">
        <x:v>28</x:v>
      </x:c>
      <x:c r="B29" s="14" t="str">
        <x:v>LGS 8</x:v>
      </x:c>
      <x:c r="C29" s="14" t="str">
        <x:v>Eşlik ve Benzerlik</x:v>
      </x:c>
      <x:c r="D29" s="14" t="n">
        <x:v>3</x:v>
      </x:c>
      <x:c r="E29" s="15" t="n">
        <x:v>46407</x:v>
      </x:c>
      <x:c r="F29" s="14" t="str">
        <x:v>Matematik Yedek</x:v>
      </x:c>
      <x:c r="G29" s="14" t="str">
        <x:v>https://www.youtube.com/watch?v=Z7exqEHEqQA&amp;list=PLHN_SjKO7rCI&amp;index=3</x:v>
      </x:c>
      <x:c r="H29" s="14" t="str">
        <x:v>MUBA 8. Sınıf Başlangıç Matematik (ISBN 9789756526972); tamamlandıysa Mozaik 8. Sınıf Matematik</x:v>
      </x:c>
      <x:c r="I29" s="14" t="str">
        <x:v>Planlandı</x:v>
      </x:c>
      <x:c r="J29" s="14" t="str">
        <x:v>Son video/konu oturumunda kitap bölümünü kapat; sonraki gün MEB doğrulaması. MEB &lt;80% ise zayıf, 80-89% pekiştirme, ≥90% ve açık hata yoksa güçlü.</x:v>
      </x:c>
    </x:row>
    <x:row r="30">
      <x:c r="A30" s="14" t="n">
        <x:v>29</x:v>
      </x:c>
      <x:c r="B30" s="14" t="str">
        <x:v>LGS 8</x:v>
      </x:c>
      <x:c r="C30" s="14" t="str">
        <x:v>Dönüşüm Geometrisi</x:v>
      </x:c>
      <x:c r="D30" s="14" t="n">
        <x:v>3</x:v>
      </x:c>
      <x:c r="E30" s="15" t="n">
        <x:v>46411</x:v>
      </x:c>
      <x:c r="F30" s="14" t="str">
        <x:v>Matematik Yedek</x:v>
      </x:c>
      <x:c r="G30" s="14" t="str">
        <x:v>https://www.youtube.com/watch?v=Z7exqEHEqQA&amp;list=PLHN_SjKO7rCI&amp;index=3</x:v>
      </x:c>
      <x:c r="H30" s="14" t="str">
        <x:v>MUBA 8. Sınıf Başlangıç Matematik (ISBN 9789756526972); tamamlandıysa Mozaik 8. Sınıf Matematik</x:v>
      </x:c>
      <x:c r="I30" s="14" t="str">
        <x:v>Planlandı</x:v>
      </x:c>
      <x:c r="J30" s="14" t="str">
        <x:v>Son video/konu oturumunda kitap bölümünü kapat; sonraki gün MEB doğrulaması. MEB &lt;80% ise zayıf, 80-89% pekiştirme, ≥90% ve açık hata yoksa güçlü.</x:v>
      </x:c>
    </x:row>
    <x:row r="31">
      <x:c r="A31" s="14" t="n">
        <x:v>30</x:v>
      </x:c>
      <x:c r="B31" s="14" t="str">
        <x:v>LGS 8</x:v>
      </x:c>
      <x:c r="C31" s="14" t="str">
        <x:v>Geometrik Cisimler</x:v>
      </x:c>
      <x:c r="D31" s="14" t="n">
        <x:v>4</x:v>
      </x:c>
      <x:c r="E31" s="15" t="n">
        <x:v>46416</x:v>
      </x:c>
      <x:c r="F31" s="14" t="str">
        <x:v>Matematik Yedek</x:v>
      </x:c>
      <x:c r="G31" s="14" t="str">
        <x:v>https://www.youtube.com/watch?v=Z7exqEHEqQA&amp;list=PLHN_SjKO7rCI&amp;index=3</x:v>
      </x:c>
      <x:c r="H31" s="14" t="str">
        <x:v>MUBA 8. Sınıf Başlangıç Matematik (ISBN 9789756526972); tamamlandıysa Mozaik 8. Sınıf Matematik</x:v>
      </x:c>
      <x:c r="I31" s="14" t="str">
        <x:v>Planlandı</x:v>
      </x:c>
      <x:c r="J31" s="14" t="str">
        <x:v>Son video/konu oturumunda kitap bölümünü kapat; sonraki gün MEB doğrulaması. MEB &lt;80% ise zayıf, 80-89% pekiştirme, ≥90% ve açık hata yoksa güçlü.</x:v>
      </x:c>
    </x:row>
  </x:sheetData>
  <x:dataValidations count="1">
    <x:dataValidation type="list" sqref="I2:I31">
      <x:formula1>"Planlandı,Başlandı,Kitap Bitti,MEB Bitti,Güçlü"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6" hidden="0" customWidth="1"/>
    <x:col min="4" max="4" width="23" hidden="0" customWidth="1"/>
    <x:col min="5" max="5" width="17" hidden="0" customWidth="1"/>
    <x:col min="6" max="6" width="28" hidden="0" customWidth="1"/>
    <x:col min="7" max="7" width="62" hidden="0" customWidth="1"/>
    <x:col min="8" max="8" width="58" hidden="0" customWidth="1"/>
    <x:col min="9" max="9" width="16" hidden="0" customWidth="1"/>
    <x:col min="10" max="10" width="60" hidden="0" customWidth="1"/>
  </x:cols>
  <x:sheetData>
    <x:row r="1">
      <x:c r="A1" s="6" t="str">
        <x:v>Sıra</x:v>
      </x:c>
      <x:c r="B1" s="6" t="str">
        <x:v>Aşama</x:v>
      </x:c>
      <x:c r="C1" s="6" t="str">
        <x:v>Konu</x:v>
      </x:c>
      <x:c r="D1" s="6" t="str">
        <x:v>Planlanan Konu/Video Oturumu</x:v>
      </x:c>
      <x:c r="E1" s="6" t="str">
        <x:v>Konu Sonu MEB Gate</x:v>
      </x:c>
      <x:c r="F1" s="6" t="str">
        <x:v>Video Kaynağı</x:v>
      </x:c>
      <x:c r="G1" s="6" t="str">
        <x:v>Genel Oynatma Listesi</x:v>
      </x:c>
      <x:c r="H1" s="6" t="str">
        <x:v>Soru Kaynağı</x:v>
      </x:c>
      <x:c r="I1" s="6" t="str">
        <x:v>Durum</x:v>
      </x:c>
      <x:c r="J1" s="6" t="str">
        <x:v>Not</x:v>
      </x:c>
    </x:row>
    <x:row r="2">
      <x:c r="A2" s="14" t="n">
        <x:v>1</x:v>
      </x:c>
      <x:c r="B2" s="14" t="str">
        <x:v>Temel</x:v>
      </x:c>
      <x:c r="C2" s="14" t="str">
        <x:v>Sözcükte Anlam</x:v>
      </x:c>
      <x:c r="D2" s="14" t="n">
        <x:v>4</x:v>
      </x:c>
      <x:c r="E2" s="15" t="n">
        <x:v>46300</x:v>
      </x:c>
      <x:c r="F2" s="14" t="str">
        <x:v>Türkçe Ana</x:v>
      </x:c>
      <x:c r="G2" s="14" t="str">
        <x:v>https://www.youtube.com/watch?v=VYsPntNKVdw&amp;list=PLIBjFaUoJJ91bz7QQEBlxNJNZka5YQRr6</x:v>
      </x:c>
      <x:c r="H2" s="14" t="str">
        <x:v>Ankara 8. Sınıf Dil Bilgisi Güçlendiren</x:v>
      </x:c>
      <x:c r="I2" s="14" t="str">
        <x:v>Planlandı</x:v>
      </x:c>
      <x:c r="J2" s="14" t="str">
        <x:v>Video/konu → soru kitabı → MEB → hata çözümü → +1/+7/+21 yanlış tekrarları.</x:v>
      </x:c>
    </x:row>
    <x:row r="3">
      <x:c r="A3" s="14" t="n">
        <x:v>2</x:v>
      </x:c>
      <x:c r="B3" s="14" t="str">
        <x:v>Temel</x:v>
      </x:c>
      <x:c r="C3" s="14" t="str">
        <x:v>Cümlede Anlam</x:v>
      </x:c>
      <x:c r="D3" s="14" t="n">
        <x:v>4</x:v>
      </x:c>
      <x:c r="E3" s="15" t="n">
        <x:v>46305</x:v>
      </x:c>
      <x:c r="F3" s="14" t="str">
        <x:v>Türkçe Ana</x:v>
      </x:c>
      <x:c r="G3" s="14" t="str">
        <x:v>https://www.youtube.com/watch?v=VYsPntNKVdw&amp;list=PLIBjFaUoJJ91bz7QQEBlxNJNZka5YQRr6</x:v>
      </x:c>
      <x:c r="H3" s="14" t="str">
        <x:v>Ankara 8. Sınıf Dil Bilgisi Güçlendiren</x:v>
      </x:c>
      <x:c r="I3" s="14" t="str">
        <x:v>Planlandı</x:v>
      </x:c>
      <x:c r="J3" s="14" t="str">
        <x:v>Video/konu → soru kitabı → MEB → hata çözümü → +1/+7/+21 yanlış tekrarları.</x:v>
      </x:c>
    </x:row>
    <x:row r="4">
      <x:c r="A4" s="14" t="n">
        <x:v>3</x:v>
      </x:c>
      <x:c r="B4" s="14" t="str">
        <x:v>Temel</x:v>
      </x:c>
      <x:c r="C4" s="14" t="str">
        <x:v>Paragrafta Anlam ve Soru Türleri</x:v>
      </x:c>
      <x:c r="D4" s="14" t="n">
        <x:v>4</x:v>
      </x:c>
      <x:c r="E4" s="15" t="n">
        <x:v>46310</x:v>
      </x:c>
      <x:c r="F4" s="14" t="str">
        <x:v>Türkçe Ana</x:v>
      </x:c>
      <x:c r="G4" s="14" t="str">
        <x:v>https://www.youtube.com/watch?v=VYsPntNKVdw&amp;list=PLIBjFaUoJJ91bz7QQEBlxNJNZka5YQRr6</x:v>
      </x:c>
      <x:c r="H4" s="14" t="str">
        <x:v>Ankara 8. Sınıf Dil Bilgisi Güçlendiren</x:v>
      </x:c>
      <x:c r="I4" s="14" t="str">
        <x:v>Planlandı</x:v>
      </x:c>
      <x:c r="J4" s="14" t="str">
        <x:v>Video/konu → soru kitabı → MEB → hata çözümü → +1/+7/+21 yanlış tekrarları.</x:v>
      </x:c>
    </x:row>
    <x:row r="5">
      <x:c r="A5" s="14" t="n">
        <x:v>4</x:v>
      </x:c>
      <x:c r="B5" s="14" t="str">
        <x:v>Temel</x:v>
      </x:c>
      <x:c r="C5" s="14" t="str">
        <x:v>Anlatım Biçimleri ve Düşünceyi Geliştirme Yolları</x:v>
      </x:c>
      <x:c r="D5" s="14" t="n">
        <x:v>3</x:v>
      </x:c>
      <x:c r="E5" s="15" t="n">
        <x:v>46314</x:v>
      </x:c>
      <x:c r="F5" s="14" t="str">
        <x:v>Türkçe Ana</x:v>
      </x:c>
      <x:c r="G5" s="14" t="str">
        <x:v>https://www.youtube.com/watch?v=VYsPntNKVdw&amp;list=PLIBjFaUoJJ91bz7QQEBlxNJNZka5YQRr6</x:v>
      </x:c>
      <x:c r="H5" s="14" t="str">
        <x:v>Ankara 8. Sınıf Dil Bilgisi Güçlendiren</x:v>
      </x:c>
      <x:c r="I5" s="14" t="str">
        <x:v>Planlandı</x:v>
      </x:c>
      <x:c r="J5" s="14" t="str">
        <x:v>Video/konu → soru kitabı → MEB → hata çözümü → +1/+7/+21 yanlış tekrarları.</x:v>
      </x:c>
    </x:row>
    <x:row r="6">
      <x:c r="A6" s="14" t="n">
        <x:v>5</x:v>
      </x:c>
      <x:c r="B6" s="14" t="str">
        <x:v>Temel</x:v>
      </x:c>
      <x:c r="C6" s="14" t="str">
        <x:v>Sözcükte Yapı</x:v>
      </x:c>
      <x:c r="D6" s="14" t="n">
        <x:v>2</x:v>
      </x:c>
      <x:c r="E6" s="15" t="n">
        <x:v>46317</x:v>
      </x:c>
      <x:c r="F6" s="14" t="str">
        <x:v>Türkçe Ana</x:v>
      </x:c>
      <x:c r="G6" s="14" t="str">
        <x:v>https://www.youtube.com/watch?v=VYsPntNKVdw&amp;list=PLIBjFaUoJJ91bz7QQEBlxNJNZka5YQRr6</x:v>
      </x:c>
      <x:c r="H6" s="14" t="str">
        <x:v>Ankara 8. Sınıf Dil Bilgisi Güçlendiren</x:v>
      </x:c>
      <x:c r="I6" s="14" t="str">
        <x:v>Planlandı</x:v>
      </x:c>
      <x:c r="J6" s="14" t="str">
        <x:v>Video/konu → soru kitabı → MEB → hata çözümü → +1/+7/+21 yanlış tekrarları.</x:v>
      </x:c>
    </x:row>
    <x:row r="7">
      <x:c r="A7" s="14" t="n">
        <x:v>6</x:v>
      </x:c>
      <x:c r="B7" s="14" t="str">
        <x:v>Temel</x:v>
      </x:c>
      <x:c r="C7" s="14" t="str">
        <x:v>Ses Bilgisi</x:v>
      </x:c>
      <x:c r="D7" s="14" t="n">
        <x:v>3</x:v>
      </x:c>
      <x:c r="E7" s="15" t="n">
        <x:v>46321</x:v>
      </x:c>
      <x:c r="F7" s="14" t="str">
        <x:v>Türkçe Ana</x:v>
      </x:c>
      <x:c r="G7" s="14" t="str">
        <x:v>https://www.youtube.com/watch?v=VYsPntNKVdw&amp;list=PLIBjFaUoJJ91bz7QQEBlxNJNZka5YQRr6</x:v>
      </x:c>
      <x:c r="H7" s="14" t="str">
        <x:v>Ankara 8. Sınıf Dil Bilgisi Güçlendiren</x:v>
      </x:c>
      <x:c r="I7" s="14" t="str">
        <x:v>Planlandı</x:v>
      </x:c>
      <x:c r="J7" s="14" t="str">
        <x:v>Video/konu → soru kitabı → MEB → hata çözümü → +1/+7/+21 yanlış tekrarları.</x:v>
      </x:c>
    </x:row>
    <x:row r="8">
      <x:c r="A8" s="14" t="n">
        <x:v>7</x:v>
      </x:c>
      <x:c r="B8" s="14" t="str">
        <x:v>Temel</x:v>
      </x:c>
      <x:c r="C8" s="14" t="str">
        <x:v>Yazım Kuralları</x:v>
      </x:c>
      <x:c r="D8" s="14" t="n">
        <x:v>4</x:v>
      </x:c>
      <x:c r="E8" s="15" t="n">
        <x:v>46326</x:v>
      </x:c>
      <x:c r="F8" s="14" t="str">
        <x:v>Türkçe Ana</x:v>
      </x:c>
      <x:c r="G8" s="14" t="str">
        <x:v>https://www.youtube.com/watch?v=VYsPntNKVdw&amp;list=PLIBjFaUoJJ91bz7QQEBlxNJNZka5YQRr6</x:v>
      </x:c>
      <x:c r="H8" s="14" t="str">
        <x:v>Ankara 8. Sınıf Dil Bilgisi Güçlendiren</x:v>
      </x:c>
      <x:c r="I8" s="14" t="str">
        <x:v>Planlandı</x:v>
      </x:c>
      <x:c r="J8" s="14" t="str">
        <x:v>Video/konu → soru kitabı → MEB → hata çözümü → +1/+7/+21 yanlış tekrarları.</x:v>
      </x:c>
    </x:row>
    <x:row r="9">
      <x:c r="A9" s="14" t="n">
        <x:v>8</x:v>
      </x:c>
      <x:c r="B9" s="14" t="str">
        <x:v>Temel</x:v>
      </x:c>
      <x:c r="C9" s="14" t="str">
        <x:v>Noktalama İşaretleri</x:v>
      </x:c>
      <x:c r="D9" s="14" t="n">
        <x:v>3</x:v>
      </x:c>
      <x:c r="E9" s="15" t="n">
        <x:v>46330</x:v>
      </x:c>
      <x:c r="F9" s="14" t="str">
        <x:v>Türkçe Ana</x:v>
      </x:c>
      <x:c r="G9" s="14" t="str">
        <x:v>https://www.youtube.com/watch?v=VYsPntNKVdw&amp;list=PLIBjFaUoJJ91bz7QQEBlxNJNZka5YQRr6</x:v>
      </x:c>
      <x:c r="H9" s="14" t="str">
        <x:v>Ankara 8. Sınıf Dil Bilgisi Güçlendiren</x:v>
      </x:c>
      <x:c r="I9" s="14" t="str">
        <x:v>Planlandı</x:v>
      </x:c>
      <x:c r="J9" s="14" t="str">
        <x:v>Video/konu → soru kitabı → MEB → hata çözümü → +1/+7/+21 yanlış tekrarları.</x:v>
      </x:c>
    </x:row>
    <x:row r="10">
      <x:c r="A10" s="14" t="n">
        <x:v>9</x:v>
      </x:c>
      <x:c r="B10" s="14" t="str">
        <x:v>Temel</x:v>
      </x:c>
      <x:c r="C10" s="14" t="str">
        <x:v>Ad (İsim)</x:v>
      </x:c>
      <x:c r="D10" s="14" t="n">
        <x:v>2</x:v>
      </x:c>
      <x:c r="E10" s="15" t="n">
        <x:v>46333</x:v>
      </x:c>
      <x:c r="F10" s="14" t="str">
        <x:v>Türkçe Ana</x:v>
      </x:c>
      <x:c r="G10" s="14" t="str">
        <x:v>https://www.youtube.com/watch?v=VYsPntNKVdw&amp;list=PLIBjFaUoJJ91bz7QQEBlxNJNZka5YQRr6</x:v>
      </x:c>
      <x:c r="H10" s="14" t="str">
        <x:v>Ankara 8. Sınıf Dil Bilgisi Güçlendiren</x:v>
      </x:c>
      <x:c r="I10" s="14" t="str">
        <x:v>Planlandı</x:v>
      </x:c>
      <x:c r="J10" s="14" t="str">
        <x:v>Video/konu → soru kitabı → MEB → hata çözümü → +1/+7/+21 yanlış tekrarları.</x:v>
      </x:c>
    </x:row>
    <x:row r="11">
      <x:c r="A11" s="14" t="n">
        <x:v>10</x:v>
      </x:c>
      <x:c r="B11" s="14" t="str">
        <x:v>Temel</x:v>
      </x:c>
      <x:c r="C11" s="14" t="str">
        <x:v>Ad Tamlamaları</x:v>
      </x:c>
      <x:c r="D11" s="14" t="n">
        <x:v>3</x:v>
      </x:c>
      <x:c r="E11" s="15" t="n">
        <x:v>46337</x:v>
      </x:c>
      <x:c r="F11" s="14" t="str">
        <x:v>Türkçe Ana</x:v>
      </x:c>
      <x:c r="G11" s="14" t="str">
        <x:v>https://www.youtube.com/watch?v=VYsPntNKVdw&amp;list=PLIBjFaUoJJ91bz7QQEBlxNJNZka5YQRr6</x:v>
      </x:c>
      <x:c r="H11" s="14" t="str">
        <x:v>Ankara 8. Sınıf Dil Bilgisi Güçlendiren</x:v>
      </x:c>
      <x:c r="I11" s="14" t="str">
        <x:v>Planlandı</x:v>
      </x:c>
      <x:c r="J11" s="14" t="str">
        <x:v>Video/konu → soru kitabı → MEB → hata çözümü → +1/+7/+21 yanlış tekrarları.</x:v>
      </x:c>
    </x:row>
    <x:row r="12">
      <x:c r="A12" s="14" t="n">
        <x:v>11</x:v>
      </x:c>
      <x:c r="B12" s="14" t="str">
        <x:v>Temel</x:v>
      </x:c>
      <x:c r="C12" s="14" t="str">
        <x:v>Zamirler</x:v>
      </x:c>
      <x:c r="D12" s="14" t="n">
        <x:v>3</x:v>
      </x:c>
      <x:c r="E12" s="15" t="n">
        <x:v>46341</x:v>
      </x:c>
      <x:c r="F12" s="14" t="str">
        <x:v>Türkçe Ana</x:v>
      </x:c>
      <x:c r="G12" s="14" t="str">
        <x:v>https://www.youtube.com/watch?v=VYsPntNKVdw&amp;list=PLIBjFaUoJJ91bz7QQEBlxNJNZka5YQRr6</x:v>
      </x:c>
      <x:c r="H12" s="14" t="str">
        <x:v>Ankara 8. Sınıf Dil Bilgisi Güçlendiren</x:v>
      </x:c>
      <x:c r="I12" s="14" t="str">
        <x:v>Planlandı</x:v>
      </x:c>
      <x:c r="J12" s="14" t="str">
        <x:v>Video/konu → soru kitabı → MEB → hata çözümü → +1/+7/+21 yanlış tekrarları.</x:v>
      </x:c>
    </x:row>
    <x:row r="13">
      <x:c r="A13" s="14" t="n">
        <x:v>12</x:v>
      </x:c>
      <x:c r="B13" s="14" t="str">
        <x:v>Temel</x:v>
      </x:c>
      <x:c r="C13" s="14" t="str">
        <x:v>Sıfatlar</x:v>
      </x:c>
      <x:c r="D13" s="14" t="n">
        <x:v>3</x:v>
      </x:c>
      <x:c r="E13" s="15" t="n">
        <x:v>46345</x:v>
      </x:c>
      <x:c r="F13" s="14" t="str">
        <x:v>Türkçe Ana</x:v>
      </x:c>
      <x:c r="G13" s="14" t="str">
        <x:v>https://www.youtube.com/watch?v=VYsPntNKVdw&amp;list=PLIBjFaUoJJ91bz7QQEBlxNJNZka5YQRr6</x:v>
      </x:c>
      <x:c r="H13" s="14" t="str">
        <x:v>Ankara 8. Sınıf Dil Bilgisi Güçlendiren</x:v>
      </x:c>
      <x:c r="I13" s="14" t="str">
        <x:v>Planlandı</x:v>
      </x:c>
      <x:c r="J13" s="14" t="str">
        <x:v>Video/konu → soru kitabı → MEB → hata çözümü → +1/+7/+21 yanlış tekrarları.</x:v>
      </x:c>
    </x:row>
    <x:row r="14">
      <x:c r="A14" s="14" t="n">
        <x:v>13</x:v>
      </x:c>
      <x:c r="B14" s="14" t="str">
        <x:v>Temel</x:v>
      </x:c>
      <x:c r="C14" s="14" t="str">
        <x:v>Zarflar</x:v>
      </x:c>
      <x:c r="D14" s="14" t="n">
        <x:v>2</x:v>
      </x:c>
      <x:c r="E14" s="15" t="n">
        <x:v>46348</x:v>
      </x:c>
      <x:c r="F14" s="14" t="str">
        <x:v>Türkçe Ana</x:v>
      </x:c>
      <x:c r="G14" s="14" t="str">
        <x:v>https://www.youtube.com/watch?v=VYsPntNKVdw&amp;list=PLIBjFaUoJJ91bz7QQEBlxNJNZka5YQRr6</x:v>
      </x:c>
      <x:c r="H14" s="14" t="str">
        <x:v>Ankara 8. Sınıf Dil Bilgisi Güçlendiren</x:v>
      </x:c>
      <x:c r="I14" s="14" t="str">
        <x:v>Planlandı</x:v>
      </x:c>
      <x:c r="J14" s="14" t="str">
        <x:v>Video/konu → soru kitabı → MEB → hata çözümü → +1/+7/+21 yanlış tekrarları.</x:v>
      </x:c>
    </x:row>
    <x:row r="15">
      <x:c r="A15" s="14" t="n">
        <x:v>14</x:v>
      </x:c>
      <x:c r="B15" s="14" t="str">
        <x:v>Temel</x:v>
      </x:c>
      <x:c r="C15" s="14" t="str">
        <x:v>Edat - Bağlaç - Ünlem</x:v>
      </x:c>
      <x:c r="D15" s="14" t="n">
        <x:v>4</x:v>
      </x:c>
      <x:c r="E15" s="15" t="n">
        <x:v>46353</x:v>
      </x:c>
      <x:c r="F15" s="14" t="str">
        <x:v>Türkçe Ana</x:v>
      </x:c>
      <x:c r="G15" s="14" t="str">
        <x:v>https://www.youtube.com/watch?v=VYsPntNKVdw&amp;list=PLIBjFaUoJJ91bz7QQEBlxNJNZka5YQRr6</x:v>
      </x:c>
      <x:c r="H15" s="14" t="str">
        <x:v>Ankara 8. Sınıf Dil Bilgisi Güçlendiren</x:v>
      </x:c>
      <x:c r="I15" s="14" t="str">
        <x:v>Planlandı</x:v>
      </x:c>
      <x:c r="J15" s="14" t="str">
        <x:v>Video/konu → soru kitabı → MEB → hata çözümü → +1/+7/+21 yanlış tekrarları.</x:v>
      </x:c>
    </x:row>
    <x:row r="16">
      <x:c r="A16" s="14" t="n">
        <x:v>15</x:v>
      </x:c>
      <x:c r="B16" s="14" t="str">
        <x:v>Temel</x:v>
      </x:c>
      <x:c r="C16" s="14" t="str">
        <x:v>Fiiller</x:v>
      </x:c>
      <x:c r="D16" s="14" t="n">
        <x:v>4</x:v>
      </x:c>
      <x:c r="E16" s="15" t="n">
        <x:v>46358</x:v>
      </x:c>
      <x:c r="F16" s="14" t="str">
        <x:v>Türkçe Ana</x:v>
      </x:c>
      <x:c r="G16" s="14" t="str">
        <x:v>https://www.youtube.com/watch?v=VYsPntNKVdw&amp;list=PLIBjFaUoJJ91bz7QQEBlxNJNZka5YQRr6</x:v>
      </x:c>
      <x:c r="H16" s="14" t="str">
        <x:v>Ankara 8. Sınıf Dil Bilgisi Güçlendiren</x:v>
      </x:c>
      <x:c r="I16" s="14" t="str">
        <x:v>Planlandı</x:v>
      </x:c>
      <x:c r="J16" s="14" t="str">
        <x:v>Video/konu → soru kitabı → MEB → hata çözümü → +1/+7/+21 yanlış tekrarları.</x:v>
      </x:c>
    </x:row>
    <x:row r="17">
      <x:c r="A17" s="14" t="n">
        <x:v>16</x:v>
      </x:c>
      <x:c r="B17" s="14" t="str">
        <x:v>Temel</x:v>
      </x:c>
      <x:c r="C17" s="14" t="str">
        <x:v>Ek Fiil</x:v>
      </x:c>
      <x:c r="D17" s="14" t="n">
        <x:v>2</x:v>
      </x:c>
      <x:c r="E17" s="15" t="n">
        <x:v>46361</x:v>
      </x:c>
      <x:c r="F17" s="14" t="str">
        <x:v>Türkçe Ana</x:v>
      </x:c>
      <x:c r="G17" s="14" t="str">
        <x:v>https://www.youtube.com/watch?v=VYsPntNKVdw&amp;list=PLIBjFaUoJJ91bz7QQEBlxNJNZka5YQRr6</x:v>
      </x:c>
      <x:c r="H17" s="14" t="str">
        <x:v>Ankara 8. Sınıf Dil Bilgisi Güçlendiren</x:v>
      </x:c>
      <x:c r="I17" s="14" t="str">
        <x:v>Planlandı</x:v>
      </x:c>
      <x:c r="J17" s="14" t="str">
        <x:v>Video/konu → soru kitabı → MEB → hata çözümü → +1/+7/+21 yanlış tekrarları.</x:v>
      </x:c>
    </x:row>
    <x:row r="18">
      <x:c r="A18" s="14" t="n">
        <x:v>17</x:v>
      </x:c>
      <x:c r="B18" s="14" t="str">
        <x:v>LGS 8</x:v>
      </x:c>
      <x:c r="C18" s="14" t="str">
        <x:v>Fiilimsiler</x:v>
      </x:c>
      <x:c r="D18" s="14" t="n">
        <x:v>4</x:v>
      </x:c>
      <x:c r="E18" s="15" t="n">
        <x:v>46366</x:v>
      </x:c>
      <x:c r="F18" s="14" t="str">
        <x:v>Türkçe Ana</x:v>
      </x:c>
      <x:c r="G18" s="14" t="str">
        <x:v>https://www.youtube.com/watch?v=VYsPntNKVdw&amp;list=PLIBjFaUoJJ91bz7QQEBlxNJNZka5YQRr6</x:v>
      </x:c>
      <x:c r="H18" s="14" t="str">
        <x:v>Ankara 8. Sınıf Dil Bilgisi Güçlendiren</x:v>
      </x:c>
      <x:c r="I18" s="14" t="str">
        <x:v>Planlandı</x:v>
      </x:c>
      <x:c r="J18" s="14" t="str">
        <x:v>Video/konu → soru kitabı → MEB → hata çözümü → +1/+7/+21 yanlış tekrarları.</x:v>
      </x:c>
    </x:row>
    <x:row r="19">
      <x:c r="A19" s="14" t="n">
        <x:v>18</x:v>
      </x:c>
      <x:c r="B19" s="14" t="str">
        <x:v>LGS 8</x:v>
      </x:c>
      <x:c r="C19" s="14" t="str">
        <x:v>Cümlenin Ögeleri</x:v>
      </x:c>
      <x:c r="D19" s="14" t="n">
        <x:v>4</x:v>
      </x:c>
      <x:c r="E19" s="15" t="n">
        <x:v>46371</x:v>
      </x:c>
      <x:c r="F19" s="14" t="str">
        <x:v>Türkçe Ana</x:v>
      </x:c>
      <x:c r="G19" s="14" t="str">
        <x:v>https://www.youtube.com/watch?v=VYsPntNKVdw&amp;list=PLIBjFaUoJJ91bz7QQEBlxNJNZka5YQRr6</x:v>
      </x:c>
      <x:c r="H19" s="14" t="str">
        <x:v>Ankara 8. Sınıf Dil Bilgisi Güçlendiren</x:v>
      </x:c>
      <x:c r="I19" s="14" t="str">
        <x:v>Planlandı</x:v>
      </x:c>
      <x:c r="J19" s="14" t="str">
        <x:v>Video/konu → soru kitabı → MEB → hata çözümü → +1/+7/+21 yanlış tekrarları.</x:v>
      </x:c>
    </x:row>
    <x:row r="20">
      <x:c r="A20" s="14" t="n">
        <x:v>19</x:v>
      </x:c>
      <x:c r="B20" s="14" t="str">
        <x:v>LGS 8</x:v>
      </x:c>
      <x:c r="C20" s="14" t="str">
        <x:v>Fiilde Çatı</x:v>
      </x:c>
      <x:c r="D20" s="14" t="n">
        <x:v>3</x:v>
      </x:c>
      <x:c r="E20" s="15" t="n">
        <x:v>46375</x:v>
      </x:c>
      <x:c r="F20" s="14" t="str">
        <x:v>Türkçe Ana</x:v>
      </x:c>
      <x:c r="G20" s="14" t="str">
        <x:v>https://www.youtube.com/watch?v=VYsPntNKVdw&amp;list=PLIBjFaUoJJ91bz7QQEBlxNJNZka5YQRr6</x:v>
      </x:c>
      <x:c r="H20" s="14" t="str">
        <x:v>Ankara 8. Sınıf Dil Bilgisi Güçlendiren</x:v>
      </x:c>
      <x:c r="I20" s="14" t="str">
        <x:v>Planlandı</x:v>
      </x:c>
      <x:c r="J20" s="14" t="str">
        <x:v>Video/konu → soru kitabı → MEB → hata çözümü → +1/+7/+21 yanlış tekrarları.</x:v>
      </x:c>
    </x:row>
    <x:row r="21">
      <x:c r="A21" s="14" t="n">
        <x:v>20</x:v>
      </x:c>
      <x:c r="B21" s="14" t="str">
        <x:v>LGS 8</x:v>
      </x:c>
      <x:c r="C21" s="14" t="str">
        <x:v>Cümle Türleri</x:v>
      </x:c>
      <x:c r="D21" s="14" t="n">
        <x:v>3</x:v>
      </x:c>
      <x:c r="E21" s="15" t="n">
        <x:v>46379</x:v>
      </x:c>
      <x:c r="F21" s="14" t="str">
        <x:v>Türkçe Ana</x:v>
      </x:c>
      <x:c r="G21" s="14" t="str">
        <x:v>https://www.youtube.com/watch?v=VYsPntNKVdw&amp;list=PLIBjFaUoJJ91bz7QQEBlxNJNZka5YQRr6</x:v>
      </x:c>
      <x:c r="H21" s="14" t="str">
        <x:v>Ankara 8. Sınıf Dil Bilgisi Güçlendiren</x:v>
      </x:c>
      <x:c r="I21" s="14" t="str">
        <x:v>Planlandı</x:v>
      </x:c>
      <x:c r="J21" s="14" t="str">
        <x:v>Video/konu → soru kitabı → MEB → hata çözümü → +1/+7/+21 yanlış tekrarları.</x:v>
      </x:c>
    </x:row>
    <x:row r="22">
      <x:c r="A22" s="14" t="n">
        <x:v>21</x:v>
      </x:c>
      <x:c r="B22" s="14" t="str">
        <x:v>LGS 8</x:v>
      </x:c>
      <x:c r="C22" s="14" t="str">
        <x:v>Anlatım Bozuklukları</x:v>
      </x:c>
      <x:c r="D22" s="14" t="n">
        <x:v>3</x:v>
      </x:c>
      <x:c r="E22" s="15" t="n">
        <x:v>46383</x:v>
      </x:c>
      <x:c r="F22" s="14" t="str">
        <x:v>Türkçe Ana</x:v>
      </x:c>
      <x:c r="G22" s="14" t="str">
        <x:v>https://www.youtube.com/watch?v=VYsPntNKVdw&amp;list=PLIBjFaUoJJ91bz7QQEBlxNJNZka5YQRr6</x:v>
      </x:c>
      <x:c r="H22" s="14" t="str">
        <x:v>Ankara 8. Sınıf Dil Bilgisi Güçlendiren</x:v>
      </x:c>
      <x:c r="I22" s="14" t="str">
        <x:v>Planlandı</x:v>
      </x:c>
      <x:c r="J22" s="14" t="str">
        <x:v>Video/konu → soru kitabı → MEB → hata çözümü → +1/+7/+21 yanlış tekrarları.</x:v>
      </x:c>
    </x:row>
    <x:row r="23">
      <x:c r="A23" s="14" t="n">
        <x:v>22</x:v>
      </x:c>
      <x:c r="B23" s="14" t="str">
        <x:v>LGS 8</x:v>
      </x:c>
      <x:c r="C23" s="14" t="str">
        <x:v>Metin Türleri ve Söz Sanatları</x:v>
      </x:c>
      <x:c r="D23" s="14" t="n">
        <x:v>2</x:v>
      </x:c>
      <x:c r="E23" s="15" t="n">
        <x:v>46386</x:v>
      </x:c>
      <x:c r="F23" s="14" t="str">
        <x:v>Türkçe Ana</x:v>
      </x:c>
      <x:c r="G23" s="14" t="str">
        <x:v>https://www.youtube.com/watch?v=VYsPntNKVdw&amp;list=PLIBjFaUoJJ91bz7QQEBlxNJNZka5YQRr6</x:v>
      </x:c>
      <x:c r="H23" s="14" t="str">
        <x:v>Ankara 8. Sınıf Dil Bilgisi Güçlendiren</x:v>
      </x:c>
      <x:c r="I23" s="14" t="str">
        <x:v>Planlandı</x:v>
      </x:c>
      <x:c r="J23" s="14" t="str">
        <x:v>Video/konu → soru kitabı → MEB → hata çözümü → +1/+7/+21 yanlış tekrarları.</x:v>
      </x:c>
    </x:row>
    <x:row r="24">
      <x:c r="A24" s="14" t="n">
        <x:v>23</x:v>
      </x:c>
      <x:c r="B24" s="14" t="str">
        <x:v>LGS 8</x:v>
      </x:c>
      <x:c r="C24" s="14" t="str">
        <x:v>Görsel Okuma, Grafik ve Sözel Mantık</x:v>
      </x:c>
      <x:c r="D24" s="14" t="n">
        <x:v>3</x:v>
      </x:c>
      <x:c r="E24" s="15" t="n">
        <x:v>46390</x:v>
      </x:c>
      <x:c r="F24" s="14" t="str">
        <x:v>Türkçe Ana</x:v>
      </x:c>
      <x:c r="G24" s="14" t="str">
        <x:v>https://www.youtube.com/watch?v=VYsPntNKVdw&amp;list=PLIBjFaUoJJ91bz7QQEBlxNJNZka5YQRr6</x:v>
      </x:c>
      <x:c r="H24" s="14" t="str">
        <x:v>Ankara 8. Sınıf Dil Bilgisi Güçlendiren</x:v>
      </x:c>
      <x:c r="I24" s="14" t="str">
        <x:v>Planlandı</x:v>
      </x:c>
      <x:c r="J24" s="14" t="str">
        <x:v>Video/konu → soru kitabı → MEB → hata çözümü → +1/+7/+21 yanlış tekrarları.</x:v>
      </x:c>
    </x:row>
  </x:sheetData>
  <x:dataValidations count="1">
    <x:dataValidation type="list" sqref="I2:I24">
      <x:formula1>"Planlandı,Başlandı,Kitap Bitti,MEB Bitti,Güçlü"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6" hidden="0" customWidth="1"/>
    <x:col min="4" max="4" width="23" hidden="0" customWidth="1"/>
    <x:col min="5" max="5" width="17" hidden="0" customWidth="1"/>
    <x:col min="6" max="6" width="28" hidden="0" customWidth="1"/>
    <x:col min="7" max="7" width="62" hidden="0" customWidth="1"/>
    <x:col min="8" max="8" width="58" hidden="0" customWidth="1"/>
    <x:col min="9" max="9" width="16" hidden="0" customWidth="1"/>
    <x:col min="10" max="10" width="60" hidden="0" customWidth="1"/>
  </x:cols>
  <x:sheetData>
    <x:row r="1">
      <x:c r="A1" s="6" t="str">
        <x:v>Sıra</x:v>
      </x:c>
      <x:c r="B1" s="6" t="str">
        <x:v>Aşama</x:v>
      </x:c>
      <x:c r="C1" s="6" t="str">
        <x:v>Konu</x:v>
      </x:c>
      <x:c r="D1" s="6" t="str">
        <x:v>Planlanan Konu/Video Oturumu</x:v>
      </x:c>
      <x:c r="E1" s="6" t="str">
        <x:v>Konu Sonu MEB Gate</x:v>
      </x:c>
      <x:c r="F1" s="6" t="str">
        <x:v>Video Kaynağı</x:v>
      </x:c>
      <x:c r="G1" s="6" t="str">
        <x:v>Genel Oynatma Listesi</x:v>
      </x:c>
      <x:c r="H1" s="6" t="str">
        <x:v>Soru Kaynağı</x:v>
      </x:c>
      <x:c r="I1" s="6" t="str">
        <x:v>Durum</x:v>
      </x:c>
      <x:c r="J1" s="6" t="str">
        <x:v>Not</x:v>
      </x:c>
    </x:row>
    <x:row r="2">
      <x:c r="A2" s="14" t="n">
        <x:v>1</x:v>
      </x:c>
      <x:c r="B2" s="14" t="str">
        <x:v>8. Sınıf / LGS</x:v>
      </x:c>
      <x:c r="C2" s="14" t="str">
        <x:v>Mevsimlerin Oluşumu</x:v>
      </x:c>
      <x:c r="D2" s="14" t="n">
        <x:v>2</x:v>
      </x:c>
      <x:c r="E2" s="15" t="n">
        <x:v>46300</x:v>
      </x:c>
      <x:c r="F2" s="14" t="str">
        <x:v>Fen Konu + Soru</x:v>
      </x:c>
      <x:c r="G2" s="14" t="str">
        <x:v>https://www.youtube.com/watch?v=AHdk01aR4Ko&amp;list=PLrQm7mt99FRV_Oe9xFavWzFpCIl7_XiWj | https://www.youtube.com/watch?v=pQXhWnDZ3vM&amp;list=PLrQm7mt99FRXcBnorCttd31HJEvg0En26&amp;index=23</x:v>
      </x:c>
      <x:c r="H2" s="14" t="str">
        <x:v>Hız 8. Sınıf Fen (ISBN 9786257514859); tamamlandıysa Mozaik 8. Sınıf Fen</x:v>
      </x:c>
      <x:c r="I2" s="14" t="str">
        <x:v>Planlandı</x:v>
      </x:c>
      <x:c r="J2" s="14" t="str">
        <x:v>1) konu anlatım, 2) soru çözüm videosu/kitap, 3) MEB gate. Cumartesi ek Fen oturumu kapsamı 22 Mart'a kadar kapatır.</x:v>
      </x:c>
    </x:row>
    <x:row r="3">
      <x:c r="A3" s="14" t="n">
        <x:v>2</x:v>
      </x:c>
      <x:c r="B3" s="14" t="str">
        <x:v>8. Sınıf / LGS</x:v>
      </x:c>
      <x:c r="C3" s="14" t="str">
        <x:v>İklim ve Hava Hareketleri</x:v>
      </x:c>
      <x:c r="D3" s="14" t="n">
        <x:v>2</x:v>
      </x:c>
      <x:c r="E3" s="15" t="n">
        <x:v>46308</x:v>
      </x:c>
      <x:c r="F3" s="14" t="str">
        <x:v>Fen Konu + Soru</x:v>
      </x:c>
      <x:c r="G3" s="14" t="str">
        <x:v>https://www.youtube.com/watch?v=AHdk01aR4Ko&amp;list=PLrQm7mt99FRV_Oe9xFavWzFpCIl7_XiWj | https://www.youtube.com/watch?v=pQXhWnDZ3vM&amp;list=PLrQm7mt99FRXcBnorCttd31HJEvg0En26&amp;index=23</x:v>
      </x:c>
      <x:c r="H3" s="14" t="str">
        <x:v>Hız 8. Sınıf Fen (ISBN 9786257514859); tamamlandıysa Mozaik 8. Sınıf Fen</x:v>
      </x:c>
      <x:c r="I3" s="14" t="str">
        <x:v>Planlandı</x:v>
      </x:c>
      <x:c r="J3" s="14" t="str">
        <x:v>1) konu anlatım, 2) soru çözüm videosu/kitap, 3) MEB gate. Cumartesi ek Fen oturumu kapsamı 22 Mart'a kadar kapatır.</x:v>
      </x:c>
    </x:row>
    <x:row r="4">
      <x:c r="A4" s="14" t="n">
        <x:v>3</x:v>
      </x:c>
      <x:c r="B4" s="14" t="str">
        <x:v>8. Sınıf / LGS</x:v>
      </x:c>
      <x:c r="C4" s="14" t="str">
        <x:v>DNA ve Genetik Kod</x:v>
      </x:c>
      <x:c r="D4" s="14" t="n">
        <x:v>2</x:v>
      </x:c>
      <x:c r="E4" s="15" t="n">
        <x:v>46316</x:v>
      </x:c>
      <x:c r="F4" s="14" t="str">
        <x:v>Fen Konu + Soru</x:v>
      </x:c>
      <x:c r="G4" s="14" t="str">
        <x:v>https://www.youtube.com/watch?v=AHdk01aR4Ko&amp;list=PLrQm7mt99FRV_Oe9xFavWzFpCIl7_XiWj | https://www.youtube.com/watch?v=pQXhWnDZ3vM&amp;list=PLrQm7mt99FRXcBnorCttd31HJEvg0En26&amp;index=23</x:v>
      </x:c>
      <x:c r="H4" s="14" t="str">
        <x:v>Hız 8. Sınıf Fen (ISBN 9786257514859); tamamlandıysa Mozaik 8. Sınıf Fen</x:v>
      </x:c>
      <x:c r="I4" s="14" t="str">
        <x:v>Planlandı</x:v>
      </x:c>
      <x:c r="J4" s="14" t="str">
        <x:v>1) konu anlatım, 2) soru çözüm videosu/kitap, 3) MEB gate. Cumartesi ek Fen oturumu kapsamı 22 Mart'a kadar kapatır.</x:v>
      </x:c>
    </x:row>
    <x:row r="5">
      <x:c r="A5" s="14" t="n">
        <x:v>4</x:v>
      </x:c>
      <x:c r="B5" s="14" t="str">
        <x:v>8. Sınıf / LGS</x:v>
      </x:c>
      <x:c r="C5" s="14" t="str">
        <x:v>Kalıtım</x:v>
      </x:c>
      <x:c r="D5" s="14" t="n">
        <x:v>2</x:v>
      </x:c>
      <x:c r="E5" s="15" t="n">
        <x:v>46324</x:v>
      </x:c>
      <x:c r="F5" s="14" t="str">
        <x:v>Fen Konu + Soru</x:v>
      </x:c>
      <x:c r="G5" s="14" t="str">
        <x:v>https://www.youtube.com/watch?v=AHdk01aR4Ko&amp;list=PLrQm7mt99FRV_Oe9xFavWzFpCIl7_XiWj | https://www.youtube.com/watch?v=pQXhWnDZ3vM&amp;list=PLrQm7mt99FRXcBnorCttd31HJEvg0En26&amp;index=23</x:v>
      </x:c>
      <x:c r="H5" s="14" t="str">
        <x:v>Hız 8. Sınıf Fen (ISBN 9786257514859); tamamlandıysa Mozaik 8. Sınıf Fen</x:v>
      </x:c>
      <x:c r="I5" s="14" t="str">
        <x:v>Planlandı</x:v>
      </x:c>
      <x:c r="J5" s="14" t="str">
        <x:v>1) konu anlatım, 2) soru çözüm videosu/kitap, 3) MEB gate. Cumartesi ek Fen oturumu kapsamı 22 Mart'a kadar kapatır.</x:v>
      </x:c>
    </x:row>
    <x:row r="6">
      <x:c r="A6" s="14" t="n">
        <x:v>5</x:v>
      </x:c>
      <x:c r="B6" s="14" t="str">
        <x:v>8. Sınıf / LGS</x:v>
      </x:c>
      <x:c r="C6" s="14" t="str">
        <x:v>Mutasyon - Modifikasyon - Adaptasyon</x:v>
      </x:c>
      <x:c r="D6" s="14" t="n">
        <x:v>2</x:v>
      </x:c>
      <x:c r="E6" s="15" t="n">
        <x:v>46332</x:v>
      </x:c>
      <x:c r="F6" s="14" t="str">
        <x:v>Fen Konu + Soru</x:v>
      </x:c>
      <x:c r="G6" s="14" t="str">
        <x:v>https://www.youtube.com/watch?v=AHdk01aR4Ko&amp;list=PLrQm7mt99FRV_Oe9xFavWzFpCIl7_XiWj | https://www.youtube.com/watch?v=pQXhWnDZ3vM&amp;list=PLrQm7mt99FRXcBnorCttd31HJEvg0En26&amp;index=23</x:v>
      </x:c>
      <x:c r="H6" s="14" t="str">
        <x:v>Hız 8. Sınıf Fen (ISBN 9786257514859); tamamlandıysa Mozaik 8. Sınıf Fen</x:v>
      </x:c>
      <x:c r="I6" s="14" t="str">
        <x:v>Planlandı</x:v>
      </x:c>
      <x:c r="J6" s="14" t="str">
        <x:v>1) konu anlatım, 2) soru çözüm videosu/kitap, 3) MEB gate. Cumartesi ek Fen oturumu kapsamı 22 Mart'a kadar kapatır.</x:v>
      </x:c>
    </x:row>
    <x:row r="7">
      <x:c r="A7" s="14" t="n">
        <x:v>6</x:v>
      </x:c>
      <x:c r="B7" s="14" t="str">
        <x:v>8. Sınıf / LGS</x:v>
      </x:c>
      <x:c r="C7" s="14" t="str">
        <x:v>Biyoteknoloji</x:v>
      </x:c>
      <x:c r="D7" s="14" t="n">
        <x:v>2</x:v>
      </x:c>
      <x:c r="E7" s="15" t="n">
        <x:v>46340</x:v>
      </x:c>
      <x:c r="F7" s="14" t="str">
        <x:v>Fen Konu + Soru</x:v>
      </x:c>
      <x:c r="G7" s="14" t="str">
        <x:v>https://www.youtube.com/watch?v=AHdk01aR4Ko&amp;list=PLrQm7mt99FRV_Oe9xFavWzFpCIl7_XiWj | https://www.youtube.com/watch?v=pQXhWnDZ3vM&amp;list=PLrQm7mt99FRXcBnorCttd31HJEvg0En26&amp;index=23</x:v>
      </x:c>
      <x:c r="H7" s="14" t="str">
        <x:v>Hız 8. Sınıf Fen (ISBN 9786257514859); tamamlandıysa Mozaik 8. Sınıf Fen</x:v>
      </x:c>
      <x:c r="I7" s="14" t="str">
        <x:v>Planlandı</x:v>
      </x:c>
      <x:c r="J7" s="14" t="str">
        <x:v>1) konu anlatım, 2) soru çözüm videosu/kitap, 3) MEB gate. Cumartesi ek Fen oturumu kapsamı 22 Mart'a kadar kapatır.</x:v>
      </x:c>
    </x:row>
    <x:row r="8">
      <x:c r="A8" s="14" t="n">
        <x:v>7</x:v>
      </x:c>
      <x:c r="B8" s="14" t="str">
        <x:v>8. Sınıf / LGS</x:v>
      </x:c>
      <x:c r="C8" s="14" t="str">
        <x:v>Katı Basıncı</x:v>
      </x:c>
      <x:c r="D8" s="14" t="n">
        <x:v>2</x:v>
      </x:c>
      <x:c r="E8" s="15" t="n">
        <x:v>46347</x:v>
      </x:c>
      <x:c r="F8" s="14" t="str">
        <x:v>Fen Konu + Soru</x:v>
      </x:c>
      <x:c r="G8" s="14" t="str">
        <x:v>https://www.youtube.com/watch?v=AHdk01aR4Ko&amp;list=PLrQm7mt99FRV_Oe9xFavWzFpCIl7_XiWj | https://www.youtube.com/watch?v=pQXhWnDZ3vM&amp;list=PLrQm7mt99FRXcBnorCttd31HJEvg0En26&amp;index=23</x:v>
      </x:c>
      <x:c r="H8" s="14" t="str">
        <x:v>Hız 8. Sınıf Fen (ISBN 9786257514859); tamamlandıysa Mozaik 8. Sınıf Fen</x:v>
      </x:c>
      <x:c r="I8" s="14" t="str">
        <x:v>Planlandı</x:v>
      </x:c>
      <x:c r="J8" s="14" t="str">
        <x:v>1) konu anlatım, 2) soru çözüm videosu/kitap, 3) MEB gate. Cumartesi ek Fen oturumu kapsamı 22 Mart'a kadar kapatır.</x:v>
      </x:c>
    </x:row>
    <x:row r="9">
      <x:c r="A9" s="14" t="n">
        <x:v>8</x:v>
      </x:c>
      <x:c r="B9" s="14" t="str">
        <x:v>8. Sınıf / LGS</x:v>
      </x:c>
      <x:c r="C9" s="14" t="str">
        <x:v>Sıvı Basıncı</x:v>
      </x:c>
      <x:c r="D9" s="14" t="n">
        <x:v>2</x:v>
      </x:c>
      <x:c r="E9" s="15" t="n">
        <x:v>46354</x:v>
      </x:c>
      <x:c r="F9" s="14" t="str">
        <x:v>Fen Konu + Soru</x:v>
      </x:c>
      <x:c r="G9" s="14" t="str">
        <x:v>https://www.youtube.com/watch?v=AHdk01aR4Ko&amp;list=PLrQm7mt99FRV_Oe9xFavWzFpCIl7_XiWj | https://www.youtube.com/watch?v=pQXhWnDZ3vM&amp;list=PLrQm7mt99FRXcBnorCttd31HJEvg0En26&amp;index=23</x:v>
      </x:c>
      <x:c r="H9" s="14" t="str">
        <x:v>Hız 8. Sınıf Fen (ISBN 9786257514859); tamamlandıysa Mozaik 8. Sınıf Fen</x:v>
      </x:c>
      <x:c r="I9" s="14" t="str">
        <x:v>Planlandı</x:v>
      </x:c>
      <x:c r="J9" s="14" t="str">
        <x:v>1) konu anlatım, 2) soru çözüm videosu/kitap, 3) MEB gate. Cumartesi ek Fen oturumu kapsamı 22 Mart'a kadar kapatır.</x:v>
      </x:c>
    </x:row>
    <x:row r="10">
      <x:c r="A10" s="14" t="n">
        <x:v>9</x:v>
      </x:c>
      <x:c r="B10" s="14" t="str">
        <x:v>8. Sınıf / LGS</x:v>
      </x:c>
      <x:c r="C10" s="14" t="str">
        <x:v>Gaz Basıncı</x:v>
      </x:c>
      <x:c r="D10" s="14" t="n">
        <x:v>2</x:v>
      </x:c>
      <x:c r="E10" s="15" t="n">
        <x:v>46361</x:v>
      </x:c>
      <x:c r="F10" s="14" t="str">
        <x:v>Fen Konu + Soru</x:v>
      </x:c>
      <x:c r="G10" s="14" t="str">
        <x:v>https://www.youtube.com/watch?v=AHdk01aR4Ko&amp;list=PLrQm7mt99FRV_Oe9xFavWzFpCIl7_XiWj | https://www.youtube.com/watch?v=pQXhWnDZ3vM&amp;list=PLrQm7mt99FRXcBnorCttd31HJEvg0En26&amp;index=23</x:v>
      </x:c>
      <x:c r="H10" s="14" t="str">
        <x:v>Hız 8. Sınıf Fen (ISBN 9786257514859); tamamlandıysa Mozaik 8. Sınıf Fen</x:v>
      </x:c>
      <x:c r="I10" s="14" t="str">
        <x:v>Planlandı</x:v>
      </x:c>
      <x:c r="J10" s="14" t="str">
        <x:v>1) konu anlatım, 2) soru çözüm videosu/kitap, 3) MEB gate. Cumartesi ek Fen oturumu kapsamı 22 Mart'a kadar kapatır.</x:v>
      </x:c>
    </x:row>
    <x:row r="11">
      <x:c r="A11" s="14" t="n">
        <x:v>10</x:v>
      </x:c>
      <x:c r="B11" s="14" t="str">
        <x:v>8. Sınıf / LGS</x:v>
      </x:c>
      <x:c r="C11" s="14" t="str">
        <x:v>Periyodik Sistem</x:v>
      </x:c>
      <x:c r="D11" s="14" t="n">
        <x:v>2</x:v>
      </x:c>
      <x:c r="E11" s="15" t="n">
        <x:v>46368</x:v>
      </x:c>
      <x:c r="F11" s="14" t="str">
        <x:v>Fen Konu + Soru</x:v>
      </x:c>
      <x:c r="G11" s="14" t="str">
        <x:v>https://www.youtube.com/watch?v=AHdk01aR4Ko&amp;list=PLrQm7mt99FRV_Oe9xFavWzFpCIl7_XiWj | https://www.youtube.com/watch?v=pQXhWnDZ3vM&amp;list=PLrQm7mt99FRXcBnorCttd31HJEvg0En26&amp;index=23</x:v>
      </x:c>
      <x:c r="H11" s="14" t="str">
        <x:v>Hız 8. Sınıf Fen (ISBN 9786257514859); tamamlandıysa Mozaik 8. Sınıf Fen</x:v>
      </x:c>
      <x:c r="I11" s="14" t="str">
        <x:v>Planlandı</x:v>
      </x:c>
      <x:c r="J11" s="14" t="str">
        <x:v>1) konu anlatım, 2) soru çözüm videosu/kitap, 3) MEB gate. Cumartesi ek Fen oturumu kapsamı 22 Mart'a kadar kapatır.</x:v>
      </x:c>
    </x:row>
    <x:row r="12">
      <x:c r="A12" s="14" t="n">
        <x:v>11</x:v>
      </x:c>
      <x:c r="B12" s="14" t="str">
        <x:v>8. Sınıf / LGS</x:v>
      </x:c>
      <x:c r="C12" s="14" t="str">
        <x:v>Fiziksel ve Kimyasal Değişimler / Kimyasal Tepkimeler</x:v>
      </x:c>
      <x:c r="D12" s="14" t="n">
        <x:v>2</x:v>
      </x:c>
      <x:c r="E12" s="15" t="n">
        <x:v>46376</x:v>
      </x:c>
      <x:c r="F12" s="14" t="str">
        <x:v>Fen Konu + Soru</x:v>
      </x:c>
      <x:c r="G12" s="14" t="str">
        <x:v>https://www.youtube.com/watch?v=AHdk01aR4Ko&amp;list=PLrQm7mt99FRV_Oe9xFavWzFpCIl7_XiWj | https://www.youtube.com/watch?v=pQXhWnDZ3vM&amp;list=PLrQm7mt99FRXcBnorCttd31HJEvg0En26&amp;index=23</x:v>
      </x:c>
      <x:c r="H12" s="14" t="str">
        <x:v>Hız 8. Sınıf Fen (ISBN 9786257514859); tamamlandıysa Mozaik 8. Sınıf Fen</x:v>
      </x:c>
      <x:c r="I12" s="14" t="str">
        <x:v>Planlandı</x:v>
      </x:c>
      <x:c r="J12" s="14" t="str">
        <x:v>1) konu anlatım, 2) soru çözüm videosu/kitap, 3) MEB gate. Cumartesi ek Fen oturumu kapsamı 22 Mart'a kadar kapatır.</x:v>
      </x:c>
    </x:row>
    <x:row r="13">
      <x:c r="A13" s="14" t="n">
        <x:v>12</x:v>
      </x:c>
      <x:c r="B13" s="14" t="str">
        <x:v>8. Sınıf / LGS</x:v>
      </x:c>
      <x:c r="C13" s="14" t="str">
        <x:v>Asitler ve Bazlar</x:v>
      </x:c>
      <x:c r="D13" s="14" t="n">
        <x:v>2</x:v>
      </x:c>
      <x:c r="E13" s="15" t="n">
        <x:v>46384</x:v>
      </x:c>
      <x:c r="F13" s="14" t="str">
        <x:v>Fen Konu + Soru</x:v>
      </x:c>
      <x:c r="G13" s="14" t="str">
        <x:v>https://www.youtube.com/watch?v=AHdk01aR4Ko&amp;list=PLrQm7mt99FRV_Oe9xFavWzFpCIl7_XiWj | https://www.youtube.com/watch?v=pQXhWnDZ3vM&amp;list=PLrQm7mt99FRXcBnorCttd31HJEvg0En26&amp;index=23</x:v>
      </x:c>
      <x:c r="H13" s="14" t="str">
        <x:v>Hız 8. Sınıf Fen (ISBN 9786257514859); tamamlandıysa Mozaik 8. Sınıf Fen</x:v>
      </x:c>
      <x:c r="I13" s="14" t="str">
        <x:v>Planlandı</x:v>
      </x:c>
      <x:c r="J13" s="14" t="str">
        <x:v>1) konu anlatım, 2) soru çözüm videosu/kitap, 3) MEB gate. Cumartesi ek Fen oturumu kapsamı 22 Mart'a kadar kapatır.</x:v>
      </x:c>
    </x:row>
    <x:row r="14">
      <x:c r="A14" s="14" t="n">
        <x:v>13</x:v>
      </x:c>
      <x:c r="B14" s="14" t="str">
        <x:v>8. Sınıf / LGS</x:v>
      </x:c>
      <x:c r="C14" s="14" t="str">
        <x:v>Maddenin Isı ile Etkileşimi</x:v>
      </x:c>
      <x:c r="D14" s="14" t="n">
        <x:v>2</x:v>
      </x:c>
      <x:c r="E14" s="15" t="n">
        <x:v>46392</x:v>
      </x:c>
      <x:c r="F14" s="14" t="str">
        <x:v>Fen Konu + Soru</x:v>
      </x:c>
      <x:c r="G14" s="14" t="str">
        <x:v>https://www.youtube.com/watch?v=AHdk01aR4Ko&amp;list=PLrQm7mt99FRV_Oe9xFavWzFpCIl7_XiWj | https://www.youtube.com/watch?v=pQXhWnDZ3vM&amp;list=PLrQm7mt99FRXcBnorCttd31HJEvg0En26&amp;index=23</x:v>
      </x:c>
      <x:c r="H14" s="14" t="str">
        <x:v>Hız 8. Sınıf Fen (ISBN 9786257514859); tamamlandıysa Mozaik 8. Sınıf Fen</x:v>
      </x:c>
      <x:c r="I14" s="14" t="str">
        <x:v>Planlandı</x:v>
      </x:c>
      <x:c r="J14" s="14" t="str">
        <x:v>1) konu anlatım, 2) soru çözüm videosu/kitap, 3) MEB gate. Cumartesi ek Fen oturumu kapsamı 22 Mart'a kadar kapatır.</x:v>
      </x:c>
    </x:row>
    <x:row r="15">
      <x:c r="A15" s="14" t="n">
        <x:v>14</x:v>
      </x:c>
      <x:c r="B15" s="14" t="str">
        <x:v>8. Sınıf / LGS</x:v>
      </x:c>
      <x:c r="C15" s="14" t="str">
        <x:v>Basit Makineler - Makaralar</x:v>
      </x:c>
      <x:c r="D15" s="14" t="n">
        <x:v>2</x:v>
      </x:c>
      <x:c r="E15" s="15" t="n">
        <x:v>46400</x:v>
      </x:c>
      <x:c r="F15" s="14" t="str">
        <x:v>Fen Konu + Soru</x:v>
      </x:c>
      <x:c r="G15" s="14" t="str">
        <x:v>https://www.youtube.com/watch?v=AHdk01aR4Ko&amp;list=PLrQm7mt99FRV_Oe9xFavWzFpCIl7_XiWj | https://www.youtube.com/watch?v=pQXhWnDZ3vM&amp;list=PLrQm7mt99FRXcBnorCttd31HJEvg0En26&amp;index=23</x:v>
      </x:c>
      <x:c r="H15" s="14" t="str">
        <x:v>Hız 8. Sınıf Fen (ISBN 9786257514859); tamamlandıysa Mozaik 8. Sınıf Fen</x:v>
      </x:c>
      <x:c r="I15" s="14" t="str">
        <x:v>Planlandı</x:v>
      </x:c>
      <x:c r="J15" s="14" t="str">
        <x:v>1) konu anlatım, 2) soru çözüm videosu/kitap, 3) MEB gate. Cumartesi ek Fen oturumu kapsamı 22 Mart'a kadar kapatır.</x:v>
      </x:c>
    </x:row>
    <x:row r="16">
      <x:c r="A16" s="14" t="n">
        <x:v>15</x:v>
      </x:c>
      <x:c r="B16" s="14" t="str">
        <x:v>8. Sınıf / LGS</x:v>
      </x:c>
      <x:c r="C16" s="14" t="str">
        <x:v>Basit Makineler - Kaldıraçlar</x:v>
      </x:c>
      <x:c r="D16" s="14" t="n">
        <x:v>2</x:v>
      </x:c>
      <x:c r="E16" s="15" t="n">
        <x:v>46408</x:v>
      </x:c>
      <x:c r="F16" s="14" t="str">
        <x:v>Fen Konu + Soru</x:v>
      </x:c>
      <x:c r="G16" s="14" t="str">
        <x:v>https://www.youtube.com/watch?v=AHdk01aR4Ko&amp;list=PLrQm7mt99FRV_Oe9xFavWzFpCIl7_XiWj | https://www.youtube.com/watch?v=pQXhWnDZ3vM&amp;list=PLrQm7mt99FRXcBnorCttd31HJEvg0En26&amp;index=23</x:v>
      </x:c>
      <x:c r="H16" s="14" t="str">
        <x:v>Hız 8. Sınıf Fen (ISBN 9786257514859); tamamlandıysa Mozaik 8. Sınıf Fen</x:v>
      </x:c>
      <x:c r="I16" s="14" t="str">
        <x:v>Planlandı</x:v>
      </x:c>
      <x:c r="J16" s="14" t="str">
        <x:v>1) konu anlatım, 2) soru çözüm videosu/kitap, 3) MEB gate. Cumartesi ek Fen oturumu kapsamı 22 Mart'a kadar kapatır.</x:v>
      </x:c>
    </x:row>
    <x:row r="17">
      <x:c r="A17" s="14" t="n">
        <x:v>16</x:v>
      </x:c>
      <x:c r="B17" s="14" t="str">
        <x:v>8. Sınıf / LGS</x:v>
      </x:c>
      <x:c r="C17" s="14" t="str">
        <x:v>Basit Makineler - Eğik Düzlem / Çıkrık</x:v>
      </x:c>
      <x:c r="D17" s="14" t="n">
        <x:v>2</x:v>
      </x:c>
      <x:c r="E17" s="15" t="n">
        <x:v>46416</x:v>
      </x:c>
      <x:c r="F17" s="14" t="str">
        <x:v>Fen Konu + Soru</x:v>
      </x:c>
      <x:c r="G17" s="14" t="str">
        <x:v>https://www.youtube.com/watch?v=AHdk01aR4Ko&amp;list=PLrQm7mt99FRV_Oe9xFavWzFpCIl7_XiWj | https://www.youtube.com/watch?v=pQXhWnDZ3vM&amp;list=PLrQm7mt99FRXcBnorCttd31HJEvg0En26&amp;index=23</x:v>
      </x:c>
      <x:c r="H17" s="14" t="str">
        <x:v>Hız 8. Sınıf Fen (ISBN 9786257514859); tamamlandıysa Mozaik 8. Sınıf Fen</x:v>
      </x:c>
      <x:c r="I17" s="14" t="str">
        <x:v>Planlandı</x:v>
      </x:c>
      <x:c r="J17" s="14" t="str">
        <x:v>1) konu anlatım, 2) soru çözüm videosu/kitap, 3) MEB gate. Cumartesi ek Fen oturumu kapsamı 22 Mart'a kadar kapatır.</x:v>
      </x:c>
    </x:row>
    <x:row r="18">
      <x:c r="A18" s="14" t="n">
        <x:v>17</x:v>
      </x:c>
      <x:c r="B18" s="14" t="str">
        <x:v>8. Sınıf / LGS</x:v>
      </x:c>
      <x:c r="C18" s="14" t="str">
        <x:v>Besin Zinciri ve Enerji Akışı</x:v>
      </x:c>
      <x:c r="D18" s="14" t="n">
        <x:v>2</x:v>
      </x:c>
      <x:c r="E18" s="15" t="n">
        <x:v>46424</x:v>
      </x:c>
      <x:c r="F18" s="14" t="str">
        <x:v>Fen Konu + Soru</x:v>
      </x:c>
      <x:c r="G18" s="14" t="str">
        <x:v>https://www.youtube.com/watch?v=AHdk01aR4Ko&amp;list=PLrQm7mt99FRV_Oe9xFavWzFpCIl7_XiWj | https://www.youtube.com/watch?v=pQXhWnDZ3vM&amp;list=PLrQm7mt99FRXcBnorCttd31HJEvg0En26&amp;index=23</x:v>
      </x:c>
      <x:c r="H18" s="14" t="str">
        <x:v>Hız 8. Sınıf Fen (ISBN 9786257514859); tamamlandıysa Mozaik 8. Sınıf Fen</x:v>
      </x:c>
      <x:c r="I18" s="14" t="str">
        <x:v>Planlandı</x:v>
      </x:c>
      <x:c r="J18" s="14" t="str">
        <x:v>1) konu anlatım, 2) soru çözüm videosu/kitap, 3) MEB gate. Cumartesi ek Fen oturumu kapsamı 22 Mart'a kadar kapatır.</x:v>
      </x:c>
    </x:row>
    <x:row r="19">
      <x:c r="A19" s="14" t="n">
        <x:v>18</x:v>
      </x:c>
      <x:c r="B19" s="14" t="str">
        <x:v>8. Sınıf / LGS</x:v>
      </x:c>
      <x:c r="C19" s="14" t="str">
        <x:v>Fotosentez</x:v>
      </x:c>
      <x:c r="D19" s="14" t="n">
        <x:v>2</x:v>
      </x:c>
      <x:c r="E19" s="15" t="n">
        <x:v>46431</x:v>
      </x:c>
      <x:c r="F19" s="14" t="str">
        <x:v>Fen Konu + Soru</x:v>
      </x:c>
      <x:c r="G19" s="14" t="str">
        <x:v>https://www.youtube.com/watch?v=AHdk01aR4Ko&amp;list=PLrQm7mt99FRV_Oe9xFavWzFpCIl7_XiWj | https://www.youtube.com/watch?v=pQXhWnDZ3vM&amp;list=PLrQm7mt99FRXcBnorCttd31HJEvg0En26&amp;index=23</x:v>
      </x:c>
      <x:c r="H19" s="14" t="str">
        <x:v>Hız 8. Sınıf Fen (ISBN 9786257514859); tamamlandıysa Mozaik 8. Sınıf Fen</x:v>
      </x:c>
      <x:c r="I19" s="14" t="str">
        <x:v>Planlandı</x:v>
      </x:c>
      <x:c r="J19" s="14" t="str">
        <x:v>1) konu anlatım, 2) soru çözüm videosu/kitap, 3) MEB gate. Cumartesi ek Fen oturumu kapsamı 22 Mart'a kadar kapatır.</x:v>
      </x:c>
    </x:row>
    <x:row r="20">
      <x:c r="A20" s="14" t="n">
        <x:v>19</x:v>
      </x:c>
      <x:c r="B20" s="14" t="str">
        <x:v>8. Sınıf / LGS</x:v>
      </x:c>
      <x:c r="C20" s="14" t="str">
        <x:v>Solunum</x:v>
      </x:c>
      <x:c r="D20" s="14" t="n">
        <x:v>2</x:v>
      </x:c>
      <x:c r="E20" s="15" t="n">
        <x:v>46438</x:v>
      </x:c>
      <x:c r="F20" s="14" t="str">
        <x:v>Fen Konu + Soru</x:v>
      </x:c>
      <x:c r="G20" s="14" t="str">
        <x:v>https://www.youtube.com/watch?v=AHdk01aR4Ko&amp;list=PLrQm7mt99FRV_Oe9xFavWzFpCIl7_XiWj | https://www.youtube.com/watch?v=pQXhWnDZ3vM&amp;list=PLrQm7mt99FRXcBnorCttd31HJEvg0En26&amp;index=23</x:v>
      </x:c>
      <x:c r="H20" s="14" t="str">
        <x:v>Hız 8. Sınıf Fen (ISBN 9786257514859); tamamlandıysa Mozaik 8. Sınıf Fen</x:v>
      </x:c>
      <x:c r="I20" s="14" t="str">
        <x:v>Planlandı</x:v>
      </x:c>
      <x:c r="J20" s="14" t="str">
        <x:v>1) konu anlatım, 2) soru çözüm videosu/kitap, 3) MEB gate. Cumartesi ek Fen oturumu kapsamı 22 Mart'a kadar kapatır.</x:v>
      </x:c>
    </x:row>
    <x:row r="21">
      <x:c r="A21" s="14" t="n">
        <x:v>20</x:v>
      </x:c>
      <x:c r="B21" s="14" t="str">
        <x:v>8. Sınıf / LGS</x:v>
      </x:c>
      <x:c r="C21" s="14" t="str">
        <x:v>Madde Döngüleri ve Sürdürülebilir Kalkınma</x:v>
      </x:c>
      <x:c r="D21" s="14" t="n">
        <x:v>2</x:v>
      </x:c>
      <x:c r="E21" s="15" t="n">
        <x:v>46445</x:v>
      </x:c>
      <x:c r="F21" s="14" t="str">
        <x:v>Fen Konu + Soru</x:v>
      </x:c>
      <x:c r="G21" s="14" t="str">
        <x:v>https://www.youtube.com/watch?v=AHdk01aR4Ko&amp;list=PLrQm7mt99FRV_Oe9xFavWzFpCIl7_XiWj | https://www.youtube.com/watch?v=pQXhWnDZ3vM&amp;list=PLrQm7mt99FRXcBnorCttd31HJEvg0En26&amp;index=23</x:v>
      </x:c>
      <x:c r="H21" s="14" t="str">
        <x:v>Hız 8. Sınıf Fen (ISBN 9786257514859); tamamlandıysa Mozaik 8. Sınıf Fen</x:v>
      </x:c>
      <x:c r="I21" s="14" t="str">
        <x:v>Planlandı</x:v>
      </x:c>
      <x:c r="J21" s="14" t="str">
        <x:v>1) konu anlatım, 2) soru çözüm videosu/kitap, 3) MEB gate. Cumartesi ek Fen oturumu kapsamı 22 Mart'a kadar kapatır.</x:v>
      </x:c>
    </x:row>
    <x:row r="22">
      <x:c r="A22" s="14" t="n">
        <x:v>21</x:v>
      </x:c>
      <x:c r="B22" s="14" t="str">
        <x:v>8. Sınıf / LGS</x:v>
      </x:c>
      <x:c r="C22" s="14" t="str">
        <x:v>Elektrik Yükleri ve Elektriklenme</x:v>
      </x:c>
      <x:c r="D22" s="14" t="n">
        <x:v>2</x:v>
      </x:c>
      <x:c r="E22" s="15" t="n">
        <x:v>46452</x:v>
      </x:c>
      <x:c r="F22" s="14" t="str">
        <x:v>Fen Konu + Soru</x:v>
      </x:c>
      <x:c r="G22" s="14" t="str">
        <x:v>https://www.youtube.com/watch?v=AHdk01aR4Ko&amp;list=PLrQm7mt99FRV_Oe9xFavWzFpCIl7_XiWj | https://www.youtube.com/watch?v=pQXhWnDZ3vM&amp;list=PLrQm7mt99FRXcBnorCttd31HJEvg0En26&amp;index=23</x:v>
      </x:c>
      <x:c r="H22" s="14" t="str">
        <x:v>Hız 8. Sınıf Fen (ISBN 9786257514859); tamamlandıysa Mozaik 8. Sınıf Fen</x:v>
      </x:c>
      <x:c r="I22" s="14" t="str">
        <x:v>Planlandı</x:v>
      </x:c>
      <x:c r="J22" s="14" t="str">
        <x:v>1) konu anlatım, 2) soru çözüm videosu/kitap, 3) MEB gate. Cumartesi ek Fen oturumu kapsamı 22 Mart'a kadar kapatır.</x:v>
      </x:c>
    </x:row>
    <x:row r="23">
      <x:c r="A23" s="14" t="n">
        <x:v>22</x:v>
      </x:c>
      <x:c r="B23" s="14" t="str">
        <x:v>8. Sınıf / LGS</x:v>
      </x:c>
      <x:c r="C23" s="14" t="str">
        <x:v>Elektrik Yüklü Cisimler</x:v>
      </x:c>
      <x:c r="D23" s="14" t="n">
        <x:v>2</x:v>
      </x:c>
      <x:c r="E23" s="15" t="n">
        <x:v>46460</x:v>
      </x:c>
      <x:c r="F23" s="14" t="str">
        <x:v>Fen Konu + Soru</x:v>
      </x:c>
      <x:c r="G23" s="14" t="str">
        <x:v>https://www.youtube.com/watch?v=AHdk01aR4Ko&amp;list=PLrQm7mt99FRV_Oe9xFavWzFpCIl7_XiWj | https://www.youtube.com/watch?v=pQXhWnDZ3vM&amp;list=PLrQm7mt99FRXcBnorCttd31HJEvg0En26&amp;index=23</x:v>
      </x:c>
      <x:c r="H23" s="14" t="str">
        <x:v>Hız 8. Sınıf Fen (ISBN 9786257514859); tamamlandıysa Mozaik 8. Sınıf Fen</x:v>
      </x:c>
      <x:c r="I23" s="14" t="str">
        <x:v>Planlandı</x:v>
      </x:c>
      <x:c r="J23" s="14" t="str">
        <x:v>1) konu anlatım, 2) soru çözüm videosu/kitap, 3) MEB gate. Cumartesi ek Fen oturumu kapsamı 22 Mart'a kadar kapatır.</x:v>
      </x:c>
    </x:row>
    <x:row r="24">
      <x:c r="A24" s="14" t="n">
        <x:v>23</x:v>
      </x:c>
      <x:c r="B24" s="14" t="str">
        <x:v>8. Sınıf / LGS</x:v>
      </x:c>
      <x:c r="C24" s="14" t="str">
        <x:v>Elektrik Enerjisinin Dönüşümü</x:v>
      </x:c>
      <x:c r="D24" s="14" t="n">
        <x:v>2</x:v>
      </x:c>
      <x:c r="E24" s="15" t="n">
        <x:v>46468</x:v>
      </x:c>
      <x:c r="F24" s="14" t="str">
        <x:v>Fen Konu + Soru</x:v>
      </x:c>
      <x:c r="G24" s="14" t="str">
        <x:v>https://www.youtube.com/watch?v=AHdk01aR4Ko&amp;list=PLrQm7mt99FRV_Oe9xFavWzFpCIl7_XiWj | https://www.youtube.com/watch?v=pQXhWnDZ3vM&amp;list=PLrQm7mt99FRXcBnorCttd31HJEvg0En26&amp;index=23</x:v>
      </x:c>
      <x:c r="H24" s="14" t="str">
        <x:v>Hız 8. Sınıf Fen (ISBN 9786257514859); tamamlandıysa Mozaik 8. Sınıf Fen</x:v>
      </x:c>
      <x:c r="I24" s="14" t="str">
        <x:v>Planlandı</x:v>
      </x:c>
      <x:c r="J24" s="14" t="str">
        <x:v>1) konu anlatım, 2) soru çözüm videosu/kitap, 3) MEB gate. Cumartesi ek Fen oturumu kapsamı 22 Mart'a kadar kapatır.</x:v>
      </x:c>
    </x:row>
  </x:sheetData>
  <x:dataValidations count="1">
    <x:dataValidation type="list" sqref="I2:I24">
      <x:formula1>"Planlandı,Başlandı,Kitap Bitti,MEB Bitti,Güçlü"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6" hidden="0" customWidth="1"/>
    <x:col min="4" max="4" width="23" hidden="0" customWidth="1"/>
    <x:col min="5" max="5" width="17" hidden="0" customWidth="1"/>
    <x:col min="6" max="6" width="28" hidden="0" customWidth="1"/>
    <x:col min="7" max="7" width="62" hidden="0" customWidth="1"/>
    <x:col min="8" max="8" width="58" hidden="0" customWidth="1"/>
    <x:col min="9" max="9" width="16" hidden="0" customWidth="1"/>
    <x:col min="10" max="10" width="60" hidden="0" customWidth="1"/>
  </x:cols>
  <x:sheetData>
    <x:row r="1">
      <x:c r="A1" s="6" t="str">
        <x:v>Sıra</x:v>
      </x:c>
      <x:c r="B1" s="6" t="str">
        <x:v>Aşama</x:v>
      </x:c>
      <x:c r="C1" s="6" t="str">
        <x:v>Konu</x:v>
      </x:c>
      <x:c r="D1" s="6" t="str">
        <x:v>Planlanan Konu/Video Oturumu</x:v>
      </x:c>
      <x:c r="E1" s="6" t="str">
        <x:v>Konu Sonu MEB Gate</x:v>
      </x:c>
      <x:c r="F1" s="6" t="str">
        <x:v>Video Kaynağı</x:v>
      </x:c>
      <x:c r="G1" s="6" t="str">
        <x:v>Genel Oynatma Listesi</x:v>
      </x:c>
      <x:c r="H1" s="6" t="str">
        <x:v>Soru Kaynağı</x:v>
      </x:c>
      <x:c r="I1" s="6" t="str">
        <x:v>Durum</x:v>
      </x:c>
      <x:c r="J1" s="6" t="str">
        <x:v>Not</x:v>
      </x:c>
    </x:row>
    <x:row r="2">
      <x:c r="A2" s="14" t="n">
        <x:v>1</x:v>
      </x:c>
      <x:c r="B2" s="14" t="str">
        <x:v>8. Sınıf / LGS</x:v>
      </x:c>
      <x:c r="C2" s="14" t="str">
        <x:v>Bir Kahraman Doğuyor - Avrupa ve Osmanlı’nın Durumu</x:v>
      </x:c>
      <x:c r="D2" s="14" t="n">
        <x:v>2</x:v>
      </x:c>
      <x:c r="E2" s="15" t="n">
        <x:v>46306</x:v>
      </x:c>
      <x:c r="F2" s="14" t="str">
        <x:v>İnkılap</x:v>
      </x:c>
      <x:c r="G2" s="14" t="str">
        <x:v>https://www.youtube.com/watch?v=MltIX0oKpYU&amp;list=PLsAsBPsriHNbXit4Ra3iuBrk1ZHZWxsOR&amp;index=78</x:v>
      </x:c>
      <x:c r="H2" s="14" t="str">
        <x:v>Hız 8. Sınıf T.C. İnkılap Tarihi ve Atatürkçülük</x:v>
      </x:c>
      <x:c r="I2" s="14" t="str">
        <x:v>Planlandı</x:v>
      </x:c>
      <x:c r="J2" s="14" t="str">
        <x:v>Okul yazılı videoları zorunlu değil; konu + kitap + MEB gate.</x:v>
      </x:c>
    </x:row>
    <x:row r="3">
      <x:c r="A3" s="14" t="n">
        <x:v>2</x:v>
      </x:c>
      <x:c r="B3" s="14" t="str">
        <x:v>8. Sınıf / LGS</x:v>
      </x:c>
      <x:c r="C3" s="14" t="str">
        <x:v>Mustafa Kemal’in Çocukluk, Eğitim ve Fikir Hayatı</x:v>
      </x:c>
      <x:c r="D3" s="14" t="n">
        <x:v>2</x:v>
      </x:c>
      <x:c r="E3" s="15" t="n">
        <x:v>46318</x:v>
      </x:c>
      <x:c r="F3" s="14" t="str">
        <x:v>İnkılap</x:v>
      </x:c>
      <x:c r="G3" s="14" t="str">
        <x:v>https://www.youtube.com/watch?v=MltIX0oKpYU&amp;list=PLsAsBPsriHNbXit4Ra3iuBrk1ZHZWxsOR&amp;index=78</x:v>
      </x:c>
      <x:c r="H3" s="14" t="str">
        <x:v>Hız 8. Sınıf T.C. İnkılap Tarihi ve Atatürkçülük</x:v>
      </x:c>
      <x:c r="I3" s="14" t="str">
        <x:v>Planlandı</x:v>
      </x:c>
      <x:c r="J3" s="14" t="str">
        <x:v>Okul yazılı videoları zorunlu değil; konu + kitap + MEB gate.</x:v>
      </x:c>
    </x:row>
    <x:row r="4">
      <x:c r="A4" s="14" t="n">
        <x:v>3</x:v>
      </x:c>
      <x:c r="B4" s="14" t="str">
        <x:v>8. Sınıf / LGS</x:v>
      </x:c>
      <x:c r="C4" s="14" t="str">
        <x:v>Mustafa Kemal’in Askerlik Hayatı</x:v>
      </x:c>
      <x:c r="D4" s="14" t="n">
        <x:v>2</x:v>
      </x:c>
      <x:c r="E4" s="15" t="n">
        <x:v>46330</x:v>
      </x:c>
      <x:c r="F4" s="14" t="str">
        <x:v>İnkılap</x:v>
      </x:c>
      <x:c r="G4" s="14" t="str">
        <x:v>https://www.youtube.com/watch?v=MltIX0oKpYU&amp;list=PLsAsBPsriHNbXit4Ra3iuBrk1ZHZWxsOR&amp;index=78</x:v>
      </x:c>
      <x:c r="H4" s="14" t="str">
        <x:v>Hız 8. Sınıf T.C. İnkılap Tarihi ve Atatürkçülük</x:v>
      </x:c>
      <x:c r="I4" s="14" t="str">
        <x:v>Planlandı</x:v>
      </x:c>
      <x:c r="J4" s="14" t="str">
        <x:v>Okul yazılı videoları zorunlu değil; konu + kitap + MEB gate.</x:v>
      </x:c>
    </x:row>
    <x:row r="5">
      <x:c r="A5" s="14" t="n">
        <x:v>4</x:v>
      </x:c>
      <x:c r="B5" s="14" t="str">
        <x:v>8. Sınıf / LGS</x:v>
      </x:c>
      <x:c r="C5" s="14" t="str">
        <x:v>I. Dünya Savaşı ve Osmanlı Devleti</x:v>
      </x:c>
      <x:c r="D5" s="14" t="n">
        <x:v>2</x:v>
      </x:c>
      <x:c r="E5" s="15" t="n">
        <x:v>46342</x:v>
      </x:c>
      <x:c r="F5" s="14" t="str">
        <x:v>İnkılap</x:v>
      </x:c>
      <x:c r="G5" s="14" t="str">
        <x:v>https://www.youtube.com/watch?v=MltIX0oKpYU&amp;list=PLsAsBPsriHNbXit4Ra3iuBrk1ZHZWxsOR&amp;index=78</x:v>
      </x:c>
      <x:c r="H5" s="14" t="str">
        <x:v>Hız 8. Sınıf T.C. İnkılap Tarihi ve Atatürkçülük</x:v>
      </x:c>
      <x:c r="I5" s="14" t="str">
        <x:v>Planlandı</x:v>
      </x:c>
      <x:c r="J5" s="14" t="str">
        <x:v>Okul yazılı videoları zorunlu değil; konu + kitap + MEB gate.</x:v>
      </x:c>
    </x:row>
    <x:row r="6">
      <x:c r="A6" s="14" t="n">
        <x:v>5</x:v>
      </x:c>
      <x:c r="B6" s="14" t="str">
        <x:v>8. Sınıf / LGS</x:v>
      </x:c>
      <x:c r="C6" s="14" t="str">
        <x:v>Mondros, İşgaller, Cemiyetler ve Kuvayımilliye</x:v>
      </x:c>
      <x:c r="D6" s="14" t="n">
        <x:v>3</x:v>
      </x:c>
      <x:c r="E6" s="15" t="n">
        <x:v>46358</x:v>
      </x:c>
      <x:c r="F6" s="14" t="str">
        <x:v>İnkılap</x:v>
      </x:c>
      <x:c r="G6" s="14" t="str">
        <x:v>https://www.youtube.com/watch?v=MltIX0oKpYU&amp;list=PLsAsBPsriHNbXit4Ra3iuBrk1ZHZWxsOR&amp;index=78</x:v>
      </x:c>
      <x:c r="H6" s="14" t="str">
        <x:v>Hız 8. Sınıf T.C. İnkılap Tarihi ve Atatürkçülük</x:v>
      </x:c>
      <x:c r="I6" s="14" t="str">
        <x:v>Planlandı</x:v>
      </x:c>
      <x:c r="J6" s="14" t="str">
        <x:v>Okul yazılı videoları zorunlu değil; konu + kitap + MEB gate.</x:v>
      </x:c>
    </x:row>
    <x:row r="7">
      <x:c r="A7" s="14" t="n">
        <x:v>6</x:v>
      </x:c>
      <x:c r="B7" s="14" t="str">
        <x:v>8. Sınıf / LGS</x:v>
      </x:c>
      <x:c r="C7" s="14" t="str">
        <x:v>Genelgeler, Kongreler, Misakımillî ve TBMM</x:v>
      </x:c>
      <x:c r="D7" s="14" t="n">
        <x:v>3</x:v>
      </x:c>
      <x:c r="E7" s="15" t="n">
        <x:v>46374</x:v>
      </x:c>
      <x:c r="F7" s="14" t="str">
        <x:v>İnkılap</x:v>
      </x:c>
      <x:c r="G7" s="14" t="str">
        <x:v>https://www.youtube.com/watch?v=MltIX0oKpYU&amp;list=PLsAsBPsriHNbXit4Ra3iuBrk1ZHZWxsOR&amp;index=78</x:v>
      </x:c>
      <x:c r="H7" s="14" t="str">
        <x:v>Hız 8. Sınıf T.C. İnkılap Tarihi ve Atatürkçülük</x:v>
      </x:c>
      <x:c r="I7" s="14" t="str">
        <x:v>Planlandı</x:v>
      </x:c>
      <x:c r="J7" s="14" t="str">
        <x:v>Okul yazılı videoları zorunlu değil; konu + kitap + MEB gate.</x:v>
      </x:c>
    </x:row>
    <x:row r="8">
      <x:c r="A8" s="14" t="n">
        <x:v>7</x:v>
      </x:c>
      <x:c r="B8" s="14" t="str">
        <x:v>8. Sınıf / LGS</x:v>
      </x:c>
      <x:c r="C8" s="14" t="str">
        <x:v>TBMM’ye Karşı Ayaklanmalar ve Sevr</x:v>
      </x:c>
      <x:c r="D8" s="14" t="n">
        <x:v>2</x:v>
      </x:c>
      <x:c r="E8" s="15" t="n">
        <x:v>46386</x:v>
      </x:c>
      <x:c r="F8" s="14" t="str">
        <x:v>İnkılap</x:v>
      </x:c>
      <x:c r="G8" s="14" t="str">
        <x:v>https://www.youtube.com/watch?v=MltIX0oKpYU&amp;list=PLsAsBPsriHNbXit4Ra3iuBrk1ZHZWxsOR&amp;index=78</x:v>
      </x:c>
      <x:c r="H8" s="14" t="str">
        <x:v>Hız 8. Sınıf T.C. İnkılap Tarihi ve Atatürkçülük</x:v>
      </x:c>
      <x:c r="I8" s="14" t="str">
        <x:v>Planlandı</x:v>
      </x:c>
      <x:c r="J8" s="14" t="str">
        <x:v>Okul yazılı videoları zorunlu değil; konu + kitap + MEB gate.</x:v>
      </x:c>
    </x:row>
    <x:row r="9">
      <x:c r="A9" s="14" t="n">
        <x:v>8</x:v>
      </x:c>
      <x:c r="B9" s="14" t="str">
        <x:v>8. Sınıf / LGS</x:v>
      </x:c>
      <x:c r="C9" s="14" t="str">
        <x:v>Millî Mücadele - Cepheler</x:v>
      </x:c>
      <x:c r="D9" s="14" t="n">
        <x:v>3</x:v>
      </x:c>
      <x:c r="E9" s="15" t="n">
        <x:v>46402</x:v>
      </x:c>
      <x:c r="F9" s="14" t="str">
        <x:v>İnkılap</x:v>
      </x:c>
      <x:c r="G9" s="14" t="str">
        <x:v>https://www.youtube.com/watch?v=MltIX0oKpYU&amp;list=PLsAsBPsriHNbXit4Ra3iuBrk1ZHZWxsOR&amp;index=78</x:v>
      </x:c>
      <x:c r="H9" s="14" t="str">
        <x:v>Hız 8. Sınıf T.C. İnkılap Tarihi ve Atatürkçülük</x:v>
      </x:c>
      <x:c r="I9" s="14" t="str">
        <x:v>Planlandı</x:v>
      </x:c>
      <x:c r="J9" s="14" t="str">
        <x:v>Okul yazılı videoları zorunlu değil; konu + kitap + MEB gate.</x:v>
      </x:c>
    </x:row>
    <x:row r="10">
      <x:c r="A10" s="14" t="n">
        <x:v>9</x:v>
      </x:c>
      <x:c r="B10" s="14" t="str">
        <x:v>8. Sınıf / LGS</x:v>
      </x:c>
      <x:c r="C10" s="14" t="str">
        <x:v>Atatürkçülük ve Çağdaşlaşan Türkiye</x:v>
      </x:c>
      <x:c r="D10" s="14" t="n">
        <x:v>3</x:v>
      </x:c>
      <x:c r="E10" s="15" t="n">
        <x:v>46418</x:v>
      </x:c>
      <x:c r="F10" s="14" t="str">
        <x:v>İnkılap</x:v>
      </x:c>
      <x:c r="G10" s="14" t="str">
        <x:v>https://www.youtube.com/watch?v=MltIX0oKpYU&amp;list=PLsAsBPsriHNbXit4Ra3iuBrk1ZHZWxsOR&amp;index=78</x:v>
      </x:c>
      <x:c r="H10" s="14" t="str">
        <x:v>Hız 8. Sınıf T.C. İnkılap Tarihi ve Atatürkçülük</x:v>
      </x:c>
      <x:c r="I10" s="14" t="str">
        <x:v>Planlandı</x:v>
      </x:c>
      <x:c r="J10" s="14" t="str">
        <x:v>Okul yazılı videoları zorunlu değil; konu + kitap + MEB gate.</x:v>
      </x:c>
    </x:row>
    <x:row r="11">
      <x:c r="A11" s="14" t="n">
        <x:v>10</x:v>
      </x:c>
      <x:c r="B11" s="14" t="str">
        <x:v>8. Sınıf / LGS</x:v>
      </x:c>
      <x:c r="C11" s="14" t="str">
        <x:v>Demokratikleşme Çabaları</x:v>
      </x:c>
      <x:c r="D11" s="14" t="n">
        <x:v>2</x:v>
      </x:c>
      <x:c r="E11" s="15" t="n">
        <x:v>46430</x:v>
      </x:c>
      <x:c r="F11" s="14" t="str">
        <x:v>İnkılap</x:v>
      </x:c>
      <x:c r="G11" s="14" t="str">
        <x:v>https://www.youtube.com/watch?v=MltIX0oKpYU&amp;list=PLsAsBPsriHNbXit4Ra3iuBrk1ZHZWxsOR&amp;index=78</x:v>
      </x:c>
      <x:c r="H11" s="14" t="str">
        <x:v>Hız 8. Sınıf T.C. İnkılap Tarihi ve Atatürkçülük</x:v>
      </x:c>
      <x:c r="I11" s="14" t="str">
        <x:v>Planlandı</x:v>
      </x:c>
      <x:c r="J11" s="14" t="str">
        <x:v>Okul yazılı videoları zorunlu değil; konu + kitap + MEB gate.</x:v>
      </x:c>
    </x:row>
    <x:row r="12">
      <x:c r="A12" s="14" t="n">
        <x:v>11</x:v>
      </x:c>
      <x:c r="B12" s="14" t="str">
        <x:v>8. Sınıf / LGS</x:v>
      </x:c>
      <x:c r="C12" s="14" t="str">
        <x:v>Atatürk Dönemi Türk Dış Politikası</x:v>
      </x:c>
      <x:c r="D12" s="14" t="n">
        <x:v>2</x:v>
      </x:c>
      <x:c r="E12" s="15" t="n">
        <x:v>46442</x:v>
      </x:c>
      <x:c r="F12" s="14" t="str">
        <x:v>İnkılap</x:v>
      </x:c>
      <x:c r="G12" s="14" t="str">
        <x:v>https://www.youtube.com/watch?v=MltIX0oKpYU&amp;list=PLsAsBPsriHNbXit4Ra3iuBrk1ZHZWxsOR&amp;index=78</x:v>
      </x:c>
      <x:c r="H12" s="14" t="str">
        <x:v>Hız 8. Sınıf T.C. İnkılap Tarihi ve Atatürkçülük</x:v>
      </x:c>
      <x:c r="I12" s="14" t="str">
        <x:v>Planlandı</x:v>
      </x:c>
      <x:c r="J12" s="14" t="str">
        <x:v>Okul yazılı videoları zorunlu değil; konu + kitap + MEB gate.</x:v>
      </x:c>
    </x:row>
    <x:row r="13">
      <x:c r="A13" s="14" t="n">
        <x:v>12</x:v>
      </x:c>
      <x:c r="B13" s="14" t="str">
        <x:v>8. Sınıf / LGS</x:v>
      </x:c>
      <x:c r="C13" s="14" t="str">
        <x:v>Atatürk’ün Ölümü ve Sonrası</x:v>
      </x:c>
      <x:c r="D13" s="14" t="n">
        <x:v>2</x:v>
      </x:c>
      <x:c r="E13" s="15" t="n">
        <x:v>46454</x:v>
      </x:c>
      <x:c r="F13" s="14" t="str">
        <x:v>İnkılap</x:v>
      </x:c>
      <x:c r="G13" s="14" t="str">
        <x:v>https://www.youtube.com/watch?v=MltIX0oKpYU&amp;list=PLsAsBPsriHNbXit4Ra3iuBrk1ZHZWxsOR&amp;index=78</x:v>
      </x:c>
      <x:c r="H13" s="14" t="str">
        <x:v>Hız 8. Sınıf T.C. İnkılap Tarihi ve Atatürkçülük</x:v>
      </x:c>
      <x:c r="I13" s="14" t="str">
        <x:v>Planlandı</x:v>
      </x:c>
      <x:c r="J13" s="14" t="str">
        <x:v>Okul yazılı videoları zorunlu değil; konu + kitap + MEB gate.</x:v>
      </x:c>
    </x:row>
  </x:sheetData>
  <x:dataValidations count="1">
    <x:dataValidation type="list" sqref="I2:I13">
      <x:formula1>"Planlandı,Başlandı,Kitap Bitti,MEB Bitti,Güçlü"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6" hidden="0" customWidth="1"/>
    <x:col min="4" max="4" width="23" hidden="0" customWidth="1"/>
    <x:col min="5" max="5" width="17" hidden="0" customWidth="1"/>
    <x:col min="6" max="6" width="28" hidden="0" customWidth="1"/>
    <x:col min="7" max="7" width="62" hidden="0" customWidth="1"/>
    <x:col min="8" max="8" width="58" hidden="0" customWidth="1"/>
    <x:col min="9" max="9" width="16" hidden="0" customWidth="1"/>
    <x:col min="10" max="10" width="60" hidden="0" customWidth="1"/>
  </x:cols>
  <x:sheetData>
    <x:row r="1">
      <x:c r="A1" s="6" t="str">
        <x:v>Sıra</x:v>
      </x:c>
      <x:c r="B1" s="6" t="str">
        <x:v>Aşama</x:v>
      </x:c>
      <x:c r="C1" s="6" t="str">
        <x:v>Konu</x:v>
      </x:c>
      <x:c r="D1" s="6" t="str">
        <x:v>Planlanan Konu/Video Oturumu</x:v>
      </x:c>
      <x:c r="E1" s="6" t="str">
        <x:v>Konu Sonu MEB Gate</x:v>
      </x:c>
      <x:c r="F1" s="6" t="str">
        <x:v>Video Kaynağı</x:v>
      </x:c>
      <x:c r="G1" s="6" t="str">
        <x:v>Genel Oynatma Listesi</x:v>
      </x:c>
      <x:c r="H1" s="6" t="str">
        <x:v>Soru Kaynağı</x:v>
      </x:c>
      <x:c r="I1" s="6" t="str">
        <x:v>Durum</x:v>
      </x:c>
      <x:c r="J1" s="6" t="str">
        <x:v>Not</x:v>
      </x:c>
    </x:row>
    <x:row r="2">
      <x:c r="A2" s="14" t="n">
        <x:v>1</x:v>
      </x:c>
      <x:c r="B2" s="14" t="str">
        <x:v>8. Sınıf / LGS</x:v>
      </x:c>
      <x:c r="C2" s="14" t="str">
        <x:v>Kader ve Kaza İnancı</x:v>
      </x:c>
      <x:c r="D2" s="14" t="n">
        <x:v>2</x:v>
      </x:c>
      <x:c r="E2" s="15" t="n">
        <x:v>46305</x:v>
      </x:c>
      <x:c r="F2" s="14" t="str">
        <x:v>Din</x:v>
      </x:c>
      <x:c r="G2" s="14" t="str">
        <x:v>https://www.youtube.com/watch?v=wvdOE_75VnA&amp;list=PLbRoPq-Zu-SWXGUbVt4t4UWo-4VjsMUo-&amp;index=2</x:v>
      </x:c>
      <x:c r="H2" s="14" t="str">
        <x:v>Hız 8. Sınıf Din Kültürü ve Ahlak Bilgisi</x:v>
      </x:c>
      <x:c r="I2" s="14" t="str">
        <x:v>Planlandı</x:v>
      </x:c>
      <x:c r="J2" s="14" t="str">
        <x:v>Konu/pekiştirme → kitap → MEB gate.</x:v>
      </x:c>
    </x:row>
    <x:row r="3">
      <x:c r="A3" s="14" t="n">
        <x:v>2</x:v>
      </x:c>
      <x:c r="B3" s="14" t="str">
        <x:v>8. Sınıf / LGS</x:v>
      </x:c>
      <x:c r="C3" s="14" t="str">
        <x:v>İnsanın İradesi ve Kader / Kaderle İlgili Kavramlar</x:v>
      </x:c>
      <x:c r="D3" s="14" t="n">
        <x:v>2</x:v>
      </x:c>
      <x:c r="E3" s="15" t="n">
        <x:v>46317</x:v>
      </x:c>
      <x:c r="F3" s="14" t="str">
        <x:v>Din</x:v>
      </x:c>
      <x:c r="G3" s="14" t="str">
        <x:v>https://www.youtube.com/watch?v=wvdOE_75VnA&amp;list=PLbRoPq-Zu-SWXGUbVt4t4UWo-4VjsMUo-&amp;index=2</x:v>
      </x:c>
      <x:c r="H3" s="14" t="str">
        <x:v>Hız 8. Sınıf Din Kültürü ve Ahlak Bilgisi</x:v>
      </x:c>
      <x:c r="I3" s="14" t="str">
        <x:v>Planlandı</x:v>
      </x:c>
      <x:c r="J3" s="14" t="str">
        <x:v>Konu/pekiştirme → kitap → MEB gate.</x:v>
      </x:c>
    </x:row>
    <x:row r="4">
      <x:c r="A4" s="14" t="n">
        <x:v>3</x:v>
      </x:c>
      <x:c r="B4" s="14" t="str">
        <x:v>8. Sınıf / LGS</x:v>
      </x:c>
      <x:c r="C4" s="14" t="str">
        <x:v>Hz. Musa ve Ayetel Kürsi</x:v>
      </x:c>
      <x:c r="D4" s="14" t="n">
        <x:v>2</x:v>
      </x:c>
      <x:c r="E4" s="15" t="n">
        <x:v>46329</x:v>
      </x:c>
      <x:c r="F4" s="14" t="str">
        <x:v>Din</x:v>
      </x:c>
      <x:c r="G4" s="14" t="str">
        <x:v>https://www.youtube.com/watch?v=wvdOE_75VnA&amp;list=PLbRoPq-Zu-SWXGUbVt4t4UWo-4VjsMUo-&amp;index=2</x:v>
      </x:c>
      <x:c r="H4" s="14" t="str">
        <x:v>Hız 8. Sınıf Din Kültürü ve Ahlak Bilgisi</x:v>
      </x:c>
      <x:c r="I4" s="14" t="str">
        <x:v>Planlandı</x:v>
      </x:c>
      <x:c r="J4" s="14" t="str">
        <x:v>Konu/pekiştirme → kitap → MEB gate.</x:v>
      </x:c>
    </x:row>
    <x:row r="5">
      <x:c r="A5" s="14" t="n">
        <x:v>4</x:v>
      </x:c>
      <x:c r="B5" s="14" t="str">
        <x:v>8. Sınıf / LGS</x:v>
      </x:c>
      <x:c r="C5" s="14" t="str">
        <x:v>Zekât ve Sadaka</x:v>
      </x:c>
      <x:c r="D5" s="14" t="n">
        <x:v>2</x:v>
      </x:c>
      <x:c r="E5" s="15" t="n">
        <x:v>46341</x:v>
      </x:c>
      <x:c r="F5" s="14" t="str">
        <x:v>Din</x:v>
      </x:c>
      <x:c r="G5" s="14" t="str">
        <x:v>https://www.youtube.com/watch?v=wvdOE_75VnA&amp;list=PLbRoPq-Zu-SWXGUbVt4t4UWo-4VjsMUo-&amp;index=2</x:v>
      </x:c>
      <x:c r="H5" s="14" t="str">
        <x:v>Hız 8. Sınıf Din Kültürü ve Ahlak Bilgisi</x:v>
      </x:c>
      <x:c r="I5" s="14" t="str">
        <x:v>Planlandı</x:v>
      </x:c>
      <x:c r="J5" s="14" t="str">
        <x:v>Konu/pekiştirme → kitap → MEB gate.</x:v>
      </x:c>
    </x:row>
    <x:row r="6">
      <x:c r="A6" s="14" t="n">
        <x:v>5</x:v>
      </x:c>
      <x:c r="B6" s="14" t="str">
        <x:v>8. Sınıf / LGS</x:v>
      </x:c>
      <x:c r="C6" s="14" t="str">
        <x:v>Hz. Şuayb ve Maun Suresi</x:v>
      </x:c>
      <x:c r="D6" s="14" t="n">
        <x:v>2</x:v>
      </x:c>
      <x:c r="E6" s="15" t="n">
        <x:v>46353</x:v>
      </x:c>
      <x:c r="F6" s="14" t="str">
        <x:v>Din</x:v>
      </x:c>
      <x:c r="G6" s="14" t="str">
        <x:v>https://www.youtube.com/watch?v=wvdOE_75VnA&amp;list=PLbRoPq-Zu-SWXGUbVt4t4UWo-4VjsMUo-&amp;index=2</x:v>
      </x:c>
      <x:c r="H6" s="14" t="str">
        <x:v>Hız 8. Sınıf Din Kültürü ve Ahlak Bilgisi</x:v>
      </x:c>
      <x:c r="I6" s="14" t="str">
        <x:v>Planlandı</x:v>
      </x:c>
      <x:c r="J6" s="14" t="str">
        <x:v>Konu/pekiştirme → kitap → MEB gate.</x:v>
      </x:c>
    </x:row>
    <x:row r="7">
      <x:c r="A7" s="14" t="n">
        <x:v>6</x:v>
      </x:c>
      <x:c r="B7" s="14" t="str">
        <x:v>8. Sınıf / LGS</x:v>
      </x:c>
      <x:c r="C7" s="14" t="str">
        <x:v>Din ve Hayat</x:v>
      </x:c>
      <x:c r="D7" s="14" t="n">
        <x:v>2</x:v>
      </x:c>
      <x:c r="E7" s="15" t="n">
        <x:v>46365</x:v>
      </x:c>
      <x:c r="F7" s="14" t="str">
        <x:v>Din</x:v>
      </x:c>
      <x:c r="G7" s="14" t="str">
        <x:v>https://www.youtube.com/watch?v=wvdOE_75VnA&amp;list=PLbRoPq-Zu-SWXGUbVt4t4UWo-4VjsMUo-&amp;index=2</x:v>
      </x:c>
      <x:c r="H7" s="14" t="str">
        <x:v>Hız 8. Sınıf Din Kültürü ve Ahlak Bilgisi</x:v>
      </x:c>
      <x:c r="I7" s="14" t="str">
        <x:v>Planlandı</x:v>
      </x:c>
      <x:c r="J7" s="14" t="str">
        <x:v>Konu/pekiştirme → kitap → MEB gate.</x:v>
      </x:c>
    </x:row>
    <x:row r="8">
      <x:c r="A8" s="14" t="n">
        <x:v>7</x:v>
      </x:c>
      <x:c r="B8" s="14" t="str">
        <x:v>8. Sınıf / LGS</x:v>
      </x:c>
      <x:c r="C8" s="14" t="str">
        <x:v>Dinin Temel Gayesi / Hz. Yusuf / Asr Suresi</x:v>
      </x:c>
      <x:c r="D8" s="14" t="n">
        <x:v>2</x:v>
      </x:c>
      <x:c r="E8" s="15" t="n">
        <x:v>46377</x:v>
      </x:c>
      <x:c r="F8" s="14" t="str">
        <x:v>Din</x:v>
      </x:c>
      <x:c r="G8" s="14" t="str">
        <x:v>https://www.youtube.com/watch?v=wvdOE_75VnA&amp;list=PLbRoPq-Zu-SWXGUbVt4t4UWo-4VjsMUo-&amp;index=2</x:v>
      </x:c>
      <x:c r="H8" s="14" t="str">
        <x:v>Hız 8. Sınıf Din Kültürü ve Ahlak Bilgisi</x:v>
      </x:c>
      <x:c r="I8" s="14" t="str">
        <x:v>Planlandı</x:v>
      </x:c>
      <x:c r="J8" s="14" t="str">
        <x:v>Konu/pekiştirme → kitap → MEB gate.</x:v>
      </x:c>
    </x:row>
    <x:row r="9">
      <x:c r="A9" s="14" t="n">
        <x:v>8</x:v>
      </x:c>
      <x:c r="B9" s="14" t="str">
        <x:v>8. Sınıf / LGS</x:v>
      </x:c>
      <x:c r="C9" s="14" t="str">
        <x:v>Hz. Muhammed’in Örnekliği</x:v>
      </x:c>
      <x:c r="D9" s="14" t="n">
        <x:v>2</x:v>
      </x:c>
      <x:c r="E9" s="15" t="n">
        <x:v>46389</x:v>
      </x:c>
      <x:c r="F9" s="14" t="str">
        <x:v>Din</x:v>
      </x:c>
      <x:c r="G9" s="14" t="str">
        <x:v>https://www.youtube.com/watch?v=wvdOE_75VnA&amp;list=PLbRoPq-Zu-SWXGUbVt4t4UWo-4VjsMUo-&amp;index=2</x:v>
      </x:c>
      <x:c r="H9" s="14" t="str">
        <x:v>Hız 8. Sınıf Din Kültürü ve Ahlak Bilgisi</x:v>
      </x:c>
      <x:c r="I9" s="14" t="str">
        <x:v>Planlandı</x:v>
      </x:c>
      <x:c r="J9" s="14" t="str">
        <x:v>Konu/pekiştirme → kitap → MEB gate.</x:v>
      </x:c>
    </x:row>
    <x:row r="10">
      <x:c r="A10" s="14" t="n">
        <x:v>9</x:v>
      </x:c>
      <x:c r="B10" s="14" t="str">
        <x:v>8. Sınıf / LGS</x:v>
      </x:c>
      <x:c r="C10" s="14" t="str">
        <x:v>Kureyş Suresi</x:v>
      </x:c>
      <x:c r="D10" s="14" t="n">
        <x:v>2</x:v>
      </x:c>
      <x:c r="E10" s="15" t="n">
        <x:v>46401</x:v>
      </x:c>
      <x:c r="F10" s="14" t="str">
        <x:v>Din</x:v>
      </x:c>
      <x:c r="G10" s="14" t="str">
        <x:v>https://www.youtube.com/watch?v=wvdOE_75VnA&amp;list=PLbRoPq-Zu-SWXGUbVt4t4UWo-4VjsMUo-&amp;index=2</x:v>
      </x:c>
      <x:c r="H10" s="14" t="str">
        <x:v>Hız 8. Sınıf Din Kültürü ve Ahlak Bilgisi</x:v>
      </x:c>
      <x:c r="I10" s="14" t="str">
        <x:v>Planlandı</x:v>
      </x:c>
      <x:c r="J10" s="14" t="str">
        <x:v>Konu/pekiştirme → kitap → MEB gate.</x:v>
      </x:c>
    </x:row>
    <x:row r="11">
      <x:c r="A11" s="14" t="n">
        <x:v>10</x:v>
      </x:c>
      <x:c r="B11" s="14" t="str">
        <x:v>8. Sınıf / LGS</x:v>
      </x:c>
      <x:c r="C11" s="14" t="str">
        <x:v>Kur’an-ı Kerim ve Özellikleri</x:v>
      </x:c>
      <x:c r="D11" s="14" t="n">
        <x:v>2</x:v>
      </x:c>
      <x:c r="E11" s="15" t="n">
        <x:v>46413</x:v>
      </x:c>
      <x:c r="F11" s="14" t="str">
        <x:v>Din</x:v>
      </x:c>
      <x:c r="G11" s="14" t="str">
        <x:v>https://www.youtube.com/watch?v=wvdOE_75VnA&amp;list=PLbRoPq-Zu-SWXGUbVt4t4UWo-4VjsMUo-&amp;index=2</x:v>
      </x:c>
      <x:c r="H11" s="14" t="str">
        <x:v>Hız 8. Sınıf Din Kültürü ve Ahlak Bilgisi</x:v>
      </x:c>
      <x:c r="I11" s="14" t="str">
        <x:v>Planlandı</x:v>
      </x:c>
      <x:c r="J11" s="14" t="str">
        <x:v>Konu/pekiştirme → kitap → MEB gate.</x:v>
      </x:c>
    </x:row>
    <x:row r="12">
      <x:c r="A12" s="14" t="n">
        <x:v>11</x:v>
      </x:c>
      <x:c r="B12" s="14" t="str">
        <x:v>8. Sınıf / LGS</x:v>
      </x:c>
      <x:c r="C12" s="14" t="str">
        <x:v>İslam Dininin Temel Kaynakları ve Ana Konular</x:v>
      </x:c>
      <x:c r="D12" s="14" t="n">
        <x:v>2</x:v>
      </x:c>
      <x:c r="E12" s="15" t="n">
        <x:v>46425</x:v>
      </x:c>
      <x:c r="F12" s="14" t="str">
        <x:v>Din</x:v>
      </x:c>
      <x:c r="G12" s="14" t="str">
        <x:v>https://www.youtube.com/watch?v=wvdOE_75VnA&amp;list=PLbRoPq-Zu-SWXGUbVt4t4UWo-4VjsMUo-&amp;index=2</x:v>
      </x:c>
      <x:c r="H12" s="14" t="str">
        <x:v>Hız 8. Sınıf Din Kültürü ve Ahlak Bilgisi</x:v>
      </x:c>
      <x:c r="I12" s="14" t="str">
        <x:v>Planlandı</x:v>
      </x:c>
      <x:c r="J12" s="14" t="str">
        <x:v>Konu/pekiştirme → kitap → MEB gate.</x:v>
      </x:c>
    </x:row>
  </x:sheetData>
  <x:dataValidations count="1">
    <x:dataValidation type="list" sqref="I2:I12">
      <x:formula1>"Planlandı,Başlandı,Kitap Bitti,MEB Bitti,Güçlü"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46" hidden="0" customWidth="1"/>
    <x:col min="4" max="4" width="23" hidden="0" customWidth="1"/>
    <x:col min="5" max="5" width="17" hidden="0" customWidth="1"/>
    <x:col min="6" max="6" width="28" hidden="0" customWidth="1"/>
    <x:col min="7" max="7" width="62" hidden="0" customWidth="1"/>
    <x:col min="8" max="8" width="58" hidden="0" customWidth="1"/>
    <x:col min="9" max="9" width="16" hidden="0" customWidth="1"/>
    <x:col min="10" max="10" width="60" hidden="0" customWidth="1"/>
  </x:cols>
  <x:sheetData>
    <x:row r="1">
      <x:c r="A1" s="6" t="str">
        <x:v>Sıra</x:v>
      </x:c>
      <x:c r="B1" s="6" t="str">
        <x:v>Aşama</x:v>
      </x:c>
      <x:c r="C1" s="6" t="str">
        <x:v>Konu</x:v>
      </x:c>
      <x:c r="D1" s="6" t="str">
        <x:v>Planlanan Konu/Video Oturumu</x:v>
      </x:c>
      <x:c r="E1" s="6" t="str">
        <x:v>Konu Sonu MEB Gate</x:v>
      </x:c>
      <x:c r="F1" s="6" t="str">
        <x:v>Video Kaynağı</x:v>
      </x:c>
      <x:c r="G1" s="6" t="str">
        <x:v>Genel Oynatma Listesi</x:v>
      </x:c>
      <x:c r="H1" s="6" t="str">
        <x:v>Soru Kaynağı</x:v>
      </x:c>
      <x:c r="I1" s="6" t="str">
        <x:v>Durum</x:v>
      </x:c>
      <x:c r="J1" s="6" t="str">
        <x:v>Not</x:v>
      </x:c>
    </x:row>
    <x:row r="2">
      <x:c r="A2" s="14" t="n">
        <x:v>1</x:v>
      </x:c>
      <x:c r="B2" s="14" t="str">
        <x:v>8. Sınıf / LGS</x:v>
      </x:c>
      <x:c r="C2" s="14" t="str">
        <x:v>Unit 1 - Friendship</x:v>
      </x:c>
      <x:c r="D2" s="14" t="n">
        <x:v>3</x:v>
      </x:c>
      <x:c r="E2" s="15" t="n">
        <x:v>46311</x:v>
      </x:c>
      <x:c r="F2" s="14" t="str">
        <x:v>İngilizce</x:v>
      </x:c>
      <x:c r="G2" s="14" t="str">
        <x:v>https://www.youtube.com/watch?v=FaY3dFjZbns&amp;list=PLSgpQDrUSYp94WgE9pzpHiOG5FwxnZBrr</x:v>
      </x:c>
      <x:c r="H2" s="14" t="str">
        <x:v>More &amp; More 8 Worksheets Notebook</x:v>
      </x:c>
      <x:c r="I2" s="14" t="str">
        <x:v>Planlandı</x:v>
      </x:c>
      <x:c r="J2" s="14" t="str">
        <x:v>Kelime/kavram + reading/etkinlik + worksheet → MEB gate.</x:v>
      </x:c>
    </x:row>
    <x:row r="3">
      <x:c r="A3" s="14" t="n">
        <x:v>2</x:v>
      </x:c>
      <x:c r="B3" s="14" t="str">
        <x:v>8. Sınıf / LGS</x:v>
      </x:c>
      <x:c r="C3" s="14" t="str">
        <x:v>Unit 2 - Teen Life</x:v>
      </x:c>
      <x:c r="D3" s="14" t="n">
        <x:v>3</x:v>
      </x:c>
      <x:c r="E3" s="15" t="n">
        <x:v>46327</x:v>
      </x:c>
      <x:c r="F3" s="14" t="str">
        <x:v>İngilizce</x:v>
      </x:c>
      <x:c r="G3" s="14" t="str">
        <x:v>https://www.youtube.com/watch?v=FaY3dFjZbns&amp;list=PLSgpQDrUSYp94WgE9pzpHiOG5FwxnZBrr</x:v>
      </x:c>
      <x:c r="H3" s="14" t="str">
        <x:v>More &amp; More 8 Worksheets Notebook</x:v>
      </x:c>
      <x:c r="I3" s="14" t="str">
        <x:v>Planlandı</x:v>
      </x:c>
      <x:c r="J3" s="14" t="str">
        <x:v>Kelime/kavram + reading/etkinlik + worksheet → MEB gate.</x:v>
      </x:c>
    </x:row>
    <x:row r="4">
      <x:c r="A4" s="14" t="n">
        <x:v>3</x:v>
      </x:c>
      <x:c r="B4" s="14" t="str">
        <x:v>8. Sınıf / LGS</x:v>
      </x:c>
      <x:c r="C4" s="14" t="str">
        <x:v>Unit 3 - In The Kitchen</x:v>
      </x:c>
      <x:c r="D4" s="14" t="n">
        <x:v>3</x:v>
      </x:c>
      <x:c r="E4" s="15" t="n">
        <x:v>46343</x:v>
      </x:c>
      <x:c r="F4" s="14" t="str">
        <x:v>İngilizce</x:v>
      </x:c>
      <x:c r="G4" s="14" t="str">
        <x:v>https://www.youtube.com/watch?v=FaY3dFjZbns&amp;list=PLSgpQDrUSYp94WgE9pzpHiOG5FwxnZBrr</x:v>
      </x:c>
      <x:c r="H4" s="14" t="str">
        <x:v>More &amp; More 8 Worksheets Notebook</x:v>
      </x:c>
      <x:c r="I4" s="14" t="str">
        <x:v>Planlandı</x:v>
      </x:c>
      <x:c r="J4" s="14" t="str">
        <x:v>Kelime/kavram + reading/etkinlik + worksheet → MEB gate.</x:v>
      </x:c>
    </x:row>
    <x:row r="5">
      <x:c r="A5" s="14" t="n">
        <x:v>4</x:v>
      </x:c>
      <x:c r="B5" s="14" t="str">
        <x:v>8. Sınıf / LGS</x:v>
      </x:c>
      <x:c r="C5" s="14" t="str">
        <x:v>Unit 4 - On The Phone</x:v>
      </x:c>
      <x:c r="D5" s="14" t="n">
        <x:v>3</x:v>
      </x:c>
      <x:c r="E5" s="15" t="n">
        <x:v>46359</x:v>
      </x:c>
      <x:c r="F5" s="14" t="str">
        <x:v>İngilizce</x:v>
      </x:c>
      <x:c r="G5" s="14" t="str">
        <x:v>https://www.youtube.com/watch?v=FaY3dFjZbns&amp;list=PLSgpQDrUSYp94WgE9pzpHiOG5FwxnZBrr</x:v>
      </x:c>
      <x:c r="H5" s="14" t="str">
        <x:v>More &amp; More 8 Worksheets Notebook</x:v>
      </x:c>
      <x:c r="I5" s="14" t="str">
        <x:v>Planlandı</x:v>
      </x:c>
      <x:c r="J5" s="14" t="str">
        <x:v>Kelime/kavram + reading/etkinlik + worksheet → MEB gate.</x:v>
      </x:c>
    </x:row>
    <x:row r="6">
      <x:c r="A6" s="14" t="n">
        <x:v>5</x:v>
      </x:c>
      <x:c r="B6" s="14" t="str">
        <x:v>8. Sınıf / LGS</x:v>
      </x:c>
      <x:c r="C6" s="14" t="str">
        <x:v>Unit 5 - The Internet</x:v>
      </x:c>
      <x:c r="D6" s="14" t="n">
        <x:v>3</x:v>
      </x:c>
      <x:c r="E6" s="15" t="n">
        <x:v>46375</x:v>
      </x:c>
      <x:c r="F6" s="14" t="str">
        <x:v>İngilizce</x:v>
      </x:c>
      <x:c r="G6" s="14" t="str">
        <x:v>https://www.youtube.com/watch?v=FaY3dFjZbns&amp;list=PLSgpQDrUSYp94WgE9pzpHiOG5FwxnZBrr</x:v>
      </x:c>
      <x:c r="H6" s="14" t="str">
        <x:v>More &amp; More 8 Worksheets Notebook</x:v>
      </x:c>
      <x:c r="I6" s="14" t="str">
        <x:v>Planlandı</x:v>
      </x:c>
      <x:c r="J6" s="14" t="str">
        <x:v>Kelime/kavram + reading/etkinlik + worksheet → MEB gate.</x:v>
      </x:c>
    </x:row>
    <x:row r="7">
      <x:c r="A7" s="14" t="n">
        <x:v>6</x:v>
      </x:c>
      <x:c r="B7" s="14" t="str">
        <x:v>8. Sınıf / LGS</x:v>
      </x:c>
      <x:c r="C7" s="14" t="str">
        <x:v>Unit 6 - Adventures</x:v>
      </x:c>
      <x:c r="D7" s="14" t="n">
        <x:v>3</x:v>
      </x:c>
      <x:c r="E7" s="15" t="n">
        <x:v>46391</x:v>
      </x:c>
      <x:c r="F7" s="14" t="str">
        <x:v>İngilizce</x:v>
      </x:c>
      <x:c r="G7" s="14" t="str">
        <x:v>https://www.youtube.com/watch?v=FaY3dFjZbns&amp;list=PLSgpQDrUSYp94WgE9pzpHiOG5FwxnZBrr</x:v>
      </x:c>
      <x:c r="H7" s="14" t="str">
        <x:v>More &amp; More 8 Worksheets Notebook</x:v>
      </x:c>
      <x:c r="I7" s="14" t="str">
        <x:v>Planlandı</x:v>
      </x:c>
      <x:c r="J7" s="14" t="str">
        <x:v>Kelime/kavram + reading/etkinlik + worksheet → MEB gate.</x:v>
      </x:c>
    </x:row>
    <x:row r="8">
      <x:c r="A8" s="14" t="n">
        <x:v>7</x:v>
      </x:c>
      <x:c r="B8" s="14" t="str">
        <x:v>8. Sınıf / LGS</x:v>
      </x:c>
      <x:c r="C8" s="14" t="str">
        <x:v>Unit 7 - Tourism</x:v>
      </x:c>
      <x:c r="D8" s="14" t="n">
        <x:v>3</x:v>
      </x:c>
      <x:c r="E8" s="15" t="n">
        <x:v>46407</x:v>
      </x:c>
      <x:c r="F8" s="14" t="str">
        <x:v>İngilizce</x:v>
      </x:c>
      <x:c r="G8" s="14" t="str">
        <x:v>https://www.youtube.com/watch?v=FaY3dFjZbns&amp;list=PLSgpQDrUSYp94WgE9pzpHiOG5FwxnZBrr</x:v>
      </x:c>
      <x:c r="H8" s="14" t="str">
        <x:v>More &amp; More 8 Worksheets Notebook</x:v>
      </x:c>
      <x:c r="I8" s="14" t="str">
        <x:v>Planlandı</x:v>
      </x:c>
      <x:c r="J8" s="14" t="str">
        <x:v>Kelime/kavram + reading/etkinlik + worksheet → MEB gate.</x:v>
      </x:c>
    </x:row>
    <x:row r="9">
      <x:c r="A9" s="14" t="n">
        <x:v>8</x:v>
      </x:c>
      <x:c r="B9" s="14" t="str">
        <x:v>8. Sınıf / LGS</x:v>
      </x:c>
      <x:c r="C9" s="14" t="str">
        <x:v>Unit 8 - Chores</x:v>
      </x:c>
      <x:c r="D9" s="14" t="n">
        <x:v>3</x:v>
      </x:c>
      <x:c r="E9" s="15" t="n">
        <x:v>46423</x:v>
      </x:c>
      <x:c r="F9" s="14" t="str">
        <x:v>İngilizce</x:v>
      </x:c>
      <x:c r="G9" s="14" t="str">
        <x:v>https://www.youtube.com/watch?v=FaY3dFjZbns&amp;list=PLSgpQDrUSYp94WgE9pzpHiOG5FwxnZBrr</x:v>
      </x:c>
      <x:c r="H9" s="14" t="str">
        <x:v>More &amp; More 8 Worksheets Notebook</x:v>
      </x:c>
      <x:c r="I9" s="14" t="str">
        <x:v>Planlandı</x:v>
      </x:c>
      <x:c r="J9" s="14" t="str">
        <x:v>Kelime/kavram + reading/etkinlik + worksheet → MEB gate.</x:v>
      </x:c>
    </x:row>
    <x:row r="10">
      <x:c r="A10" s="14" t="n">
        <x:v>9</x:v>
      </x:c>
      <x:c r="B10" s="14" t="str">
        <x:v>8. Sınıf / LGS</x:v>
      </x:c>
      <x:c r="C10" s="14" t="str">
        <x:v>Unit 9 - Science</x:v>
      </x:c>
      <x:c r="D10" s="14" t="n">
        <x:v>3</x:v>
      </x:c>
      <x:c r="E10" s="15" t="n">
        <x:v>46439</x:v>
      </x:c>
      <x:c r="F10" s="14" t="str">
        <x:v>İngilizce</x:v>
      </x:c>
      <x:c r="G10" s="14" t="str">
        <x:v>https://www.youtube.com/watch?v=FaY3dFjZbns&amp;list=PLSgpQDrUSYp94WgE9pzpHiOG5FwxnZBrr</x:v>
      </x:c>
      <x:c r="H10" s="14" t="str">
        <x:v>More &amp; More 8 Worksheets Notebook</x:v>
      </x:c>
      <x:c r="I10" s="14" t="str">
        <x:v>Planlandı</x:v>
      </x:c>
      <x:c r="J10" s="14" t="str">
        <x:v>Kelime/kavram + reading/etkinlik + worksheet → MEB gate.</x:v>
      </x:c>
    </x:row>
    <x:row r="11">
      <x:c r="A11" s="14" t="n">
        <x:v>10</x:v>
      </x:c>
      <x:c r="B11" s="14" t="str">
        <x:v>8. Sınıf / LGS</x:v>
      </x:c>
      <x:c r="C11" s="14" t="str">
        <x:v>Unit 10 - Natural Forces</x:v>
      </x:c>
      <x:c r="D11" s="14" t="n">
        <x:v>3</x:v>
      </x:c>
      <x:c r="E11" s="15" t="n">
        <x:v>46455</x:v>
      </x:c>
      <x:c r="F11" s="14" t="str">
        <x:v>İngilizce</x:v>
      </x:c>
      <x:c r="G11" s="14" t="str">
        <x:v>https://www.youtube.com/watch?v=FaY3dFjZbns&amp;list=PLSgpQDrUSYp94WgE9pzpHiOG5FwxnZBrr</x:v>
      </x:c>
      <x:c r="H11" s="14" t="str">
        <x:v>More &amp; More 8 Worksheets Notebook</x:v>
      </x:c>
      <x:c r="I11" s="14" t="str">
        <x:v>Planlandı</x:v>
      </x:c>
      <x:c r="J11" s="14" t="str">
        <x:v>Kelime/kavram + reading/etkinlik + worksheet → MEB gate.</x:v>
      </x:c>
    </x:row>
  </x:sheetData>
  <x:dataValidations count="1">
    <x:dataValidation type="list" sqref="I2:I11">
      <x:formula1>"Planlandı,Başlandı,Kitap Bitti,MEB Bitti,Güçlü"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6" hidden="0" customWidth="1"/>
    <x:col min="4" max="4" width="24" hidden="0" customWidth="1"/>
    <x:col min="5" max="5" width="68" hidden="0" customWidth="1"/>
    <x:col min="6" max="6" width="10" hidden="0" customWidth="1"/>
    <x:col min="7" max="7" width="10" hidden="0" customWidth="1"/>
    <x:col min="8" max="8" width="10" hidden="0" customWidth="1"/>
    <x:col min="9" max="9" width="14" hidden="0" customWidth="1"/>
    <x:col min="10" max="10" width="14" hidden="0" customWidth="1"/>
    <x:col min="11" max="11" width="18" hidden="0" customWidth="1"/>
    <x:col min="12" max="12" width="55" hidden="0" customWidth="1"/>
  </x:cols>
  <x:sheetData>
    <x:row r="1">
      <x:c r="A1" s="6" t="str">
        <x:v>Planlı Tarih</x:v>
      </x:c>
      <x:c r="B1" s="6" t="str">
        <x:v>Ders</x:v>
      </x:c>
      <x:c r="C1" s="6" t="str">
        <x:v>Konu/Ünite</x:v>
      </x:c>
      <x:c r="D1" s="6" t="str">
        <x:v>Tür</x:v>
      </x:c>
      <x:c r="E1" s="6" t="str">
        <x:v>MEB URL</x:v>
      </x:c>
      <x:c r="F1" s="6" t="str">
        <x:v>Doğru</x:v>
      </x:c>
      <x:c r="G1" s="6" t="str">
        <x:v>Yanlış</x:v>
      </x:c>
      <x:c r="H1" s="6" t="str">
        <x:v>Boş</x:v>
      </x:c>
      <x:c r="I1" s="6" t="str">
        <x:v>Doğruluk</x:v>
      </x:c>
      <x:c r="J1" s="6" t="str">
        <x:v>Açık Hata</x:v>
      </x:c>
      <x:c r="K1" s="6" t="str">
        <x:v>Durum</x:v>
      </x:c>
      <x:c r="L1" s="6" t="str">
        <x:v>Not</x:v>
      </x:c>
    </x:row>
    <x:row r="2">
      <x:c r="A2" s="12" t="n">
        <x:v>46297</x:v>
      </x:c>
      <x:c r="B2" t="str">
        <x:v>Matematik</x:v>
      </x:c>
      <x:c r="C2" t="str">
        <x:v>Temel Kavramlar</x:v>
      </x:c>
      <x:c r="D2" t="str">
        <x:v>Konu Sonu MEB Doğrulama</x:v>
      </x:c>
      <x:c r="E2" t="str">
        <x:v>https://odsgm.meb.gov.tr/www/5-6-7-ve-9-sinif-duzeylerinde-calisma-sorulari-yayimlandi/icerik/775</x:v>
      </x:c>
      <x:c r="F2"/>
      <x:c r="G2"/>
      <x:c r="H2"/>
      <x:c r="I2" s="22" t="str">
        <x:f>IF(SUM(F2:H2)=0,"",F2/SUM(F2:H2))</x:f>
      </x:c>
      <x:c r="J2" t="n">
        <x:f>COUNTIFS(Yanlis_Defteri!$B$2:$B$401,B2,Yanlis_Defteri!$C$2:$C$401,C2,Yanlis_Defteri!$O$2:$O$401,"Açık")</x:f>
        <x:v>0</x:v>
      </x:c>
      <x:c r="K2" t="str">
        <x:v>Planlandı</x:v>
      </x:c>
      <x:c r="L2" t="str">
        <x:v>MEB doğrulaması kitap konu bölümünden SONRA yapılır.</x:v>
      </x:c>
    </x:row>
    <x:row r="3">
      <x:c r="A3" s="12" t="n">
        <x:v>46299</x:v>
      </x:c>
      <x:c r="B3" t="str">
        <x:v>Matematik</x:v>
      </x:c>
      <x:c r="C3" t="str">
        <x:v>Doğal Sayılar</x:v>
      </x:c>
      <x:c r="D3" t="str">
        <x:v>Konu Sonu MEB Doğrulama</x:v>
      </x:c>
      <x:c r="E3" t="str">
        <x:v>https://odsgm.meb.gov.tr/www/5-6-7-ve-9-sinif-duzeylerinde-calisma-sorulari-yayimlandi/icerik/775</x:v>
      </x:c>
      <x:c r="F3"/>
      <x:c r="G3"/>
      <x:c r="H3"/>
      <x:c r="I3" s="22" t="str">
        <x:f>IF(SUM(F3:H3)=0,"",F3/SUM(F3:H3))</x:f>
      </x:c>
      <x:c r="J3" t="n">
        <x:f>COUNTIFS(Yanlis_Defteri!$B$2:$B$401,B3,Yanlis_Defteri!$C$2:$C$401,C3,Yanlis_Defteri!$O$2:$O$401,"Açık")</x:f>
        <x:v>0</x:v>
      </x:c>
      <x:c r="K3" t="str">
        <x:v>Planlandı</x:v>
      </x:c>
      <x:c r="L3" t="str">
        <x:v>MEB doğrulaması kitap konu bölümünden SONRA yapılır.</x:v>
      </x:c>
    </x:row>
    <x:row r="4">
      <x:c r="A4" s="12" t="n">
        <x:v>46302</x:v>
      </x:c>
      <x:c r="B4" t="str">
        <x:v>Matematik</x:v>
      </x:c>
      <x:c r="C4" t="str">
        <x:v>Tam Sayılar</x:v>
      </x:c>
      <x:c r="D4" t="str">
        <x:v>Konu Sonu MEB Doğrulama</x:v>
      </x:c>
      <x:c r="E4" t="str">
        <x:v>https://odsgm.meb.gov.tr/www/5-6-7-ve-9-sinif-duzeylerinde-calisma-sorulari-yayimlandi/icerik/775</x:v>
      </x:c>
      <x:c r="F4"/>
      <x:c r="G4"/>
      <x:c r="H4"/>
      <x:c r="I4" s="22" t="str">
        <x:f>IF(SUM(F4:H4)=0,"",F4/SUM(F4:H4))</x:f>
      </x:c>
      <x:c r="J4" t="n">
        <x:f>COUNTIFS(Yanlis_Defteri!$B$2:$B$401,B4,Yanlis_Defteri!$C$2:$C$401,C4,Yanlis_Defteri!$O$2:$O$401,"Açık")</x:f>
        <x:v>0</x:v>
      </x:c>
      <x:c r="K4" t="str">
        <x:v>Planlandı</x:v>
      </x:c>
      <x:c r="L4" t="str">
        <x:v>MEB doğrulaması kitap konu bölümünden SONRA yapılır.</x:v>
      </x:c>
    </x:row>
    <x:row r="5">
      <x:c r="A5" s="12" t="n">
        <x:v>46307</x:v>
      </x:c>
      <x:c r="B5" t="str">
        <x:v>Matematik</x:v>
      </x:c>
      <x:c r="C5" t="str">
        <x:v>Rasyonel Sayılar</x:v>
      </x:c>
      <x:c r="D5" t="str">
        <x:v>Konu Sonu MEB Doğrulama</x:v>
      </x:c>
      <x:c r="E5" t="str">
        <x:v>https://odsgm.meb.gov.tr/www/5-6-7-ve-9-sinif-duzeylerinde-calisma-sorulari-yayimlandi/icerik/775</x:v>
      </x:c>
      <x:c r="F5"/>
      <x:c r="G5"/>
      <x:c r="H5"/>
      <x:c r="I5" s="22" t="str">
        <x:f>IF(SUM(F5:H5)=0,"",F5/SUM(F5:H5))</x:f>
      </x:c>
      <x:c r="J5" t="n">
        <x:f>COUNTIFS(Yanlis_Defteri!$B$2:$B$401,B5,Yanlis_Defteri!$C$2:$C$401,C5,Yanlis_Defteri!$O$2:$O$401,"Açık")</x:f>
        <x:v>0</x:v>
      </x:c>
      <x:c r="K5" t="str">
        <x:v>Planlandı</x:v>
      </x:c>
      <x:c r="L5" t="str">
        <x:v>MEB doğrulaması kitap konu bölümünden SONRA yapılır.</x:v>
      </x:c>
    </x:row>
    <x:row r="6">
      <x:c r="A6" s="12" t="n">
        <x:v>46310</x:v>
      </x:c>
      <x:c r="B6" t="str">
        <x:v>Matematik</x:v>
      </x:c>
      <x:c r="C6" t="str">
        <x:v>Ardışık Sayılar</x:v>
      </x:c>
      <x:c r="D6" t="str">
        <x:v>Konu Sonu MEB Doğrulama</x:v>
      </x:c>
      <x:c r="E6" t="str">
        <x:v>https://odsgm.meb.gov.tr/www/5-6-7-ve-9-sinif-duzeylerinde-calisma-sorulari-yayimlandi/icerik/775</x:v>
      </x:c>
      <x:c r="F6"/>
      <x:c r="G6"/>
      <x:c r="H6"/>
      <x:c r="I6" s="22" t="str">
        <x:f>IF(SUM(F6:H6)=0,"",F6/SUM(F6:H6))</x:f>
      </x:c>
      <x:c r="J6" t="n">
        <x:f>COUNTIFS(Yanlis_Defteri!$B$2:$B$401,B6,Yanlis_Defteri!$C$2:$C$401,C6,Yanlis_Defteri!$O$2:$O$401,"Açık")</x:f>
        <x:v>0</x:v>
      </x:c>
      <x:c r="K6" t="str">
        <x:v>Planlandı</x:v>
      </x:c>
      <x:c r="L6" t="str">
        <x:v>MEB doğrulaması kitap konu bölümünden SONRA yapılır.</x:v>
      </x:c>
    </x:row>
    <x:row r="7">
      <x:c r="A7" s="12" t="n">
        <x:v>46313</x:v>
      </x:c>
      <x:c r="B7" t="str">
        <x:v>Matematik</x:v>
      </x:c>
      <x:c r="C7" t="str">
        <x:v>Asal Sayılar ve Aralarında Asallık</x:v>
      </x:c>
      <x:c r="D7" t="str">
        <x:v>Konu Sonu MEB Doğrulama</x:v>
      </x:c>
      <x:c r="E7" t="str">
        <x:v>https://odsgm.meb.gov.tr/www/5-6-7-ve-9-sinif-duzeylerinde-calisma-sorulari-yayimlandi/icerik/775</x:v>
      </x:c>
      <x:c r="F7"/>
      <x:c r="G7"/>
      <x:c r="H7"/>
      <x:c r="I7" s="22" t="str">
        <x:f>IF(SUM(F7:H7)=0,"",F7/SUM(F7:H7))</x:f>
      </x:c>
      <x:c r="J7" t="n">
        <x:f>COUNTIFS(Yanlis_Defteri!$B$2:$B$401,B7,Yanlis_Defteri!$C$2:$C$401,C7,Yanlis_Defteri!$O$2:$O$401,"Açık")</x:f>
        <x:v>0</x:v>
      </x:c>
      <x:c r="K7" t="str">
        <x:v>Planlandı</x:v>
      </x:c>
      <x:c r="L7" t="str">
        <x:v>MEB doğrulaması kitap konu bölümünden SONRA yapılır.</x:v>
      </x:c>
    </x:row>
    <x:row r="8">
      <x:c r="A8" s="12" t="n">
        <x:v>46316</x:v>
      </x:c>
      <x:c r="B8" t="str">
        <x:v>Matematik</x:v>
      </x:c>
      <x:c r="C8" t="str">
        <x:v>Sayı Basamakları</x:v>
      </x:c>
      <x:c r="D8" t="str">
        <x:v>Konu Sonu MEB Doğrulama</x:v>
      </x:c>
      <x:c r="E8" t="str">
        <x:v>https://odsgm.meb.gov.tr/www/5-6-7-ve-9-sinif-duzeylerinde-calisma-sorulari-yayimlandi/icerik/775</x:v>
      </x:c>
      <x:c r="F8"/>
      <x:c r="G8"/>
      <x:c r="H8"/>
      <x:c r="I8" s="22" t="str">
        <x:f>IF(SUM(F8:H8)=0,"",F8/SUM(F8:H8))</x:f>
      </x:c>
      <x:c r="J8" t="n">
        <x:f>COUNTIFS(Yanlis_Defteri!$B$2:$B$401,B8,Yanlis_Defteri!$C$2:$C$401,C8,Yanlis_Defteri!$O$2:$O$401,"Açık")</x:f>
        <x:v>0</x:v>
      </x:c>
      <x:c r="K8" t="str">
        <x:v>Planlandı</x:v>
      </x:c>
      <x:c r="L8" t="str">
        <x:v>MEB doğrulaması kitap konu bölümünden SONRA yapılır.</x:v>
      </x:c>
    </x:row>
    <x:row r="9">
      <x:c r="A9" s="12" t="n">
        <x:v>46322</x:v>
      </x:c>
      <x:c r="B9" t="str">
        <x:v>Matematik</x:v>
      </x:c>
      <x:c r="C9" t="str">
        <x:v>Bölme ve Bölünebilme</x:v>
      </x:c>
      <x:c r="D9" t="str">
        <x:v>Konu Sonu MEB Doğrulama</x:v>
      </x:c>
      <x:c r="E9" t="str">
        <x:v>https://odsgm.meb.gov.tr/www/5-6-7-ve-9-sinif-duzeylerinde-calisma-sorulari-yayimlandi/icerik/775</x:v>
      </x:c>
      <x:c r="F9"/>
      <x:c r="G9"/>
      <x:c r="H9"/>
      <x:c r="I9" s="22" t="str">
        <x:f>IF(SUM(F9:H9)=0,"",F9/SUM(F9:H9))</x:f>
      </x:c>
      <x:c r="J9" t="n">
        <x:f>COUNTIFS(Yanlis_Defteri!$B$2:$B$401,B9,Yanlis_Defteri!$C$2:$C$401,C9,Yanlis_Defteri!$O$2:$O$401,"Açık")</x:f>
        <x:v>0</x:v>
      </x:c>
      <x:c r="K9" t="str">
        <x:v>Planlandı</x:v>
      </x:c>
      <x:c r="L9" t="str">
        <x:v>MEB doğrulaması kitap konu bölümünden SONRA yapılır.</x:v>
      </x:c>
    </x:row>
    <x:row r="10">
      <x:c r="A10" s="12" t="n">
        <x:v>46326</x:v>
      </x:c>
      <x:c r="B10" t="str">
        <x:v>Matematik</x:v>
      </x:c>
      <x:c r="C10" t="str">
        <x:v>Asal Çarpanlara Ayırma</x:v>
      </x:c>
      <x:c r="D10" t="str">
        <x:v>Konu Sonu MEB Doğrulama</x:v>
      </x:c>
      <x:c r="E10" t="str">
        <x:v>https://odsgm.meb.gov.tr/www/5-6-7-ve-9-sinif-duzeylerinde-calisma-sorulari-yayimlandi/icerik/775</x:v>
      </x:c>
      <x:c r="F10"/>
      <x:c r="G10"/>
      <x:c r="H10"/>
      <x:c r="I10" s="22" t="str">
        <x:f>IF(SUM(F10:H10)=0,"",F10/SUM(F10:H10))</x:f>
      </x:c>
      <x:c r="J10" t="n">
        <x:f>COUNTIFS(Yanlis_Defteri!$B$2:$B$401,B10,Yanlis_Defteri!$C$2:$C$401,C10,Yanlis_Defteri!$O$2:$O$401,"Açık")</x:f>
        <x:v>0</x:v>
      </x:c>
      <x:c r="K10" t="str">
        <x:v>Planlandı</x:v>
      </x:c>
      <x:c r="L10" t="str">
        <x:v>MEB doğrulaması kitap konu bölümünden SONRA yapılır.</x:v>
      </x:c>
    </x:row>
    <x:row r="11">
      <x:c r="A11" s="12" t="n">
        <x:v>46330</x:v>
      </x:c>
      <x:c r="B11" t="str">
        <x:v>Matematik</x:v>
      </x:c>
      <x:c r="C11" t="str">
        <x:v>EBOB - EKOK</x:v>
      </x:c>
      <x:c r="D11" t="str">
        <x:v>Konu Sonu MEB Doğrulama</x:v>
      </x:c>
      <x:c r="E11" t="str">
        <x:v>https://odsgm.meb.gov.tr/www/5-6-7-ve-9-sinif-duzeylerinde-calisma-sorulari-yayimlandi/icerik/775</x:v>
      </x:c>
      <x:c r="F11"/>
      <x:c r="G11"/>
      <x:c r="H11"/>
      <x:c r="I11" s="22" t="str">
        <x:f>IF(SUM(F11:H11)=0,"",F11/SUM(F11:H11))</x:f>
      </x:c>
      <x:c r="J11" t="n">
        <x:f>COUNTIFS(Yanlis_Defteri!$B$2:$B$401,B11,Yanlis_Defteri!$C$2:$C$401,C11,Yanlis_Defteri!$O$2:$O$401,"Açık")</x:f>
        <x:v>0</x:v>
      </x:c>
      <x:c r="K11" t="str">
        <x:v>Planlandı</x:v>
      </x:c>
      <x:c r="L11" t="str">
        <x:v>MEB doğrulaması kitap konu bölümünden SONRA yapılır.</x:v>
      </x:c>
    </x:row>
    <x:row r="12">
      <x:c r="A12" s="12" t="n">
        <x:v>46333</x:v>
      </x:c>
      <x:c r="B12" t="str">
        <x:v>Matematik</x:v>
      </x:c>
      <x:c r="C12" t="str">
        <x:v>Sıralama ve Basit Eşitsizlik Altyapısı</x:v>
      </x:c>
      <x:c r="D12" t="str">
        <x:v>Konu Sonu MEB Doğrulama</x:v>
      </x:c>
      <x:c r="E12" t="str">
        <x:v>https://odsgm.meb.gov.tr/www/5-6-7-ve-9-sinif-duzeylerinde-calisma-sorulari-yayimlandi/icerik/775</x:v>
      </x:c>
      <x:c r="F12"/>
      <x:c r="G12"/>
      <x:c r="H12"/>
      <x:c r="I12" s="22" t="str">
        <x:f>IF(SUM(F12:H12)=0,"",F12/SUM(F12:H12))</x:f>
      </x:c>
      <x:c r="J12" t="n">
        <x:f>COUNTIFS(Yanlis_Defteri!$B$2:$B$401,B12,Yanlis_Defteri!$C$2:$C$401,C12,Yanlis_Defteri!$O$2:$O$401,"Açık")</x:f>
        <x:v>0</x:v>
      </x:c>
      <x:c r="K12" t="str">
        <x:v>Planlandı</x:v>
      </x:c>
      <x:c r="L12" t="str">
        <x:v>MEB doğrulaması kitap konu bölümünden SONRA yapılır.</x:v>
      </x:c>
    </x:row>
    <x:row r="13">
      <x:c r="A13" s="12" t="n">
        <x:v>46336</x:v>
      </x:c>
      <x:c r="B13" t="str">
        <x:v>Matematik</x:v>
      </x:c>
      <x:c r="C13" t="str">
        <x:v>Mutlak Değer ve Sayı Doğrusu</x:v>
      </x:c>
      <x:c r="D13" t="str">
        <x:v>Konu Sonu MEB Doğrulama</x:v>
      </x:c>
      <x:c r="E13" t="str">
        <x:v>https://odsgm.meb.gov.tr/www/5-6-7-ve-9-sinif-duzeylerinde-calisma-sorulari-yayimlandi/icerik/775</x:v>
      </x:c>
      <x:c r="F13"/>
      <x:c r="G13"/>
      <x:c r="H13"/>
      <x:c r="I13" s="22" t="str">
        <x:f>IF(SUM(F13:H13)=0,"",F13/SUM(F13:H13))</x:f>
      </x:c>
      <x:c r="J13" t="n">
        <x:f>COUNTIFS(Yanlis_Defteri!$B$2:$B$401,B13,Yanlis_Defteri!$C$2:$C$401,C13,Yanlis_Defteri!$O$2:$O$401,"Açık")</x:f>
        <x:v>0</x:v>
      </x:c>
      <x:c r="K13" t="str">
        <x:v>Planlandı</x:v>
      </x:c>
      <x:c r="L13" t="str">
        <x:v>MEB doğrulaması kitap konu bölümünden SONRA yapılır.</x:v>
      </x:c>
    </x:row>
    <x:row r="14">
      <x:c r="A14" s="12" t="n">
        <x:v>46341</x:v>
      </x:c>
      <x:c r="B14" t="str">
        <x:v>Matematik</x:v>
      </x:c>
      <x:c r="C14" t="str">
        <x:v>Üslü Sayılar ve Bilimsel Gösterim Altyapısı</x:v>
      </x:c>
      <x:c r="D14" t="str">
        <x:v>Konu Sonu MEB Doğrulama</x:v>
      </x:c>
      <x:c r="E14" t="str">
        <x:v>https://odsgm.meb.gov.tr/www/5-6-7-ve-9-sinif-duzeylerinde-calisma-sorulari-yayimlandi/icerik/775</x:v>
      </x:c>
      <x:c r="F14"/>
      <x:c r="G14"/>
      <x:c r="H14"/>
      <x:c r="I14" s="22" t="str">
        <x:f>IF(SUM(F14:H14)=0,"",F14/SUM(F14:H14))</x:f>
      </x:c>
      <x:c r="J14" t="n">
        <x:f>COUNTIFS(Yanlis_Defteri!$B$2:$B$401,B14,Yanlis_Defteri!$C$2:$C$401,C14,Yanlis_Defteri!$O$2:$O$401,"Açık")</x:f>
        <x:v>0</x:v>
      </x:c>
      <x:c r="K14" t="str">
        <x:v>Planlandı</x:v>
      </x:c>
      <x:c r="L14" t="str">
        <x:v>MEB doğrulaması kitap konu bölümünden SONRA yapılır.</x:v>
      </x:c>
    </x:row>
    <x:row r="15">
      <x:c r="A15" s="12" t="n">
        <x:v>46347</x:v>
      </x:c>
      <x:c r="B15" t="str">
        <x:v>Matematik</x:v>
      </x:c>
      <x:c r="C15" t="str">
        <x:v>Köklü Sayılar Altyapısı</x:v>
      </x:c>
      <x:c r="D15" t="str">
        <x:v>Konu Sonu MEB Doğrulama</x:v>
      </x:c>
      <x:c r="E15" t="str">
        <x:v>https://odsgm.meb.gov.tr/www/5-6-7-ve-9-sinif-duzeylerinde-calisma-sorulari-yayimlandi/icerik/775</x:v>
      </x:c>
      <x:c r="F15"/>
      <x:c r="G15"/>
      <x:c r="H15"/>
      <x:c r="I15" s="22" t="str">
        <x:f>IF(SUM(F15:H15)=0,"",F15/SUM(F15:H15))</x:f>
      </x:c>
      <x:c r="J15" t="n">
        <x:f>COUNTIFS(Yanlis_Defteri!$B$2:$B$401,B15,Yanlis_Defteri!$C$2:$C$401,C15,Yanlis_Defteri!$O$2:$O$401,"Açık")</x:f>
        <x:v>0</x:v>
      </x:c>
      <x:c r="K15" t="str">
        <x:v>Planlandı</x:v>
      </x:c>
      <x:c r="L15" t="str">
        <x:v>MEB doğrulaması kitap konu bölümünden SONRA yapılır.</x:v>
      </x:c>
    </x:row>
    <x:row r="16">
      <x:c r="A16" s="12" t="n">
        <x:v>46352</x:v>
      </x:c>
      <x:c r="B16" t="str">
        <x:v>Matematik</x:v>
      </x:c>
      <x:c r="C16" t="str">
        <x:v>Oran - Orantı</x:v>
      </x:c>
      <x:c r="D16" t="str">
        <x:v>Konu Sonu MEB Doğrulama</x:v>
      </x:c>
      <x:c r="E16" t="str">
        <x:v>https://odsgm.meb.gov.tr/www/5-6-7-ve-9-sinif-duzeylerinde-calisma-sorulari-yayimlandi/icerik/775</x:v>
      </x:c>
      <x:c r="F16"/>
      <x:c r="G16"/>
      <x:c r="H16"/>
      <x:c r="I16" s="22" t="str">
        <x:f>IF(SUM(F16:H16)=0,"",F16/SUM(F16:H16))</x:f>
      </x:c>
      <x:c r="J16" t="n">
        <x:f>COUNTIFS(Yanlis_Defteri!$B$2:$B$401,B16,Yanlis_Defteri!$C$2:$C$401,C16,Yanlis_Defteri!$O$2:$O$401,"Açık")</x:f>
        <x:v>0</x:v>
      </x:c>
      <x:c r="K16" t="str">
        <x:v>Planlandı</x:v>
      </x:c>
      <x:c r="L16" t="str">
        <x:v>MEB doğrulaması kitap konu bölümünden SONRA yapılır.</x:v>
      </x:c>
    </x:row>
    <x:row r="17">
      <x:c r="A17" s="12" t="n">
        <x:v>46355</x:v>
      </x:c>
      <x:c r="B17" t="str">
        <x:v>Matematik</x:v>
      </x:c>
      <x:c r="C17" t="str">
        <x:v>Denklem Çözme</x:v>
      </x:c>
      <x:c r="D17" t="str">
        <x:v>Konu Sonu MEB Doğrulama</x:v>
      </x:c>
      <x:c r="E17" t="str">
        <x:v>https://odsgm.meb.gov.tr/www/5-6-7-ve-9-sinif-duzeylerinde-calisma-sorulari-yayimlandi/icerik/775</x:v>
      </x:c>
      <x:c r="F17"/>
      <x:c r="G17"/>
      <x:c r="H17"/>
      <x:c r="I17" s="22" t="str">
        <x:f>IF(SUM(F17:H17)=0,"",F17/SUM(F17:H17))</x:f>
      </x:c>
      <x:c r="J17" t="n">
        <x:f>COUNTIFS(Yanlis_Defteri!$B$2:$B$401,B17,Yanlis_Defteri!$C$2:$C$401,C17,Yanlis_Defteri!$O$2:$O$401,"Açık")</x:f>
        <x:v>0</x:v>
      </x:c>
      <x:c r="K17" t="str">
        <x:v>Planlandı</x:v>
      </x:c>
      <x:c r="L17" t="str">
        <x:v>MEB doğrulaması kitap konu bölümünden SONRA yapılır.</x:v>
      </x:c>
    </x:row>
    <x:row r="18">
      <x:c r="A18" s="12" t="n">
        <x:v>46360</x:v>
      </x:c>
      <x:c r="B18" t="str">
        <x:v>Matematik</x:v>
      </x:c>
      <x:c r="C18" t="str">
        <x:v>Denklem Kurma Problemleri</x:v>
      </x:c>
      <x:c r="D18" t="str">
        <x:v>Konu Sonu MEB Doğrulama</x:v>
      </x:c>
      <x:c r="E18" t="str">
        <x:v>https://odsgm.meb.gov.tr/www/5-6-7-ve-9-sinif-duzeylerinde-calisma-sorulari-yayimlandi/icerik/775</x:v>
      </x:c>
      <x:c r="F18"/>
      <x:c r="G18"/>
      <x:c r="H18"/>
      <x:c r="I18" s="22" t="str">
        <x:f>IF(SUM(F18:H18)=0,"",F18/SUM(F18:H18))</x:f>
      </x:c>
      <x:c r="J18" t="n">
        <x:f>COUNTIFS(Yanlis_Defteri!$B$2:$B$401,B18,Yanlis_Defteri!$C$2:$C$401,C18,Yanlis_Defteri!$O$2:$O$401,"Açık")</x:f>
        <x:v>0</x:v>
      </x:c>
      <x:c r="K18" t="str">
        <x:v>Planlandı</x:v>
      </x:c>
      <x:c r="L18" t="str">
        <x:v>MEB doğrulaması kitap konu bölümünden SONRA yapılır.</x:v>
      </x:c>
    </x:row>
    <x:row r="19">
      <x:c r="A19" s="12" t="n">
        <x:v>46365</x:v>
      </x:c>
      <x:c r="B19" t="str">
        <x:v>Matematik</x:v>
      </x:c>
      <x:c r="C19" t="str">
        <x:v>Yüzde ve Temel Problem Çeşitleri</x:v>
      </x:c>
      <x:c r="D19" t="str">
        <x:v>Konu Sonu MEB Doğrulama</x:v>
      </x:c>
      <x:c r="E19" t="str">
        <x:v>https://odsgm.meb.gov.tr/www/5-6-7-ve-9-sinif-duzeylerinde-calisma-sorulari-yayimlandi/icerik/775</x:v>
      </x:c>
      <x:c r="F19"/>
      <x:c r="G19"/>
      <x:c r="H19"/>
      <x:c r="I19" s="22" t="str">
        <x:f>IF(SUM(F19:H19)=0,"",F19/SUM(F19:H19))</x:f>
      </x:c>
      <x:c r="J19" t="n">
        <x:f>COUNTIFS(Yanlis_Defteri!$B$2:$B$401,B19,Yanlis_Defteri!$C$2:$C$401,C19,Yanlis_Defteri!$O$2:$O$401,"Açık")</x:f>
        <x:v>0</x:v>
      </x:c>
      <x:c r="K19" t="str">
        <x:v>Planlandı</x:v>
      </x:c>
      <x:c r="L19" t="str">
        <x:v>MEB doğrulaması kitap konu bölümünden SONRA yapılır.</x:v>
      </x:c>
    </x:row>
    <x:row r="20">
      <x:c r="A20" s="12" t="n">
        <x:v>46369</x:v>
      </x:c>
      <x:c r="B20" t="str">
        <x:v>Matematik</x:v>
      </x:c>
      <x:c r="C20" t="str">
        <x:v>Çarpanlar ve Katlar</x:v>
      </x:c>
      <x:c r="D20" t="str">
        <x:v>Konu Sonu MEB Doğrulama</x:v>
      </x:c>
      <x:c r="E20" t="str">
        <x:v>https://odsgm.meb.gov.tr/www/8sinif-calisma-sorulari/icerik/1632</x:v>
      </x:c>
      <x:c r="F20"/>
      <x:c r="G20"/>
      <x:c r="H20"/>
      <x:c r="I20" s="22" t="str">
        <x:f>IF(SUM(F20:H20)=0,"",F20/SUM(F20:H20))</x:f>
      </x:c>
      <x:c r="J20" t="n">
        <x:f>COUNTIFS(Yanlis_Defteri!$B$2:$B$401,B20,Yanlis_Defteri!$C$2:$C$401,C20,Yanlis_Defteri!$O$2:$O$401,"Açık")</x:f>
        <x:v>0</x:v>
      </x:c>
      <x:c r="K20" t="str">
        <x:v>Planlandı</x:v>
      </x:c>
      <x:c r="L20" t="str">
        <x:v>MEB doğrulaması kitap konu bölümünden SONRA yapılır.</x:v>
      </x:c>
    </x:row>
    <x:row r="21">
      <x:c r="A21" s="12" t="n">
        <x:v>46373</x:v>
      </x:c>
      <x:c r="B21" t="str">
        <x:v>Matematik</x:v>
      </x:c>
      <x:c r="C21" t="str">
        <x:v>Üslü İfadeler</x:v>
      </x:c>
      <x:c r="D21" t="str">
        <x:v>Konu Sonu MEB Doğrulama</x:v>
      </x:c>
      <x:c r="E21" t="str">
        <x:v>https://odsgm.meb.gov.tr/www/8sinif-calisma-sorulari/icerik/1632</x:v>
      </x:c>
      <x:c r="F21"/>
      <x:c r="G21"/>
      <x:c r="H21"/>
      <x:c r="I21" s="22" t="str">
        <x:f>IF(SUM(F21:H21)=0,"",F21/SUM(F21:H21))</x:f>
      </x:c>
      <x:c r="J21" t="n">
        <x:f>COUNTIFS(Yanlis_Defteri!$B$2:$B$401,B21,Yanlis_Defteri!$C$2:$C$401,C21,Yanlis_Defteri!$O$2:$O$401,"Açık")</x:f>
        <x:v>0</x:v>
      </x:c>
      <x:c r="K21" t="str">
        <x:v>Planlandı</x:v>
      </x:c>
      <x:c r="L21" t="str">
        <x:v>MEB doğrulaması kitap konu bölümünden SONRA yapılır.</x:v>
      </x:c>
    </x:row>
    <x:row r="22">
      <x:c r="A22" s="12" t="n">
        <x:v>46378</x:v>
      </x:c>
      <x:c r="B22" t="str">
        <x:v>Matematik</x:v>
      </x:c>
      <x:c r="C22" t="str">
        <x:v>Kareköklü İfadeler</x:v>
      </x:c>
      <x:c r="D22" t="str">
        <x:v>Konu Sonu MEB Doğrulama</x:v>
      </x:c>
      <x:c r="E22" t="str">
        <x:v>https://odsgm.meb.gov.tr/www/8sinif-calisma-sorulari/icerik/1632</x:v>
      </x:c>
      <x:c r="F22"/>
      <x:c r="G22"/>
      <x:c r="H22"/>
      <x:c r="I22" s="22" t="str">
        <x:f>IF(SUM(F22:H22)=0,"",F22/SUM(F22:H22))</x:f>
      </x:c>
      <x:c r="J22" t="n">
        <x:f>COUNTIFS(Yanlis_Defteri!$B$2:$B$401,B22,Yanlis_Defteri!$C$2:$C$401,C22,Yanlis_Defteri!$O$2:$O$401,"Açık")</x:f>
        <x:v>0</x:v>
      </x:c>
      <x:c r="K22" t="str">
        <x:v>Planlandı</x:v>
      </x:c>
      <x:c r="L22" t="str">
        <x:v>MEB doğrulaması kitap konu bölümünden SONRA yapılır.</x:v>
      </x:c>
    </x:row>
    <x:row r="23">
      <x:c r="A23" s="12" t="n">
        <x:v>46381</x:v>
      </x:c>
      <x:c r="B23" t="str">
        <x:v>Matematik</x:v>
      </x:c>
      <x:c r="C23" t="str">
        <x:v>Veri Analizi</x:v>
      </x:c>
      <x:c r="D23" t="str">
        <x:v>Konu Sonu MEB Doğrulama</x:v>
      </x:c>
      <x:c r="E23" t="str">
        <x:v>https://odsgm.meb.gov.tr/www/8sinif-calisma-sorulari/icerik/1632</x:v>
      </x:c>
      <x:c r="F23"/>
      <x:c r="G23"/>
      <x:c r="H23"/>
      <x:c r="I23" s="22" t="str">
        <x:f>IF(SUM(F23:H23)=0,"",F23/SUM(F23:H23))</x:f>
      </x:c>
      <x:c r="J23" t="n">
        <x:f>COUNTIFS(Yanlis_Defteri!$B$2:$B$401,B23,Yanlis_Defteri!$C$2:$C$401,C23,Yanlis_Defteri!$O$2:$O$401,"Açık")</x:f>
        <x:v>0</x:v>
      </x:c>
      <x:c r="K23" t="str">
        <x:v>Planlandı</x:v>
      </x:c>
      <x:c r="L23" t="str">
        <x:v>MEB doğrulaması kitap konu bölümünden SONRA yapılır.</x:v>
      </x:c>
    </x:row>
    <x:row r="24">
      <x:c r="A24" s="12" t="n">
        <x:v>46384</x:v>
      </x:c>
      <x:c r="B24" t="str">
        <x:v>Matematik</x:v>
      </x:c>
      <x:c r="C24" t="str">
        <x:v>Basit Olayların Olma Olasılığı</x:v>
      </x:c>
      <x:c r="D24" t="str">
        <x:v>Konu Sonu MEB Doğrulama</x:v>
      </x:c>
      <x:c r="E24" t="str">
        <x:v>https://odsgm.meb.gov.tr/www/8sinif-calisma-sorulari/icerik/1632</x:v>
      </x:c>
      <x:c r="F24"/>
      <x:c r="G24"/>
      <x:c r="H24"/>
      <x:c r="I24" s="22" t="str">
        <x:f>IF(SUM(F24:H24)=0,"",F24/SUM(F24:H24))</x:f>
      </x:c>
      <x:c r="J24" t="n">
        <x:f>COUNTIFS(Yanlis_Defteri!$B$2:$B$401,B24,Yanlis_Defteri!$C$2:$C$401,C24,Yanlis_Defteri!$O$2:$O$401,"Açık")</x:f>
        <x:v>0</x:v>
      </x:c>
      <x:c r="K24" t="str">
        <x:v>Planlandı</x:v>
      </x:c>
      <x:c r="L24" t="str">
        <x:v>MEB doğrulaması kitap konu bölümünden SONRA yapılır.</x:v>
      </x:c>
    </x:row>
    <x:row r="25">
      <x:c r="A25" s="12" t="n">
        <x:v>46389</x:v>
      </x:c>
      <x:c r="B25" t="str">
        <x:v>Matematik</x:v>
      </x:c>
      <x:c r="C25" t="str">
        <x:v>Cebirsel İfadeler ve Özdeşlikler</x:v>
      </x:c>
      <x:c r="D25" t="str">
        <x:v>Konu Sonu MEB Doğrulama</x:v>
      </x:c>
      <x:c r="E25" t="str">
        <x:v>https://odsgm.meb.gov.tr/www/8sinif-calisma-sorulari/icerik/1632</x:v>
      </x:c>
      <x:c r="F25"/>
      <x:c r="G25"/>
      <x:c r="H25"/>
      <x:c r="I25" s="22" t="str">
        <x:f>IF(SUM(F25:H25)=0,"",F25/SUM(F25:H25))</x:f>
      </x:c>
      <x:c r="J25" t="n">
        <x:f>COUNTIFS(Yanlis_Defteri!$B$2:$B$401,B25,Yanlis_Defteri!$C$2:$C$401,C25,Yanlis_Defteri!$O$2:$O$401,"Açık")</x:f>
        <x:v>0</x:v>
      </x:c>
      <x:c r="K25" t="str">
        <x:v>Planlandı</x:v>
      </x:c>
      <x:c r="L25" t="str">
        <x:v>MEB doğrulaması kitap konu bölümünden SONRA yapılır.</x:v>
      </x:c>
    </x:row>
    <x:row r="26">
      <x:c r="A26" s="12" t="n">
        <x:v>46394</x:v>
      </x:c>
      <x:c r="B26" t="str">
        <x:v>Matematik</x:v>
      </x:c>
      <x:c r="C26" t="str">
        <x:v>Doğrusal Denklemler</x:v>
      </x:c>
      <x:c r="D26" t="str">
        <x:v>Konu Sonu MEB Doğrulama</x:v>
      </x:c>
      <x:c r="E26" t="str">
        <x:v>https://odsgm.meb.gov.tr/www/8sinif-calisma-sorulari/icerik/1632</x:v>
      </x:c>
      <x:c r="F26"/>
      <x:c r="G26"/>
      <x:c r="H26"/>
      <x:c r="I26" s="22" t="str">
        <x:f>IF(SUM(F26:H26)=0,"",F26/SUM(F26:H26))</x:f>
      </x:c>
      <x:c r="J26" t="n">
        <x:f>COUNTIFS(Yanlis_Defteri!$B$2:$B$401,B26,Yanlis_Defteri!$C$2:$C$401,C26,Yanlis_Defteri!$O$2:$O$401,"Açık")</x:f>
        <x:v>0</x:v>
      </x:c>
      <x:c r="K26" t="str">
        <x:v>Planlandı</x:v>
      </x:c>
      <x:c r="L26" t="str">
        <x:v>MEB doğrulaması kitap konu bölümünden SONRA yapılır.</x:v>
      </x:c>
    </x:row>
    <x:row r="27">
      <x:c r="A27" s="12" t="n">
        <x:v>46398</x:v>
      </x:c>
      <x:c r="B27" t="str">
        <x:v>Matematik</x:v>
      </x:c>
      <x:c r="C27" t="str">
        <x:v>Eşitsizlikler</x:v>
      </x:c>
      <x:c r="D27" t="str">
        <x:v>Konu Sonu MEB Doğrulama</x:v>
      </x:c>
      <x:c r="E27" t="str">
        <x:v>https://odsgm.meb.gov.tr/www/8sinif-calisma-sorulari/icerik/1632</x:v>
      </x:c>
      <x:c r="F27"/>
      <x:c r="G27"/>
      <x:c r="H27"/>
      <x:c r="I27" s="22" t="str">
        <x:f>IF(SUM(F27:H27)=0,"",F27/SUM(F27:H27))</x:f>
      </x:c>
      <x:c r="J27" t="n">
        <x:f>COUNTIFS(Yanlis_Defteri!$B$2:$B$401,B27,Yanlis_Defteri!$C$2:$C$401,C27,Yanlis_Defteri!$O$2:$O$401,"Açık")</x:f>
        <x:v>0</x:v>
      </x:c>
      <x:c r="K27" t="str">
        <x:v>Planlandı</x:v>
      </x:c>
      <x:c r="L27" t="str">
        <x:v>MEB doğrulaması kitap konu bölümünden SONRA yapılır.</x:v>
      </x:c>
    </x:row>
    <x:row r="28">
      <x:c r="A28" s="12" t="n">
        <x:v>46403</x:v>
      </x:c>
      <x:c r="B28" t="str">
        <x:v>Matematik</x:v>
      </x:c>
      <x:c r="C28" t="str">
        <x:v>Üçgenler</x:v>
      </x:c>
      <x:c r="D28" t="str">
        <x:v>Konu Sonu MEB Doğrulama</x:v>
      </x:c>
      <x:c r="E28" t="str">
        <x:v>https://odsgm.meb.gov.tr/www/8sinif-calisma-sorulari/icerik/1632</x:v>
      </x:c>
      <x:c r="F28"/>
      <x:c r="G28"/>
      <x:c r="H28"/>
      <x:c r="I28" s="22" t="str">
        <x:f>IF(SUM(F28:H28)=0,"",F28/SUM(F28:H28))</x:f>
      </x:c>
      <x:c r="J28" t="n">
        <x:f>COUNTIFS(Yanlis_Defteri!$B$2:$B$401,B28,Yanlis_Defteri!$C$2:$C$401,C28,Yanlis_Defteri!$O$2:$O$401,"Açık")</x:f>
        <x:v>0</x:v>
      </x:c>
      <x:c r="K28" t="str">
        <x:v>Planlandı</x:v>
      </x:c>
      <x:c r="L28" t="str">
        <x:v>MEB doğrulaması kitap konu bölümünden SONRA yapılır.</x:v>
      </x:c>
    </x:row>
    <x:row r="29">
      <x:c r="A29" s="12" t="n">
        <x:v>46407</x:v>
      </x:c>
      <x:c r="B29" t="str">
        <x:v>Matematik</x:v>
      </x:c>
      <x:c r="C29" t="str">
        <x:v>Eşlik ve Benzerlik</x:v>
      </x:c>
      <x:c r="D29" t="str">
        <x:v>Konu Sonu MEB Doğrulama</x:v>
      </x:c>
      <x:c r="E29" t="str">
        <x:v>https://odsgm.meb.gov.tr/www/8sinif-calisma-sorulari/icerik/1632</x:v>
      </x:c>
      <x:c r="F29"/>
      <x:c r="G29"/>
      <x:c r="H29"/>
      <x:c r="I29" s="22" t="str">
        <x:f>IF(SUM(F29:H29)=0,"",F29/SUM(F29:H29))</x:f>
      </x:c>
      <x:c r="J29" t="n">
        <x:f>COUNTIFS(Yanlis_Defteri!$B$2:$B$401,B29,Yanlis_Defteri!$C$2:$C$401,C29,Yanlis_Defteri!$O$2:$O$401,"Açık")</x:f>
        <x:v>0</x:v>
      </x:c>
      <x:c r="K29" t="str">
        <x:v>Planlandı</x:v>
      </x:c>
      <x:c r="L29" t="str">
        <x:v>MEB doğrulaması kitap konu bölümünden SONRA yapılır.</x:v>
      </x:c>
    </x:row>
    <x:row r="30">
      <x:c r="A30" s="12" t="n">
        <x:v>46411</x:v>
      </x:c>
      <x:c r="B30" t="str">
        <x:v>Matematik</x:v>
      </x:c>
      <x:c r="C30" t="str">
        <x:v>Dönüşüm Geometrisi</x:v>
      </x:c>
      <x:c r="D30" t="str">
        <x:v>Konu Sonu MEB Doğrulama</x:v>
      </x:c>
      <x:c r="E30" t="str">
        <x:v>https://odsgm.meb.gov.tr/www/8sinif-calisma-sorulari/icerik/1632</x:v>
      </x:c>
      <x:c r="F30"/>
      <x:c r="G30"/>
      <x:c r="H30"/>
      <x:c r="I30" s="22" t="str">
        <x:f>IF(SUM(F30:H30)=0,"",F30/SUM(F30:H30))</x:f>
      </x:c>
      <x:c r="J30" t="n">
        <x:f>COUNTIFS(Yanlis_Defteri!$B$2:$B$401,B30,Yanlis_Defteri!$C$2:$C$401,C30,Yanlis_Defteri!$O$2:$O$401,"Açık")</x:f>
        <x:v>0</x:v>
      </x:c>
      <x:c r="K30" t="str">
        <x:v>Planlandı</x:v>
      </x:c>
      <x:c r="L30" t="str">
        <x:v>MEB doğrulaması kitap konu bölümünden SONRA yapılır.</x:v>
      </x:c>
    </x:row>
    <x:row r="31">
      <x:c r="A31" s="12" t="n">
        <x:v>46416</x:v>
      </x:c>
      <x:c r="B31" t="str">
        <x:v>Matematik</x:v>
      </x:c>
      <x:c r="C31" t="str">
        <x:v>Geometrik Cisimler</x:v>
      </x:c>
      <x:c r="D31" t="str">
        <x:v>Konu Sonu MEB Doğrulama</x:v>
      </x:c>
      <x:c r="E31" t="str">
        <x:v>https://odsgm.meb.gov.tr/www/8sinif-calisma-sorulari/icerik/1632</x:v>
      </x:c>
      <x:c r="F31"/>
      <x:c r="G31"/>
      <x:c r="H31"/>
      <x:c r="I31" s="22" t="str">
        <x:f>IF(SUM(F31:H31)=0,"",F31/SUM(F31:H31))</x:f>
      </x:c>
      <x:c r="J31" t="n">
        <x:f>COUNTIFS(Yanlis_Defteri!$B$2:$B$401,B31,Yanlis_Defteri!$C$2:$C$401,C31,Yanlis_Defteri!$O$2:$O$401,"Açık")</x:f>
        <x:v>0</x:v>
      </x:c>
      <x:c r="K31" t="str">
        <x:v>Planlandı</x:v>
      </x:c>
      <x:c r="L31" t="str">
        <x:v>MEB doğrulaması kitap konu bölümünden SONRA yapılır.</x:v>
      </x:c>
    </x:row>
    <x:row r="32">
      <x:c r="A32" s="12" t="n">
        <x:v>46300</x:v>
      </x:c>
      <x:c r="B32" t="str">
        <x:v>Türkçe</x:v>
      </x:c>
      <x:c r="C32" t="str">
        <x:v>Sözcükte Anlam</x:v>
      </x:c>
      <x:c r="D32" t="str">
        <x:v>Konu Sonu MEB Doğrulama</x:v>
      </x:c>
      <x:c r="E32" t="str">
        <x:v>https://odsgm.meb.gov.tr/www/5-6-7-ve-9-sinif-duzeylerinde-calisma-sorulari-yayimlandi/icerik/775</x:v>
      </x:c>
      <x:c r="F32"/>
      <x:c r="G32"/>
      <x:c r="H32"/>
      <x:c r="I32" s="22" t="str">
        <x:f>IF(SUM(F32:H32)=0,"",F32/SUM(F32:H32))</x:f>
      </x:c>
      <x:c r="J32" t="n">
        <x:f>COUNTIFS(Yanlis_Defteri!$B$2:$B$401,B32,Yanlis_Defteri!$C$2:$C$401,C32,Yanlis_Defteri!$O$2:$O$401,"Açık")</x:f>
        <x:v>0</x:v>
      </x:c>
      <x:c r="K32" t="str">
        <x:v>Planlandı</x:v>
      </x:c>
      <x:c r="L32" t="str">
        <x:v>MEB doğrulaması kitap konu bölümünden SONRA yapılır.</x:v>
      </x:c>
    </x:row>
    <x:row r="33">
      <x:c r="A33" s="12" t="n">
        <x:v>46305</x:v>
      </x:c>
      <x:c r="B33" t="str">
        <x:v>Türkçe</x:v>
      </x:c>
      <x:c r="C33" t="str">
        <x:v>Cümlede Anlam</x:v>
      </x:c>
      <x:c r="D33" t="str">
        <x:v>Konu Sonu MEB Doğrulama</x:v>
      </x:c>
      <x:c r="E33" t="str">
        <x:v>https://odsgm.meb.gov.tr/www/5-6-7-ve-9-sinif-duzeylerinde-calisma-sorulari-yayimlandi/icerik/775</x:v>
      </x:c>
      <x:c r="F33"/>
      <x:c r="G33"/>
      <x:c r="H33"/>
      <x:c r="I33" s="22" t="str">
        <x:f>IF(SUM(F33:H33)=0,"",F33/SUM(F33:H33))</x:f>
      </x:c>
      <x:c r="J33" t="n">
        <x:f>COUNTIFS(Yanlis_Defteri!$B$2:$B$401,B33,Yanlis_Defteri!$C$2:$C$401,C33,Yanlis_Defteri!$O$2:$O$401,"Açık")</x:f>
        <x:v>0</x:v>
      </x:c>
      <x:c r="K33" t="str">
        <x:v>Planlandı</x:v>
      </x:c>
      <x:c r="L33" t="str">
        <x:v>MEB doğrulaması kitap konu bölümünden SONRA yapılır.</x:v>
      </x:c>
    </x:row>
    <x:row r="34">
      <x:c r="A34" s="12" t="n">
        <x:v>46310</x:v>
      </x:c>
      <x:c r="B34" t="str">
        <x:v>Türkçe</x:v>
      </x:c>
      <x:c r="C34" t="str">
        <x:v>Paragrafta Anlam ve Soru Türleri</x:v>
      </x:c>
      <x:c r="D34" t="str">
        <x:v>Konu Sonu MEB Doğrulama</x:v>
      </x:c>
      <x:c r="E34" t="str">
        <x:v>https://odsgm.meb.gov.tr/www/5-6-7-ve-9-sinif-duzeylerinde-calisma-sorulari-yayimlandi/icerik/775</x:v>
      </x:c>
      <x:c r="F34"/>
      <x:c r="G34"/>
      <x:c r="H34"/>
      <x:c r="I34" s="22" t="str">
        <x:f>IF(SUM(F34:H34)=0,"",F34/SUM(F34:H34))</x:f>
      </x:c>
      <x:c r="J34" t="n">
        <x:f>COUNTIFS(Yanlis_Defteri!$B$2:$B$401,B34,Yanlis_Defteri!$C$2:$C$401,C34,Yanlis_Defteri!$O$2:$O$401,"Açık")</x:f>
        <x:v>0</x:v>
      </x:c>
      <x:c r="K34" t="str">
        <x:v>Planlandı</x:v>
      </x:c>
      <x:c r="L34" t="str">
        <x:v>MEB doğrulaması kitap konu bölümünden SONRA yapılır.</x:v>
      </x:c>
    </x:row>
    <x:row r="35">
      <x:c r="A35" s="12" t="n">
        <x:v>46314</x:v>
      </x:c>
      <x:c r="B35" t="str">
        <x:v>Türkçe</x:v>
      </x:c>
      <x:c r="C35" t="str">
        <x:v>Anlatım Biçimleri ve Düşünceyi Geliştirme Yolları</x:v>
      </x:c>
      <x:c r="D35" t="str">
        <x:v>Konu Sonu MEB Doğrulama</x:v>
      </x:c>
      <x:c r="E35" t="str">
        <x:v>https://odsgm.meb.gov.tr/www/5-6-7-ve-9-sinif-duzeylerinde-calisma-sorulari-yayimlandi/icerik/775</x:v>
      </x:c>
      <x:c r="F35"/>
      <x:c r="G35"/>
      <x:c r="H35"/>
      <x:c r="I35" s="22" t="str">
        <x:f>IF(SUM(F35:H35)=0,"",F35/SUM(F35:H35))</x:f>
      </x:c>
      <x:c r="J35" t="n">
        <x:f>COUNTIFS(Yanlis_Defteri!$B$2:$B$401,B35,Yanlis_Defteri!$C$2:$C$401,C35,Yanlis_Defteri!$O$2:$O$401,"Açık")</x:f>
        <x:v>0</x:v>
      </x:c>
      <x:c r="K35" t="str">
        <x:v>Planlandı</x:v>
      </x:c>
      <x:c r="L35" t="str">
        <x:v>MEB doğrulaması kitap konu bölümünden SONRA yapılır.</x:v>
      </x:c>
    </x:row>
    <x:row r="36">
      <x:c r="A36" s="12" t="n">
        <x:v>46317</x:v>
      </x:c>
      <x:c r="B36" t="str">
        <x:v>Türkçe</x:v>
      </x:c>
      <x:c r="C36" t="str">
        <x:v>Sözcükte Yapı</x:v>
      </x:c>
      <x:c r="D36" t="str">
        <x:v>Konu Sonu MEB Doğrulama</x:v>
      </x:c>
      <x:c r="E36" t="str">
        <x:v>https://odsgm.meb.gov.tr/www/5-6-7-ve-9-sinif-duzeylerinde-calisma-sorulari-yayimlandi/icerik/775</x:v>
      </x:c>
      <x:c r="F36"/>
      <x:c r="G36"/>
      <x:c r="H36"/>
      <x:c r="I36" s="22" t="str">
        <x:f>IF(SUM(F36:H36)=0,"",F36/SUM(F36:H36))</x:f>
      </x:c>
      <x:c r="J36" t="n">
        <x:f>COUNTIFS(Yanlis_Defteri!$B$2:$B$401,B36,Yanlis_Defteri!$C$2:$C$401,C36,Yanlis_Defteri!$O$2:$O$401,"Açık")</x:f>
        <x:v>0</x:v>
      </x:c>
      <x:c r="K36" t="str">
        <x:v>Planlandı</x:v>
      </x:c>
      <x:c r="L36" t="str">
        <x:v>MEB doğrulaması kitap konu bölümünden SONRA yapılır.</x:v>
      </x:c>
    </x:row>
    <x:row r="37">
      <x:c r="A37" s="12" t="n">
        <x:v>46321</x:v>
      </x:c>
      <x:c r="B37" t="str">
        <x:v>Türkçe</x:v>
      </x:c>
      <x:c r="C37" t="str">
        <x:v>Ses Bilgisi</x:v>
      </x:c>
      <x:c r="D37" t="str">
        <x:v>Konu Sonu MEB Doğrulama</x:v>
      </x:c>
      <x:c r="E37" t="str">
        <x:v>https://odsgm.meb.gov.tr/www/5-6-7-ve-9-sinif-duzeylerinde-calisma-sorulari-yayimlandi/icerik/775</x:v>
      </x:c>
      <x:c r="F37"/>
      <x:c r="G37"/>
      <x:c r="H37"/>
      <x:c r="I37" s="22" t="str">
        <x:f>IF(SUM(F37:H37)=0,"",F37/SUM(F37:H37))</x:f>
      </x:c>
      <x:c r="J37" t="n">
        <x:f>COUNTIFS(Yanlis_Defteri!$B$2:$B$401,B37,Yanlis_Defteri!$C$2:$C$401,C37,Yanlis_Defteri!$O$2:$O$401,"Açık")</x:f>
        <x:v>0</x:v>
      </x:c>
      <x:c r="K37" t="str">
        <x:v>Planlandı</x:v>
      </x:c>
      <x:c r="L37" t="str">
        <x:v>MEB doğrulaması kitap konu bölümünden SONRA yapılır.</x:v>
      </x:c>
    </x:row>
    <x:row r="38">
      <x:c r="A38" s="12" t="n">
        <x:v>46326</x:v>
      </x:c>
      <x:c r="B38" t="str">
        <x:v>Türkçe</x:v>
      </x:c>
      <x:c r="C38" t="str">
        <x:v>Yazım Kuralları</x:v>
      </x:c>
      <x:c r="D38" t="str">
        <x:v>Konu Sonu MEB Doğrulama</x:v>
      </x:c>
      <x:c r="E38" t="str">
        <x:v>https://odsgm.meb.gov.tr/www/5-6-7-ve-9-sinif-duzeylerinde-calisma-sorulari-yayimlandi/icerik/775</x:v>
      </x:c>
      <x:c r="F38"/>
      <x:c r="G38"/>
      <x:c r="H38"/>
      <x:c r="I38" s="22" t="str">
        <x:f>IF(SUM(F38:H38)=0,"",F38/SUM(F38:H38))</x:f>
      </x:c>
      <x:c r="J38" t="n">
        <x:f>COUNTIFS(Yanlis_Defteri!$B$2:$B$401,B38,Yanlis_Defteri!$C$2:$C$401,C38,Yanlis_Defteri!$O$2:$O$401,"Açık")</x:f>
        <x:v>0</x:v>
      </x:c>
      <x:c r="K38" t="str">
        <x:v>Planlandı</x:v>
      </x:c>
      <x:c r="L38" t="str">
        <x:v>MEB doğrulaması kitap konu bölümünden SONRA yapılır.</x:v>
      </x:c>
    </x:row>
    <x:row r="39">
      <x:c r="A39" s="12" t="n">
        <x:v>46330</x:v>
      </x:c>
      <x:c r="B39" t="str">
        <x:v>Türkçe</x:v>
      </x:c>
      <x:c r="C39" t="str">
        <x:v>Noktalama İşaretleri</x:v>
      </x:c>
      <x:c r="D39" t="str">
        <x:v>Konu Sonu MEB Doğrulama</x:v>
      </x:c>
      <x:c r="E39" t="str">
        <x:v>https://odsgm.meb.gov.tr/www/5-6-7-ve-9-sinif-duzeylerinde-calisma-sorulari-yayimlandi/icerik/775</x:v>
      </x:c>
      <x:c r="F39"/>
      <x:c r="G39"/>
      <x:c r="H39"/>
      <x:c r="I39" s="22" t="str">
        <x:f>IF(SUM(F39:H39)=0,"",F39/SUM(F39:H39))</x:f>
      </x:c>
      <x:c r="J39" t="n">
        <x:f>COUNTIFS(Yanlis_Defteri!$B$2:$B$401,B39,Yanlis_Defteri!$C$2:$C$401,C39,Yanlis_Defteri!$O$2:$O$401,"Açık")</x:f>
        <x:v>0</x:v>
      </x:c>
      <x:c r="K39" t="str">
        <x:v>Planlandı</x:v>
      </x:c>
      <x:c r="L39" t="str">
        <x:v>MEB doğrulaması kitap konu bölümünden SONRA yapılır.</x:v>
      </x:c>
    </x:row>
    <x:row r="40">
      <x:c r="A40" s="12" t="n">
        <x:v>46333</x:v>
      </x:c>
      <x:c r="B40" t="str">
        <x:v>Türkçe</x:v>
      </x:c>
      <x:c r="C40" t="str">
        <x:v>Ad (İsim)</x:v>
      </x:c>
      <x:c r="D40" t="str">
        <x:v>Konu Sonu MEB Doğrulama</x:v>
      </x:c>
      <x:c r="E40" t="str">
        <x:v>https://odsgm.meb.gov.tr/www/5-6-7-ve-9-sinif-duzeylerinde-calisma-sorulari-yayimlandi/icerik/775</x:v>
      </x:c>
      <x:c r="F40"/>
      <x:c r="G40"/>
      <x:c r="H40"/>
      <x:c r="I40" s="22" t="str">
        <x:f>IF(SUM(F40:H40)=0,"",F40/SUM(F40:H40))</x:f>
      </x:c>
      <x:c r="J40" t="n">
        <x:f>COUNTIFS(Yanlis_Defteri!$B$2:$B$401,B40,Yanlis_Defteri!$C$2:$C$401,C40,Yanlis_Defteri!$O$2:$O$401,"Açık")</x:f>
        <x:v>0</x:v>
      </x:c>
      <x:c r="K40" t="str">
        <x:v>Planlandı</x:v>
      </x:c>
      <x:c r="L40" t="str">
        <x:v>MEB doğrulaması kitap konu bölümünden SONRA yapılır.</x:v>
      </x:c>
    </x:row>
    <x:row r="41">
      <x:c r="A41" s="12" t="n">
        <x:v>46337</x:v>
      </x:c>
      <x:c r="B41" t="str">
        <x:v>Türkçe</x:v>
      </x:c>
      <x:c r="C41" t="str">
        <x:v>Ad Tamlamaları</x:v>
      </x:c>
      <x:c r="D41" t="str">
        <x:v>Konu Sonu MEB Doğrulama</x:v>
      </x:c>
      <x:c r="E41" t="str">
        <x:v>https://odsgm.meb.gov.tr/www/5-6-7-ve-9-sinif-duzeylerinde-calisma-sorulari-yayimlandi/icerik/775</x:v>
      </x:c>
      <x:c r="F41"/>
      <x:c r="G41"/>
      <x:c r="H41"/>
      <x:c r="I41" s="22" t="str">
        <x:f>IF(SUM(F41:H41)=0,"",F41/SUM(F41:H41))</x:f>
      </x:c>
      <x:c r="J41" t="n">
        <x:f>COUNTIFS(Yanlis_Defteri!$B$2:$B$401,B41,Yanlis_Defteri!$C$2:$C$401,C41,Yanlis_Defteri!$O$2:$O$401,"Açık")</x:f>
        <x:v>0</x:v>
      </x:c>
      <x:c r="K41" t="str">
        <x:v>Planlandı</x:v>
      </x:c>
      <x:c r="L41" t="str">
        <x:v>MEB doğrulaması kitap konu bölümünden SONRA yapılır.</x:v>
      </x:c>
    </x:row>
    <x:row r="42">
      <x:c r="A42" s="12" t="n">
        <x:v>46341</x:v>
      </x:c>
      <x:c r="B42" t="str">
        <x:v>Türkçe</x:v>
      </x:c>
      <x:c r="C42" t="str">
        <x:v>Zamirler</x:v>
      </x:c>
      <x:c r="D42" t="str">
        <x:v>Konu Sonu MEB Doğrulama</x:v>
      </x:c>
      <x:c r="E42" t="str">
        <x:v>https://odsgm.meb.gov.tr/www/5-6-7-ve-9-sinif-duzeylerinde-calisma-sorulari-yayimlandi/icerik/775</x:v>
      </x:c>
      <x:c r="F42"/>
      <x:c r="G42"/>
      <x:c r="H42"/>
      <x:c r="I42" s="22" t="str">
        <x:f>IF(SUM(F42:H42)=0,"",F42/SUM(F42:H42))</x:f>
      </x:c>
      <x:c r="J42" t="n">
        <x:f>COUNTIFS(Yanlis_Defteri!$B$2:$B$401,B42,Yanlis_Defteri!$C$2:$C$401,C42,Yanlis_Defteri!$O$2:$O$401,"Açık")</x:f>
        <x:v>0</x:v>
      </x:c>
      <x:c r="K42" t="str">
        <x:v>Planlandı</x:v>
      </x:c>
      <x:c r="L42" t="str">
        <x:v>MEB doğrulaması kitap konu bölümünden SONRA yapılır.</x:v>
      </x:c>
    </x:row>
    <x:row r="43">
      <x:c r="A43" s="12" t="n">
        <x:v>46345</x:v>
      </x:c>
      <x:c r="B43" t="str">
        <x:v>Türkçe</x:v>
      </x:c>
      <x:c r="C43" t="str">
        <x:v>Sıfatlar</x:v>
      </x:c>
      <x:c r="D43" t="str">
        <x:v>Konu Sonu MEB Doğrulama</x:v>
      </x:c>
      <x:c r="E43" t="str">
        <x:v>https://odsgm.meb.gov.tr/www/5-6-7-ve-9-sinif-duzeylerinde-calisma-sorulari-yayimlandi/icerik/775</x:v>
      </x:c>
      <x:c r="F43"/>
      <x:c r="G43"/>
      <x:c r="H43"/>
      <x:c r="I43" s="22" t="str">
        <x:f>IF(SUM(F43:H43)=0,"",F43/SUM(F43:H43))</x:f>
      </x:c>
      <x:c r="J43" t="n">
        <x:f>COUNTIFS(Yanlis_Defteri!$B$2:$B$401,B43,Yanlis_Defteri!$C$2:$C$401,C43,Yanlis_Defteri!$O$2:$O$401,"Açık")</x:f>
        <x:v>0</x:v>
      </x:c>
      <x:c r="K43" t="str">
        <x:v>Planlandı</x:v>
      </x:c>
      <x:c r="L43" t="str">
        <x:v>MEB doğrulaması kitap konu bölümünden SONRA yapılır.</x:v>
      </x:c>
    </x:row>
    <x:row r="44">
      <x:c r="A44" s="12" t="n">
        <x:v>46348</x:v>
      </x:c>
      <x:c r="B44" t="str">
        <x:v>Türkçe</x:v>
      </x:c>
      <x:c r="C44" t="str">
        <x:v>Zarflar</x:v>
      </x:c>
      <x:c r="D44" t="str">
        <x:v>Konu Sonu MEB Doğrulama</x:v>
      </x:c>
      <x:c r="E44" t="str">
        <x:v>https://odsgm.meb.gov.tr/www/5-6-7-ve-9-sinif-duzeylerinde-calisma-sorulari-yayimlandi/icerik/775</x:v>
      </x:c>
      <x:c r="F44"/>
      <x:c r="G44"/>
      <x:c r="H44"/>
      <x:c r="I44" s="22" t="str">
        <x:f>IF(SUM(F44:H44)=0,"",F44/SUM(F44:H44))</x:f>
      </x:c>
      <x:c r="J44" t="n">
        <x:f>COUNTIFS(Yanlis_Defteri!$B$2:$B$401,B44,Yanlis_Defteri!$C$2:$C$401,C44,Yanlis_Defteri!$O$2:$O$401,"Açık")</x:f>
        <x:v>0</x:v>
      </x:c>
      <x:c r="K44" t="str">
        <x:v>Planlandı</x:v>
      </x:c>
      <x:c r="L44" t="str">
        <x:v>MEB doğrulaması kitap konu bölümünden SONRA yapılır.</x:v>
      </x:c>
    </x:row>
    <x:row r="45">
      <x:c r="A45" s="12" t="n">
        <x:v>46353</x:v>
      </x:c>
      <x:c r="B45" t="str">
        <x:v>Türkçe</x:v>
      </x:c>
      <x:c r="C45" t="str">
        <x:v>Edat - Bağlaç - Ünlem</x:v>
      </x:c>
      <x:c r="D45" t="str">
        <x:v>Konu Sonu MEB Doğrulama</x:v>
      </x:c>
      <x:c r="E45" t="str">
        <x:v>https://odsgm.meb.gov.tr/www/5-6-7-ve-9-sinif-duzeylerinde-calisma-sorulari-yayimlandi/icerik/775</x:v>
      </x:c>
      <x:c r="F45"/>
      <x:c r="G45"/>
      <x:c r="H45"/>
      <x:c r="I45" s="22" t="str">
        <x:f>IF(SUM(F45:H45)=0,"",F45/SUM(F45:H45))</x:f>
      </x:c>
      <x:c r="J45" t="n">
        <x:f>COUNTIFS(Yanlis_Defteri!$B$2:$B$401,B45,Yanlis_Defteri!$C$2:$C$401,C45,Yanlis_Defteri!$O$2:$O$401,"Açık")</x:f>
        <x:v>0</x:v>
      </x:c>
      <x:c r="K45" t="str">
        <x:v>Planlandı</x:v>
      </x:c>
      <x:c r="L45" t="str">
        <x:v>MEB doğrulaması kitap konu bölümünden SONRA yapılır.</x:v>
      </x:c>
    </x:row>
    <x:row r="46">
      <x:c r="A46" s="12" t="n">
        <x:v>46358</x:v>
      </x:c>
      <x:c r="B46" t="str">
        <x:v>Türkçe</x:v>
      </x:c>
      <x:c r="C46" t="str">
        <x:v>Fiiller</x:v>
      </x:c>
      <x:c r="D46" t="str">
        <x:v>Konu Sonu MEB Doğrulama</x:v>
      </x:c>
      <x:c r="E46" t="str">
        <x:v>https://odsgm.meb.gov.tr/www/5-6-7-ve-9-sinif-duzeylerinde-calisma-sorulari-yayimlandi/icerik/775</x:v>
      </x:c>
      <x:c r="F46"/>
      <x:c r="G46"/>
      <x:c r="H46"/>
      <x:c r="I46" s="22" t="str">
        <x:f>IF(SUM(F46:H46)=0,"",F46/SUM(F46:H46))</x:f>
      </x:c>
      <x:c r="J46" t="n">
        <x:f>COUNTIFS(Yanlis_Defteri!$B$2:$B$401,B46,Yanlis_Defteri!$C$2:$C$401,C46,Yanlis_Defteri!$O$2:$O$401,"Açık")</x:f>
        <x:v>0</x:v>
      </x:c>
      <x:c r="K46" t="str">
        <x:v>Planlandı</x:v>
      </x:c>
      <x:c r="L46" t="str">
        <x:v>MEB doğrulaması kitap konu bölümünden SONRA yapılır.</x:v>
      </x:c>
    </x:row>
    <x:row r="47">
      <x:c r="A47" s="12" t="n">
        <x:v>46361</x:v>
      </x:c>
      <x:c r="B47" t="str">
        <x:v>Türkçe</x:v>
      </x:c>
      <x:c r="C47" t="str">
        <x:v>Ek Fiil</x:v>
      </x:c>
      <x:c r="D47" t="str">
        <x:v>Konu Sonu MEB Doğrulama</x:v>
      </x:c>
      <x:c r="E47" t="str">
        <x:v>https://odsgm.meb.gov.tr/www/5-6-7-ve-9-sinif-duzeylerinde-calisma-sorulari-yayimlandi/icerik/775</x:v>
      </x:c>
      <x:c r="F47"/>
      <x:c r="G47"/>
      <x:c r="H47"/>
      <x:c r="I47" s="22" t="str">
        <x:f>IF(SUM(F47:H47)=0,"",F47/SUM(F47:H47))</x:f>
      </x:c>
      <x:c r="J47" t="n">
        <x:f>COUNTIFS(Yanlis_Defteri!$B$2:$B$401,B47,Yanlis_Defteri!$C$2:$C$401,C47,Yanlis_Defteri!$O$2:$O$401,"Açık")</x:f>
        <x:v>0</x:v>
      </x:c>
      <x:c r="K47" t="str">
        <x:v>Planlandı</x:v>
      </x:c>
      <x:c r="L47" t="str">
        <x:v>MEB doğrulaması kitap konu bölümünden SONRA yapılır.</x:v>
      </x:c>
    </x:row>
    <x:row r="48">
      <x:c r="A48" s="12" t="n">
        <x:v>46366</x:v>
      </x:c>
      <x:c r="B48" t="str">
        <x:v>Türkçe</x:v>
      </x:c>
      <x:c r="C48" t="str">
        <x:v>Fiilimsiler</x:v>
      </x:c>
      <x:c r="D48" t="str">
        <x:v>Konu Sonu MEB Doğrulama</x:v>
      </x:c>
      <x:c r="E48" t="str">
        <x:v>https://odsgm.meb.gov.tr/www/8sinif-calisma-sorulari/icerik/1632</x:v>
      </x:c>
      <x:c r="F48"/>
      <x:c r="G48"/>
      <x:c r="H48"/>
      <x:c r="I48" s="22" t="str">
        <x:f>IF(SUM(F48:H48)=0,"",F48/SUM(F48:H48))</x:f>
      </x:c>
      <x:c r="J48" t="n">
        <x:f>COUNTIFS(Yanlis_Defteri!$B$2:$B$401,B48,Yanlis_Defteri!$C$2:$C$401,C48,Yanlis_Defteri!$O$2:$O$401,"Açık")</x:f>
        <x:v>0</x:v>
      </x:c>
      <x:c r="K48" t="str">
        <x:v>Planlandı</x:v>
      </x:c>
      <x:c r="L48" t="str">
        <x:v>MEB doğrulaması kitap konu bölümünden SONRA yapılır.</x:v>
      </x:c>
    </x:row>
    <x:row r="49">
      <x:c r="A49" s="12" t="n">
        <x:v>46371</x:v>
      </x:c>
      <x:c r="B49" t="str">
        <x:v>Türkçe</x:v>
      </x:c>
      <x:c r="C49" t="str">
        <x:v>Cümlenin Ögeleri</x:v>
      </x:c>
      <x:c r="D49" t="str">
        <x:v>Konu Sonu MEB Doğrulama</x:v>
      </x:c>
      <x:c r="E49" t="str">
        <x:v>https://odsgm.meb.gov.tr/www/8sinif-calisma-sorulari/icerik/1632</x:v>
      </x:c>
      <x:c r="F49"/>
      <x:c r="G49"/>
      <x:c r="H49"/>
      <x:c r="I49" s="22" t="str">
        <x:f>IF(SUM(F49:H49)=0,"",F49/SUM(F49:H49))</x:f>
      </x:c>
      <x:c r="J49" t="n">
        <x:f>COUNTIFS(Yanlis_Defteri!$B$2:$B$401,B49,Yanlis_Defteri!$C$2:$C$401,C49,Yanlis_Defteri!$O$2:$O$401,"Açık")</x:f>
        <x:v>0</x:v>
      </x:c>
      <x:c r="K49" t="str">
        <x:v>Planlandı</x:v>
      </x:c>
      <x:c r="L49" t="str">
        <x:v>MEB doğrulaması kitap konu bölümünden SONRA yapılır.</x:v>
      </x:c>
    </x:row>
    <x:row r="50">
      <x:c r="A50" s="12" t="n">
        <x:v>46375</x:v>
      </x:c>
      <x:c r="B50" t="str">
        <x:v>Türkçe</x:v>
      </x:c>
      <x:c r="C50" t="str">
        <x:v>Fiilde Çatı</x:v>
      </x:c>
      <x:c r="D50" t="str">
        <x:v>Konu Sonu MEB Doğrulama</x:v>
      </x:c>
      <x:c r="E50" t="str">
        <x:v>https://odsgm.meb.gov.tr/www/8sinif-calisma-sorulari/icerik/1632</x:v>
      </x:c>
      <x:c r="F50"/>
      <x:c r="G50"/>
      <x:c r="H50"/>
      <x:c r="I50" s="22" t="str">
        <x:f>IF(SUM(F50:H50)=0,"",F50/SUM(F50:H50))</x:f>
      </x:c>
      <x:c r="J50" t="n">
        <x:f>COUNTIFS(Yanlis_Defteri!$B$2:$B$401,B50,Yanlis_Defteri!$C$2:$C$401,C50,Yanlis_Defteri!$O$2:$O$401,"Açık")</x:f>
        <x:v>0</x:v>
      </x:c>
      <x:c r="K50" t="str">
        <x:v>Planlandı</x:v>
      </x:c>
      <x:c r="L50" t="str">
        <x:v>MEB doğrulaması kitap konu bölümünden SONRA yapılır.</x:v>
      </x:c>
    </x:row>
    <x:row r="51">
      <x:c r="A51" s="12" t="n">
        <x:v>46379</x:v>
      </x:c>
      <x:c r="B51" t="str">
        <x:v>Türkçe</x:v>
      </x:c>
      <x:c r="C51" t="str">
        <x:v>Cümle Türleri</x:v>
      </x:c>
      <x:c r="D51" t="str">
        <x:v>Konu Sonu MEB Doğrulama</x:v>
      </x:c>
      <x:c r="E51" t="str">
        <x:v>https://odsgm.meb.gov.tr/www/8sinif-calisma-sorulari/icerik/1632</x:v>
      </x:c>
      <x:c r="F51"/>
      <x:c r="G51"/>
      <x:c r="H51"/>
      <x:c r="I51" s="22" t="str">
        <x:f>IF(SUM(F51:H51)=0,"",F51/SUM(F51:H51))</x:f>
      </x:c>
      <x:c r="J51" t="n">
        <x:f>COUNTIFS(Yanlis_Defteri!$B$2:$B$401,B51,Yanlis_Defteri!$C$2:$C$401,C51,Yanlis_Defteri!$O$2:$O$401,"Açık")</x:f>
        <x:v>0</x:v>
      </x:c>
      <x:c r="K51" t="str">
        <x:v>Planlandı</x:v>
      </x:c>
      <x:c r="L51" t="str">
        <x:v>MEB doğrulaması kitap konu bölümünden SONRA yapılır.</x:v>
      </x:c>
    </x:row>
    <x:row r="52">
      <x:c r="A52" s="12" t="n">
        <x:v>46383</x:v>
      </x:c>
      <x:c r="B52" t="str">
        <x:v>Türkçe</x:v>
      </x:c>
      <x:c r="C52" t="str">
        <x:v>Anlatım Bozuklukları</x:v>
      </x:c>
      <x:c r="D52" t="str">
        <x:v>Konu Sonu MEB Doğrulama</x:v>
      </x:c>
      <x:c r="E52" t="str">
        <x:v>https://odsgm.meb.gov.tr/www/8sinif-calisma-sorulari/icerik/1632</x:v>
      </x:c>
      <x:c r="F52"/>
      <x:c r="G52"/>
      <x:c r="H52"/>
      <x:c r="I52" s="22" t="str">
        <x:f>IF(SUM(F52:H52)=0,"",F52/SUM(F52:H52))</x:f>
      </x:c>
      <x:c r="J52" t="n">
        <x:f>COUNTIFS(Yanlis_Defteri!$B$2:$B$401,B52,Yanlis_Defteri!$C$2:$C$401,C52,Yanlis_Defteri!$O$2:$O$401,"Açık")</x:f>
        <x:v>0</x:v>
      </x:c>
      <x:c r="K52" t="str">
        <x:v>Planlandı</x:v>
      </x:c>
      <x:c r="L52" t="str">
        <x:v>MEB doğrulaması kitap konu bölümünden SONRA yapılır.</x:v>
      </x:c>
    </x:row>
    <x:row r="53">
      <x:c r="A53" s="12" t="n">
        <x:v>46386</x:v>
      </x:c>
      <x:c r="B53" t="str">
        <x:v>Türkçe</x:v>
      </x:c>
      <x:c r="C53" t="str">
        <x:v>Metin Türleri ve Söz Sanatları</x:v>
      </x:c>
      <x:c r="D53" t="str">
        <x:v>Konu Sonu MEB Doğrulama</x:v>
      </x:c>
      <x:c r="E53" t="str">
        <x:v>https://odsgm.meb.gov.tr/www/8sinif-calisma-sorulari/icerik/1632</x:v>
      </x:c>
      <x:c r="F53"/>
      <x:c r="G53"/>
      <x:c r="H53"/>
      <x:c r="I53" s="22" t="str">
        <x:f>IF(SUM(F53:H53)=0,"",F53/SUM(F53:H53))</x:f>
      </x:c>
      <x:c r="J53" t="n">
        <x:f>COUNTIFS(Yanlis_Defteri!$B$2:$B$401,B53,Yanlis_Defteri!$C$2:$C$401,C53,Yanlis_Defteri!$O$2:$O$401,"Açık")</x:f>
        <x:v>0</x:v>
      </x:c>
      <x:c r="K53" t="str">
        <x:v>Planlandı</x:v>
      </x:c>
      <x:c r="L53" t="str">
        <x:v>MEB doğrulaması kitap konu bölümünden SONRA yapılır.</x:v>
      </x:c>
    </x:row>
    <x:row r="54">
      <x:c r="A54" s="12" t="n">
        <x:v>46390</x:v>
      </x:c>
      <x:c r="B54" t="str">
        <x:v>Türkçe</x:v>
      </x:c>
      <x:c r="C54" t="str">
        <x:v>Görsel Okuma, Grafik ve Sözel Mantık</x:v>
      </x:c>
      <x:c r="D54" t="str">
        <x:v>Konu Sonu MEB Doğrulama</x:v>
      </x:c>
      <x:c r="E54" t="str">
        <x:v>https://odsgm.meb.gov.tr/www/8sinif-calisma-sorulari/icerik/1632</x:v>
      </x:c>
      <x:c r="F54"/>
      <x:c r="G54"/>
      <x:c r="H54"/>
      <x:c r="I54" s="22" t="str">
        <x:f>IF(SUM(F54:H54)=0,"",F54/SUM(F54:H54))</x:f>
      </x:c>
      <x:c r="J54" t="n">
        <x:f>COUNTIFS(Yanlis_Defteri!$B$2:$B$401,B54,Yanlis_Defteri!$C$2:$C$401,C54,Yanlis_Defteri!$O$2:$O$401,"Açık")</x:f>
        <x:v>0</x:v>
      </x:c>
      <x:c r="K54" t="str">
        <x:v>Planlandı</x:v>
      </x:c>
      <x:c r="L54" t="str">
        <x:v>MEB doğrulaması kitap konu bölümünden SONRA yapılır.</x:v>
      </x:c>
    </x:row>
    <x:row r="55">
      <x:c r="A55" s="12" t="n">
        <x:v>46300</x:v>
      </x:c>
      <x:c r="B55" t="str">
        <x:v>Fen</x:v>
      </x:c>
      <x:c r="C55" t="str">
        <x:v>Mevsimlerin Oluşumu</x:v>
      </x:c>
      <x:c r="D55" t="str">
        <x:v>Konu Sonu MEB Doğrulama</x:v>
      </x:c>
      <x:c r="E55" t="str">
        <x:v>https://odsgm.meb.gov.tr/www/8sinif-calisma-sorulari/icerik/1632</x:v>
      </x:c>
      <x:c r="F55"/>
      <x:c r="G55"/>
      <x:c r="H55"/>
      <x:c r="I55" s="22" t="str">
        <x:f>IF(SUM(F55:H55)=0,"",F55/SUM(F55:H55))</x:f>
      </x:c>
      <x:c r="J55" t="n">
        <x:f>COUNTIFS(Yanlis_Defteri!$B$2:$B$401,B55,Yanlis_Defteri!$C$2:$C$401,C55,Yanlis_Defteri!$O$2:$O$401,"Açık")</x:f>
        <x:v>0</x:v>
      </x:c>
      <x:c r="K55" t="str">
        <x:v>Planlandı</x:v>
      </x:c>
      <x:c r="L55" t="str">
        <x:v>MEB doğrulaması kitap konu bölümünden SONRA yapılır.</x:v>
      </x:c>
    </x:row>
    <x:row r="56">
      <x:c r="A56" s="12" t="n">
        <x:v>46308</x:v>
      </x:c>
      <x:c r="B56" t="str">
        <x:v>Fen</x:v>
      </x:c>
      <x:c r="C56" t="str">
        <x:v>İklim ve Hava Hareketleri</x:v>
      </x:c>
      <x:c r="D56" t="str">
        <x:v>Konu Sonu MEB Doğrulama</x:v>
      </x:c>
      <x:c r="E56" t="str">
        <x:v>https://odsgm.meb.gov.tr/www/8sinif-calisma-sorulari/icerik/1632</x:v>
      </x:c>
      <x:c r="F56"/>
      <x:c r="G56"/>
      <x:c r="H56"/>
      <x:c r="I56" s="22" t="str">
        <x:f>IF(SUM(F56:H56)=0,"",F56/SUM(F56:H56))</x:f>
      </x:c>
      <x:c r="J56" t="n">
        <x:f>COUNTIFS(Yanlis_Defteri!$B$2:$B$401,B56,Yanlis_Defteri!$C$2:$C$401,C56,Yanlis_Defteri!$O$2:$O$401,"Açık")</x:f>
        <x:v>0</x:v>
      </x:c>
      <x:c r="K56" t="str">
        <x:v>Planlandı</x:v>
      </x:c>
      <x:c r="L56" t="str">
        <x:v>MEB doğrulaması kitap konu bölümünden SONRA yapılır.</x:v>
      </x:c>
    </x:row>
    <x:row r="57">
      <x:c r="A57" s="12" t="n">
        <x:v>46316</x:v>
      </x:c>
      <x:c r="B57" t="str">
        <x:v>Fen</x:v>
      </x:c>
      <x:c r="C57" t="str">
        <x:v>DNA ve Genetik Kod</x:v>
      </x:c>
      <x:c r="D57" t="str">
        <x:v>Konu Sonu MEB Doğrulama</x:v>
      </x:c>
      <x:c r="E57" t="str">
        <x:v>https://odsgm.meb.gov.tr/www/8sinif-calisma-sorulari/icerik/1632</x:v>
      </x:c>
      <x:c r="F57"/>
      <x:c r="G57"/>
      <x:c r="H57"/>
      <x:c r="I57" s="22" t="str">
        <x:f>IF(SUM(F57:H57)=0,"",F57/SUM(F57:H57))</x:f>
      </x:c>
      <x:c r="J57" t="n">
        <x:f>COUNTIFS(Yanlis_Defteri!$B$2:$B$401,B57,Yanlis_Defteri!$C$2:$C$401,C57,Yanlis_Defteri!$O$2:$O$401,"Açık")</x:f>
        <x:v>0</x:v>
      </x:c>
      <x:c r="K57" t="str">
        <x:v>Planlandı</x:v>
      </x:c>
      <x:c r="L57" t="str">
        <x:v>MEB doğrulaması kitap konu bölümünden SONRA yapılır.</x:v>
      </x:c>
    </x:row>
    <x:row r="58">
      <x:c r="A58" s="12" t="n">
        <x:v>46324</x:v>
      </x:c>
      <x:c r="B58" t="str">
        <x:v>Fen</x:v>
      </x:c>
      <x:c r="C58" t="str">
        <x:v>Kalıtım</x:v>
      </x:c>
      <x:c r="D58" t="str">
        <x:v>Konu Sonu MEB Doğrulama</x:v>
      </x:c>
      <x:c r="E58" t="str">
        <x:v>https://odsgm.meb.gov.tr/www/8sinif-calisma-sorulari/icerik/1632</x:v>
      </x:c>
      <x:c r="F58"/>
      <x:c r="G58"/>
      <x:c r="H58"/>
      <x:c r="I58" s="22" t="str">
        <x:f>IF(SUM(F58:H58)=0,"",F58/SUM(F58:H58))</x:f>
      </x:c>
      <x:c r="J58" t="n">
        <x:f>COUNTIFS(Yanlis_Defteri!$B$2:$B$401,B58,Yanlis_Defteri!$C$2:$C$401,C58,Yanlis_Defteri!$O$2:$O$401,"Açık")</x:f>
        <x:v>0</x:v>
      </x:c>
      <x:c r="K58" t="str">
        <x:v>Planlandı</x:v>
      </x:c>
      <x:c r="L58" t="str">
        <x:v>MEB doğrulaması kitap konu bölümünden SONRA yapılır.</x:v>
      </x:c>
    </x:row>
    <x:row r="59">
      <x:c r="A59" s="12" t="n">
        <x:v>46332</x:v>
      </x:c>
      <x:c r="B59" t="str">
        <x:v>Fen</x:v>
      </x:c>
      <x:c r="C59" t="str">
        <x:v>Mutasyon - Modifikasyon - Adaptasyon</x:v>
      </x:c>
      <x:c r="D59" t="str">
        <x:v>Konu Sonu MEB Doğrulama</x:v>
      </x:c>
      <x:c r="E59" t="str">
        <x:v>https://odsgm.meb.gov.tr/www/8sinif-calisma-sorulari/icerik/1632</x:v>
      </x:c>
      <x:c r="F59"/>
      <x:c r="G59"/>
      <x:c r="H59"/>
      <x:c r="I59" s="22" t="str">
        <x:f>IF(SUM(F59:H59)=0,"",F59/SUM(F59:H59))</x:f>
      </x:c>
      <x:c r="J59" t="n">
        <x:f>COUNTIFS(Yanlis_Defteri!$B$2:$B$401,B59,Yanlis_Defteri!$C$2:$C$401,C59,Yanlis_Defteri!$O$2:$O$401,"Açık")</x:f>
        <x:v>0</x:v>
      </x:c>
      <x:c r="K59" t="str">
        <x:v>Planlandı</x:v>
      </x:c>
      <x:c r="L59" t="str">
        <x:v>MEB doğrulaması kitap konu bölümünden SONRA yapılır.</x:v>
      </x:c>
    </x:row>
    <x:row r="60">
      <x:c r="A60" s="12" t="n">
        <x:v>46340</x:v>
      </x:c>
      <x:c r="B60" t="str">
        <x:v>Fen</x:v>
      </x:c>
      <x:c r="C60" t="str">
        <x:v>Biyoteknoloji</x:v>
      </x:c>
      <x:c r="D60" t="str">
        <x:v>Konu Sonu MEB Doğrulama</x:v>
      </x:c>
      <x:c r="E60" t="str">
        <x:v>https://odsgm.meb.gov.tr/www/8sinif-calisma-sorulari/icerik/1632</x:v>
      </x:c>
      <x:c r="F60"/>
      <x:c r="G60"/>
      <x:c r="H60"/>
      <x:c r="I60" s="22" t="str">
        <x:f>IF(SUM(F60:H60)=0,"",F60/SUM(F60:H60))</x:f>
      </x:c>
      <x:c r="J60" t="n">
        <x:f>COUNTIFS(Yanlis_Defteri!$B$2:$B$401,B60,Yanlis_Defteri!$C$2:$C$401,C60,Yanlis_Defteri!$O$2:$O$401,"Açık")</x:f>
        <x:v>0</x:v>
      </x:c>
      <x:c r="K60" t="str">
        <x:v>Planlandı</x:v>
      </x:c>
      <x:c r="L60" t="str">
        <x:v>MEB doğrulaması kitap konu bölümünden SONRA yapılır.</x:v>
      </x:c>
    </x:row>
    <x:row r="61">
      <x:c r="A61" s="12" t="n">
        <x:v>46347</x:v>
      </x:c>
      <x:c r="B61" t="str">
        <x:v>Fen</x:v>
      </x:c>
      <x:c r="C61" t="str">
        <x:v>Katı Basıncı</x:v>
      </x:c>
      <x:c r="D61" t="str">
        <x:v>Konu Sonu MEB Doğrulama</x:v>
      </x:c>
      <x:c r="E61" t="str">
        <x:v>https://odsgm.meb.gov.tr/www/8sinif-calisma-sorulari/icerik/1632</x:v>
      </x:c>
      <x:c r="F61"/>
      <x:c r="G61"/>
      <x:c r="H61"/>
      <x:c r="I61" s="22" t="str">
        <x:f>IF(SUM(F61:H61)=0,"",F61/SUM(F61:H61))</x:f>
      </x:c>
      <x:c r="J61" t="n">
        <x:f>COUNTIFS(Yanlis_Defteri!$B$2:$B$401,B61,Yanlis_Defteri!$C$2:$C$401,C61,Yanlis_Defteri!$O$2:$O$401,"Açık")</x:f>
        <x:v>0</x:v>
      </x:c>
      <x:c r="K61" t="str">
        <x:v>Planlandı</x:v>
      </x:c>
      <x:c r="L61" t="str">
        <x:v>MEB doğrulaması kitap konu bölümünden SONRA yapılır.</x:v>
      </x:c>
    </x:row>
    <x:row r="62">
      <x:c r="A62" s="12" t="n">
        <x:v>46354</x:v>
      </x:c>
      <x:c r="B62" t="str">
        <x:v>Fen</x:v>
      </x:c>
      <x:c r="C62" t="str">
        <x:v>Sıvı Basıncı</x:v>
      </x:c>
      <x:c r="D62" t="str">
        <x:v>Konu Sonu MEB Doğrulama</x:v>
      </x:c>
      <x:c r="E62" t="str">
        <x:v>https://odsgm.meb.gov.tr/www/8sinif-calisma-sorulari/icerik/1632</x:v>
      </x:c>
      <x:c r="F62"/>
      <x:c r="G62"/>
      <x:c r="H62"/>
      <x:c r="I62" s="22" t="str">
        <x:f>IF(SUM(F62:H62)=0,"",F62/SUM(F62:H62))</x:f>
      </x:c>
      <x:c r="J62" t="n">
        <x:f>COUNTIFS(Yanlis_Defteri!$B$2:$B$401,B62,Yanlis_Defteri!$C$2:$C$401,C62,Yanlis_Defteri!$O$2:$O$401,"Açık")</x:f>
        <x:v>0</x:v>
      </x:c>
      <x:c r="K62" t="str">
        <x:v>Planlandı</x:v>
      </x:c>
      <x:c r="L62" t="str">
        <x:v>MEB doğrulaması kitap konu bölümünden SONRA yapılır.</x:v>
      </x:c>
    </x:row>
    <x:row r="63">
      <x:c r="A63" s="12" t="n">
        <x:v>46361</x:v>
      </x:c>
      <x:c r="B63" t="str">
        <x:v>Fen</x:v>
      </x:c>
      <x:c r="C63" t="str">
        <x:v>Gaz Basıncı</x:v>
      </x:c>
      <x:c r="D63" t="str">
        <x:v>Konu Sonu MEB Doğrulama</x:v>
      </x:c>
      <x:c r="E63" t="str">
        <x:v>https://odsgm.meb.gov.tr/www/8sinif-calisma-sorulari/icerik/1632</x:v>
      </x:c>
      <x:c r="F63"/>
      <x:c r="G63"/>
      <x:c r="H63"/>
      <x:c r="I63" s="22" t="str">
        <x:f>IF(SUM(F63:H63)=0,"",F63/SUM(F63:H63))</x:f>
      </x:c>
      <x:c r="J63" t="n">
        <x:f>COUNTIFS(Yanlis_Defteri!$B$2:$B$401,B63,Yanlis_Defteri!$C$2:$C$401,C63,Yanlis_Defteri!$O$2:$O$401,"Açık")</x:f>
        <x:v>0</x:v>
      </x:c>
      <x:c r="K63" t="str">
        <x:v>Planlandı</x:v>
      </x:c>
      <x:c r="L63" t="str">
        <x:v>MEB doğrulaması kitap konu bölümünden SONRA yapılır.</x:v>
      </x:c>
    </x:row>
    <x:row r="64">
      <x:c r="A64" s="12" t="n">
        <x:v>46368</x:v>
      </x:c>
      <x:c r="B64" t="str">
        <x:v>Fen</x:v>
      </x:c>
      <x:c r="C64" t="str">
        <x:v>Periyodik Sistem</x:v>
      </x:c>
      <x:c r="D64" t="str">
        <x:v>Konu Sonu MEB Doğrulama</x:v>
      </x:c>
      <x:c r="E64" t="str">
        <x:v>https://odsgm.meb.gov.tr/www/8sinif-calisma-sorulari/icerik/1632</x:v>
      </x:c>
      <x:c r="F64"/>
      <x:c r="G64"/>
      <x:c r="H64"/>
      <x:c r="I64" s="22" t="str">
        <x:f>IF(SUM(F64:H64)=0,"",F64/SUM(F64:H64))</x:f>
      </x:c>
      <x:c r="J64" t="n">
        <x:f>COUNTIFS(Yanlis_Defteri!$B$2:$B$401,B64,Yanlis_Defteri!$C$2:$C$401,C64,Yanlis_Defteri!$O$2:$O$401,"Açık")</x:f>
        <x:v>0</x:v>
      </x:c>
      <x:c r="K64" t="str">
        <x:v>Planlandı</x:v>
      </x:c>
      <x:c r="L64" t="str">
        <x:v>MEB doğrulaması kitap konu bölümünden SONRA yapılır.</x:v>
      </x:c>
    </x:row>
    <x:row r="65">
      <x:c r="A65" s="12" t="n">
        <x:v>46376</x:v>
      </x:c>
      <x:c r="B65" t="str">
        <x:v>Fen</x:v>
      </x:c>
      <x:c r="C65" t="str">
        <x:v>Fiziksel ve Kimyasal Değişimler / Kimyasal Tepkimeler</x:v>
      </x:c>
      <x:c r="D65" t="str">
        <x:v>Konu Sonu MEB Doğrulama</x:v>
      </x:c>
      <x:c r="E65" t="str">
        <x:v>https://odsgm.meb.gov.tr/www/8sinif-calisma-sorulari/icerik/1632</x:v>
      </x:c>
      <x:c r="F65"/>
      <x:c r="G65"/>
      <x:c r="H65"/>
      <x:c r="I65" s="22" t="str">
        <x:f>IF(SUM(F65:H65)=0,"",F65/SUM(F65:H65))</x:f>
      </x:c>
      <x:c r="J65" t="n">
        <x:f>COUNTIFS(Yanlis_Defteri!$B$2:$B$401,B65,Yanlis_Defteri!$C$2:$C$401,C65,Yanlis_Defteri!$O$2:$O$401,"Açık")</x:f>
        <x:v>0</x:v>
      </x:c>
      <x:c r="K65" t="str">
        <x:v>Planlandı</x:v>
      </x:c>
      <x:c r="L65" t="str">
        <x:v>MEB doğrulaması kitap konu bölümünden SONRA yapılır.</x:v>
      </x:c>
    </x:row>
    <x:row r="66">
      <x:c r="A66" s="12" t="n">
        <x:v>46384</x:v>
      </x:c>
      <x:c r="B66" t="str">
        <x:v>Fen</x:v>
      </x:c>
      <x:c r="C66" t="str">
        <x:v>Asitler ve Bazlar</x:v>
      </x:c>
      <x:c r="D66" t="str">
        <x:v>Konu Sonu MEB Doğrulama</x:v>
      </x:c>
      <x:c r="E66" t="str">
        <x:v>https://odsgm.meb.gov.tr/www/8sinif-calisma-sorulari/icerik/1632</x:v>
      </x:c>
      <x:c r="F66"/>
      <x:c r="G66"/>
      <x:c r="H66"/>
      <x:c r="I66" s="22" t="str">
        <x:f>IF(SUM(F66:H66)=0,"",F66/SUM(F66:H66))</x:f>
      </x:c>
      <x:c r="J66" t="n">
        <x:f>COUNTIFS(Yanlis_Defteri!$B$2:$B$401,B66,Yanlis_Defteri!$C$2:$C$401,C66,Yanlis_Defteri!$O$2:$O$401,"Açık")</x:f>
        <x:v>0</x:v>
      </x:c>
      <x:c r="K66" t="str">
        <x:v>Planlandı</x:v>
      </x:c>
      <x:c r="L66" t="str">
        <x:v>MEB doğrulaması kitap konu bölümünden SONRA yapılır.</x:v>
      </x:c>
    </x:row>
    <x:row r="67">
      <x:c r="A67" s="12" t="n">
        <x:v>46392</x:v>
      </x:c>
      <x:c r="B67" t="str">
        <x:v>Fen</x:v>
      </x:c>
      <x:c r="C67" t="str">
        <x:v>Maddenin Isı ile Etkileşimi</x:v>
      </x:c>
      <x:c r="D67" t="str">
        <x:v>Konu Sonu MEB Doğrulama</x:v>
      </x:c>
      <x:c r="E67" t="str">
        <x:v>https://odsgm.meb.gov.tr/www/8sinif-calisma-sorulari/icerik/1632</x:v>
      </x:c>
      <x:c r="F67"/>
      <x:c r="G67"/>
      <x:c r="H67"/>
      <x:c r="I67" s="22" t="str">
        <x:f>IF(SUM(F67:H67)=0,"",F67/SUM(F67:H67))</x:f>
      </x:c>
      <x:c r="J67" t="n">
        <x:f>COUNTIFS(Yanlis_Defteri!$B$2:$B$401,B67,Yanlis_Defteri!$C$2:$C$401,C67,Yanlis_Defteri!$O$2:$O$401,"Açık")</x:f>
        <x:v>0</x:v>
      </x:c>
      <x:c r="K67" t="str">
        <x:v>Planlandı</x:v>
      </x:c>
      <x:c r="L67" t="str">
        <x:v>MEB doğrulaması kitap konu bölümünden SONRA yapılır.</x:v>
      </x:c>
    </x:row>
    <x:row r="68">
      <x:c r="A68" s="12" t="n">
        <x:v>46400</x:v>
      </x:c>
      <x:c r="B68" t="str">
        <x:v>Fen</x:v>
      </x:c>
      <x:c r="C68" t="str">
        <x:v>Basit Makineler - Makaralar</x:v>
      </x:c>
      <x:c r="D68" t="str">
        <x:v>Konu Sonu MEB Doğrulama</x:v>
      </x:c>
      <x:c r="E68" t="str">
        <x:v>https://odsgm.meb.gov.tr/www/8sinif-calisma-sorulari/icerik/1632</x:v>
      </x:c>
      <x:c r="F68"/>
      <x:c r="G68"/>
      <x:c r="H68"/>
      <x:c r="I68" s="22" t="str">
        <x:f>IF(SUM(F68:H68)=0,"",F68/SUM(F68:H68))</x:f>
      </x:c>
      <x:c r="J68" t="n">
        <x:f>COUNTIFS(Yanlis_Defteri!$B$2:$B$401,B68,Yanlis_Defteri!$C$2:$C$401,C68,Yanlis_Defteri!$O$2:$O$401,"Açık")</x:f>
        <x:v>0</x:v>
      </x:c>
      <x:c r="K68" t="str">
        <x:v>Planlandı</x:v>
      </x:c>
      <x:c r="L68" t="str">
        <x:v>MEB doğrulaması kitap konu bölümünden SONRA yapılır.</x:v>
      </x:c>
    </x:row>
    <x:row r="69">
      <x:c r="A69" s="12" t="n">
        <x:v>46408</x:v>
      </x:c>
      <x:c r="B69" t="str">
        <x:v>Fen</x:v>
      </x:c>
      <x:c r="C69" t="str">
        <x:v>Basit Makineler - Kaldıraçlar</x:v>
      </x:c>
      <x:c r="D69" t="str">
        <x:v>Konu Sonu MEB Doğrulama</x:v>
      </x:c>
      <x:c r="E69" t="str">
        <x:v>https://odsgm.meb.gov.tr/www/8sinif-calisma-sorulari/icerik/1632</x:v>
      </x:c>
      <x:c r="F69"/>
      <x:c r="G69"/>
      <x:c r="H69"/>
      <x:c r="I69" s="22" t="str">
        <x:f>IF(SUM(F69:H69)=0,"",F69/SUM(F69:H69))</x:f>
      </x:c>
      <x:c r="J69" t="n">
        <x:f>COUNTIFS(Yanlis_Defteri!$B$2:$B$401,B69,Yanlis_Defteri!$C$2:$C$401,C69,Yanlis_Defteri!$O$2:$O$401,"Açık")</x:f>
        <x:v>0</x:v>
      </x:c>
      <x:c r="K69" t="str">
        <x:v>Planlandı</x:v>
      </x:c>
      <x:c r="L69" t="str">
        <x:v>MEB doğrulaması kitap konu bölümünden SONRA yapılır.</x:v>
      </x:c>
    </x:row>
    <x:row r="70">
      <x:c r="A70" s="12" t="n">
        <x:v>46416</x:v>
      </x:c>
      <x:c r="B70" t="str">
        <x:v>Fen</x:v>
      </x:c>
      <x:c r="C70" t="str">
        <x:v>Basit Makineler - Eğik Düzlem / Çıkrık</x:v>
      </x:c>
      <x:c r="D70" t="str">
        <x:v>Konu Sonu MEB Doğrulama</x:v>
      </x:c>
      <x:c r="E70" t="str">
        <x:v>https://odsgm.meb.gov.tr/www/8sinif-calisma-sorulari/icerik/1632</x:v>
      </x:c>
      <x:c r="F70"/>
      <x:c r="G70"/>
      <x:c r="H70"/>
      <x:c r="I70" s="22" t="str">
        <x:f>IF(SUM(F70:H70)=0,"",F70/SUM(F70:H70))</x:f>
      </x:c>
      <x:c r="J70" t="n">
        <x:f>COUNTIFS(Yanlis_Defteri!$B$2:$B$401,B70,Yanlis_Defteri!$C$2:$C$401,C70,Yanlis_Defteri!$O$2:$O$401,"Açık")</x:f>
        <x:v>0</x:v>
      </x:c>
      <x:c r="K70" t="str">
        <x:v>Planlandı</x:v>
      </x:c>
      <x:c r="L70" t="str">
        <x:v>MEB doğrulaması kitap konu bölümünden SONRA yapılır.</x:v>
      </x:c>
    </x:row>
    <x:row r="71">
      <x:c r="A71" s="12" t="n">
        <x:v>46424</x:v>
      </x:c>
      <x:c r="B71" t="str">
        <x:v>Fen</x:v>
      </x:c>
      <x:c r="C71" t="str">
        <x:v>Besin Zinciri ve Enerji Akışı</x:v>
      </x:c>
      <x:c r="D71" t="str">
        <x:v>Konu Sonu MEB Doğrulama</x:v>
      </x:c>
      <x:c r="E71" t="str">
        <x:v>https://odsgm.meb.gov.tr/www/8sinif-calisma-sorulari/icerik/1632</x:v>
      </x:c>
      <x:c r="F71"/>
      <x:c r="G71"/>
      <x:c r="H71"/>
      <x:c r="I71" s="22" t="str">
        <x:f>IF(SUM(F71:H71)=0,"",F71/SUM(F71:H71))</x:f>
      </x:c>
      <x:c r="J71" t="n">
        <x:f>COUNTIFS(Yanlis_Defteri!$B$2:$B$401,B71,Yanlis_Defteri!$C$2:$C$401,C71,Yanlis_Defteri!$O$2:$O$401,"Açık")</x:f>
        <x:v>0</x:v>
      </x:c>
      <x:c r="K71" t="str">
        <x:v>Planlandı</x:v>
      </x:c>
      <x:c r="L71" t="str">
        <x:v>MEB doğrulaması kitap konu bölümünden SONRA yapılır.</x:v>
      </x:c>
    </x:row>
    <x:row r="72">
      <x:c r="A72" s="12" t="n">
        <x:v>46431</x:v>
      </x:c>
      <x:c r="B72" t="str">
        <x:v>Fen</x:v>
      </x:c>
      <x:c r="C72" t="str">
        <x:v>Fotosentez</x:v>
      </x:c>
      <x:c r="D72" t="str">
        <x:v>Konu Sonu MEB Doğrulama</x:v>
      </x:c>
      <x:c r="E72" t="str">
        <x:v>https://odsgm.meb.gov.tr/www/8sinif-calisma-sorulari/icerik/1632</x:v>
      </x:c>
      <x:c r="F72"/>
      <x:c r="G72"/>
      <x:c r="H72"/>
      <x:c r="I72" s="22" t="str">
        <x:f>IF(SUM(F72:H72)=0,"",F72/SUM(F72:H72))</x:f>
      </x:c>
      <x:c r="J72" t="n">
        <x:f>COUNTIFS(Yanlis_Defteri!$B$2:$B$401,B72,Yanlis_Defteri!$C$2:$C$401,C72,Yanlis_Defteri!$O$2:$O$401,"Açık")</x:f>
        <x:v>0</x:v>
      </x:c>
      <x:c r="K72" t="str">
        <x:v>Planlandı</x:v>
      </x:c>
      <x:c r="L72" t="str">
        <x:v>MEB doğrulaması kitap konu bölümünden SONRA yapılır.</x:v>
      </x:c>
    </x:row>
    <x:row r="73">
      <x:c r="A73" s="12" t="n">
        <x:v>46438</x:v>
      </x:c>
      <x:c r="B73" t="str">
        <x:v>Fen</x:v>
      </x:c>
      <x:c r="C73" t="str">
        <x:v>Solunum</x:v>
      </x:c>
      <x:c r="D73" t="str">
        <x:v>Konu Sonu MEB Doğrulama</x:v>
      </x:c>
      <x:c r="E73" t="str">
        <x:v>https://odsgm.meb.gov.tr/www/8sinif-calisma-sorulari/icerik/1632</x:v>
      </x:c>
      <x:c r="F73"/>
      <x:c r="G73"/>
      <x:c r="H73"/>
      <x:c r="I73" s="22" t="str">
        <x:f>IF(SUM(F73:H73)=0,"",F73/SUM(F73:H73))</x:f>
      </x:c>
      <x:c r="J73" t="n">
        <x:f>COUNTIFS(Yanlis_Defteri!$B$2:$B$401,B73,Yanlis_Defteri!$C$2:$C$401,C73,Yanlis_Defteri!$O$2:$O$401,"Açık")</x:f>
        <x:v>0</x:v>
      </x:c>
      <x:c r="K73" t="str">
        <x:v>Planlandı</x:v>
      </x:c>
      <x:c r="L73" t="str">
        <x:v>MEB doğrulaması kitap konu bölümünden SONRA yapılır.</x:v>
      </x:c>
    </x:row>
    <x:row r="74">
      <x:c r="A74" s="12" t="n">
        <x:v>46445</x:v>
      </x:c>
      <x:c r="B74" t="str">
        <x:v>Fen</x:v>
      </x:c>
      <x:c r="C74" t="str">
        <x:v>Madde Döngüleri ve Sürdürülebilir Kalkınma</x:v>
      </x:c>
      <x:c r="D74" t="str">
        <x:v>Konu Sonu MEB Doğrulama</x:v>
      </x:c>
      <x:c r="E74" t="str">
        <x:v>https://odsgm.meb.gov.tr/www/8sinif-calisma-sorulari/icerik/1632</x:v>
      </x:c>
      <x:c r="F74"/>
      <x:c r="G74"/>
      <x:c r="H74"/>
      <x:c r="I74" s="22" t="str">
        <x:f>IF(SUM(F74:H74)=0,"",F74/SUM(F74:H74))</x:f>
      </x:c>
      <x:c r="J74" t="n">
        <x:f>COUNTIFS(Yanlis_Defteri!$B$2:$B$401,B74,Yanlis_Defteri!$C$2:$C$401,C74,Yanlis_Defteri!$O$2:$O$401,"Açık")</x:f>
        <x:v>0</x:v>
      </x:c>
      <x:c r="K74" t="str">
        <x:v>Planlandı</x:v>
      </x:c>
      <x:c r="L74" t="str">
        <x:v>MEB doğrulaması kitap konu bölümünden SONRA yapılır.</x:v>
      </x:c>
    </x:row>
    <x:row r="75">
      <x:c r="A75" s="12" t="n">
        <x:v>46452</x:v>
      </x:c>
      <x:c r="B75" t="str">
        <x:v>Fen</x:v>
      </x:c>
      <x:c r="C75" t="str">
        <x:v>Elektrik Yükleri ve Elektriklenme</x:v>
      </x:c>
      <x:c r="D75" t="str">
        <x:v>Konu Sonu MEB Doğrulama</x:v>
      </x:c>
      <x:c r="E75" t="str">
        <x:v>https://odsgm.meb.gov.tr/www/8sinif-calisma-sorulari/icerik/1632</x:v>
      </x:c>
      <x:c r="F75"/>
      <x:c r="G75"/>
      <x:c r="H75"/>
      <x:c r="I75" s="22" t="str">
        <x:f>IF(SUM(F75:H75)=0,"",F75/SUM(F75:H75))</x:f>
      </x:c>
      <x:c r="J75" t="n">
        <x:f>COUNTIFS(Yanlis_Defteri!$B$2:$B$401,B75,Yanlis_Defteri!$C$2:$C$401,C75,Yanlis_Defteri!$O$2:$O$401,"Açık")</x:f>
        <x:v>0</x:v>
      </x:c>
      <x:c r="K75" t="str">
        <x:v>Planlandı</x:v>
      </x:c>
      <x:c r="L75" t="str">
        <x:v>MEB doğrulaması kitap konu bölümünden SONRA yapılır.</x:v>
      </x:c>
    </x:row>
    <x:row r="76">
      <x:c r="A76" s="12" t="n">
        <x:v>46460</x:v>
      </x:c>
      <x:c r="B76" t="str">
        <x:v>Fen</x:v>
      </x:c>
      <x:c r="C76" t="str">
        <x:v>Elektrik Yüklü Cisimler</x:v>
      </x:c>
      <x:c r="D76" t="str">
        <x:v>Konu Sonu MEB Doğrulama</x:v>
      </x:c>
      <x:c r="E76" t="str">
        <x:v>https://odsgm.meb.gov.tr/www/8sinif-calisma-sorulari/icerik/1632</x:v>
      </x:c>
      <x:c r="F76"/>
      <x:c r="G76"/>
      <x:c r="H76"/>
      <x:c r="I76" s="22" t="str">
        <x:f>IF(SUM(F76:H76)=0,"",F76/SUM(F76:H76))</x:f>
      </x:c>
      <x:c r="J76" t="n">
        <x:f>COUNTIFS(Yanlis_Defteri!$B$2:$B$401,B76,Yanlis_Defteri!$C$2:$C$401,C76,Yanlis_Defteri!$O$2:$O$401,"Açık")</x:f>
        <x:v>0</x:v>
      </x:c>
      <x:c r="K76" t="str">
        <x:v>Planlandı</x:v>
      </x:c>
      <x:c r="L76" t="str">
        <x:v>MEB doğrulaması kitap konu bölümünden SONRA yapılır.</x:v>
      </x:c>
    </x:row>
    <x:row r="77">
      <x:c r="A77" s="12" t="n">
        <x:v>46468</x:v>
      </x:c>
      <x:c r="B77" t="str">
        <x:v>Fen</x:v>
      </x:c>
      <x:c r="C77" t="str">
        <x:v>Elektrik Enerjisinin Dönüşümü</x:v>
      </x:c>
      <x:c r="D77" t="str">
        <x:v>Konu Sonu MEB Doğrulama</x:v>
      </x:c>
      <x:c r="E77" t="str">
        <x:v>https://odsgm.meb.gov.tr/www/8sinif-calisma-sorulari/icerik/1632</x:v>
      </x:c>
      <x:c r="F77"/>
      <x:c r="G77"/>
      <x:c r="H77"/>
      <x:c r="I77" s="22" t="str">
        <x:f>IF(SUM(F77:H77)=0,"",F77/SUM(F77:H77))</x:f>
      </x:c>
      <x:c r="J77" t="n">
        <x:f>COUNTIFS(Yanlis_Defteri!$B$2:$B$401,B77,Yanlis_Defteri!$C$2:$C$401,C77,Yanlis_Defteri!$O$2:$O$401,"Açık")</x:f>
        <x:v>0</x:v>
      </x:c>
      <x:c r="K77" t="str">
        <x:v>Planlandı</x:v>
      </x:c>
      <x:c r="L77" t="str">
        <x:v>MEB doğrulaması kitap konu bölümünden SONRA yapılır.</x:v>
      </x:c>
    </x:row>
    <x:row r="78">
      <x:c r="A78" s="12" t="n">
        <x:v>46306</x:v>
      </x:c>
      <x:c r="B78" t="str">
        <x:v>İnkılap</x:v>
      </x:c>
      <x:c r="C78" t="str">
        <x:v>Bir Kahraman Doğuyor - Avrupa ve Osmanlı’nın Durumu</x:v>
      </x:c>
      <x:c r="D78" t="str">
        <x:v>Konu Sonu MEB Doğrulama</x:v>
      </x:c>
      <x:c r="E78" t="str">
        <x:v>https://odsgm.meb.gov.tr/www/8sinif-calisma-sorulari/icerik/1632</x:v>
      </x:c>
      <x:c r="F78"/>
      <x:c r="G78"/>
      <x:c r="H78"/>
      <x:c r="I78" s="22" t="str">
        <x:f>IF(SUM(F78:H78)=0,"",F78/SUM(F78:H78))</x:f>
      </x:c>
      <x:c r="J78" t="n">
        <x:f>COUNTIFS(Yanlis_Defteri!$B$2:$B$401,B78,Yanlis_Defteri!$C$2:$C$401,C78,Yanlis_Defteri!$O$2:$O$401,"Açık")</x:f>
        <x:v>0</x:v>
      </x:c>
      <x:c r="K78" t="str">
        <x:v>Planlandı</x:v>
      </x:c>
      <x:c r="L78" t="str">
        <x:v>MEB doğrulaması kitap konu bölümünden SONRA yapılır.</x:v>
      </x:c>
    </x:row>
    <x:row r="79">
      <x:c r="A79" s="12" t="n">
        <x:v>46318</x:v>
      </x:c>
      <x:c r="B79" t="str">
        <x:v>İnkılap</x:v>
      </x:c>
      <x:c r="C79" t="str">
        <x:v>Mustafa Kemal’in Çocukluk, Eğitim ve Fikir Hayatı</x:v>
      </x:c>
      <x:c r="D79" t="str">
        <x:v>Konu Sonu MEB Doğrulama</x:v>
      </x:c>
      <x:c r="E79" t="str">
        <x:v>https://odsgm.meb.gov.tr/www/8sinif-calisma-sorulari/icerik/1632</x:v>
      </x:c>
      <x:c r="F79"/>
      <x:c r="G79"/>
      <x:c r="H79"/>
      <x:c r="I79" s="22" t="str">
        <x:f>IF(SUM(F79:H79)=0,"",F79/SUM(F79:H79))</x:f>
      </x:c>
      <x:c r="J79" t="n">
        <x:f>COUNTIFS(Yanlis_Defteri!$B$2:$B$401,B79,Yanlis_Defteri!$C$2:$C$401,C79,Yanlis_Defteri!$O$2:$O$401,"Açık")</x:f>
        <x:v>0</x:v>
      </x:c>
      <x:c r="K79" t="str">
        <x:v>Planlandı</x:v>
      </x:c>
      <x:c r="L79" t="str">
        <x:v>MEB doğrulaması kitap konu bölümünden SONRA yapılır.</x:v>
      </x:c>
    </x:row>
    <x:row r="80">
      <x:c r="A80" s="12" t="n">
        <x:v>46330</x:v>
      </x:c>
      <x:c r="B80" t="str">
        <x:v>İnkılap</x:v>
      </x:c>
      <x:c r="C80" t="str">
        <x:v>Mustafa Kemal’in Askerlik Hayatı</x:v>
      </x:c>
      <x:c r="D80" t="str">
        <x:v>Konu Sonu MEB Doğrulama</x:v>
      </x:c>
      <x:c r="E80" t="str">
        <x:v>https://odsgm.meb.gov.tr/www/8sinif-calisma-sorulari/icerik/1632</x:v>
      </x:c>
      <x:c r="F80"/>
      <x:c r="G80"/>
      <x:c r="H80"/>
      <x:c r="I80" s="22" t="str">
        <x:f>IF(SUM(F80:H80)=0,"",F80/SUM(F80:H80))</x:f>
      </x:c>
      <x:c r="J80" t="n">
        <x:f>COUNTIFS(Yanlis_Defteri!$B$2:$B$401,B80,Yanlis_Defteri!$C$2:$C$401,C80,Yanlis_Defteri!$O$2:$O$401,"Açık")</x:f>
        <x:v>0</x:v>
      </x:c>
      <x:c r="K80" t="str">
        <x:v>Planlandı</x:v>
      </x:c>
      <x:c r="L80" t="str">
        <x:v>MEB doğrulaması kitap konu bölümünden SONRA yapılır.</x:v>
      </x:c>
    </x:row>
    <x:row r="81">
      <x:c r="A81" s="12" t="n">
        <x:v>46342</x:v>
      </x:c>
      <x:c r="B81" t="str">
        <x:v>İnkılap</x:v>
      </x:c>
      <x:c r="C81" t="str">
        <x:v>I. Dünya Savaşı ve Osmanlı Devleti</x:v>
      </x:c>
      <x:c r="D81" t="str">
        <x:v>Konu Sonu MEB Doğrulama</x:v>
      </x:c>
      <x:c r="E81" t="str">
        <x:v>https://odsgm.meb.gov.tr/www/8sinif-calisma-sorulari/icerik/1632</x:v>
      </x:c>
      <x:c r="F81"/>
      <x:c r="G81"/>
      <x:c r="H81"/>
      <x:c r="I81" s="22" t="str">
        <x:f>IF(SUM(F81:H81)=0,"",F81/SUM(F81:H81))</x:f>
      </x:c>
      <x:c r="J81" t="n">
        <x:f>COUNTIFS(Yanlis_Defteri!$B$2:$B$401,B81,Yanlis_Defteri!$C$2:$C$401,C81,Yanlis_Defteri!$O$2:$O$401,"Açık")</x:f>
        <x:v>0</x:v>
      </x:c>
      <x:c r="K81" t="str">
        <x:v>Planlandı</x:v>
      </x:c>
      <x:c r="L81" t="str">
        <x:v>MEB doğrulaması kitap konu bölümünden SONRA yapılır.</x:v>
      </x:c>
    </x:row>
    <x:row r="82">
      <x:c r="A82" s="12" t="n">
        <x:v>46358</x:v>
      </x:c>
      <x:c r="B82" t="str">
        <x:v>İnkılap</x:v>
      </x:c>
      <x:c r="C82" t="str">
        <x:v>Mondros, İşgaller, Cemiyetler ve Kuvayımilliye</x:v>
      </x:c>
      <x:c r="D82" t="str">
        <x:v>Konu Sonu MEB Doğrulama</x:v>
      </x:c>
      <x:c r="E82" t="str">
        <x:v>https://odsgm.meb.gov.tr/www/8sinif-calisma-sorulari/icerik/1632</x:v>
      </x:c>
      <x:c r="F82"/>
      <x:c r="G82"/>
      <x:c r="H82"/>
      <x:c r="I82" s="22" t="str">
        <x:f>IF(SUM(F82:H82)=0,"",F82/SUM(F82:H82))</x:f>
      </x:c>
      <x:c r="J82" t="n">
        <x:f>COUNTIFS(Yanlis_Defteri!$B$2:$B$401,B82,Yanlis_Defteri!$C$2:$C$401,C82,Yanlis_Defteri!$O$2:$O$401,"Açık")</x:f>
        <x:v>0</x:v>
      </x:c>
      <x:c r="K82" t="str">
        <x:v>Planlandı</x:v>
      </x:c>
      <x:c r="L82" t="str">
        <x:v>MEB doğrulaması kitap konu bölümünden SONRA yapılır.</x:v>
      </x:c>
    </x:row>
    <x:row r="83">
      <x:c r="A83" s="12" t="n">
        <x:v>46374</x:v>
      </x:c>
      <x:c r="B83" t="str">
        <x:v>İnkılap</x:v>
      </x:c>
      <x:c r="C83" t="str">
        <x:v>Genelgeler, Kongreler, Misakımillî ve TBMM</x:v>
      </x:c>
      <x:c r="D83" t="str">
        <x:v>Konu Sonu MEB Doğrulama</x:v>
      </x:c>
      <x:c r="E83" t="str">
        <x:v>https://odsgm.meb.gov.tr/www/8sinif-calisma-sorulari/icerik/1632</x:v>
      </x:c>
      <x:c r="F83"/>
      <x:c r="G83"/>
      <x:c r="H83"/>
      <x:c r="I83" s="22" t="str">
        <x:f>IF(SUM(F83:H83)=0,"",F83/SUM(F83:H83))</x:f>
      </x:c>
      <x:c r="J83" t="n">
        <x:f>COUNTIFS(Yanlis_Defteri!$B$2:$B$401,B83,Yanlis_Defteri!$C$2:$C$401,C83,Yanlis_Defteri!$O$2:$O$401,"Açık")</x:f>
        <x:v>0</x:v>
      </x:c>
      <x:c r="K83" t="str">
        <x:v>Planlandı</x:v>
      </x:c>
      <x:c r="L83" t="str">
        <x:v>MEB doğrulaması kitap konu bölümünden SONRA yapılır.</x:v>
      </x:c>
    </x:row>
    <x:row r="84">
      <x:c r="A84" s="12" t="n">
        <x:v>46386</x:v>
      </x:c>
      <x:c r="B84" t="str">
        <x:v>İnkılap</x:v>
      </x:c>
      <x:c r="C84" t="str">
        <x:v>TBMM’ye Karşı Ayaklanmalar ve Sevr</x:v>
      </x:c>
      <x:c r="D84" t="str">
        <x:v>Konu Sonu MEB Doğrulama</x:v>
      </x:c>
      <x:c r="E84" t="str">
        <x:v>https://odsgm.meb.gov.tr/www/8sinif-calisma-sorulari/icerik/1632</x:v>
      </x:c>
      <x:c r="F84"/>
      <x:c r="G84"/>
      <x:c r="H84"/>
      <x:c r="I84" s="22" t="str">
        <x:f>IF(SUM(F84:H84)=0,"",F84/SUM(F84:H84))</x:f>
      </x:c>
      <x:c r="J84" t="n">
        <x:f>COUNTIFS(Yanlis_Defteri!$B$2:$B$401,B84,Yanlis_Defteri!$C$2:$C$401,C84,Yanlis_Defteri!$O$2:$O$401,"Açık")</x:f>
        <x:v>0</x:v>
      </x:c>
      <x:c r="K84" t="str">
        <x:v>Planlandı</x:v>
      </x:c>
      <x:c r="L84" t="str">
        <x:v>MEB doğrulaması kitap konu bölümünden SONRA yapılır.</x:v>
      </x:c>
    </x:row>
    <x:row r="85">
      <x:c r="A85" s="12" t="n">
        <x:v>46402</x:v>
      </x:c>
      <x:c r="B85" t="str">
        <x:v>İnkılap</x:v>
      </x:c>
      <x:c r="C85" t="str">
        <x:v>Millî Mücadele - Cepheler</x:v>
      </x:c>
      <x:c r="D85" t="str">
        <x:v>Konu Sonu MEB Doğrulama</x:v>
      </x:c>
      <x:c r="E85" t="str">
        <x:v>https://odsgm.meb.gov.tr/www/8sinif-calisma-sorulari/icerik/1632</x:v>
      </x:c>
      <x:c r="F85"/>
      <x:c r="G85"/>
      <x:c r="H85"/>
      <x:c r="I85" s="22" t="str">
        <x:f>IF(SUM(F85:H85)=0,"",F85/SUM(F85:H85))</x:f>
      </x:c>
      <x:c r="J85" t="n">
        <x:f>COUNTIFS(Yanlis_Defteri!$B$2:$B$401,B85,Yanlis_Defteri!$C$2:$C$401,C85,Yanlis_Defteri!$O$2:$O$401,"Açık")</x:f>
        <x:v>0</x:v>
      </x:c>
      <x:c r="K85" t="str">
        <x:v>Planlandı</x:v>
      </x:c>
      <x:c r="L85" t="str">
        <x:v>MEB doğrulaması kitap konu bölümünden SONRA yapılır.</x:v>
      </x:c>
    </x:row>
    <x:row r="86">
      <x:c r="A86" s="12" t="n">
        <x:v>46418</x:v>
      </x:c>
      <x:c r="B86" t="str">
        <x:v>İnkılap</x:v>
      </x:c>
      <x:c r="C86" t="str">
        <x:v>Atatürkçülük ve Çağdaşlaşan Türkiye</x:v>
      </x:c>
      <x:c r="D86" t="str">
        <x:v>Konu Sonu MEB Doğrulama</x:v>
      </x:c>
      <x:c r="E86" t="str">
        <x:v>https://odsgm.meb.gov.tr/www/8sinif-calisma-sorulari/icerik/1632</x:v>
      </x:c>
      <x:c r="F86"/>
      <x:c r="G86"/>
      <x:c r="H86"/>
      <x:c r="I86" s="22" t="str">
        <x:f>IF(SUM(F86:H86)=0,"",F86/SUM(F86:H86))</x:f>
      </x:c>
      <x:c r="J86" t="n">
        <x:f>COUNTIFS(Yanlis_Defteri!$B$2:$B$401,B86,Yanlis_Defteri!$C$2:$C$401,C86,Yanlis_Defteri!$O$2:$O$401,"Açık")</x:f>
        <x:v>0</x:v>
      </x:c>
      <x:c r="K86" t="str">
        <x:v>Planlandı</x:v>
      </x:c>
      <x:c r="L86" t="str">
        <x:v>MEB doğrulaması kitap konu bölümünden SONRA yapılır.</x:v>
      </x:c>
    </x:row>
    <x:row r="87">
      <x:c r="A87" s="12" t="n">
        <x:v>46430</x:v>
      </x:c>
      <x:c r="B87" t="str">
        <x:v>İnkılap</x:v>
      </x:c>
      <x:c r="C87" t="str">
        <x:v>Demokratikleşme Çabaları</x:v>
      </x:c>
      <x:c r="D87" t="str">
        <x:v>Konu Sonu MEB Doğrulama</x:v>
      </x:c>
      <x:c r="E87" t="str">
        <x:v>https://odsgm.meb.gov.tr/www/8sinif-calisma-sorulari/icerik/1632</x:v>
      </x:c>
      <x:c r="F87"/>
      <x:c r="G87"/>
      <x:c r="H87"/>
      <x:c r="I87" s="22" t="str">
        <x:f>IF(SUM(F87:H87)=0,"",F87/SUM(F87:H87))</x:f>
      </x:c>
      <x:c r="J87" t="n">
        <x:f>COUNTIFS(Yanlis_Defteri!$B$2:$B$401,B87,Yanlis_Defteri!$C$2:$C$401,C87,Yanlis_Defteri!$O$2:$O$401,"Açık")</x:f>
        <x:v>0</x:v>
      </x:c>
      <x:c r="K87" t="str">
        <x:v>Planlandı</x:v>
      </x:c>
      <x:c r="L87" t="str">
        <x:v>MEB doğrulaması kitap konu bölümünden SONRA yapılır.</x:v>
      </x:c>
    </x:row>
    <x:row r="88">
      <x:c r="A88" s="12" t="n">
        <x:v>46442</x:v>
      </x:c>
      <x:c r="B88" t="str">
        <x:v>İnkılap</x:v>
      </x:c>
      <x:c r="C88" t="str">
        <x:v>Atatürk Dönemi Türk Dış Politikası</x:v>
      </x:c>
      <x:c r="D88" t="str">
        <x:v>Konu Sonu MEB Doğrulama</x:v>
      </x:c>
      <x:c r="E88" t="str">
        <x:v>https://odsgm.meb.gov.tr/www/8sinif-calisma-sorulari/icerik/1632</x:v>
      </x:c>
      <x:c r="F88"/>
      <x:c r="G88"/>
      <x:c r="H88"/>
      <x:c r="I88" s="22" t="str">
        <x:f>IF(SUM(F88:H88)=0,"",F88/SUM(F88:H88))</x:f>
      </x:c>
      <x:c r="J88" t="n">
        <x:f>COUNTIFS(Yanlis_Defteri!$B$2:$B$401,B88,Yanlis_Defteri!$C$2:$C$401,C88,Yanlis_Defteri!$O$2:$O$401,"Açık")</x:f>
        <x:v>0</x:v>
      </x:c>
      <x:c r="K88" t="str">
        <x:v>Planlandı</x:v>
      </x:c>
      <x:c r="L88" t="str">
        <x:v>MEB doğrulaması kitap konu bölümünden SONRA yapılır.</x:v>
      </x:c>
    </x:row>
    <x:row r="89">
      <x:c r="A89" s="12" t="n">
        <x:v>46454</x:v>
      </x:c>
      <x:c r="B89" t="str">
        <x:v>İnkılap</x:v>
      </x:c>
      <x:c r="C89" t="str">
        <x:v>Atatürk’ün Ölümü ve Sonrası</x:v>
      </x:c>
      <x:c r="D89" t="str">
        <x:v>Konu Sonu MEB Doğrulama</x:v>
      </x:c>
      <x:c r="E89" t="str">
        <x:v>https://odsgm.meb.gov.tr/www/8sinif-calisma-sorulari/icerik/1632</x:v>
      </x:c>
      <x:c r="F89"/>
      <x:c r="G89"/>
      <x:c r="H89"/>
      <x:c r="I89" s="22" t="str">
        <x:f>IF(SUM(F89:H89)=0,"",F89/SUM(F89:H89))</x:f>
      </x:c>
      <x:c r="J89" t="n">
        <x:f>COUNTIFS(Yanlis_Defteri!$B$2:$B$401,B89,Yanlis_Defteri!$C$2:$C$401,C89,Yanlis_Defteri!$O$2:$O$401,"Açık")</x:f>
        <x:v>0</x:v>
      </x:c>
      <x:c r="K89" t="str">
        <x:v>Planlandı</x:v>
      </x:c>
      <x:c r="L89" t="str">
        <x:v>MEB doğrulaması kitap konu bölümünden SONRA yapılır.</x:v>
      </x:c>
    </x:row>
    <x:row r="90">
      <x:c r="A90" s="12" t="n">
        <x:v>46305</x:v>
      </x:c>
      <x:c r="B90" t="str">
        <x:v>Din</x:v>
      </x:c>
      <x:c r="C90" t="str">
        <x:v>Kader ve Kaza İnancı</x:v>
      </x:c>
      <x:c r="D90" t="str">
        <x:v>Konu Sonu MEB Doğrulama</x:v>
      </x:c>
      <x:c r="E90" t="str">
        <x:v>https://odsgm.meb.gov.tr/www/8sinif-calisma-sorulari/icerik/1632</x:v>
      </x:c>
      <x:c r="F90"/>
      <x:c r="G90"/>
      <x:c r="H90"/>
      <x:c r="I90" s="22" t="str">
        <x:f>IF(SUM(F90:H90)=0,"",F90/SUM(F90:H90))</x:f>
      </x:c>
      <x:c r="J90" t="n">
        <x:f>COUNTIFS(Yanlis_Defteri!$B$2:$B$401,B90,Yanlis_Defteri!$C$2:$C$401,C90,Yanlis_Defteri!$O$2:$O$401,"Açık")</x:f>
        <x:v>0</x:v>
      </x:c>
      <x:c r="K90" t="str">
        <x:v>Planlandı</x:v>
      </x:c>
      <x:c r="L90" t="str">
        <x:v>MEB doğrulaması kitap konu bölümünden SONRA yapılır.</x:v>
      </x:c>
    </x:row>
    <x:row r="91">
      <x:c r="A91" s="12" t="n">
        <x:v>46317</x:v>
      </x:c>
      <x:c r="B91" t="str">
        <x:v>Din</x:v>
      </x:c>
      <x:c r="C91" t="str">
        <x:v>İnsanın İradesi ve Kader / Kaderle İlgili Kavramlar</x:v>
      </x:c>
      <x:c r="D91" t="str">
        <x:v>Konu Sonu MEB Doğrulama</x:v>
      </x:c>
      <x:c r="E91" t="str">
        <x:v>https://odsgm.meb.gov.tr/www/8sinif-calisma-sorulari/icerik/1632</x:v>
      </x:c>
      <x:c r="F91"/>
      <x:c r="G91"/>
      <x:c r="H91"/>
      <x:c r="I91" s="22" t="str">
        <x:f>IF(SUM(F91:H91)=0,"",F91/SUM(F91:H91))</x:f>
      </x:c>
      <x:c r="J91" t="n">
        <x:f>COUNTIFS(Yanlis_Defteri!$B$2:$B$401,B91,Yanlis_Defteri!$C$2:$C$401,C91,Yanlis_Defteri!$O$2:$O$401,"Açık")</x:f>
        <x:v>0</x:v>
      </x:c>
      <x:c r="K91" t="str">
        <x:v>Planlandı</x:v>
      </x:c>
      <x:c r="L91" t="str">
        <x:v>MEB doğrulaması kitap konu bölümünden SONRA yapılır.</x:v>
      </x:c>
    </x:row>
    <x:row r="92">
      <x:c r="A92" s="12" t="n">
        <x:v>46329</x:v>
      </x:c>
      <x:c r="B92" t="str">
        <x:v>Din</x:v>
      </x:c>
      <x:c r="C92" t="str">
        <x:v>Hz. Musa ve Ayetel Kürsi</x:v>
      </x:c>
      <x:c r="D92" t="str">
        <x:v>Konu Sonu MEB Doğrulama</x:v>
      </x:c>
      <x:c r="E92" t="str">
        <x:v>https://odsgm.meb.gov.tr/www/8sinif-calisma-sorulari/icerik/1632</x:v>
      </x:c>
      <x:c r="F92"/>
      <x:c r="G92"/>
      <x:c r="H92"/>
      <x:c r="I92" s="22" t="str">
        <x:f>IF(SUM(F92:H92)=0,"",F92/SUM(F92:H92))</x:f>
      </x:c>
      <x:c r="J92" t="n">
        <x:f>COUNTIFS(Yanlis_Defteri!$B$2:$B$401,B92,Yanlis_Defteri!$C$2:$C$401,C92,Yanlis_Defteri!$O$2:$O$401,"Açık")</x:f>
        <x:v>0</x:v>
      </x:c>
      <x:c r="K92" t="str">
        <x:v>Planlandı</x:v>
      </x:c>
      <x:c r="L92" t="str">
        <x:v>MEB doğrulaması kitap konu bölümünden SONRA yapılır.</x:v>
      </x:c>
    </x:row>
    <x:row r="93">
      <x:c r="A93" s="12" t="n">
        <x:v>46341</x:v>
      </x:c>
      <x:c r="B93" t="str">
        <x:v>Din</x:v>
      </x:c>
      <x:c r="C93" t="str">
        <x:v>Zekât ve Sadaka</x:v>
      </x:c>
      <x:c r="D93" t="str">
        <x:v>Konu Sonu MEB Doğrulama</x:v>
      </x:c>
      <x:c r="E93" t="str">
        <x:v>https://odsgm.meb.gov.tr/www/8sinif-calisma-sorulari/icerik/1632</x:v>
      </x:c>
      <x:c r="F93"/>
      <x:c r="G93"/>
      <x:c r="H93"/>
      <x:c r="I93" s="22" t="str">
        <x:f>IF(SUM(F93:H93)=0,"",F93/SUM(F93:H93))</x:f>
      </x:c>
      <x:c r="J93" t="n">
        <x:f>COUNTIFS(Yanlis_Defteri!$B$2:$B$401,B93,Yanlis_Defteri!$C$2:$C$401,C93,Yanlis_Defteri!$O$2:$O$401,"Açık")</x:f>
        <x:v>0</x:v>
      </x:c>
      <x:c r="K93" t="str">
        <x:v>Planlandı</x:v>
      </x:c>
      <x:c r="L93" t="str">
        <x:v>MEB doğrulaması kitap konu bölümünden SONRA yapılır.</x:v>
      </x:c>
    </x:row>
    <x:row r="94">
      <x:c r="A94" s="12" t="n">
        <x:v>46353</x:v>
      </x:c>
      <x:c r="B94" t="str">
        <x:v>Din</x:v>
      </x:c>
      <x:c r="C94" t="str">
        <x:v>Hz. Şuayb ve Maun Suresi</x:v>
      </x:c>
      <x:c r="D94" t="str">
        <x:v>Konu Sonu MEB Doğrulama</x:v>
      </x:c>
      <x:c r="E94" t="str">
        <x:v>https://odsgm.meb.gov.tr/www/8sinif-calisma-sorulari/icerik/1632</x:v>
      </x:c>
      <x:c r="F94"/>
      <x:c r="G94"/>
      <x:c r="H94"/>
      <x:c r="I94" s="22" t="str">
        <x:f>IF(SUM(F94:H94)=0,"",F94/SUM(F94:H94))</x:f>
      </x:c>
      <x:c r="J94" t="n">
        <x:f>COUNTIFS(Yanlis_Defteri!$B$2:$B$401,B94,Yanlis_Defteri!$C$2:$C$401,C94,Yanlis_Defteri!$O$2:$O$401,"Açık")</x:f>
        <x:v>0</x:v>
      </x:c>
      <x:c r="K94" t="str">
        <x:v>Planlandı</x:v>
      </x:c>
      <x:c r="L94" t="str">
        <x:v>MEB doğrulaması kitap konu bölümünden SONRA yapılır.</x:v>
      </x:c>
    </x:row>
    <x:row r="95">
      <x:c r="A95" s="12" t="n">
        <x:v>46365</x:v>
      </x:c>
      <x:c r="B95" t="str">
        <x:v>Din</x:v>
      </x:c>
      <x:c r="C95" t="str">
        <x:v>Din ve Hayat</x:v>
      </x:c>
      <x:c r="D95" t="str">
        <x:v>Konu Sonu MEB Doğrulama</x:v>
      </x:c>
      <x:c r="E95" t="str">
        <x:v>https://odsgm.meb.gov.tr/www/8sinif-calisma-sorulari/icerik/1632</x:v>
      </x:c>
      <x:c r="F95"/>
      <x:c r="G95"/>
      <x:c r="H95"/>
      <x:c r="I95" s="22" t="str">
        <x:f>IF(SUM(F95:H95)=0,"",F95/SUM(F95:H95))</x:f>
      </x:c>
      <x:c r="J95" t="n">
        <x:f>COUNTIFS(Yanlis_Defteri!$B$2:$B$401,B95,Yanlis_Defteri!$C$2:$C$401,C95,Yanlis_Defteri!$O$2:$O$401,"Açık")</x:f>
        <x:v>0</x:v>
      </x:c>
      <x:c r="K95" t="str">
        <x:v>Planlandı</x:v>
      </x:c>
      <x:c r="L95" t="str">
        <x:v>MEB doğrulaması kitap konu bölümünden SONRA yapılır.</x:v>
      </x:c>
    </x:row>
    <x:row r="96">
      <x:c r="A96" s="12" t="n">
        <x:v>46377</x:v>
      </x:c>
      <x:c r="B96" t="str">
        <x:v>Din</x:v>
      </x:c>
      <x:c r="C96" t="str">
        <x:v>Dinin Temel Gayesi / Hz. Yusuf / Asr Suresi</x:v>
      </x:c>
      <x:c r="D96" t="str">
        <x:v>Konu Sonu MEB Doğrulama</x:v>
      </x:c>
      <x:c r="E96" t="str">
        <x:v>https://odsgm.meb.gov.tr/www/8sinif-calisma-sorulari/icerik/1632</x:v>
      </x:c>
      <x:c r="F96"/>
      <x:c r="G96"/>
      <x:c r="H96"/>
      <x:c r="I96" s="22" t="str">
        <x:f>IF(SUM(F96:H96)=0,"",F96/SUM(F96:H96))</x:f>
      </x:c>
      <x:c r="J96" t="n">
        <x:f>COUNTIFS(Yanlis_Defteri!$B$2:$B$401,B96,Yanlis_Defteri!$C$2:$C$401,C96,Yanlis_Defteri!$O$2:$O$401,"Açık")</x:f>
        <x:v>0</x:v>
      </x:c>
      <x:c r="K96" t="str">
        <x:v>Planlandı</x:v>
      </x:c>
      <x:c r="L96" t="str">
        <x:v>MEB doğrulaması kitap konu bölümünden SONRA yapılır.</x:v>
      </x:c>
    </x:row>
    <x:row r="97">
      <x:c r="A97" s="12" t="n">
        <x:v>46389</x:v>
      </x:c>
      <x:c r="B97" t="str">
        <x:v>Din</x:v>
      </x:c>
      <x:c r="C97" t="str">
        <x:v>Hz. Muhammed’in Örnekliği</x:v>
      </x:c>
      <x:c r="D97" t="str">
        <x:v>Konu Sonu MEB Doğrulama</x:v>
      </x:c>
      <x:c r="E97" t="str">
        <x:v>https://odsgm.meb.gov.tr/www/8sinif-calisma-sorulari/icerik/1632</x:v>
      </x:c>
      <x:c r="F97"/>
      <x:c r="G97"/>
      <x:c r="H97"/>
      <x:c r="I97" s="22" t="str">
        <x:f>IF(SUM(F97:H97)=0,"",F97/SUM(F97:H97))</x:f>
      </x:c>
      <x:c r="J97" t="n">
        <x:f>COUNTIFS(Yanlis_Defteri!$B$2:$B$401,B97,Yanlis_Defteri!$C$2:$C$401,C97,Yanlis_Defteri!$O$2:$O$401,"Açık")</x:f>
        <x:v>0</x:v>
      </x:c>
      <x:c r="K97" t="str">
        <x:v>Planlandı</x:v>
      </x:c>
      <x:c r="L97" t="str">
        <x:v>MEB doğrulaması kitap konu bölümünden SONRA yapılır.</x:v>
      </x:c>
    </x:row>
    <x:row r="98">
      <x:c r="A98" s="12" t="n">
        <x:v>46401</x:v>
      </x:c>
      <x:c r="B98" t="str">
        <x:v>Din</x:v>
      </x:c>
      <x:c r="C98" t="str">
        <x:v>Kureyş Suresi</x:v>
      </x:c>
      <x:c r="D98" t="str">
        <x:v>Konu Sonu MEB Doğrulama</x:v>
      </x:c>
      <x:c r="E98" t="str">
        <x:v>https://odsgm.meb.gov.tr/www/8sinif-calisma-sorulari/icerik/1632</x:v>
      </x:c>
      <x:c r="F98"/>
      <x:c r="G98"/>
      <x:c r="H98"/>
      <x:c r="I98" s="22" t="str">
        <x:f>IF(SUM(F98:H98)=0,"",F98/SUM(F98:H98))</x:f>
      </x:c>
      <x:c r="J98" t="n">
        <x:f>COUNTIFS(Yanlis_Defteri!$B$2:$B$401,B98,Yanlis_Defteri!$C$2:$C$401,C98,Yanlis_Defteri!$O$2:$O$401,"Açık")</x:f>
        <x:v>0</x:v>
      </x:c>
      <x:c r="K98" t="str">
        <x:v>Planlandı</x:v>
      </x:c>
      <x:c r="L98" t="str">
        <x:v>MEB doğrulaması kitap konu bölümünden SONRA yapılır.</x:v>
      </x:c>
    </x:row>
    <x:row r="99">
      <x:c r="A99" s="12" t="n">
        <x:v>46413</x:v>
      </x:c>
      <x:c r="B99" t="str">
        <x:v>Din</x:v>
      </x:c>
      <x:c r="C99" t="str">
        <x:v>Kur’an-ı Kerim ve Özellikleri</x:v>
      </x:c>
      <x:c r="D99" t="str">
        <x:v>Konu Sonu MEB Doğrulama</x:v>
      </x:c>
      <x:c r="E99" t="str">
        <x:v>https://odsgm.meb.gov.tr/www/8sinif-calisma-sorulari/icerik/1632</x:v>
      </x:c>
      <x:c r="F99"/>
      <x:c r="G99"/>
      <x:c r="H99"/>
      <x:c r="I99" s="22" t="str">
        <x:f>IF(SUM(F99:H99)=0,"",F99/SUM(F99:H99))</x:f>
      </x:c>
      <x:c r="J99" t="n">
        <x:f>COUNTIFS(Yanlis_Defteri!$B$2:$B$401,B99,Yanlis_Defteri!$C$2:$C$401,C99,Yanlis_Defteri!$O$2:$O$401,"Açık")</x:f>
        <x:v>0</x:v>
      </x:c>
      <x:c r="K99" t="str">
        <x:v>Planlandı</x:v>
      </x:c>
      <x:c r="L99" t="str">
        <x:v>MEB doğrulaması kitap konu bölümünden SONRA yapılır.</x:v>
      </x:c>
    </x:row>
    <x:row r="100">
      <x:c r="A100" s="12" t="n">
        <x:v>46425</x:v>
      </x:c>
      <x:c r="B100" t="str">
        <x:v>Din</x:v>
      </x:c>
      <x:c r="C100" t="str">
        <x:v>İslam Dininin Temel Kaynakları ve Ana Konular</x:v>
      </x:c>
      <x:c r="D100" t="str">
        <x:v>Konu Sonu MEB Doğrulama</x:v>
      </x:c>
      <x:c r="E100" t="str">
        <x:v>https://odsgm.meb.gov.tr/www/8sinif-calisma-sorulari/icerik/1632</x:v>
      </x:c>
      <x:c r="F100"/>
      <x:c r="G100"/>
      <x:c r="H100"/>
      <x:c r="I100" s="22" t="str">
        <x:f>IF(SUM(F100:H100)=0,"",F100/SUM(F100:H100))</x:f>
      </x:c>
      <x:c r="J100" t="n">
        <x:f>COUNTIFS(Yanlis_Defteri!$B$2:$B$401,B100,Yanlis_Defteri!$C$2:$C$401,C100,Yanlis_Defteri!$O$2:$O$401,"Açık")</x:f>
        <x:v>0</x:v>
      </x:c>
      <x:c r="K100" t="str">
        <x:v>Planlandı</x:v>
      </x:c>
      <x:c r="L100" t="str">
        <x:v>MEB doğrulaması kitap konu bölümünden SONRA yapılır.</x:v>
      </x:c>
    </x:row>
    <x:row r="101">
      <x:c r="A101" s="12" t="n">
        <x:v>46311</x:v>
      </x:c>
      <x:c r="B101" t="str">
        <x:v>İngilizce</x:v>
      </x:c>
      <x:c r="C101" t="str">
        <x:v>Unit 1 - Friendship</x:v>
      </x:c>
      <x:c r="D101" t="str">
        <x:v>Konu Sonu MEB Doğrulama</x:v>
      </x:c>
      <x:c r="E101" t="str">
        <x:v>https://odsgm.meb.gov.tr/www/8sinif-calisma-sorulari/icerik/1632</x:v>
      </x:c>
      <x:c r="F101"/>
      <x:c r="G101"/>
      <x:c r="H101"/>
      <x:c r="I101" s="22" t="str">
        <x:f>IF(SUM(F101:H101)=0,"",F101/SUM(F101:H101))</x:f>
      </x:c>
      <x:c r="J101" t="n">
        <x:f>COUNTIFS(Yanlis_Defteri!$B$2:$B$401,B101,Yanlis_Defteri!$C$2:$C$401,C101,Yanlis_Defteri!$O$2:$O$401,"Açık")</x:f>
        <x:v>0</x:v>
      </x:c>
      <x:c r="K101" t="str">
        <x:v>Planlandı</x:v>
      </x:c>
      <x:c r="L101" t="str">
        <x:v>MEB doğrulaması kitap konu bölümünden SONRA yapılır.</x:v>
      </x:c>
    </x:row>
    <x:row r="102">
      <x:c r="A102" s="12" t="n">
        <x:v>46327</x:v>
      </x:c>
      <x:c r="B102" t="str">
        <x:v>İngilizce</x:v>
      </x:c>
      <x:c r="C102" t="str">
        <x:v>Unit 2 - Teen Life</x:v>
      </x:c>
      <x:c r="D102" t="str">
        <x:v>Konu Sonu MEB Doğrulama</x:v>
      </x:c>
      <x:c r="E102" t="str">
        <x:v>https://odsgm.meb.gov.tr/www/8sinif-calisma-sorulari/icerik/1632</x:v>
      </x:c>
      <x:c r="F102"/>
      <x:c r="G102"/>
      <x:c r="H102"/>
      <x:c r="I102" s="22" t="str">
        <x:f>IF(SUM(F102:H102)=0,"",F102/SUM(F102:H102))</x:f>
      </x:c>
      <x:c r="J102" t="n">
        <x:f>COUNTIFS(Yanlis_Defteri!$B$2:$B$401,B102,Yanlis_Defteri!$C$2:$C$401,C102,Yanlis_Defteri!$O$2:$O$401,"Açık")</x:f>
        <x:v>0</x:v>
      </x:c>
      <x:c r="K102" t="str">
        <x:v>Planlandı</x:v>
      </x:c>
      <x:c r="L102" t="str">
        <x:v>MEB doğrulaması kitap konu bölümünden SONRA yapılır.</x:v>
      </x:c>
    </x:row>
    <x:row r="103">
      <x:c r="A103" s="12" t="n">
        <x:v>46343</x:v>
      </x:c>
      <x:c r="B103" t="str">
        <x:v>İngilizce</x:v>
      </x:c>
      <x:c r="C103" t="str">
        <x:v>Unit 3 - In The Kitchen</x:v>
      </x:c>
      <x:c r="D103" t="str">
        <x:v>Konu Sonu MEB Doğrulama</x:v>
      </x:c>
      <x:c r="E103" t="str">
        <x:v>https://odsgm.meb.gov.tr/www/8sinif-calisma-sorulari/icerik/1632</x:v>
      </x:c>
      <x:c r="F103"/>
      <x:c r="G103"/>
      <x:c r="H103"/>
      <x:c r="I103" s="22" t="str">
        <x:f>IF(SUM(F103:H103)=0,"",F103/SUM(F103:H103))</x:f>
      </x:c>
      <x:c r="J103" t="n">
        <x:f>COUNTIFS(Yanlis_Defteri!$B$2:$B$401,B103,Yanlis_Defteri!$C$2:$C$401,C103,Yanlis_Defteri!$O$2:$O$401,"Açık")</x:f>
        <x:v>0</x:v>
      </x:c>
      <x:c r="K103" t="str">
        <x:v>Planlandı</x:v>
      </x:c>
      <x:c r="L103" t="str">
        <x:v>MEB doğrulaması kitap konu bölümünden SONRA yapılır.</x:v>
      </x:c>
    </x:row>
    <x:row r="104">
      <x:c r="A104" s="12" t="n">
        <x:v>46359</x:v>
      </x:c>
      <x:c r="B104" t="str">
        <x:v>İngilizce</x:v>
      </x:c>
      <x:c r="C104" t="str">
        <x:v>Unit 4 - On The Phone</x:v>
      </x:c>
      <x:c r="D104" t="str">
        <x:v>Konu Sonu MEB Doğrulama</x:v>
      </x:c>
      <x:c r="E104" t="str">
        <x:v>https://odsgm.meb.gov.tr/www/8sinif-calisma-sorulari/icerik/1632</x:v>
      </x:c>
      <x:c r="F104"/>
      <x:c r="G104"/>
      <x:c r="H104"/>
      <x:c r="I104" s="22" t="str">
        <x:f>IF(SUM(F104:H104)=0,"",F104/SUM(F104:H104))</x:f>
      </x:c>
      <x:c r="J104" t="n">
        <x:f>COUNTIFS(Yanlis_Defteri!$B$2:$B$401,B104,Yanlis_Defteri!$C$2:$C$401,C104,Yanlis_Defteri!$O$2:$O$401,"Açık")</x:f>
        <x:v>0</x:v>
      </x:c>
      <x:c r="K104" t="str">
        <x:v>Planlandı</x:v>
      </x:c>
      <x:c r="L104" t="str">
        <x:v>MEB doğrulaması kitap konu bölümünden SONRA yapılır.</x:v>
      </x:c>
    </x:row>
    <x:row r="105">
      <x:c r="A105" s="12" t="n">
        <x:v>46375</x:v>
      </x:c>
      <x:c r="B105" t="str">
        <x:v>İngilizce</x:v>
      </x:c>
      <x:c r="C105" t="str">
        <x:v>Unit 5 - The Internet</x:v>
      </x:c>
      <x:c r="D105" t="str">
        <x:v>Konu Sonu MEB Doğrulama</x:v>
      </x:c>
      <x:c r="E105" t="str">
        <x:v>https://odsgm.meb.gov.tr/www/8sinif-calisma-sorulari/icerik/1632</x:v>
      </x:c>
      <x:c r="F105"/>
      <x:c r="G105"/>
      <x:c r="H105"/>
      <x:c r="I105" s="22" t="str">
        <x:f>IF(SUM(F105:H105)=0,"",F105/SUM(F105:H105))</x:f>
      </x:c>
      <x:c r="J105" t="n">
        <x:f>COUNTIFS(Yanlis_Defteri!$B$2:$B$401,B105,Yanlis_Defteri!$C$2:$C$401,C105,Yanlis_Defteri!$O$2:$O$401,"Açık")</x:f>
        <x:v>0</x:v>
      </x:c>
      <x:c r="K105" t="str">
        <x:v>Planlandı</x:v>
      </x:c>
      <x:c r="L105" t="str">
        <x:v>MEB doğrulaması kitap konu bölümünden SONRA yapılır.</x:v>
      </x:c>
    </x:row>
    <x:row r="106">
      <x:c r="A106" s="12" t="n">
        <x:v>46391</x:v>
      </x:c>
      <x:c r="B106" t="str">
        <x:v>İngilizce</x:v>
      </x:c>
      <x:c r="C106" t="str">
        <x:v>Unit 6 - Adventures</x:v>
      </x:c>
      <x:c r="D106" t="str">
        <x:v>Konu Sonu MEB Doğrulama</x:v>
      </x:c>
      <x:c r="E106" t="str">
        <x:v>https://odsgm.meb.gov.tr/www/8sinif-calisma-sorulari/icerik/1632</x:v>
      </x:c>
      <x:c r="F106"/>
      <x:c r="G106"/>
      <x:c r="H106"/>
      <x:c r="I106" s="22" t="str">
        <x:f>IF(SUM(F106:H106)=0,"",F106/SUM(F106:H106))</x:f>
      </x:c>
      <x:c r="J106" t="n">
        <x:f>COUNTIFS(Yanlis_Defteri!$B$2:$B$401,B106,Yanlis_Defteri!$C$2:$C$401,C106,Yanlis_Defteri!$O$2:$O$401,"Açık")</x:f>
        <x:v>0</x:v>
      </x:c>
      <x:c r="K106" t="str">
        <x:v>Planlandı</x:v>
      </x:c>
      <x:c r="L106" t="str">
        <x:v>MEB doğrulaması kitap konu bölümünden SONRA yapılır.</x:v>
      </x:c>
    </x:row>
    <x:row r="107">
      <x:c r="A107" s="12" t="n">
        <x:v>46407</x:v>
      </x:c>
      <x:c r="B107" t="str">
        <x:v>İngilizce</x:v>
      </x:c>
      <x:c r="C107" t="str">
        <x:v>Unit 7 - Tourism</x:v>
      </x:c>
      <x:c r="D107" t="str">
        <x:v>Konu Sonu MEB Doğrulama</x:v>
      </x:c>
      <x:c r="E107" t="str">
        <x:v>https://odsgm.meb.gov.tr/www/8sinif-calisma-sorulari/icerik/1632</x:v>
      </x:c>
      <x:c r="F107"/>
      <x:c r="G107"/>
      <x:c r="H107"/>
      <x:c r="I107" s="22" t="str">
        <x:f>IF(SUM(F107:H107)=0,"",F107/SUM(F107:H107))</x:f>
      </x:c>
      <x:c r="J107" t="n">
        <x:f>COUNTIFS(Yanlis_Defteri!$B$2:$B$401,B107,Yanlis_Defteri!$C$2:$C$401,C107,Yanlis_Defteri!$O$2:$O$401,"Açık")</x:f>
        <x:v>0</x:v>
      </x:c>
      <x:c r="K107" t="str">
        <x:v>Planlandı</x:v>
      </x:c>
      <x:c r="L107" t="str">
        <x:v>MEB doğrulaması kitap konu bölümünden SONRA yapılır.</x:v>
      </x:c>
    </x:row>
    <x:row r="108">
      <x:c r="A108" s="12" t="n">
        <x:v>46423</x:v>
      </x:c>
      <x:c r="B108" t="str">
        <x:v>İngilizce</x:v>
      </x:c>
      <x:c r="C108" t="str">
        <x:v>Unit 8 - Chores</x:v>
      </x:c>
      <x:c r="D108" t="str">
        <x:v>Konu Sonu MEB Doğrulama</x:v>
      </x:c>
      <x:c r="E108" t="str">
        <x:v>https://odsgm.meb.gov.tr/www/8sinif-calisma-sorulari/icerik/1632</x:v>
      </x:c>
      <x:c r="F108"/>
      <x:c r="G108"/>
      <x:c r="H108"/>
      <x:c r="I108" s="22" t="str">
        <x:f>IF(SUM(F108:H108)=0,"",F108/SUM(F108:H108))</x:f>
      </x:c>
      <x:c r="J108" t="n">
        <x:f>COUNTIFS(Yanlis_Defteri!$B$2:$B$401,B108,Yanlis_Defteri!$C$2:$C$401,C108,Yanlis_Defteri!$O$2:$O$401,"Açık")</x:f>
        <x:v>0</x:v>
      </x:c>
      <x:c r="K108" t="str">
        <x:v>Planlandı</x:v>
      </x:c>
      <x:c r="L108" t="str">
        <x:v>MEB doğrulaması kitap konu bölümünden SONRA yapılır.</x:v>
      </x:c>
    </x:row>
    <x:row r="109">
      <x:c r="A109" s="12" t="n">
        <x:v>46439</x:v>
      </x:c>
      <x:c r="B109" t="str">
        <x:v>İngilizce</x:v>
      </x:c>
      <x:c r="C109" t="str">
        <x:v>Unit 9 - Science</x:v>
      </x:c>
      <x:c r="D109" t="str">
        <x:v>Konu Sonu MEB Doğrulama</x:v>
      </x:c>
      <x:c r="E109" t="str">
        <x:v>https://odsgm.meb.gov.tr/www/8sinif-calisma-sorulari/icerik/1632</x:v>
      </x:c>
      <x:c r="F109"/>
      <x:c r="G109"/>
      <x:c r="H109"/>
      <x:c r="I109" s="22" t="str">
        <x:f>IF(SUM(F109:H109)=0,"",F109/SUM(F109:H109))</x:f>
      </x:c>
      <x:c r="J109" t="n">
        <x:f>COUNTIFS(Yanlis_Defteri!$B$2:$B$401,B109,Yanlis_Defteri!$C$2:$C$401,C109,Yanlis_Defteri!$O$2:$O$401,"Açık")</x:f>
        <x:v>0</x:v>
      </x:c>
      <x:c r="K109" t="str">
        <x:v>Planlandı</x:v>
      </x:c>
      <x:c r="L109" t="str">
        <x:v>MEB doğrulaması kitap konu bölümünden SONRA yapılır.</x:v>
      </x:c>
    </x:row>
    <x:row r="110">
      <x:c r="A110" s="12" t="n">
        <x:v>46455</x:v>
      </x:c>
      <x:c r="B110" t="str">
        <x:v>İngilizce</x:v>
      </x:c>
      <x:c r="C110" t="str">
        <x:v>Unit 10 - Natural Forces</x:v>
      </x:c>
      <x:c r="D110" t="str">
        <x:v>Konu Sonu MEB Doğrulama</x:v>
      </x:c>
      <x:c r="E110" t="str">
        <x:v>https://odsgm.meb.gov.tr/www/8sinif-calisma-sorulari/icerik/1632</x:v>
      </x:c>
      <x:c r="F110"/>
      <x:c r="G110"/>
      <x:c r="H110"/>
      <x:c r="I110" s="22" t="str">
        <x:f>IF(SUM(F110:H110)=0,"",F110/SUM(F110:H110))</x:f>
      </x:c>
      <x:c r="J110" t="n">
        <x:f>COUNTIFS(Yanlis_Defteri!$B$2:$B$401,B110,Yanlis_Defteri!$C$2:$C$401,C110,Yanlis_Defteri!$O$2:$O$401,"Açık")</x:f>
        <x:v>0</x:v>
      </x:c>
      <x:c r="K110" t="str">
        <x:v>Planlandı</x:v>
      </x:c>
      <x:c r="L110" t="str">
        <x:v>MEB doğrulaması kitap konu bölümünden SONRA yapılır.</x:v>
      </x:c>
    </x:row>
  </x:sheetData>
  <x:dataValidations count="1">
    <x:dataValidation type="list" sqref="K2:K110">
      <x:formula1>"Planlandı,Tamamlandı,Yeniden Doğrulama,Telafi"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dcd1576c90422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28" hidden="0" customWidth="1"/>
    <x:col min="5" max="5" width="26" hidden="0" customWidth="1"/>
    <x:col min="6" max="6" width="20" hidden="0" customWidth="1"/>
    <x:col min="7" max="7" width="54" hidden="0" customWidth="1"/>
    <x:col min="8" max="8" width="14" hidden="0" customWidth="1"/>
    <x:col min="9" max="9" width="16" hidden="0" customWidth="1"/>
    <x:col min="10" max="10" width="14" hidden="0" customWidth="1"/>
    <x:col min="11" max="11" width="16" hidden="0" customWidth="1"/>
    <x:col min="12" max="12" width="14" hidden="0" customWidth="1"/>
    <x:col min="13" max="13" width="16" hidden="0" customWidth="1"/>
    <x:col min="14" max="14" width="14" hidden="0" customWidth="1"/>
    <x:col min="15" max="15" width="14" hidden="0" customWidth="1"/>
    <x:col min="16" max="16" width="42" hidden="0" customWidth="1"/>
  </x:cols>
  <x:sheetData>
    <x:row r="1">
      <x:c r="A1" s="6" t="str">
        <x:v>Hata Tarihi</x:v>
      </x:c>
      <x:c r="B1" s="6" t="str">
        <x:v>Ders</x:v>
      </x:c>
      <x:c r="C1" s="6" t="str">
        <x:v>Konu</x:v>
      </x:c>
      <x:c r="D1" s="6" t="str">
        <x:v>Kaynak</x:v>
      </x:c>
      <x:c r="E1" s="6" t="str">
        <x:v>Soru / Referans</x:v>
      </x:c>
      <x:c r="F1" s="6" t="str">
        <x:v>Hata Türü</x:v>
      </x:c>
      <x:c r="G1" s="6" t="str">
        <x:v>Neden / Öğrenilen Çözüm</x:v>
      </x:c>
      <x:c r="H1" s="6" t="str">
        <x:v>+1 Tarihi</x:v>
      </x:c>
      <x:c r="I1" s="6" t="str">
        <x:v>+1 Durum</x:v>
      </x:c>
      <x:c r="J1" s="6" t="str">
        <x:v>+7 Tarihi</x:v>
      </x:c>
      <x:c r="K1" s="6" t="str">
        <x:v>+7 Durum</x:v>
      </x:c>
      <x:c r="L1" s="6" t="str">
        <x:v>+21 Tarihi</x:v>
      </x:c>
      <x:c r="M1" s="6" t="str">
        <x:v>+21 Durum</x:v>
      </x:c>
      <x:c r="N1" s="6" t="str">
        <x:v>Tekrar Hata?</x:v>
      </x:c>
      <x:c r="O1" s="6" t="str">
        <x:v>Açık/Kapalı</x:v>
      </x:c>
      <x:c r="P1" s="6" t="str">
        <x:v>Not</x:v>
      </x:c>
    </x:row>
    <x:row r="2">
      <x:c r="A2" s="12"/>
      <x:c r="B2"/>
      <x:c r="C2"/>
      <x:c r="D2"/>
      <x:c r="E2"/>
      <x:c r="F2"/>
      <x:c r="G2"/>
      <x:c r="H2" s="12" t="str">
        <x:f>IF(A2="","",A2+1)</x:f>
      </x:c>
      <x:c r="I2"/>
      <x:c r="J2" s="12" t="str">
        <x:f>IF(A2="","",A2+7)</x:f>
      </x:c>
      <x:c r="K2"/>
      <x:c r="L2" s="12" t="str">
        <x:f>IF(A2="","",A2+21)</x:f>
      </x:c>
      <x:c r="M2"/>
      <x:c r="N2"/>
      <x:c r="O2"/>
      <x:c r="P2"/>
    </x:row>
    <x:row r="3">
      <x:c r="A3" s="12"/>
      <x:c r="B3"/>
      <x:c r="C3"/>
      <x:c r="D3"/>
      <x:c r="E3"/>
      <x:c r="F3"/>
      <x:c r="G3"/>
      <x:c r="H3" s="12" t="str">
        <x:f>IF(A3="","",A3+1)</x:f>
      </x:c>
      <x:c r="I3"/>
      <x:c r="J3" s="12" t="str">
        <x:f>IF(A3="","",A3+7)</x:f>
      </x:c>
      <x:c r="K3"/>
      <x:c r="L3" s="12" t="str">
        <x:f>IF(A3="","",A3+21)</x:f>
      </x:c>
      <x:c r="M3"/>
      <x:c r="N3"/>
      <x:c r="O3"/>
      <x:c r="P3"/>
    </x:row>
    <x:row r="4">
      <x:c r="A4" s="12"/>
      <x:c r="B4"/>
      <x:c r="C4"/>
      <x:c r="D4"/>
      <x:c r="E4"/>
      <x:c r="F4"/>
      <x:c r="G4"/>
      <x:c r="H4" s="12" t="str">
        <x:f>IF(A4="","",A4+1)</x:f>
      </x:c>
      <x:c r="I4"/>
      <x:c r="J4" s="12" t="str">
        <x:f>IF(A4="","",A4+7)</x:f>
      </x:c>
      <x:c r="K4"/>
      <x:c r="L4" s="12" t="str">
        <x:f>IF(A4="","",A4+21)</x:f>
      </x:c>
      <x:c r="M4"/>
      <x:c r="N4"/>
      <x:c r="O4"/>
      <x:c r="P4"/>
    </x:row>
    <x:row r="5">
      <x:c r="A5" s="12"/>
      <x:c r="B5"/>
      <x:c r="C5"/>
      <x:c r="D5"/>
      <x:c r="E5"/>
      <x:c r="F5"/>
      <x:c r="G5"/>
      <x:c r="H5" s="12" t="str">
        <x:f>IF(A5="","",A5+1)</x:f>
      </x:c>
      <x:c r="I5"/>
      <x:c r="J5" s="12" t="str">
        <x:f>IF(A5="","",A5+7)</x:f>
      </x:c>
      <x:c r="K5"/>
      <x:c r="L5" s="12" t="str">
        <x:f>IF(A5="","",A5+21)</x:f>
      </x:c>
      <x:c r="M5"/>
      <x:c r="N5"/>
      <x:c r="O5"/>
      <x:c r="P5"/>
    </x:row>
    <x:row r="6">
      <x:c r="A6" s="12"/>
      <x:c r="B6"/>
      <x:c r="C6"/>
      <x:c r="D6"/>
      <x:c r="E6"/>
      <x:c r="F6"/>
      <x:c r="G6"/>
      <x:c r="H6" s="12" t="str">
        <x:f>IF(A6="","",A6+1)</x:f>
      </x:c>
      <x:c r="I6"/>
      <x:c r="J6" s="12" t="str">
        <x:f>IF(A6="","",A6+7)</x:f>
      </x:c>
      <x:c r="K6"/>
      <x:c r="L6" s="12" t="str">
        <x:f>IF(A6="","",A6+21)</x:f>
      </x:c>
      <x:c r="M6"/>
      <x:c r="N6"/>
      <x:c r="O6"/>
      <x:c r="P6"/>
    </x:row>
    <x:row r="7">
      <x:c r="A7" s="12"/>
      <x:c r="B7"/>
      <x:c r="C7"/>
      <x:c r="D7"/>
      <x:c r="E7"/>
      <x:c r="F7"/>
      <x:c r="G7"/>
      <x:c r="H7" s="12" t="str">
        <x:f>IF(A7="","",A7+1)</x:f>
      </x:c>
      <x:c r="I7"/>
      <x:c r="J7" s="12" t="str">
        <x:f>IF(A7="","",A7+7)</x:f>
      </x:c>
      <x:c r="K7"/>
      <x:c r="L7" s="12" t="str">
        <x:f>IF(A7="","",A7+21)</x:f>
      </x:c>
      <x:c r="M7"/>
      <x:c r="N7"/>
      <x:c r="O7"/>
      <x:c r="P7"/>
    </x:row>
    <x:row r="8">
      <x:c r="A8" s="12"/>
      <x:c r="B8"/>
      <x:c r="C8"/>
      <x:c r="D8"/>
      <x:c r="E8"/>
      <x:c r="F8"/>
      <x:c r="G8"/>
      <x:c r="H8" s="12" t="str">
        <x:f>IF(A8="","",A8+1)</x:f>
      </x:c>
      <x:c r="I8"/>
      <x:c r="J8" s="12" t="str">
        <x:f>IF(A8="","",A8+7)</x:f>
      </x:c>
      <x:c r="K8"/>
      <x:c r="L8" s="12" t="str">
        <x:f>IF(A8="","",A8+21)</x:f>
      </x:c>
      <x:c r="M8"/>
      <x:c r="N8"/>
      <x:c r="O8"/>
      <x:c r="P8"/>
    </x:row>
    <x:row r="9">
      <x:c r="A9" s="12"/>
      <x:c r="B9"/>
      <x:c r="C9"/>
      <x:c r="D9"/>
      <x:c r="E9"/>
      <x:c r="F9"/>
      <x:c r="G9"/>
      <x:c r="H9" s="12" t="str">
        <x:f>IF(A9="","",A9+1)</x:f>
      </x:c>
      <x:c r="I9"/>
      <x:c r="J9" s="12" t="str">
        <x:f>IF(A9="","",A9+7)</x:f>
      </x:c>
      <x:c r="K9"/>
      <x:c r="L9" s="12" t="str">
        <x:f>IF(A9="","",A9+21)</x:f>
      </x:c>
      <x:c r="M9"/>
      <x:c r="N9"/>
      <x:c r="O9"/>
      <x:c r="P9"/>
    </x:row>
    <x:row r="10">
      <x:c r="A10" s="12"/>
      <x:c r="B10"/>
      <x:c r="C10"/>
      <x:c r="D10"/>
      <x:c r="E10"/>
      <x:c r="F10"/>
      <x:c r="G10"/>
      <x:c r="H10" s="12" t="str">
        <x:f>IF(A10="","",A10+1)</x:f>
      </x:c>
      <x:c r="I10"/>
      <x:c r="J10" s="12" t="str">
        <x:f>IF(A10="","",A10+7)</x:f>
      </x:c>
      <x:c r="K10"/>
      <x:c r="L10" s="12" t="str">
        <x:f>IF(A10="","",A10+21)</x:f>
      </x:c>
      <x:c r="M10"/>
      <x:c r="N10"/>
      <x:c r="O10"/>
      <x:c r="P10"/>
    </x:row>
    <x:row r="11">
      <x:c r="A11" s="12"/>
      <x:c r="B11"/>
      <x:c r="C11"/>
      <x:c r="D11"/>
      <x:c r="E11"/>
      <x:c r="F11"/>
      <x:c r="G11"/>
      <x:c r="H11" s="12" t="str">
        <x:f>IF(A11="","",A11+1)</x:f>
      </x:c>
      <x:c r="I11"/>
      <x:c r="J11" s="12" t="str">
        <x:f>IF(A11="","",A11+7)</x:f>
      </x:c>
      <x:c r="K11"/>
      <x:c r="L11" s="12" t="str">
        <x:f>IF(A11="","",A11+21)</x:f>
      </x:c>
      <x:c r="M11"/>
      <x:c r="N11"/>
      <x:c r="O11"/>
      <x:c r="P11"/>
    </x:row>
    <x:row r="12">
      <x:c r="A12" s="12"/>
      <x:c r="B12"/>
      <x:c r="C12"/>
      <x:c r="D12"/>
      <x:c r="E12"/>
      <x:c r="F12"/>
      <x:c r="G12"/>
      <x:c r="H12" s="12" t="str">
        <x:f>IF(A12="","",A12+1)</x:f>
      </x:c>
      <x:c r="I12"/>
      <x:c r="J12" s="12" t="str">
        <x:f>IF(A12="","",A12+7)</x:f>
      </x:c>
      <x:c r="K12"/>
      <x:c r="L12" s="12" t="str">
        <x:f>IF(A12="","",A12+21)</x:f>
      </x:c>
      <x:c r="M12"/>
      <x:c r="N12"/>
      <x:c r="O12"/>
      <x:c r="P12"/>
    </x:row>
    <x:row r="13">
      <x:c r="A13" s="12"/>
      <x:c r="B13"/>
      <x:c r="C13"/>
      <x:c r="D13"/>
      <x:c r="E13"/>
      <x:c r="F13"/>
      <x:c r="G13"/>
      <x:c r="H13" s="12" t="str">
        <x:f>IF(A13="","",A13+1)</x:f>
      </x:c>
      <x:c r="I13"/>
      <x:c r="J13" s="12" t="str">
        <x:f>IF(A13="","",A13+7)</x:f>
      </x:c>
      <x:c r="K13"/>
      <x:c r="L13" s="12" t="str">
        <x:f>IF(A13="","",A13+21)</x:f>
      </x:c>
      <x:c r="M13"/>
      <x:c r="N13"/>
      <x:c r="O13"/>
      <x:c r="P13"/>
    </x:row>
    <x:row r="14">
      <x:c r="A14" s="12"/>
      <x:c r="B14"/>
      <x:c r="C14"/>
      <x:c r="D14"/>
      <x:c r="E14"/>
      <x:c r="F14"/>
      <x:c r="G14"/>
      <x:c r="H14" s="12" t="str">
        <x:f>IF(A14="","",A14+1)</x:f>
      </x:c>
      <x:c r="I14"/>
      <x:c r="J14" s="12" t="str">
        <x:f>IF(A14="","",A14+7)</x:f>
      </x:c>
      <x:c r="K14"/>
      <x:c r="L14" s="12" t="str">
        <x:f>IF(A14="","",A14+21)</x:f>
      </x:c>
      <x:c r="M14"/>
      <x:c r="N14"/>
      <x:c r="O14"/>
      <x:c r="P14"/>
    </x:row>
    <x:row r="15">
      <x:c r="A15" s="12"/>
      <x:c r="B15"/>
      <x:c r="C15"/>
      <x:c r="D15"/>
      <x:c r="E15"/>
      <x:c r="F15"/>
      <x:c r="G15"/>
      <x:c r="H15" s="12" t="str">
        <x:f>IF(A15="","",A15+1)</x:f>
      </x:c>
      <x:c r="I15"/>
      <x:c r="J15" s="12" t="str">
        <x:f>IF(A15="","",A15+7)</x:f>
      </x:c>
      <x:c r="K15"/>
      <x:c r="L15" s="12" t="str">
        <x:f>IF(A15="","",A15+21)</x:f>
      </x:c>
      <x:c r="M15"/>
      <x:c r="N15"/>
      <x:c r="O15"/>
      <x:c r="P15"/>
    </x:row>
    <x:row r="16">
      <x:c r="A16" s="12"/>
      <x:c r="B16"/>
      <x:c r="C16"/>
      <x:c r="D16"/>
      <x:c r="E16"/>
      <x:c r="F16"/>
      <x:c r="G16"/>
      <x:c r="H16" s="12" t="str">
        <x:f>IF(A16="","",A16+1)</x:f>
      </x:c>
      <x:c r="I16"/>
      <x:c r="J16" s="12" t="str">
        <x:f>IF(A16="","",A16+7)</x:f>
      </x:c>
      <x:c r="K16"/>
      <x:c r="L16" s="12" t="str">
        <x:f>IF(A16="","",A16+21)</x:f>
      </x:c>
      <x:c r="M16"/>
      <x:c r="N16"/>
      <x:c r="O16"/>
      <x:c r="P16"/>
    </x:row>
    <x:row r="17">
      <x:c r="A17" s="12"/>
      <x:c r="B17"/>
      <x:c r="C17"/>
      <x:c r="D17"/>
      <x:c r="E17"/>
      <x:c r="F17"/>
      <x:c r="G17"/>
      <x:c r="H17" s="12" t="str">
        <x:f>IF(A17="","",A17+1)</x:f>
      </x:c>
      <x:c r="I17"/>
      <x:c r="J17" s="12" t="str">
        <x:f>IF(A17="","",A17+7)</x:f>
      </x:c>
      <x:c r="K17"/>
      <x:c r="L17" s="12" t="str">
        <x:f>IF(A17="","",A17+21)</x:f>
      </x:c>
      <x:c r="M17"/>
      <x:c r="N17"/>
      <x:c r="O17"/>
      <x:c r="P17"/>
    </x:row>
    <x:row r="18">
      <x:c r="A18" s="12"/>
      <x:c r="B18"/>
      <x:c r="C18"/>
      <x:c r="D18"/>
      <x:c r="E18"/>
      <x:c r="F18"/>
      <x:c r="G18"/>
      <x:c r="H18" s="12" t="str">
        <x:f>IF(A18="","",A18+1)</x:f>
      </x:c>
      <x:c r="I18"/>
      <x:c r="J18" s="12" t="str">
        <x:f>IF(A18="","",A18+7)</x:f>
      </x:c>
      <x:c r="K18"/>
      <x:c r="L18" s="12" t="str">
        <x:f>IF(A18="","",A18+21)</x:f>
      </x:c>
      <x:c r="M18"/>
      <x:c r="N18"/>
      <x:c r="O18"/>
      <x:c r="P18"/>
    </x:row>
    <x:row r="19">
      <x:c r="A19" s="12"/>
      <x:c r="B19"/>
      <x:c r="C19"/>
      <x:c r="D19"/>
      <x:c r="E19"/>
      <x:c r="F19"/>
      <x:c r="G19"/>
      <x:c r="H19" s="12" t="str">
        <x:f>IF(A19="","",A19+1)</x:f>
      </x:c>
      <x:c r="I19"/>
      <x:c r="J19" s="12" t="str">
        <x:f>IF(A19="","",A19+7)</x:f>
      </x:c>
      <x:c r="K19"/>
      <x:c r="L19" s="12" t="str">
        <x:f>IF(A19="","",A19+21)</x:f>
      </x:c>
      <x:c r="M19"/>
      <x:c r="N19"/>
      <x:c r="O19"/>
      <x:c r="P19"/>
    </x:row>
    <x:row r="20">
      <x:c r="A20" s="12"/>
      <x:c r="B20"/>
      <x:c r="C20"/>
      <x:c r="D20"/>
      <x:c r="E20"/>
      <x:c r="F20"/>
      <x:c r="G20"/>
      <x:c r="H20" s="12" t="str">
        <x:f>IF(A20="","",A20+1)</x:f>
      </x:c>
      <x:c r="I20"/>
      <x:c r="J20" s="12" t="str">
        <x:f>IF(A20="","",A20+7)</x:f>
      </x:c>
      <x:c r="K20"/>
      <x:c r="L20" s="12" t="str">
        <x:f>IF(A20="","",A20+21)</x:f>
      </x:c>
      <x:c r="M20"/>
      <x:c r="N20"/>
      <x:c r="O20"/>
      <x:c r="P20"/>
    </x:row>
    <x:row r="21">
      <x:c r="A21" s="12"/>
      <x:c r="B21"/>
      <x:c r="C21"/>
      <x:c r="D21"/>
      <x:c r="E21"/>
      <x:c r="F21"/>
      <x:c r="G21"/>
      <x:c r="H21" s="12" t="str">
        <x:f>IF(A21="","",A21+1)</x:f>
      </x:c>
      <x:c r="I21"/>
      <x:c r="J21" s="12" t="str">
        <x:f>IF(A21="","",A21+7)</x:f>
      </x:c>
      <x:c r="K21"/>
      <x:c r="L21" s="12" t="str">
        <x:f>IF(A21="","",A21+21)</x:f>
      </x:c>
      <x:c r="M21"/>
      <x:c r="N21"/>
      <x:c r="O21"/>
      <x:c r="P21"/>
    </x:row>
    <x:row r="22">
      <x:c r="A22" s="12"/>
      <x:c r="B22"/>
      <x:c r="C22"/>
      <x:c r="D22"/>
      <x:c r="E22"/>
      <x:c r="F22"/>
      <x:c r="G22"/>
      <x:c r="H22" s="12" t="str">
        <x:f>IF(A22="","",A22+1)</x:f>
      </x:c>
      <x:c r="I22"/>
      <x:c r="J22" s="12" t="str">
        <x:f>IF(A22="","",A22+7)</x:f>
      </x:c>
      <x:c r="K22"/>
      <x:c r="L22" s="12" t="str">
        <x:f>IF(A22="","",A22+21)</x:f>
      </x:c>
      <x:c r="M22"/>
      <x:c r="N22"/>
      <x:c r="O22"/>
      <x:c r="P22"/>
    </x:row>
    <x:row r="23">
      <x:c r="A23" s="12"/>
      <x:c r="B23"/>
      <x:c r="C23"/>
      <x:c r="D23"/>
      <x:c r="E23"/>
      <x:c r="F23"/>
      <x:c r="G23"/>
      <x:c r="H23" s="12" t="str">
        <x:f>IF(A23="","",A23+1)</x:f>
      </x:c>
      <x:c r="I23"/>
      <x:c r="J23" s="12" t="str">
        <x:f>IF(A23="","",A23+7)</x:f>
      </x:c>
      <x:c r="K23"/>
      <x:c r="L23" s="12" t="str">
        <x:f>IF(A23="","",A23+21)</x:f>
      </x:c>
      <x:c r="M23"/>
      <x:c r="N23"/>
      <x:c r="O23"/>
      <x:c r="P23"/>
    </x:row>
    <x:row r="24">
      <x:c r="A24" s="12"/>
      <x:c r="B24"/>
      <x:c r="C24"/>
      <x:c r="D24"/>
      <x:c r="E24"/>
      <x:c r="F24"/>
      <x:c r="G24"/>
      <x:c r="H24" s="12" t="str">
        <x:f>IF(A24="","",A24+1)</x:f>
      </x:c>
      <x:c r="I24"/>
      <x:c r="J24" s="12" t="str">
        <x:f>IF(A24="","",A24+7)</x:f>
      </x:c>
      <x:c r="K24"/>
      <x:c r="L24" s="12" t="str">
        <x:f>IF(A24="","",A24+21)</x:f>
      </x:c>
      <x:c r="M24"/>
      <x:c r="N24"/>
      <x:c r="O24"/>
      <x:c r="P24"/>
    </x:row>
    <x:row r="25">
      <x:c r="A25" s="12"/>
      <x:c r="B25"/>
      <x:c r="C25"/>
      <x:c r="D25"/>
      <x:c r="E25"/>
      <x:c r="F25"/>
      <x:c r="G25"/>
      <x:c r="H25" s="12" t="str">
        <x:f>IF(A25="","",A25+1)</x:f>
      </x:c>
      <x:c r="I25"/>
      <x:c r="J25" s="12" t="str">
        <x:f>IF(A25="","",A25+7)</x:f>
      </x:c>
      <x:c r="K25"/>
      <x:c r="L25" s="12" t="str">
        <x:f>IF(A25="","",A25+21)</x:f>
      </x:c>
      <x:c r="M25"/>
      <x:c r="N25"/>
      <x:c r="O25"/>
      <x:c r="P25"/>
    </x:row>
    <x:row r="26">
      <x:c r="A26" s="12"/>
      <x:c r="B26"/>
      <x:c r="C26"/>
      <x:c r="D26"/>
      <x:c r="E26"/>
      <x:c r="F26"/>
      <x:c r="G26"/>
      <x:c r="H26" s="12" t="str">
        <x:f>IF(A26="","",A26+1)</x:f>
      </x:c>
      <x:c r="I26"/>
      <x:c r="J26" s="12" t="str">
        <x:f>IF(A26="","",A26+7)</x:f>
      </x:c>
      <x:c r="K26"/>
      <x:c r="L26" s="12" t="str">
        <x:f>IF(A26="","",A26+21)</x:f>
      </x:c>
      <x:c r="M26"/>
      <x:c r="N26"/>
      <x:c r="O26"/>
      <x:c r="P26"/>
    </x:row>
    <x:row r="27">
      <x:c r="A27" s="12"/>
      <x:c r="B27"/>
      <x:c r="C27"/>
      <x:c r="D27"/>
      <x:c r="E27"/>
      <x:c r="F27"/>
      <x:c r="G27"/>
      <x:c r="H27" s="12" t="str">
        <x:f>IF(A27="","",A27+1)</x:f>
      </x:c>
      <x:c r="I27"/>
      <x:c r="J27" s="12" t="str">
        <x:f>IF(A27="","",A27+7)</x:f>
      </x:c>
      <x:c r="K27"/>
      <x:c r="L27" s="12" t="str">
        <x:f>IF(A27="","",A27+21)</x:f>
      </x:c>
      <x:c r="M27"/>
      <x:c r="N27"/>
      <x:c r="O27"/>
      <x:c r="P27"/>
    </x:row>
    <x:row r="28">
      <x:c r="A28" s="12"/>
      <x:c r="B28"/>
      <x:c r="C28"/>
      <x:c r="D28"/>
      <x:c r="E28"/>
      <x:c r="F28"/>
      <x:c r="G28"/>
      <x:c r="H28" s="12" t="str">
        <x:f>IF(A28="","",A28+1)</x:f>
      </x:c>
      <x:c r="I28"/>
      <x:c r="J28" s="12" t="str">
        <x:f>IF(A28="","",A28+7)</x:f>
      </x:c>
      <x:c r="K28"/>
      <x:c r="L28" s="12" t="str">
        <x:f>IF(A28="","",A28+21)</x:f>
      </x:c>
      <x:c r="M28"/>
      <x:c r="N28"/>
      <x:c r="O28"/>
      <x:c r="P28"/>
    </x:row>
    <x:row r="29">
      <x:c r="A29" s="12"/>
      <x:c r="B29"/>
      <x:c r="C29"/>
      <x:c r="D29"/>
      <x:c r="E29"/>
      <x:c r="F29"/>
      <x:c r="G29"/>
      <x:c r="H29" s="12" t="str">
        <x:f>IF(A29="","",A29+1)</x:f>
      </x:c>
      <x:c r="I29"/>
      <x:c r="J29" s="12" t="str">
        <x:f>IF(A29="","",A29+7)</x:f>
      </x:c>
      <x:c r="K29"/>
      <x:c r="L29" s="12" t="str">
        <x:f>IF(A29="","",A29+21)</x:f>
      </x:c>
      <x:c r="M29"/>
      <x:c r="N29"/>
      <x:c r="O29"/>
      <x:c r="P29"/>
    </x:row>
    <x:row r="30">
      <x:c r="A30" s="12"/>
      <x:c r="B30"/>
      <x:c r="C30"/>
      <x:c r="D30"/>
      <x:c r="E30"/>
      <x:c r="F30"/>
      <x:c r="G30"/>
      <x:c r="H30" s="12" t="str">
        <x:f>IF(A30="","",A30+1)</x:f>
      </x:c>
      <x:c r="I30"/>
      <x:c r="J30" s="12" t="str">
        <x:f>IF(A30="","",A30+7)</x:f>
      </x:c>
      <x:c r="K30"/>
      <x:c r="L30" s="12" t="str">
        <x:f>IF(A30="","",A30+21)</x:f>
      </x:c>
      <x:c r="M30"/>
      <x:c r="N30"/>
      <x:c r="O30"/>
      <x:c r="P30"/>
    </x:row>
    <x:row r="31">
      <x:c r="A31" s="12"/>
      <x:c r="B31"/>
      <x:c r="C31"/>
      <x:c r="D31"/>
      <x:c r="E31"/>
      <x:c r="F31"/>
      <x:c r="G31"/>
      <x:c r="H31" s="12" t="str">
        <x:f>IF(A31="","",A31+1)</x:f>
      </x:c>
      <x:c r="I31"/>
      <x:c r="J31" s="12" t="str">
        <x:f>IF(A31="","",A31+7)</x:f>
      </x:c>
      <x:c r="K31"/>
      <x:c r="L31" s="12" t="str">
        <x:f>IF(A31="","",A31+21)</x:f>
      </x:c>
      <x:c r="M31"/>
      <x:c r="N31"/>
      <x:c r="O31"/>
      <x:c r="P31"/>
    </x:row>
    <x:row r="32">
      <x:c r="A32" s="12"/>
      <x:c r="B32"/>
      <x:c r="C32"/>
      <x:c r="D32"/>
      <x:c r="E32"/>
      <x:c r="F32"/>
      <x:c r="G32"/>
      <x:c r="H32" s="12" t="str">
        <x:f>IF(A32="","",A32+1)</x:f>
      </x:c>
      <x:c r="I32"/>
      <x:c r="J32" s="12" t="str">
        <x:f>IF(A32="","",A32+7)</x:f>
      </x:c>
      <x:c r="K32"/>
      <x:c r="L32" s="12" t="str">
        <x:f>IF(A32="","",A32+21)</x:f>
      </x:c>
      <x:c r="M32"/>
      <x:c r="N32"/>
      <x:c r="O32"/>
      <x:c r="P32"/>
    </x:row>
    <x:row r="33">
      <x:c r="A33" s="12"/>
      <x:c r="B33"/>
      <x:c r="C33"/>
      <x:c r="D33"/>
      <x:c r="E33"/>
      <x:c r="F33"/>
      <x:c r="G33"/>
      <x:c r="H33" s="12" t="str">
        <x:f>IF(A33="","",A33+1)</x:f>
      </x:c>
      <x:c r="I33"/>
      <x:c r="J33" s="12" t="str">
        <x:f>IF(A33="","",A33+7)</x:f>
      </x:c>
      <x:c r="K33"/>
      <x:c r="L33" s="12" t="str">
        <x:f>IF(A33="","",A33+21)</x:f>
      </x:c>
      <x:c r="M33"/>
      <x:c r="N33"/>
      <x:c r="O33"/>
      <x:c r="P33"/>
    </x:row>
    <x:row r="34">
      <x:c r="A34" s="12"/>
      <x:c r="B34"/>
      <x:c r="C34"/>
      <x:c r="D34"/>
      <x:c r="E34"/>
      <x:c r="F34"/>
      <x:c r="G34"/>
      <x:c r="H34" s="12" t="str">
        <x:f>IF(A34="","",A34+1)</x:f>
      </x:c>
      <x:c r="I34"/>
      <x:c r="J34" s="12" t="str">
        <x:f>IF(A34="","",A34+7)</x:f>
      </x:c>
      <x:c r="K34"/>
      <x:c r="L34" s="12" t="str">
        <x:f>IF(A34="","",A34+21)</x:f>
      </x:c>
      <x:c r="M34"/>
      <x:c r="N34"/>
      <x:c r="O34"/>
      <x:c r="P34"/>
    </x:row>
    <x:row r="35">
      <x:c r="A35" s="12"/>
      <x:c r="B35"/>
      <x:c r="C35"/>
      <x:c r="D35"/>
      <x:c r="E35"/>
      <x:c r="F35"/>
      <x:c r="G35"/>
      <x:c r="H35" s="12" t="str">
        <x:f>IF(A35="","",A35+1)</x:f>
      </x:c>
      <x:c r="I35"/>
      <x:c r="J35" s="12" t="str">
        <x:f>IF(A35="","",A35+7)</x:f>
      </x:c>
      <x:c r="K35"/>
      <x:c r="L35" s="12" t="str">
        <x:f>IF(A35="","",A35+21)</x:f>
      </x:c>
      <x:c r="M35"/>
      <x:c r="N35"/>
      <x:c r="O35"/>
      <x:c r="P35"/>
    </x:row>
    <x:row r="36">
      <x:c r="A36" s="12"/>
      <x:c r="B36"/>
      <x:c r="C36"/>
      <x:c r="D36"/>
      <x:c r="E36"/>
      <x:c r="F36"/>
      <x:c r="G36"/>
      <x:c r="H36" s="12" t="str">
        <x:f>IF(A36="","",A36+1)</x:f>
      </x:c>
      <x:c r="I36"/>
      <x:c r="J36" s="12" t="str">
        <x:f>IF(A36="","",A36+7)</x:f>
      </x:c>
      <x:c r="K36"/>
      <x:c r="L36" s="12" t="str">
        <x:f>IF(A36="","",A36+21)</x:f>
      </x:c>
      <x:c r="M36"/>
      <x:c r="N36"/>
      <x:c r="O36"/>
      <x:c r="P36"/>
    </x:row>
    <x:row r="37">
      <x:c r="A37" s="12"/>
      <x:c r="B37"/>
      <x:c r="C37"/>
      <x:c r="D37"/>
      <x:c r="E37"/>
      <x:c r="F37"/>
      <x:c r="G37"/>
      <x:c r="H37" s="12" t="str">
        <x:f>IF(A37="","",A37+1)</x:f>
      </x:c>
      <x:c r="I37"/>
      <x:c r="J37" s="12" t="str">
        <x:f>IF(A37="","",A37+7)</x:f>
      </x:c>
      <x:c r="K37"/>
      <x:c r="L37" s="12" t="str">
        <x:f>IF(A37="","",A37+21)</x:f>
      </x:c>
      <x:c r="M37"/>
      <x:c r="N37"/>
      <x:c r="O37"/>
      <x:c r="P37"/>
    </x:row>
    <x:row r="38">
      <x:c r="A38" s="12"/>
      <x:c r="B38"/>
      <x:c r="C38"/>
      <x:c r="D38"/>
      <x:c r="E38"/>
      <x:c r="F38"/>
      <x:c r="G38"/>
      <x:c r="H38" s="12" t="str">
        <x:f>IF(A38="","",A38+1)</x:f>
      </x:c>
      <x:c r="I38"/>
      <x:c r="J38" s="12" t="str">
        <x:f>IF(A38="","",A38+7)</x:f>
      </x:c>
      <x:c r="K38"/>
      <x:c r="L38" s="12" t="str">
        <x:f>IF(A38="","",A38+21)</x:f>
      </x:c>
      <x:c r="M38"/>
      <x:c r="N38"/>
      <x:c r="O38"/>
      <x:c r="P38"/>
    </x:row>
    <x:row r="39">
      <x:c r="A39" s="12"/>
      <x:c r="B39"/>
      <x:c r="C39"/>
      <x:c r="D39"/>
      <x:c r="E39"/>
      <x:c r="F39"/>
      <x:c r="G39"/>
      <x:c r="H39" s="12" t="str">
        <x:f>IF(A39="","",A39+1)</x:f>
      </x:c>
      <x:c r="I39"/>
      <x:c r="J39" s="12" t="str">
        <x:f>IF(A39="","",A39+7)</x:f>
      </x:c>
      <x:c r="K39"/>
      <x:c r="L39" s="12" t="str">
        <x:f>IF(A39="","",A39+21)</x:f>
      </x:c>
      <x:c r="M39"/>
      <x:c r="N39"/>
      <x:c r="O39"/>
      <x:c r="P39"/>
    </x:row>
    <x:row r="40">
      <x:c r="A40" s="12"/>
      <x:c r="B40"/>
      <x:c r="C40"/>
      <x:c r="D40"/>
      <x:c r="E40"/>
      <x:c r="F40"/>
      <x:c r="G40"/>
      <x:c r="H40" s="12" t="str">
        <x:f>IF(A40="","",A40+1)</x:f>
      </x:c>
      <x:c r="I40"/>
      <x:c r="J40" s="12" t="str">
        <x:f>IF(A40="","",A40+7)</x:f>
      </x:c>
      <x:c r="K40"/>
      <x:c r="L40" s="12" t="str">
        <x:f>IF(A40="","",A40+21)</x:f>
      </x:c>
      <x:c r="M40"/>
      <x:c r="N40"/>
      <x:c r="O40"/>
      <x:c r="P40"/>
    </x:row>
    <x:row r="41">
      <x:c r="A41" s="12"/>
      <x:c r="B41"/>
      <x:c r="C41"/>
      <x:c r="D41"/>
      <x:c r="E41"/>
      <x:c r="F41"/>
      <x:c r="G41"/>
      <x:c r="H41" s="12" t="str">
        <x:f>IF(A41="","",A41+1)</x:f>
      </x:c>
      <x:c r="I41"/>
      <x:c r="J41" s="12" t="str">
        <x:f>IF(A41="","",A41+7)</x:f>
      </x:c>
      <x:c r="K41"/>
      <x:c r="L41" s="12" t="str">
        <x:f>IF(A41="","",A41+21)</x:f>
      </x:c>
      <x:c r="M41"/>
      <x:c r="N41"/>
      <x:c r="O41"/>
      <x:c r="P41"/>
    </x:row>
    <x:row r="42">
      <x:c r="A42" s="12"/>
      <x:c r="B42"/>
      <x:c r="C42"/>
      <x:c r="D42"/>
      <x:c r="E42"/>
      <x:c r="F42"/>
      <x:c r="G42"/>
      <x:c r="H42" s="12" t="str">
        <x:f>IF(A42="","",A42+1)</x:f>
      </x:c>
      <x:c r="I42"/>
      <x:c r="J42" s="12" t="str">
        <x:f>IF(A42="","",A42+7)</x:f>
      </x:c>
      <x:c r="K42"/>
      <x:c r="L42" s="12" t="str">
        <x:f>IF(A42="","",A42+21)</x:f>
      </x:c>
      <x:c r="M42"/>
      <x:c r="N42"/>
      <x:c r="O42"/>
      <x:c r="P42"/>
    </x:row>
    <x:row r="43">
      <x:c r="A43" s="12"/>
      <x:c r="B43"/>
      <x:c r="C43"/>
      <x:c r="D43"/>
      <x:c r="E43"/>
      <x:c r="F43"/>
      <x:c r="G43"/>
      <x:c r="H43" s="12" t="str">
        <x:f>IF(A43="","",A43+1)</x:f>
      </x:c>
      <x:c r="I43"/>
      <x:c r="J43" s="12" t="str">
        <x:f>IF(A43="","",A43+7)</x:f>
      </x:c>
      <x:c r="K43"/>
      <x:c r="L43" s="12" t="str">
        <x:f>IF(A43="","",A43+21)</x:f>
      </x:c>
      <x:c r="M43"/>
      <x:c r="N43"/>
      <x:c r="O43"/>
      <x:c r="P43"/>
    </x:row>
    <x:row r="44">
      <x:c r="A44" s="12"/>
      <x:c r="B44"/>
      <x:c r="C44"/>
      <x:c r="D44"/>
      <x:c r="E44"/>
      <x:c r="F44"/>
      <x:c r="G44"/>
      <x:c r="H44" s="12" t="str">
        <x:f>IF(A44="","",A44+1)</x:f>
      </x:c>
      <x:c r="I44"/>
      <x:c r="J44" s="12" t="str">
        <x:f>IF(A44="","",A44+7)</x:f>
      </x:c>
      <x:c r="K44"/>
      <x:c r="L44" s="12" t="str">
        <x:f>IF(A44="","",A44+21)</x:f>
      </x:c>
      <x:c r="M44"/>
      <x:c r="N44"/>
      <x:c r="O44"/>
      <x:c r="P44"/>
    </x:row>
    <x:row r="45">
      <x:c r="A45" s="12"/>
      <x:c r="B45"/>
      <x:c r="C45"/>
      <x:c r="D45"/>
      <x:c r="E45"/>
      <x:c r="F45"/>
      <x:c r="G45"/>
      <x:c r="H45" s="12" t="str">
        <x:f>IF(A45="","",A45+1)</x:f>
      </x:c>
      <x:c r="I45"/>
      <x:c r="J45" s="12" t="str">
        <x:f>IF(A45="","",A45+7)</x:f>
      </x:c>
      <x:c r="K45"/>
      <x:c r="L45" s="12" t="str">
        <x:f>IF(A45="","",A45+21)</x:f>
      </x:c>
      <x:c r="M45"/>
      <x:c r="N45"/>
      <x:c r="O45"/>
      <x:c r="P45"/>
    </x:row>
    <x:row r="46">
      <x:c r="A46" s="12"/>
      <x:c r="B46"/>
      <x:c r="C46"/>
      <x:c r="D46"/>
      <x:c r="E46"/>
      <x:c r="F46"/>
      <x:c r="G46"/>
      <x:c r="H46" s="12" t="str">
        <x:f>IF(A46="","",A46+1)</x:f>
      </x:c>
      <x:c r="I46"/>
      <x:c r="J46" s="12" t="str">
        <x:f>IF(A46="","",A46+7)</x:f>
      </x:c>
      <x:c r="K46"/>
      <x:c r="L46" s="12" t="str">
        <x:f>IF(A46="","",A46+21)</x:f>
      </x:c>
      <x:c r="M46"/>
      <x:c r="N46"/>
      <x:c r="O46"/>
      <x:c r="P46"/>
    </x:row>
    <x:row r="47">
      <x:c r="A47" s="12"/>
      <x:c r="B47"/>
      <x:c r="C47"/>
      <x:c r="D47"/>
      <x:c r="E47"/>
      <x:c r="F47"/>
      <x:c r="G47"/>
      <x:c r="H47" s="12" t="str">
        <x:f>IF(A47="","",A47+1)</x:f>
      </x:c>
      <x:c r="I47"/>
      <x:c r="J47" s="12" t="str">
        <x:f>IF(A47="","",A47+7)</x:f>
      </x:c>
      <x:c r="K47"/>
      <x:c r="L47" s="12" t="str">
        <x:f>IF(A47="","",A47+21)</x:f>
      </x:c>
      <x:c r="M47"/>
      <x:c r="N47"/>
      <x:c r="O47"/>
      <x:c r="P47"/>
    </x:row>
    <x:row r="48">
      <x:c r="A48" s="12"/>
      <x:c r="B48"/>
      <x:c r="C48"/>
      <x:c r="D48"/>
      <x:c r="E48"/>
      <x:c r="F48"/>
      <x:c r="G48"/>
      <x:c r="H48" s="12" t="str">
        <x:f>IF(A48="","",A48+1)</x:f>
      </x:c>
      <x:c r="I48"/>
      <x:c r="J48" s="12" t="str">
        <x:f>IF(A48="","",A48+7)</x:f>
      </x:c>
      <x:c r="K48"/>
      <x:c r="L48" s="12" t="str">
        <x:f>IF(A48="","",A48+21)</x:f>
      </x:c>
      <x:c r="M48"/>
      <x:c r="N48"/>
      <x:c r="O48"/>
      <x:c r="P48"/>
    </x:row>
    <x:row r="49">
      <x:c r="A49" s="12"/>
      <x:c r="B49"/>
      <x:c r="C49"/>
      <x:c r="D49"/>
      <x:c r="E49"/>
      <x:c r="F49"/>
      <x:c r="G49"/>
      <x:c r="H49" s="12" t="str">
        <x:f>IF(A49="","",A49+1)</x:f>
      </x:c>
      <x:c r="I49"/>
      <x:c r="J49" s="12" t="str">
        <x:f>IF(A49="","",A49+7)</x:f>
      </x:c>
      <x:c r="K49"/>
      <x:c r="L49" s="12" t="str">
        <x:f>IF(A49="","",A49+21)</x:f>
      </x:c>
      <x:c r="M49"/>
      <x:c r="N49"/>
      <x:c r="O49"/>
      <x:c r="P49"/>
    </x:row>
    <x:row r="50">
      <x:c r="A50" s="12"/>
      <x:c r="B50"/>
      <x:c r="C50"/>
      <x:c r="D50"/>
      <x:c r="E50"/>
      <x:c r="F50"/>
      <x:c r="G50"/>
      <x:c r="H50" s="12" t="str">
        <x:f>IF(A50="","",A50+1)</x:f>
      </x:c>
      <x:c r="I50"/>
      <x:c r="J50" s="12" t="str">
        <x:f>IF(A50="","",A50+7)</x:f>
      </x:c>
      <x:c r="K50"/>
      <x:c r="L50" s="12" t="str">
        <x:f>IF(A50="","",A50+21)</x:f>
      </x:c>
      <x:c r="M50"/>
      <x:c r="N50"/>
      <x:c r="O50"/>
      <x:c r="P50"/>
    </x:row>
    <x:row r="51">
      <x:c r="A51" s="12"/>
      <x:c r="B51"/>
      <x:c r="C51"/>
      <x:c r="D51"/>
      <x:c r="E51"/>
      <x:c r="F51"/>
      <x:c r="G51"/>
      <x:c r="H51" s="12" t="str">
        <x:f>IF(A51="","",A51+1)</x:f>
      </x:c>
      <x:c r="I51"/>
      <x:c r="J51" s="12" t="str">
        <x:f>IF(A51="","",A51+7)</x:f>
      </x:c>
      <x:c r="K51"/>
      <x:c r="L51" s="12" t="str">
        <x:f>IF(A51="","",A51+21)</x:f>
      </x:c>
      <x:c r="M51"/>
      <x:c r="N51"/>
      <x:c r="O51"/>
      <x:c r="P51"/>
    </x:row>
    <x:row r="52">
      <x:c r="A52" s="12"/>
      <x:c r="B52"/>
      <x:c r="C52"/>
      <x:c r="D52"/>
      <x:c r="E52"/>
      <x:c r="F52"/>
      <x:c r="G52"/>
      <x:c r="H52" s="12" t="str">
        <x:f>IF(A52="","",A52+1)</x:f>
      </x:c>
      <x:c r="I52"/>
      <x:c r="J52" s="12" t="str">
        <x:f>IF(A52="","",A52+7)</x:f>
      </x:c>
      <x:c r="K52"/>
      <x:c r="L52" s="12" t="str">
        <x:f>IF(A52="","",A52+21)</x:f>
      </x:c>
      <x:c r="M52"/>
      <x:c r="N52"/>
      <x:c r="O52"/>
      <x:c r="P52"/>
    </x:row>
    <x:row r="53">
      <x:c r="A53" s="12"/>
      <x:c r="B53"/>
      <x:c r="C53"/>
      <x:c r="D53"/>
      <x:c r="E53"/>
      <x:c r="F53"/>
      <x:c r="G53"/>
      <x:c r="H53" s="12" t="str">
        <x:f>IF(A53="","",A53+1)</x:f>
      </x:c>
      <x:c r="I53"/>
      <x:c r="J53" s="12" t="str">
        <x:f>IF(A53="","",A53+7)</x:f>
      </x:c>
      <x:c r="K53"/>
      <x:c r="L53" s="12" t="str">
        <x:f>IF(A53="","",A53+21)</x:f>
      </x:c>
      <x:c r="M53"/>
      <x:c r="N53"/>
      <x:c r="O53"/>
      <x:c r="P53"/>
    </x:row>
    <x:row r="54">
      <x:c r="A54" s="12"/>
      <x:c r="B54"/>
      <x:c r="C54"/>
      <x:c r="D54"/>
      <x:c r="E54"/>
      <x:c r="F54"/>
      <x:c r="G54"/>
      <x:c r="H54" s="12" t="str">
        <x:f>IF(A54="","",A54+1)</x:f>
      </x:c>
      <x:c r="I54"/>
      <x:c r="J54" s="12" t="str">
        <x:f>IF(A54="","",A54+7)</x:f>
      </x:c>
      <x:c r="K54"/>
      <x:c r="L54" s="12" t="str">
        <x:f>IF(A54="","",A54+21)</x:f>
      </x:c>
      <x:c r="M54"/>
      <x:c r="N54"/>
      <x:c r="O54"/>
      <x:c r="P54"/>
    </x:row>
    <x:row r="55">
      <x:c r="A55" s="12"/>
      <x:c r="B55"/>
      <x:c r="C55"/>
      <x:c r="D55"/>
      <x:c r="E55"/>
      <x:c r="F55"/>
      <x:c r="G55"/>
      <x:c r="H55" s="12" t="str">
        <x:f>IF(A55="","",A55+1)</x:f>
      </x:c>
      <x:c r="I55"/>
      <x:c r="J55" s="12" t="str">
        <x:f>IF(A55="","",A55+7)</x:f>
      </x:c>
      <x:c r="K55"/>
      <x:c r="L55" s="12" t="str">
        <x:f>IF(A55="","",A55+21)</x:f>
      </x:c>
      <x:c r="M55"/>
      <x:c r="N55"/>
      <x:c r="O55"/>
      <x:c r="P55"/>
    </x:row>
    <x:row r="56">
      <x:c r="A56" s="12"/>
      <x:c r="B56"/>
      <x:c r="C56"/>
      <x:c r="D56"/>
      <x:c r="E56"/>
      <x:c r="F56"/>
      <x:c r="G56"/>
      <x:c r="H56" s="12" t="str">
        <x:f>IF(A56="","",A56+1)</x:f>
      </x:c>
      <x:c r="I56"/>
      <x:c r="J56" s="12" t="str">
        <x:f>IF(A56="","",A56+7)</x:f>
      </x:c>
      <x:c r="K56"/>
      <x:c r="L56" s="12" t="str">
        <x:f>IF(A56="","",A56+21)</x:f>
      </x:c>
      <x:c r="M56"/>
      <x:c r="N56"/>
      <x:c r="O56"/>
      <x:c r="P56"/>
    </x:row>
    <x:row r="57">
      <x:c r="A57" s="12"/>
      <x:c r="B57"/>
      <x:c r="C57"/>
      <x:c r="D57"/>
      <x:c r="E57"/>
      <x:c r="F57"/>
      <x:c r="G57"/>
      <x:c r="H57" s="12" t="str">
        <x:f>IF(A57="","",A57+1)</x:f>
      </x:c>
      <x:c r="I57"/>
      <x:c r="J57" s="12" t="str">
        <x:f>IF(A57="","",A57+7)</x:f>
      </x:c>
      <x:c r="K57"/>
      <x:c r="L57" s="12" t="str">
        <x:f>IF(A57="","",A57+21)</x:f>
      </x:c>
      <x:c r="M57"/>
      <x:c r="N57"/>
      <x:c r="O57"/>
      <x:c r="P57"/>
    </x:row>
    <x:row r="58">
      <x:c r="A58" s="12"/>
      <x:c r="B58"/>
      <x:c r="C58"/>
      <x:c r="D58"/>
      <x:c r="E58"/>
      <x:c r="F58"/>
      <x:c r="G58"/>
      <x:c r="H58" s="12" t="str">
        <x:f>IF(A58="","",A58+1)</x:f>
      </x:c>
      <x:c r="I58"/>
      <x:c r="J58" s="12" t="str">
        <x:f>IF(A58="","",A58+7)</x:f>
      </x:c>
      <x:c r="K58"/>
      <x:c r="L58" s="12" t="str">
        <x:f>IF(A58="","",A58+21)</x:f>
      </x:c>
      <x:c r="M58"/>
      <x:c r="N58"/>
      <x:c r="O58"/>
      <x:c r="P58"/>
    </x:row>
    <x:row r="59">
      <x:c r="A59" s="12"/>
      <x:c r="B59"/>
      <x:c r="C59"/>
      <x:c r="D59"/>
      <x:c r="E59"/>
      <x:c r="F59"/>
      <x:c r="G59"/>
      <x:c r="H59" s="12" t="str">
        <x:f>IF(A59="","",A59+1)</x:f>
      </x:c>
      <x:c r="I59"/>
      <x:c r="J59" s="12" t="str">
        <x:f>IF(A59="","",A59+7)</x:f>
      </x:c>
      <x:c r="K59"/>
      <x:c r="L59" s="12" t="str">
        <x:f>IF(A59="","",A59+21)</x:f>
      </x:c>
      <x:c r="M59"/>
      <x:c r="N59"/>
      <x:c r="O59"/>
      <x:c r="P59"/>
    </x:row>
    <x:row r="60">
      <x:c r="A60" s="12"/>
      <x:c r="B60"/>
      <x:c r="C60"/>
      <x:c r="D60"/>
      <x:c r="E60"/>
      <x:c r="F60"/>
      <x:c r="G60"/>
      <x:c r="H60" s="12" t="str">
        <x:f>IF(A60="","",A60+1)</x:f>
      </x:c>
      <x:c r="I60"/>
      <x:c r="J60" s="12" t="str">
        <x:f>IF(A60="","",A60+7)</x:f>
      </x:c>
      <x:c r="K60"/>
      <x:c r="L60" s="12" t="str">
        <x:f>IF(A60="","",A60+21)</x:f>
      </x:c>
      <x:c r="M60"/>
      <x:c r="N60"/>
      <x:c r="O60"/>
      <x:c r="P60"/>
    </x:row>
    <x:row r="61">
      <x:c r="A61" s="12"/>
      <x:c r="B61"/>
      <x:c r="C61"/>
      <x:c r="D61"/>
      <x:c r="E61"/>
      <x:c r="F61"/>
      <x:c r="G61"/>
      <x:c r="H61" s="12" t="str">
        <x:f>IF(A61="","",A61+1)</x:f>
      </x:c>
      <x:c r="I61"/>
      <x:c r="J61" s="12" t="str">
        <x:f>IF(A61="","",A61+7)</x:f>
      </x:c>
      <x:c r="K61"/>
      <x:c r="L61" s="12" t="str">
        <x:f>IF(A61="","",A61+21)</x:f>
      </x:c>
      <x:c r="M61"/>
      <x:c r="N61"/>
      <x:c r="O61"/>
      <x:c r="P61"/>
    </x:row>
    <x:row r="62">
      <x:c r="A62" s="12"/>
      <x:c r="B62"/>
      <x:c r="C62"/>
      <x:c r="D62"/>
      <x:c r="E62"/>
      <x:c r="F62"/>
      <x:c r="G62"/>
      <x:c r="H62" s="12" t="str">
        <x:f>IF(A62="","",A62+1)</x:f>
      </x:c>
      <x:c r="I62"/>
      <x:c r="J62" s="12" t="str">
        <x:f>IF(A62="","",A62+7)</x:f>
      </x:c>
      <x:c r="K62"/>
      <x:c r="L62" s="12" t="str">
        <x:f>IF(A62="","",A62+21)</x:f>
      </x:c>
      <x:c r="M62"/>
      <x:c r="N62"/>
      <x:c r="O62"/>
      <x:c r="P62"/>
    </x:row>
    <x:row r="63">
      <x:c r="A63" s="12"/>
      <x:c r="B63"/>
      <x:c r="C63"/>
      <x:c r="D63"/>
      <x:c r="E63"/>
      <x:c r="F63"/>
      <x:c r="G63"/>
      <x:c r="H63" s="12" t="str">
        <x:f>IF(A63="","",A63+1)</x:f>
      </x:c>
      <x:c r="I63"/>
      <x:c r="J63" s="12" t="str">
        <x:f>IF(A63="","",A63+7)</x:f>
      </x:c>
      <x:c r="K63"/>
      <x:c r="L63" s="12" t="str">
        <x:f>IF(A63="","",A63+21)</x:f>
      </x:c>
      <x:c r="M63"/>
      <x:c r="N63"/>
      <x:c r="O63"/>
      <x:c r="P63"/>
    </x:row>
    <x:row r="64">
      <x:c r="A64" s="12"/>
      <x:c r="B64"/>
      <x:c r="C64"/>
      <x:c r="D64"/>
      <x:c r="E64"/>
      <x:c r="F64"/>
      <x:c r="G64"/>
      <x:c r="H64" s="12" t="str">
        <x:f>IF(A64="","",A64+1)</x:f>
      </x:c>
      <x:c r="I64"/>
      <x:c r="J64" s="12" t="str">
        <x:f>IF(A64="","",A64+7)</x:f>
      </x:c>
      <x:c r="K64"/>
      <x:c r="L64" s="12" t="str">
        <x:f>IF(A64="","",A64+21)</x:f>
      </x:c>
      <x:c r="M64"/>
      <x:c r="N64"/>
      <x:c r="O64"/>
      <x:c r="P64"/>
    </x:row>
    <x:row r="65">
      <x:c r="A65" s="12"/>
      <x:c r="B65"/>
      <x:c r="C65"/>
      <x:c r="D65"/>
      <x:c r="E65"/>
      <x:c r="F65"/>
      <x:c r="G65"/>
      <x:c r="H65" s="12" t="str">
        <x:f>IF(A65="","",A65+1)</x:f>
      </x:c>
      <x:c r="I65"/>
      <x:c r="J65" s="12" t="str">
        <x:f>IF(A65="","",A65+7)</x:f>
      </x:c>
      <x:c r="K65"/>
      <x:c r="L65" s="12" t="str">
        <x:f>IF(A65="","",A65+21)</x:f>
      </x:c>
      <x:c r="M65"/>
      <x:c r="N65"/>
      <x:c r="O65"/>
      <x:c r="P65"/>
    </x:row>
    <x:row r="66">
      <x:c r="A66" s="12"/>
      <x:c r="B66"/>
      <x:c r="C66"/>
      <x:c r="D66"/>
      <x:c r="E66"/>
      <x:c r="F66"/>
      <x:c r="G66"/>
      <x:c r="H66" s="12" t="str">
        <x:f>IF(A66="","",A66+1)</x:f>
      </x:c>
      <x:c r="I66"/>
      <x:c r="J66" s="12" t="str">
        <x:f>IF(A66="","",A66+7)</x:f>
      </x:c>
      <x:c r="K66"/>
      <x:c r="L66" s="12" t="str">
        <x:f>IF(A66="","",A66+21)</x:f>
      </x:c>
      <x:c r="M66"/>
      <x:c r="N66"/>
      <x:c r="O66"/>
      <x:c r="P66"/>
    </x:row>
    <x:row r="67">
      <x:c r="A67" s="12"/>
      <x:c r="B67"/>
      <x:c r="C67"/>
      <x:c r="D67"/>
      <x:c r="E67"/>
      <x:c r="F67"/>
      <x:c r="G67"/>
      <x:c r="H67" s="12" t="str">
        <x:f>IF(A67="","",A67+1)</x:f>
      </x:c>
      <x:c r="I67"/>
      <x:c r="J67" s="12" t="str">
        <x:f>IF(A67="","",A67+7)</x:f>
      </x:c>
      <x:c r="K67"/>
      <x:c r="L67" s="12" t="str">
        <x:f>IF(A67="","",A67+21)</x:f>
      </x:c>
      <x:c r="M67"/>
      <x:c r="N67"/>
      <x:c r="O67"/>
      <x:c r="P67"/>
    </x:row>
    <x:row r="68">
      <x:c r="A68" s="12"/>
      <x:c r="B68"/>
      <x:c r="C68"/>
      <x:c r="D68"/>
      <x:c r="E68"/>
      <x:c r="F68"/>
      <x:c r="G68"/>
      <x:c r="H68" s="12" t="str">
        <x:f>IF(A68="","",A68+1)</x:f>
      </x:c>
      <x:c r="I68"/>
      <x:c r="J68" s="12" t="str">
        <x:f>IF(A68="","",A68+7)</x:f>
      </x:c>
      <x:c r="K68"/>
      <x:c r="L68" s="12" t="str">
        <x:f>IF(A68="","",A68+21)</x:f>
      </x:c>
      <x:c r="M68"/>
      <x:c r="N68"/>
      <x:c r="O68"/>
      <x:c r="P68"/>
    </x:row>
    <x:row r="69">
      <x:c r="A69" s="12"/>
      <x:c r="B69"/>
      <x:c r="C69"/>
      <x:c r="D69"/>
      <x:c r="E69"/>
      <x:c r="F69"/>
      <x:c r="G69"/>
      <x:c r="H69" s="12" t="str">
        <x:f>IF(A69="","",A69+1)</x:f>
      </x:c>
      <x:c r="I69"/>
      <x:c r="J69" s="12" t="str">
        <x:f>IF(A69="","",A69+7)</x:f>
      </x:c>
      <x:c r="K69"/>
      <x:c r="L69" s="12" t="str">
        <x:f>IF(A69="","",A69+21)</x:f>
      </x:c>
      <x:c r="M69"/>
      <x:c r="N69"/>
      <x:c r="O69"/>
      <x:c r="P69"/>
    </x:row>
    <x:row r="70">
      <x:c r="A70" s="12"/>
      <x:c r="B70"/>
      <x:c r="C70"/>
      <x:c r="D70"/>
      <x:c r="E70"/>
      <x:c r="F70"/>
      <x:c r="G70"/>
      <x:c r="H70" s="12" t="str">
        <x:f>IF(A70="","",A70+1)</x:f>
      </x:c>
      <x:c r="I70"/>
      <x:c r="J70" s="12" t="str">
        <x:f>IF(A70="","",A70+7)</x:f>
      </x:c>
      <x:c r="K70"/>
      <x:c r="L70" s="12" t="str">
        <x:f>IF(A70="","",A70+21)</x:f>
      </x:c>
      <x:c r="M70"/>
      <x:c r="N70"/>
      <x:c r="O70"/>
      <x:c r="P70"/>
    </x:row>
    <x:row r="71">
      <x:c r="A71" s="12"/>
      <x:c r="B71"/>
      <x:c r="C71"/>
      <x:c r="D71"/>
      <x:c r="E71"/>
      <x:c r="F71"/>
      <x:c r="G71"/>
      <x:c r="H71" s="12" t="str">
        <x:f>IF(A71="","",A71+1)</x:f>
      </x:c>
      <x:c r="I71"/>
      <x:c r="J71" s="12" t="str">
        <x:f>IF(A71="","",A71+7)</x:f>
      </x:c>
      <x:c r="K71"/>
      <x:c r="L71" s="12" t="str">
        <x:f>IF(A71="","",A71+21)</x:f>
      </x:c>
      <x:c r="M71"/>
      <x:c r="N71"/>
      <x:c r="O71"/>
      <x:c r="P71"/>
    </x:row>
    <x:row r="72">
      <x:c r="A72" s="12"/>
      <x:c r="B72"/>
      <x:c r="C72"/>
      <x:c r="D72"/>
      <x:c r="E72"/>
      <x:c r="F72"/>
      <x:c r="G72"/>
      <x:c r="H72" s="12" t="str">
        <x:f>IF(A72="","",A72+1)</x:f>
      </x:c>
      <x:c r="I72"/>
      <x:c r="J72" s="12" t="str">
        <x:f>IF(A72="","",A72+7)</x:f>
      </x:c>
      <x:c r="K72"/>
      <x:c r="L72" s="12" t="str">
        <x:f>IF(A72="","",A72+21)</x:f>
      </x:c>
      <x:c r="M72"/>
      <x:c r="N72"/>
      <x:c r="O72"/>
      <x:c r="P72"/>
    </x:row>
    <x:row r="73">
      <x:c r="A73" s="12"/>
      <x:c r="B73"/>
      <x:c r="C73"/>
      <x:c r="D73"/>
      <x:c r="E73"/>
      <x:c r="F73"/>
      <x:c r="G73"/>
      <x:c r="H73" s="12" t="str">
        <x:f>IF(A73="","",A73+1)</x:f>
      </x:c>
      <x:c r="I73"/>
      <x:c r="J73" s="12" t="str">
        <x:f>IF(A73="","",A73+7)</x:f>
      </x:c>
      <x:c r="K73"/>
      <x:c r="L73" s="12" t="str">
        <x:f>IF(A73="","",A73+21)</x:f>
      </x:c>
      <x:c r="M73"/>
      <x:c r="N73"/>
      <x:c r="O73"/>
      <x:c r="P73"/>
    </x:row>
    <x:row r="74">
      <x:c r="A74" s="12"/>
      <x:c r="B74"/>
      <x:c r="C74"/>
      <x:c r="D74"/>
      <x:c r="E74"/>
      <x:c r="F74"/>
      <x:c r="G74"/>
      <x:c r="H74" s="12" t="str">
        <x:f>IF(A74="","",A74+1)</x:f>
      </x:c>
      <x:c r="I74"/>
      <x:c r="J74" s="12" t="str">
        <x:f>IF(A74="","",A74+7)</x:f>
      </x:c>
      <x:c r="K74"/>
      <x:c r="L74" s="12" t="str">
        <x:f>IF(A74="","",A74+21)</x:f>
      </x:c>
      <x:c r="M74"/>
      <x:c r="N74"/>
      <x:c r="O74"/>
      <x:c r="P74"/>
    </x:row>
    <x:row r="75">
      <x:c r="A75" s="12"/>
      <x:c r="B75"/>
      <x:c r="C75"/>
      <x:c r="D75"/>
      <x:c r="E75"/>
      <x:c r="F75"/>
      <x:c r="G75"/>
      <x:c r="H75" s="12" t="str">
        <x:f>IF(A75="","",A75+1)</x:f>
      </x:c>
      <x:c r="I75"/>
      <x:c r="J75" s="12" t="str">
        <x:f>IF(A75="","",A75+7)</x:f>
      </x:c>
      <x:c r="K75"/>
      <x:c r="L75" s="12" t="str">
        <x:f>IF(A75="","",A75+21)</x:f>
      </x:c>
      <x:c r="M75"/>
      <x:c r="N75"/>
      <x:c r="O75"/>
      <x:c r="P75"/>
    </x:row>
    <x:row r="76">
      <x:c r="A76" s="12"/>
      <x:c r="B76"/>
      <x:c r="C76"/>
      <x:c r="D76"/>
      <x:c r="E76"/>
      <x:c r="F76"/>
      <x:c r="G76"/>
      <x:c r="H76" s="12" t="str">
        <x:f>IF(A76="","",A76+1)</x:f>
      </x:c>
      <x:c r="I76"/>
      <x:c r="J76" s="12" t="str">
        <x:f>IF(A76="","",A76+7)</x:f>
      </x:c>
      <x:c r="K76"/>
      <x:c r="L76" s="12" t="str">
        <x:f>IF(A76="","",A76+21)</x:f>
      </x:c>
      <x:c r="M76"/>
      <x:c r="N76"/>
      <x:c r="O76"/>
      <x:c r="P76"/>
    </x:row>
    <x:row r="77">
      <x:c r="A77" s="12"/>
      <x:c r="B77"/>
      <x:c r="C77"/>
      <x:c r="D77"/>
      <x:c r="E77"/>
      <x:c r="F77"/>
      <x:c r="G77"/>
      <x:c r="H77" s="12" t="str">
        <x:f>IF(A77="","",A77+1)</x:f>
      </x:c>
      <x:c r="I77"/>
      <x:c r="J77" s="12" t="str">
        <x:f>IF(A77="","",A77+7)</x:f>
      </x:c>
      <x:c r="K77"/>
      <x:c r="L77" s="12" t="str">
        <x:f>IF(A77="","",A77+21)</x:f>
      </x:c>
      <x:c r="M77"/>
      <x:c r="N77"/>
      <x:c r="O77"/>
      <x:c r="P77"/>
    </x:row>
    <x:row r="78">
      <x:c r="A78" s="12"/>
      <x:c r="B78"/>
      <x:c r="C78"/>
      <x:c r="D78"/>
      <x:c r="E78"/>
      <x:c r="F78"/>
      <x:c r="G78"/>
      <x:c r="H78" s="12" t="str">
        <x:f>IF(A78="","",A78+1)</x:f>
      </x:c>
      <x:c r="I78"/>
      <x:c r="J78" s="12" t="str">
        <x:f>IF(A78="","",A78+7)</x:f>
      </x:c>
      <x:c r="K78"/>
      <x:c r="L78" s="12" t="str">
        <x:f>IF(A78="","",A78+21)</x:f>
      </x:c>
      <x:c r="M78"/>
      <x:c r="N78"/>
      <x:c r="O78"/>
      <x:c r="P78"/>
    </x:row>
    <x:row r="79">
      <x:c r="A79" s="12"/>
      <x:c r="B79"/>
      <x:c r="C79"/>
      <x:c r="D79"/>
      <x:c r="E79"/>
      <x:c r="F79"/>
      <x:c r="G79"/>
      <x:c r="H79" s="12" t="str">
        <x:f>IF(A79="","",A79+1)</x:f>
      </x:c>
      <x:c r="I79"/>
      <x:c r="J79" s="12" t="str">
        <x:f>IF(A79="","",A79+7)</x:f>
      </x:c>
      <x:c r="K79"/>
      <x:c r="L79" s="12" t="str">
        <x:f>IF(A79="","",A79+21)</x:f>
      </x:c>
      <x:c r="M79"/>
      <x:c r="N79"/>
      <x:c r="O79"/>
      <x:c r="P79"/>
    </x:row>
    <x:row r="80">
      <x:c r="A80" s="12"/>
      <x:c r="B80"/>
      <x:c r="C80"/>
      <x:c r="D80"/>
      <x:c r="E80"/>
      <x:c r="F80"/>
      <x:c r="G80"/>
      <x:c r="H80" s="12" t="str">
        <x:f>IF(A80="","",A80+1)</x:f>
      </x:c>
      <x:c r="I80"/>
      <x:c r="J80" s="12" t="str">
        <x:f>IF(A80="","",A80+7)</x:f>
      </x:c>
      <x:c r="K80"/>
      <x:c r="L80" s="12" t="str">
        <x:f>IF(A80="","",A80+21)</x:f>
      </x:c>
      <x:c r="M80"/>
      <x:c r="N80"/>
      <x:c r="O80"/>
      <x:c r="P80"/>
    </x:row>
    <x:row r="81">
      <x:c r="A81" s="12"/>
      <x:c r="B81"/>
      <x:c r="C81"/>
      <x:c r="D81"/>
      <x:c r="E81"/>
      <x:c r="F81"/>
      <x:c r="G81"/>
      <x:c r="H81" s="12" t="str">
        <x:f>IF(A81="","",A81+1)</x:f>
      </x:c>
      <x:c r="I81"/>
      <x:c r="J81" s="12" t="str">
        <x:f>IF(A81="","",A81+7)</x:f>
      </x:c>
      <x:c r="K81"/>
      <x:c r="L81" s="12" t="str">
        <x:f>IF(A81="","",A81+21)</x:f>
      </x:c>
      <x:c r="M81"/>
      <x:c r="N81"/>
      <x:c r="O81"/>
      <x:c r="P81"/>
    </x:row>
    <x:row r="82">
      <x:c r="A82" s="12"/>
      <x:c r="B82"/>
      <x:c r="C82"/>
      <x:c r="D82"/>
      <x:c r="E82"/>
      <x:c r="F82"/>
      <x:c r="G82"/>
      <x:c r="H82" s="12" t="str">
        <x:f>IF(A82="","",A82+1)</x:f>
      </x:c>
      <x:c r="I82"/>
      <x:c r="J82" s="12" t="str">
        <x:f>IF(A82="","",A82+7)</x:f>
      </x:c>
      <x:c r="K82"/>
      <x:c r="L82" s="12" t="str">
        <x:f>IF(A82="","",A82+21)</x:f>
      </x:c>
      <x:c r="M82"/>
      <x:c r="N82"/>
      <x:c r="O82"/>
      <x:c r="P82"/>
    </x:row>
    <x:row r="83">
      <x:c r="A83" s="12"/>
      <x:c r="B83"/>
      <x:c r="C83"/>
      <x:c r="D83"/>
      <x:c r="E83"/>
      <x:c r="F83"/>
      <x:c r="G83"/>
      <x:c r="H83" s="12" t="str">
        <x:f>IF(A83="","",A83+1)</x:f>
      </x:c>
      <x:c r="I83"/>
      <x:c r="J83" s="12" t="str">
        <x:f>IF(A83="","",A83+7)</x:f>
      </x:c>
      <x:c r="K83"/>
      <x:c r="L83" s="12" t="str">
        <x:f>IF(A83="","",A83+21)</x:f>
      </x:c>
      <x:c r="M83"/>
      <x:c r="N83"/>
      <x:c r="O83"/>
      <x:c r="P83"/>
    </x:row>
    <x:row r="84">
      <x:c r="A84" s="12"/>
      <x:c r="B84"/>
      <x:c r="C84"/>
      <x:c r="D84"/>
      <x:c r="E84"/>
      <x:c r="F84"/>
      <x:c r="G84"/>
      <x:c r="H84" s="12" t="str">
        <x:f>IF(A84="","",A84+1)</x:f>
      </x:c>
      <x:c r="I84"/>
      <x:c r="J84" s="12" t="str">
        <x:f>IF(A84="","",A84+7)</x:f>
      </x:c>
      <x:c r="K84"/>
      <x:c r="L84" s="12" t="str">
        <x:f>IF(A84="","",A84+21)</x:f>
      </x:c>
      <x:c r="M84"/>
      <x:c r="N84"/>
      <x:c r="O84"/>
      <x:c r="P84"/>
    </x:row>
    <x:row r="85">
      <x:c r="A85" s="12"/>
      <x:c r="B85"/>
      <x:c r="C85"/>
      <x:c r="D85"/>
      <x:c r="E85"/>
      <x:c r="F85"/>
      <x:c r="G85"/>
      <x:c r="H85" s="12" t="str">
        <x:f>IF(A85="","",A85+1)</x:f>
      </x:c>
      <x:c r="I85"/>
      <x:c r="J85" s="12" t="str">
        <x:f>IF(A85="","",A85+7)</x:f>
      </x:c>
      <x:c r="K85"/>
      <x:c r="L85" s="12" t="str">
        <x:f>IF(A85="","",A85+21)</x:f>
      </x:c>
      <x:c r="M85"/>
      <x:c r="N85"/>
      <x:c r="O85"/>
      <x:c r="P85"/>
    </x:row>
    <x:row r="86">
      <x:c r="A86" s="12"/>
      <x:c r="B86"/>
      <x:c r="C86"/>
      <x:c r="D86"/>
      <x:c r="E86"/>
      <x:c r="F86"/>
      <x:c r="G86"/>
      <x:c r="H86" s="12" t="str">
        <x:f>IF(A86="","",A86+1)</x:f>
      </x:c>
      <x:c r="I86"/>
      <x:c r="J86" s="12" t="str">
        <x:f>IF(A86="","",A86+7)</x:f>
      </x:c>
      <x:c r="K86"/>
      <x:c r="L86" s="12" t="str">
        <x:f>IF(A86="","",A86+21)</x:f>
      </x:c>
      <x:c r="M86"/>
      <x:c r="N86"/>
      <x:c r="O86"/>
      <x:c r="P86"/>
    </x:row>
    <x:row r="87">
      <x:c r="A87" s="12"/>
      <x:c r="B87"/>
      <x:c r="C87"/>
      <x:c r="D87"/>
      <x:c r="E87"/>
      <x:c r="F87"/>
      <x:c r="G87"/>
      <x:c r="H87" s="12" t="str">
        <x:f>IF(A87="","",A87+1)</x:f>
      </x:c>
      <x:c r="I87"/>
      <x:c r="J87" s="12" t="str">
        <x:f>IF(A87="","",A87+7)</x:f>
      </x:c>
      <x:c r="K87"/>
      <x:c r="L87" s="12" t="str">
        <x:f>IF(A87="","",A87+21)</x:f>
      </x:c>
      <x:c r="M87"/>
      <x:c r="N87"/>
      <x:c r="O87"/>
      <x:c r="P87"/>
    </x:row>
    <x:row r="88">
      <x:c r="A88" s="12"/>
      <x:c r="B88"/>
      <x:c r="C88"/>
      <x:c r="D88"/>
      <x:c r="E88"/>
      <x:c r="F88"/>
      <x:c r="G88"/>
      <x:c r="H88" s="12" t="str">
        <x:f>IF(A88="","",A88+1)</x:f>
      </x:c>
      <x:c r="I88"/>
      <x:c r="J88" s="12" t="str">
        <x:f>IF(A88="","",A88+7)</x:f>
      </x:c>
      <x:c r="K88"/>
      <x:c r="L88" s="12" t="str">
        <x:f>IF(A88="","",A88+21)</x:f>
      </x:c>
      <x:c r="M88"/>
      <x:c r="N88"/>
      <x:c r="O88"/>
      <x:c r="P88"/>
    </x:row>
    <x:row r="89">
      <x:c r="A89" s="12"/>
      <x:c r="B89"/>
      <x:c r="C89"/>
      <x:c r="D89"/>
      <x:c r="E89"/>
      <x:c r="F89"/>
      <x:c r="G89"/>
      <x:c r="H89" s="12" t="str">
        <x:f>IF(A89="","",A89+1)</x:f>
      </x:c>
      <x:c r="I89"/>
      <x:c r="J89" s="12" t="str">
        <x:f>IF(A89="","",A89+7)</x:f>
      </x:c>
      <x:c r="K89"/>
      <x:c r="L89" s="12" t="str">
        <x:f>IF(A89="","",A89+21)</x:f>
      </x:c>
      <x:c r="M89"/>
      <x:c r="N89"/>
      <x:c r="O89"/>
      <x:c r="P89"/>
    </x:row>
    <x:row r="90">
      <x:c r="A90" s="12"/>
      <x:c r="B90"/>
      <x:c r="C90"/>
      <x:c r="D90"/>
      <x:c r="E90"/>
      <x:c r="F90"/>
      <x:c r="G90"/>
      <x:c r="H90" s="12" t="str">
        <x:f>IF(A90="","",A90+1)</x:f>
      </x:c>
      <x:c r="I90"/>
      <x:c r="J90" s="12" t="str">
        <x:f>IF(A90="","",A90+7)</x:f>
      </x:c>
      <x:c r="K90"/>
      <x:c r="L90" s="12" t="str">
        <x:f>IF(A90="","",A90+21)</x:f>
      </x:c>
      <x:c r="M90"/>
      <x:c r="N90"/>
      <x:c r="O90"/>
      <x:c r="P90"/>
    </x:row>
    <x:row r="91">
      <x:c r="A91" s="12"/>
      <x:c r="B91"/>
      <x:c r="C91"/>
      <x:c r="D91"/>
      <x:c r="E91"/>
      <x:c r="F91"/>
      <x:c r="G91"/>
      <x:c r="H91" s="12" t="str">
        <x:f>IF(A91="","",A91+1)</x:f>
      </x:c>
      <x:c r="I91"/>
      <x:c r="J91" s="12" t="str">
        <x:f>IF(A91="","",A91+7)</x:f>
      </x:c>
      <x:c r="K91"/>
      <x:c r="L91" s="12" t="str">
        <x:f>IF(A91="","",A91+21)</x:f>
      </x:c>
      <x:c r="M91"/>
      <x:c r="N91"/>
      <x:c r="O91"/>
      <x:c r="P91"/>
    </x:row>
    <x:row r="92">
      <x:c r="A92" s="12"/>
      <x:c r="B92"/>
      <x:c r="C92"/>
      <x:c r="D92"/>
      <x:c r="E92"/>
      <x:c r="F92"/>
      <x:c r="G92"/>
      <x:c r="H92" s="12" t="str">
        <x:f>IF(A92="","",A92+1)</x:f>
      </x:c>
      <x:c r="I92"/>
      <x:c r="J92" s="12" t="str">
        <x:f>IF(A92="","",A92+7)</x:f>
      </x:c>
      <x:c r="K92"/>
      <x:c r="L92" s="12" t="str">
        <x:f>IF(A92="","",A92+21)</x:f>
      </x:c>
      <x:c r="M92"/>
      <x:c r="N92"/>
      <x:c r="O92"/>
      <x:c r="P92"/>
    </x:row>
    <x:row r="93">
      <x:c r="A93" s="12"/>
      <x:c r="B93"/>
      <x:c r="C93"/>
      <x:c r="D93"/>
      <x:c r="E93"/>
      <x:c r="F93"/>
      <x:c r="G93"/>
      <x:c r="H93" s="12" t="str">
        <x:f>IF(A93="","",A93+1)</x:f>
      </x:c>
      <x:c r="I93"/>
      <x:c r="J93" s="12" t="str">
        <x:f>IF(A93="","",A93+7)</x:f>
      </x:c>
      <x:c r="K93"/>
      <x:c r="L93" s="12" t="str">
        <x:f>IF(A93="","",A93+21)</x:f>
      </x:c>
      <x:c r="M93"/>
      <x:c r="N93"/>
      <x:c r="O93"/>
      <x:c r="P93"/>
    </x:row>
    <x:row r="94">
      <x:c r="A94" s="12"/>
      <x:c r="B94"/>
      <x:c r="C94"/>
      <x:c r="D94"/>
      <x:c r="E94"/>
      <x:c r="F94"/>
      <x:c r="G94"/>
      <x:c r="H94" s="12" t="str">
        <x:f>IF(A94="","",A94+1)</x:f>
      </x:c>
      <x:c r="I94"/>
      <x:c r="J94" s="12" t="str">
        <x:f>IF(A94="","",A94+7)</x:f>
      </x:c>
      <x:c r="K94"/>
      <x:c r="L94" s="12" t="str">
        <x:f>IF(A94="","",A94+21)</x:f>
      </x:c>
      <x:c r="M94"/>
      <x:c r="N94"/>
      <x:c r="O94"/>
      <x:c r="P94"/>
    </x:row>
    <x:row r="95">
      <x:c r="A95" s="12"/>
      <x:c r="B95"/>
      <x:c r="C95"/>
      <x:c r="D95"/>
      <x:c r="E95"/>
      <x:c r="F95"/>
      <x:c r="G95"/>
      <x:c r="H95" s="12" t="str">
        <x:f>IF(A95="","",A95+1)</x:f>
      </x:c>
      <x:c r="I95"/>
      <x:c r="J95" s="12" t="str">
        <x:f>IF(A95="","",A95+7)</x:f>
      </x:c>
      <x:c r="K95"/>
      <x:c r="L95" s="12" t="str">
        <x:f>IF(A95="","",A95+21)</x:f>
      </x:c>
      <x:c r="M95"/>
      <x:c r="N95"/>
      <x:c r="O95"/>
      <x:c r="P95"/>
    </x:row>
    <x:row r="96">
      <x:c r="A96" s="12"/>
      <x:c r="B96"/>
      <x:c r="C96"/>
      <x:c r="D96"/>
      <x:c r="E96"/>
      <x:c r="F96"/>
      <x:c r="G96"/>
      <x:c r="H96" s="12" t="str">
        <x:f>IF(A96="","",A96+1)</x:f>
      </x:c>
      <x:c r="I96"/>
      <x:c r="J96" s="12" t="str">
        <x:f>IF(A96="","",A96+7)</x:f>
      </x:c>
      <x:c r="K96"/>
      <x:c r="L96" s="12" t="str">
        <x:f>IF(A96="","",A96+21)</x:f>
      </x:c>
      <x:c r="M96"/>
      <x:c r="N96"/>
      <x:c r="O96"/>
      <x:c r="P96"/>
    </x:row>
    <x:row r="97">
      <x:c r="A97" s="12"/>
      <x:c r="B97"/>
      <x:c r="C97"/>
      <x:c r="D97"/>
      <x:c r="E97"/>
      <x:c r="F97"/>
      <x:c r="G97"/>
      <x:c r="H97" s="12" t="str">
        <x:f>IF(A97="","",A97+1)</x:f>
      </x:c>
      <x:c r="I97"/>
      <x:c r="J97" s="12" t="str">
        <x:f>IF(A97="","",A97+7)</x:f>
      </x:c>
      <x:c r="K97"/>
      <x:c r="L97" s="12" t="str">
        <x:f>IF(A97="","",A97+21)</x:f>
      </x:c>
      <x:c r="M97"/>
      <x:c r="N97"/>
      <x:c r="O97"/>
      <x:c r="P97"/>
    </x:row>
    <x:row r="98">
      <x:c r="A98" s="12"/>
      <x:c r="B98"/>
      <x:c r="C98"/>
      <x:c r="D98"/>
      <x:c r="E98"/>
      <x:c r="F98"/>
      <x:c r="G98"/>
      <x:c r="H98" s="12" t="str">
        <x:f>IF(A98="","",A98+1)</x:f>
      </x:c>
      <x:c r="I98"/>
      <x:c r="J98" s="12" t="str">
        <x:f>IF(A98="","",A98+7)</x:f>
      </x:c>
      <x:c r="K98"/>
      <x:c r="L98" s="12" t="str">
        <x:f>IF(A98="","",A98+21)</x:f>
      </x:c>
      <x:c r="M98"/>
      <x:c r="N98"/>
      <x:c r="O98"/>
      <x:c r="P98"/>
    </x:row>
    <x:row r="99">
      <x:c r="A99" s="12"/>
      <x:c r="B99"/>
      <x:c r="C99"/>
      <x:c r="D99"/>
      <x:c r="E99"/>
      <x:c r="F99"/>
      <x:c r="G99"/>
      <x:c r="H99" s="12" t="str">
        <x:f>IF(A99="","",A99+1)</x:f>
      </x:c>
      <x:c r="I99"/>
      <x:c r="J99" s="12" t="str">
        <x:f>IF(A99="","",A99+7)</x:f>
      </x:c>
      <x:c r="K99"/>
      <x:c r="L99" s="12" t="str">
        <x:f>IF(A99="","",A99+21)</x:f>
      </x:c>
      <x:c r="M99"/>
      <x:c r="N99"/>
      <x:c r="O99"/>
      <x:c r="P99"/>
    </x:row>
    <x:row r="100">
      <x:c r="A100" s="12"/>
      <x:c r="B100"/>
      <x:c r="C100"/>
      <x:c r="D100"/>
      <x:c r="E100"/>
      <x:c r="F100"/>
      <x:c r="G100"/>
      <x:c r="H100" s="12" t="str">
        <x:f>IF(A100="","",A100+1)</x:f>
      </x:c>
      <x:c r="I100"/>
      <x:c r="J100" s="12" t="str">
        <x:f>IF(A100="","",A100+7)</x:f>
      </x:c>
      <x:c r="K100"/>
      <x:c r="L100" s="12" t="str">
        <x:f>IF(A100="","",A100+21)</x:f>
      </x:c>
      <x:c r="M100"/>
      <x:c r="N100"/>
      <x:c r="O100"/>
      <x:c r="P100"/>
    </x:row>
    <x:row r="101">
      <x:c r="A101" s="12"/>
      <x:c r="B101"/>
      <x:c r="C101"/>
      <x:c r="D101"/>
      <x:c r="E101"/>
      <x:c r="F101"/>
      <x:c r="G101"/>
      <x:c r="H101" s="12" t="str">
        <x:f>IF(A101="","",A101+1)</x:f>
      </x:c>
      <x:c r="I101"/>
      <x:c r="J101" s="12" t="str">
        <x:f>IF(A101="","",A101+7)</x:f>
      </x:c>
      <x:c r="K101"/>
      <x:c r="L101" s="12" t="str">
        <x:f>IF(A101="","",A101+21)</x:f>
      </x:c>
      <x:c r="M101"/>
      <x:c r="N101"/>
      <x:c r="O101"/>
      <x:c r="P101"/>
    </x:row>
    <x:row r="102">
      <x:c r="A102" s="12"/>
      <x:c r="B102"/>
      <x:c r="C102"/>
      <x:c r="D102"/>
      <x:c r="E102"/>
      <x:c r="F102"/>
      <x:c r="G102"/>
      <x:c r="H102" s="12" t="str">
        <x:f>IF(A102="","",A102+1)</x:f>
      </x:c>
      <x:c r="I102"/>
      <x:c r="J102" s="12" t="str">
        <x:f>IF(A102="","",A102+7)</x:f>
      </x:c>
      <x:c r="K102"/>
      <x:c r="L102" s="12" t="str">
        <x:f>IF(A102="","",A102+21)</x:f>
      </x:c>
      <x:c r="M102"/>
      <x:c r="N102"/>
      <x:c r="O102"/>
      <x:c r="P102"/>
    </x:row>
    <x:row r="103">
      <x:c r="A103" s="12"/>
      <x:c r="B103"/>
      <x:c r="C103"/>
      <x:c r="D103"/>
      <x:c r="E103"/>
      <x:c r="F103"/>
      <x:c r="G103"/>
      <x:c r="H103" s="12" t="str">
        <x:f>IF(A103="","",A103+1)</x:f>
      </x:c>
      <x:c r="I103"/>
      <x:c r="J103" s="12" t="str">
        <x:f>IF(A103="","",A103+7)</x:f>
      </x:c>
      <x:c r="K103"/>
      <x:c r="L103" s="12" t="str">
        <x:f>IF(A103="","",A103+21)</x:f>
      </x:c>
      <x:c r="M103"/>
      <x:c r="N103"/>
      <x:c r="O103"/>
      <x:c r="P103"/>
    </x:row>
    <x:row r="104">
      <x:c r="A104" s="12"/>
      <x:c r="B104"/>
      <x:c r="C104"/>
      <x:c r="D104"/>
      <x:c r="E104"/>
      <x:c r="F104"/>
      <x:c r="G104"/>
      <x:c r="H104" s="12" t="str">
        <x:f>IF(A104="","",A104+1)</x:f>
      </x:c>
      <x:c r="I104"/>
      <x:c r="J104" s="12" t="str">
        <x:f>IF(A104="","",A104+7)</x:f>
      </x:c>
      <x:c r="K104"/>
      <x:c r="L104" s="12" t="str">
        <x:f>IF(A104="","",A104+21)</x:f>
      </x:c>
      <x:c r="M104"/>
      <x:c r="N104"/>
      <x:c r="O104"/>
      <x:c r="P104"/>
    </x:row>
    <x:row r="105">
      <x:c r="A105" s="12"/>
      <x:c r="B105"/>
      <x:c r="C105"/>
      <x:c r="D105"/>
      <x:c r="E105"/>
      <x:c r="F105"/>
      <x:c r="G105"/>
      <x:c r="H105" s="12" t="str">
        <x:f>IF(A105="","",A105+1)</x:f>
      </x:c>
      <x:c r="I105"/>
      <x:c r="J105" s="12" t="str">
        <x:f>IF(A105="","",A105+7)</x:f>
      </x:c>
      <x:c r="K105"/>
      <x:c r="L105" s="12" t="str">
        <x:f>IF(A105="","",A105+21)</x:f>
      </x:c>
      <x:c r="M105"/>
      <x:c r="N105"/>
      <x:c r="O105"/>
      <x:c r="P105"/>
    </x:row>
    <x:row r="106">
      <x:c r="A106" s="12"/>
      <x:c r="B106"/>
      <x:c r="C106"/>
      <x:c r="D106"/>
      <x:c r="E106"/>
      <x:c r="F106"/>
      <x:c r="G106"/>
      <x:c r="H106" s="12" t="str">
        <x:f>IF(A106="","",A106+1)</x:f>
      </x:c>
      <x:c r="I106"/>
      <x:c r="J106" s="12" t="str">
        <x:f>IF(A106="","",A106+7)</x:f>
      </x:c>
      <x:c r="K106"/>
      <x:c r="L106" s="12" t="str">
        <x:f>IF(A106="","",A106+21)</x:f>
      </x:c>
      <x:c r="M106"/>
      <x:c r="N106"/>
      <x:c r="O106"/>
      <x:c r="P106"/>
    </x:row>
    <x:row r="107">
      <x:c r="A107" s="12"/>
      <x:c r="B107"/>
      <x:c r="C107"/>
      <x:c r="D107"/>
      <x:c r="E107"/>
      <x:c r="F107"/>
      <x:c r="G107"/>
      <x:c r="H107" s="12" t="str">
        <x:f>IF(A107="","",A107+1)</x:f>
      </x:c>
      <x:c r="I107"/>
      <x:c r="J107" s="12" t="str">
        <x:f>IF(A107="","",A107+7)</x:f>
      </x:c>
      <x:c r="K107"/>
      <x:c r="L107" s="12" t="str">
        <x:f>IF(A107="","",A107+21)</x:f>
      </x:c>
      <x:c r="M107"/>
      <x:c r="N107"/>
      <x:c r="O107"/>
      <x:c r="P107"/>
    </x:row>
    <x:row r="108">
      <x:c r="A108" s="12"/>
      <x:c r="B108"/>
      <x:c r="C108"/>
      <x:c r="D108"/>
      <x:c r="E108"/>
      <x:c r="F108"/>
      <x:c r="G108"/>
      <x:c r="H108" s="12" t="str">
        <x:f>IF(A108="","",A108+1)</x:f>
      </x:c>
      <x:c r="I108"/>
      <x:c r="J108" s="12" t="str">
        <x:f>IF(A108="","",A108+7)</x:f>
      </x:c>
      <x:c r="K108"/>
      <x:c r="L108" s="12" t="str">
        <x:f>IF(A108="","",A108+21)</x:f>
      </x:c>
      <x:c r="M108"/>
      <x:c r="N108"/>
      <x:c r="O108"/>
      <x:c r="P108"/>
    </x:row>
    <x:row r="109">
      <x:c r="A109" s="12"/>
      <x:c r="B109"/>
      <x:c r="C109"/>
      <x:c r="D109"/>
      <x:c r="E109"/>
      <x:c r="F109"/>
      <x:c r="G109"/>
      <x:c r="H109" s="12" t="str">
        <x:f>IF(A109="","",A109+1)</x:f>
      </x:c>
      <x:c r="I109"/>
      <x:c r="J109" s="12" t="str">
        <x:f>IF(A109="","",A109+7)</x:f>
      </x:c>
      <x:c r="K109"/>
      <x:c r="L109" s="12" t="str">
        <x:f>IF(A109="","",A109+21)</x:f>
      </x:c>
      <x:c r="M109"/>
      <x:c r="N109"/>
      <x:c r="O109"/>
      <x:c r="P109"/>
    </x:row>
    <x:row r="110">
      <x:c r="A110" s="12"/>
      <x:c r="B110"/>
      <x:c r="C110"/>
      <x:c r="D110"/>
      <x:c r="E110"/>
      <x:c r="F110"/>
      <x:c r="G110"/>
      <x:c r="H110" s="12" t="str">
        <x:f>IF(A110="","",A110+1)</x:f>
      </x:c>
      <x:c r="I110"/>
      <x:c r="J110" s="12" t="str">
        <x:f>IF(A110="","",A110+7)</x:f>
      </x:c>
      <x:c r="K110"/>
      <x:c r="L110" s="12" t="str">
        <x:f>IF(A110="","",A110+21)</x:f>
      </x:c>
      <x:c r="M110"/>
      <x:c r="N110"/>
      <x:c r="O110"/>
      <x:c r="P110"/>
    </x:row>
    <x:row r="111">
      <x:c r="A111" s="12"/>
      <x:c r="B111"/>
      <x:c r="C111"/>
      <x:c r="D111"/>
      <x:c r="E111"/>
      <x:c r="F111"/>
      <x:c r="G111"/>
      <x:c r="H111" s="12" t="str">
        <x:f>IF(A111="","",A111+1)</x:f>
      </x:c>
      <x:c r="I111"/>
      <x:c r="J111" s="12" t="str">
        <x:f>IF(A111="","",A111+7)</x:f>
      </x:c>
      <x:c r="K111"/>
      <x:c r="L111" s="12" t="str">
        <x:f>IF(A111="","",A111+21)</x:f>
      </x:c>
      <x:c r="M111"/>
      <x:c r="N111"/>
      <x:c r="O111"/>
      <x:c r="P111"/>
    </x:row>
    <x:row r="112">
      <x:c r="A112" s="12"/>
      <x:c r="B112"/>
      <x:c r="C112"/>
      <x:c r="D112"/>
      <x:c r="E112"/>
      <x:c r="F112"/>
      <x:c r="G112"/>
      <x:c r="H112" s="12" t="str">
        <x:f>IF(A112="","",A112+1)</x:f>
      </x:c>
      <x:c r="I112"/>
      <x:c r="J112" s="12" t="str">
        <x:f>IF(A112="","",A112+7)</x:f>
      </x:c>
      <x:c r="K112"/>
      <x:c r="L112" s="12" t="str">
        <x:f>IF(A112="","",A112+21)</x:f>
      </x:c>
      <x:c r="M112"/>
      <x:c r="N112"/>
      <x:c r="O112"/>
      <x:c r="P112"/>
    </x:row>
    <x:row r="113">
      <x:c r="A113" s="12"/>
      <x:c r="B113"/>
      <x:c r="C113"/>
      <x:c r="D113"/>
      <x:c r="E113"/>
      <x:c r="F113"/>
      <x:c r="G113"/>
      <x:c r="H113" s="12" t="str">
        <x:f>IF(A113="","",A113+1)</x:f>
      </x:c>
      <x:c r="I113"/>
      <x:c r="J113" s="12" t="str">
        <x:f>IF(A113="","",A113+7)</x:f>
      </x:c>
      <x:c r="K113"/>
      <x:c r="L113" s="12" t="str">
        <x:f>IF(A113="","",A113+21)</x:f>
      </x:c>
      <x:c r="M113"/>
      <x:c r="N113"/>
      <x:c r="O113"/>
      <x:c r="P113"/>
    </x:row>
    <x:row r="114">
      <x:c r="A114" s="12"/>
      <x:c r="B114"/>
      <x:c r="C114"/>
      <x:c r="D114"/>
      <x:c r="E114"/>
      <x:c r="F114"/>
      <x:c r="G114"/>
      <x:c r="H114" s="12" t="str">
        <x:f>IF(A114="","",A114+1)</x:f>
      </x:c>
      <x:c r="I114"/>
      <x:c r="J114" s="12" t="str">
        <x:f>IF(A114="","",A114+7)</x:f>
      </x:c>
      <x:c r="K114"/>
      <x:c r="L114" s="12" t="str">
        <x:f>IF(A114="","",A114+21)</x:f>
      </x:c>
      <x:c r="M114"/>
      <x:c r="N114"/>
      <x:c r="O114"/>
      <x:c r="P114"/>
    </x:row>
    <x:row r="115">
      <x:c r="A115" s="12"/>
      <x:c r="B115"/>
      <x:c r="C115"/>
      <x:c r="D115"/>
      <x:c r="E115"/>
      <x:c r="F115"/>
      <x:c r="G115"/>
      <x:c r="H115" s="12" t="str">
        <x:f>IF(A115="","",A115+1)</x:f>
      </x:c>
      <x:c r="I115"/>
      <x:c r="J115" s="12" t="str">
        <x:f>IF(A115="","",A115+7)</x:f>
      </x:c>
      <x:c r="K115"/>
      <x:c r="L115" s="12" t="str">
        <x:f>IF(A115="","",A115+21)</x:f>
      </x:c>
      <x:c r="M115"/>
      <x:c r="N115"/>
      <x:c r="O115"/>
      <x:c r="P115"/>
    </x:row>
    <x:row r="116">
      <x:c r="A116" s="12"/>
      <x:c r="B116"/>
      <x:c r="C116"/>
      <x:c r="D116"/>
      <x:c r="E116"/>
      <x:c r="F116"/>
      <x:c r="G116"/>
      <x:c r="H116" s="12" t="str">
        <x:f>IF(A116="","",A116+1)</x:f>
      </x:c>
      <x:c r="I116"/>
      <x:c r="J116" s="12" t="str">
        <x:f>IF(A116="","",A116+7)</x:f>
      </x:c>
      <x:c r="K116"/>
      <x:c r="L116" s="12" t="str">
        <x:f>IF(A116="","",A116+21)</x:f>
      </x:c>
      <x:c r="M116"/>
      <x:c r="N116"/>
      <x:c r="O116"/>
      <x:c r="P116"/>
    </x:row>
    <x:row r="117">
      <x:c r="A117" s="12"/>
      <x:c r="B117"/>
      <x:c r="C117"/>
      <x:c r="D117"/>
      <x:c r="E117"/>
      <x:c r="F117"/>
      <x:c r="G117"/>
      <x:c r="H117" s="12" t="str">
        <x:f>IF(A117="","",A117+1)</x:f>
      </x:c>
      <x:c r="I117"/>
      <x:c r="J117" s="12" t="str">
        <x:f>IF(A117="","",A117+7)</x:f>
      </x:c>
      <x:c r="K117"/>
      <x:c r="L117" s="12" t="str">
        <x:f>IF(A117="","",A117+21)</x:f>
      </x:c>
      <x:c r="M117"/>
      <x:c r="N117"/>
      <x:c r="O117"/>
      <x:c r="P117"/>
    </x:row>
    <x:row r="118">
      <x:c r="A118" s="12"/>
      <x:c r="B118"/>
      <x:c r="C118"/>
      <x:c r="D118"/>
      <x:c r="E118"/>
      <x:c r="F118"/>
      <x:c r="G118"/>
      <x:c r="H118" s="12" t="str">
        <x:f>IF(A118="","",A118+1)</x:f>
      </x:c>
      <x:c r="I118"/>
      <x:c r="J118" s="12" t="str">
        <x:f>IF(A118="","",A118+7)</x:f>
      </x:c>
      <x:c r="K118"/>
      <x:c r="L118" s="12" t="str">
        <x:f>IF(A118="","",A118+21)</x:f>
      </x:c>
      <x:c r="M118"/>
      <x:c r="N118"/>
      <x:c r="O118"/>
      <x:c r="P118"/>
    </x:row>
    <x:row r="119">
      <x:c r="A119" s="12"/>
      <x:c r="B119"/>
      <x:c r="C119"/>
      <x:c r="D119"/>
      <x:c r="E119"/>
      <x:c r="F119"/>
      <x:c r="G119"/>
      <x:c r="H119" s="12" t="str">
        <x:f>IF(A119="","",A119+1)</x:f>
      </x:c>
      <x:c r="I119"/>
      <x:c r="J119" s="12" t="str">
        <x:f>IF(A119="","",A119+7)</x:f>
      </x:c>
      <x:c r="K119"/>
      <x:c r="L119" s="12" t="str">
        <x:f>IF(A119="","",A119+21)</x:f>
      </x:c>
      <x:c r="M119"/>
      <x:c r="N119"/>
      <x:c r="O119"/>
      <x:c r="P119"/>
    </x:row>
    <x:row r="120">
      <x:c r="A120" s="12"/>
      <x:c r="B120"/>
      <x:c r="C120"/>
      <x:c r="D120"/>
      <x:c r="E120"/>
      <x:c r="F120"/>
      <x:c r="G120"/>
      <x:c r="H120" s="12" t="str">
        <x:f>IF(A120="","",A120+1)</x:f>
      </x:c>
      <x:c r="I120"/>
      <x:c r="J120" s="12" t="str">
        <x:f>IF(A120="","",A120+7)</x:f>
      </x:c>
      <x:c r="K120"/>
      <x:c r="L120" s="12" t="str">
        <x:f>IF(A120="","",A120+21)</x:f>
      </x:c>
      <x:c r="M120"/>
      <x:c r="N120"/>
      <x:c r="O120"/>
      <x:c r="P120"/>
    </x:row>
    <x:row r="121">
      <x:c r="A121" s="12"/>
      <x:c r="B121"/>
      <x:c r="C121"/>
      <x:c r="D121"/>
      <x:c r="E121"/>
      <x:c r="F121"/>
      <x:c r="G121"/>
      <x:c r="H121" s="12" t="str">
        <x:f>IF(A121="","",A121+1)</x:f>
      </x:c>
      <x:c r="I121"/>
      <x:c r="J121" s="12" t="str">
        <x:f>IF(A121="","",A121+7)</x:f>
      </x:c>
      <x:c r="K121"/>
      <x:c r="L121" s="12" t="str">
        <x:f>IF(A121="","",A121+21)</x:f>
      </x:c>
      <x:c r="M121"/>
      <x:c r="N121"/>
      <x:c r="O121"/>
      <x:c r="P121"/>
    </x:row>
    <x:row r="122">
      <x:c r="A122" s="12"/>
      <x:c r="B122"/>
      <x:c r="C122"/>
      <x:c r="D122"/>
      <x:c r="E122"/>
      <x:c r="F122"/>
      <x:c r="G122"/>
      <x:c r="H122" s="12" t="str">
        <x:f>IF(A122="","",A122+1)</x:f>
      </x:c>
      <x:c r="I122"/>
      <x:c r="J122" s="12" t="str">
        <x:f>IF(A122="","",A122+7)</x:f>
      </x:c>
      <x:c r="K122"/>
      <x:c r="L122" s="12" t="str">
        <x:f>IF(A122="","",A122+21)</x:f>
      </x:c>
      <x:c r="M122"/>
      <x:c r="N122"/>
      <x:c r="O122"/>
      <x:c r="P122"/>
    </x:row>
    <x:row r="123">
      <x:c r="A123" s="12"/>
      <x:c r="B123"/>
      <x:c r="C123"/>
      <x:c r="D123"/>
      <x:c r="E123"/>
      <x:c r="F123"/>
      <x:c r="G123"/>
      <x:c r="H123" s="12" t="str">
        <x:f>IF(A123="","",A123+1)</x:f>
      </x:c>
      <x:c r="I123"/>
      <x:c r="J123" s="12" t="str">
        <x:f>IF(A123="","",A123+7)</x:f>
      </x:c>
      <x:c r="K123"/>
      <x:c r="L123" s="12" t="str">
        <x:f>IF(A123="","",A123+21)</x:f>
      </x:c>
      <x:c r="M123"/>
      <x:c r="N123"/>
      <x:c r="O123"/>
      <x:c r="P123"/>
    </x:row>
    <x:row r="124">
      <x:c r="A124" s="12"/>
      <x:c r="B124"/>
      <x:c r="C124"/>
      <x:c r="D124"/>
      <x:c r="E124"/>
      <x:c r="F124"/>
      <x:c r="G124"/>
      <x:c r="H124" s="12" t="str">
        <x:f>IF(A124="","",A124+1)</x:f>
      </x:c>
      <x:c r="I124"/>
      <x:c r="J124" s="12" t="str">
        <x:f>IF(A124="","",A124+7)</x:f>
      </x:c>
      <x:c r="K124"/>
      <x:c r="L124" s="12" t="str">
        <x:f>IF(A124="","",A124+21)</x:f>
      </x:c>
      <x:c r="M124"/>
      <x:c r="N124"/>
      <x:c r="O124"/>
      <x:c r="P124"/>
    </x:row>
    <x:row r="125">
      <x:c r="A125" s="12"/>
      <x:c r="B125"/>
      <x:c r="C125"/>
      <x:c r="D125"/>
      <x:c r="E125"/>
      <x:c r="F125"/>
      <x:c r="G125"/>
      <x:c r="H125" s="12" t="str">
        <x:f>IF(A125="","",A125+1)</x:f>
      </x:c>
      <x:c r="I125"/>
      <x:c r="J125" s="12" t="str">
        <x:f>IF(A125="","",A125+7)</x:f>
      </x:c>
      <x:c r="K125"/>
      <x:c r="L125" s="12" t="str">
        <x:f>IF(A125="","",A125+21)</x:f>
      </x:c>
      <x:c r="M125"/>
      <x:c r="N125"/>
      <x:c r="O125"/>
      <x:c r="P125"/>
    </x:row>
    <x:row r="126">
      <x:c r="A126" s="12"/>
      <x:c r="B126"/>
      <x:c r="C126"/>
      <x:c r="D126"/>
      <x:c r="E126"/>
      <x:c r="F126"/>
      <x:c r="G126"/>
      <x:c r="H126" s="12" t="str">
        <x:f>IF(A126="","",A126+1)</x:f>
      </x:c>
      <x:c r="I126"/>
      <x:c r="J126" s="12" t="str">
        <x:f>IF(A126="","",A126+7)</x:f>
      </x:c>
      <x:c r="K126"/>
      <x:c r="L126" s="12" t="str">
        <x:f>IF(A126="","",A126+21)</x:f>
      </x:c>
      <x:c r="M126"/>
      <x:c r="N126"/>
      <x:c r="O126"/>
      <x:c r="P126"/>
    </x:row>
    <x:row r="127">
      <x:c r="A127" s="12"/>
      <x:c r="B127"/>
      <x:c r="C127"/>
      <x:c r="D127"/>
      <x:c r="E127"/>
      <x:c r="F127"/>
      <x:c r="G127"/>
      <x:c r="H127" s="12" t="str">
        <x:f>IF(A127="","",A127+1)</x:f>
      </x:c>
      <x:c r="I127"/>
      <x:c r="J127" s="12" t="str">
        <x:f>IF(A127="","",A127+7)</x:f>
      </x:c>
      <x:c r="K127"/>
      <x:c r="L127" s="12" t="str">
        <x:f>IF(A127="","",A127+21)</x:f>
      </x:c>
      <x:c r="M127"/>
      <x:c r="N127"/>
      <x:c r="O127"/>
      <x:c r="P127"/>
    </x:row>
    <x:row r="128">
      <x:c r="A128" s="12"/>
      <x:c r="B128"/>
      <x:c r="C128"/>
      <x:c r="D128"/>
      <x:c r="E128"/>
      <x:c r="F128"/>
      <x:c r="G128"/>
      <x:c r="H128" s="12" t="str">
        <x:f>IF(A128="","",A128+1)</x:f>
      </x:c>
      <x:c r="I128"/>
      <x:c r="J128" s="12" t="str">
        <x:f>IF(A128="","",A128+7)</x:f>
      </x:c>
      <x:c r="K128"/>
      <x:c r="L128" s="12" t="str">
        <x:f>IF(A128="","",A128+21)</x:f>
      </x:c>
      <x:c r="M128"/>
      <x:c r="N128"/>
      <x:c r="O128"/>
      <x:c r="P128"/>
    </x:row>
    <x:row r="129">
      <x:c r="A129" s="12"/>
      <x:c r="B129"/>
      <x:c r="C129"/>
      <x:c r="D129"/>
      <x:c r="E129"/>
      <x:c r="F129"/>
      <x:c r="G129"/>
      <x:c r="H129" s="12" t="str">
        <x:f>IF(A129="","",A129+1)</x:f>
      </x:c>
      <x:c r="I129"/>
      <x:c r="J129" s="12" t="str">
        <x:f>IF(A129="","",A129+7)</x:f>
      </x:c>
      <x:c r="K129"/>
      <x:c r="L129" s="12" t="str">
        <x:f>IF(A129="","",A129+21)</x:f>
      </x:c>
      <x:c r="M129"/>
      <x:c r="N129"/>
      <x:c r="O129"/>
      <x:c r="P129"/>
    </x:row>
    <x:row r="130">
      <x:c r="A130" s="12"/>
      <x:c r="B130"/>
      <x:c r="C130"/>
      <x:c r="D130"/>
      <x:c r="E130"/>
      <x:c r="F130"/>
      <x:c r="G130"/>
      <x:c r="H130" s="12" t="str">
        <x:f>IF(A130="","",A130+1)</x:f>
      </x:c>
      <x:c r="I130"/>
      <x:c r="J130" s="12" t="str">
        <x:f>IF(A130="","",A130+7)</x:f>
      </x:c>
      <x:c r="K130"/>
      <x:c r="L130" s="12" t="str">
        <x:f>IF(A130="","",A130+21)</x:f>
      </x:c>
      <x:c r="M130"/>
      <x:c r="N130"/>
      <x:c r="O130"/>
      <x:c r="P130"/>
    </x:row>
    <x:row r="131">
      <x:c r="A131" s="12"/>
      <x:c r="B131"/>
      <x:c r="C131"/>
      <x:c r="D131"/>
      <x:c r="E131"/>
      <x:c r="F131"/>
      <x:c r="G131"/>
      <x:c r="H131" s="12" t="str">
        <x:f>IF(A131="","",A131+1)</x:f>
      </x:c>
      <x:c r="I131"/>
      <x:c r="J131" s="12" t="str">
        <x:f>IF(A131="","",A131+7)</x:f>
      </x:c>
      <x:c r="K131"/>
      <x:c r="L131" s="12" t="str">
        <x:f>IF(A131="","",A131+21)</x:f>
      </x:c>
      <x:c r="M131"/>
      <x:c r="N131"/>
      <x:c r="O131"/>
      <x:c r="P131"/>
    </x:row>
    <x:row r="132">
      <x:c r="A132" s="12"/>
      <x:c r="B132"/>
      <x:c r="C132"/>
      <x:c r="D132"/>
      <x:c r="E132"/>
      <x:c r="F132"/>
      <x:c r="G132"/>
      <x:c r="H132" s="12" t="str">
        <x:f>IF(A132="","",A132+1)</x:f>
      </x:c>
      <x:c r="I132"/>
      <x:c r="J132" s="12" t="str">
        <x:f>IF(A132="","",A132+7)</x:f>
      </x:c>
      <x:c r="K132"/>
      <x:c r="L132" s="12" t="str">
        <x:f>IF(A132="","",A132+21)</x:f>
      </x:c>
      <x:c r="M132"/>
      <x:c r="N132"/>
      <x:c r="O132"/>
      <x:c r="P132"/>
    </x:row>
    <x:row r="133">
      <x:c r="A133" s="12"/>
      <x:c r="B133"/>
      <x:c r="C133"/>
      <x:c r="D133"/>
      <x:c r="E133"/>
      <x:c r="F133"/>
      <x:c r="G133"/>
      <x:c r="H133" s="12" t="str">
        <x:f>IF(A133="","",A133+1)</x:f>
      </x:c>
      <x:c r="I133"/>
      <x:c r="J133" s="12" t="str">
        <x:f>IF(A133="","",A133+7)</x:f>
      </x:c>
      <x:c r="K133"/>
      <x:c r="L133" s="12" t="str">
        <x:f>IF(A133="","",A133+21)</x:f>
      </x:c>
      <x:c r="M133"/>
      <x:c r="N133"/>
      <x:c r="O133"/>
      <x:c r="P133"/>
    </x:row>
    <x:row r="134">
      <x:c r="A134" s="12"/>
      <x:c r="B134"/>
      <x:c r="C134"/>
      <x:c r="D134"/>
      <x:c r="E134"/>
      <x:c r="F134"/>
      <x:c r="G134"/>
      <x:c r="H134" s="12" t="str">
        <x:f>IF(A134="","",A134+1)</x:f>
      </x:c>
      <x:c r="I134"/>
      <x:c r="J134" s="12" t="str">
        <x:f>IF(A134="","",A134+7)</x:f>
      </x:c>
      <x:c r="K134"/>
      <x:c r="L134" s="12" t="str">
        <x:f>IF(A134="","",A134+21)</x:f>
      </x:c>
      <x:c r="M134"/>
      <x:c r="N134"/>
      <x:c r="O134"/>
      <x:c r="P134"/>
    </x:row>
    <x:row r="135">
      <x:c r="A135" s="12"/>
      <x:c r="B135"/>
      <x:c r="C135"/>
      <x:c r="D135"/>
      <x:c r="E135"/>
      <x:c r="F135"/>
      <x:c r="G135"/>
      <x:c r="H135" s="12" t="str">
        <x:f>IF(A135="","",A135+1)</x:f>
      </x:c>
      <x:c r="I135"/>
      <x:c r="J135" s="12" t="str">
        <x:f>IF(A135="","",A135+7)</x:f>
      </x:c>
      <x:c r="K135"/>
      <x:c r="L135" s="12" t="str">
        <x:f>IF(A135="","",A135+21)</x:f>
      </x:c>
      <x:c r="M135"/>
      <x:c r="N135"/>
      <x:c r="O135"/>
      <x:c r="P135"/>
    </x:row>
    <x:row r="136">
      <x:c r="A136" s="12"/>
      <x:c r="B136"/>
      <x:c r="C136"/>
      <x:c r="D136"/>
      <x:c r="E136"/>
      <x:c r="F136"/>
      <x:c r="G136"/>
      <x:c r="H136" s="12" t="str">
        <x:f>IF(A136="","",A136+1)</x:f>
      </x:c>
      <x:c r="I136"/>
      <x:c r="J136" s="12" t="str">
        <x:f>IF(A136="","",A136+7)</x:f>
      </x:c>
      <x:c r="K136"/>
      <x:c r="L136" s="12" t="str">
        <x:f>IF(A136="","",A136+21)</x:f>
      </x:c>
      <x:c r="M136"/>
      <x:c r="N136"/>
      <x:c r="O136"/>
      <x:c r="P136"/>
    </x:row>
    <x:row r="137">
      <x:c r="A137" s="12"/>
      <x:c r="B137"/>
      <x:c r="C137"/>
      <x:c r="D137"/>
      <x:c r="E137"/>
      <x:c r="F137"/>
      <x:c r="G137"/>
      <x:c r="H137" s="12" t="str">
        <x:f>IF(A137="","",A137+1)</x:f>
      </x:c>
      <x:c r="I137"/>
      <x:c r="J137" s="12" t="str">
        <x:f>IF(A137="","",A137+7)</x:f>
      </x:c>
      <x:c r="K137"/>
      <x:c r="L137" s="12" t="str">
        <x:f>IF(A137="","",A137+21)</x:f>
      </x:c>
      <x:c r="M137"/>
      <x:c r="N137"/>
      <x:c r="O137"/>
      <x:c r="P137"/>
    </x:row>
    <x:row r="138">
      <x:c r="A138" s="12"/>
      <x:c r="B138"/>
      <x:c r="C138"/>
      <x:c r="D138"/>
      <x:c r="E138"/>
      <x:c r="F138"/>
      <x:c r="G138"/>
      <x:c r="H138" s="12" t="str">
        <x:f>IF(A138="","",A138+1)</x:f>
      </x:c>
      <x:c r="I138"/>
      <x:c r="J138" s="12" t="str">
        <x:f>IF(A138="","",A138+7)</x:f>
      </x:c>
      <x:c r="K138"/>
      <x:c r="L138" s="12" t="str">
        <x:f>IF(A138="","",A138+21)</x:f>
      </x:c>
      <x:c r="M138"/>
      <x:c r="N138"/>
      <x:c r="O138"/>
      <x:c r="P138"/>
    </x:row>
    <x:row r="139">
      <x:c r="A139" s="12"/>
      <x:c r="B139"/>
      <x:c r="C139"/>
      <x:c r="D139"/>
      <x:c r="E139"/>
      <x:c r="F139"/>
      <x:c r="G139"/>
      <x:c r="H139" s="12" t="str">
        <x:f>IF(A139="","",A139+1)</x:f>
      </x:c>
      <x:c r="I139"/>
      <x:c r="J139" s="12" t="str">
        <x:f>IF(A139="","",A139+7)</x:f>
      </x:c>
      <x:c r="K139"/>
      <x:c r="L139" s="12" t="str">
        <x:f>IF(A139="","",A139+21)</x:f>
      </x:c>
      <x:c r="M139"/>
      <x:c r="N139"/>
      <x:c r="O139"/>
      <x:c r="P139"/>
    </x:row>
    <x:row r="140">
      <x:c r="A140" s="12"/>
      <x:c r="B140"/>
      <x:c r="C140"/>
      <x:c r="D140"/>
      <x:c r="E140"/>
      <x:c r="F140"/>
      <x:c r="G140"/>
      <x:c r="H140" s="12" t="str">
        <x:f>IF(A140="","",A140+1)</x:f>
      </x:c>
      <x:c r="I140"/>
      <x:c r="J140" s="12" t="str">
        <x:f>IF(A140="","",A140+7)</x:f>
      </x:c>
      <x:c r="K140"/>
      <x:c r="L140" s="12" t="str">
        <x:f>IF(A140="","",A140+21)</x:f>
      </x:c>
      <x:c r="M140"/>
      <x:c r="N140"/>
      <x:c r="O140"/>
      <x:c r="P140"/>
    </x:row>
    <x:row r="141">
      <x:c r="A141" s="12"/>
      <x:c r="B141"/>
      <x:c r="C141"/>
      <x:c r="D141"/>
      <x:c r="E141"/>
      <x:c r="F141"/>
      <x:c r="G141"/>
      <x:c r="H141" s="12" t="str">
        <x:f>IF(A141="","",A141+1)</x:f>
      </x:c>
      <x:c r="I141"/>
      <x:c r="J141" s="12" t="str">
        <x:f>IF(A141="","",A141+7)</x:f>
      </x:c>
      <x:c r="K141"/>
      <x:c r="L141" s="12" t="str">
        <x:f>IF(A141="","",A141+21)</x:f>
      </x:c>
      <x:c r="M141"/>
      <x:c r="N141"/>
      <x:c r="O141"/>
      <x:c r="P141"/>
    </x:row>
    <x:row r="142">
      <x:c r="A142" s="12"/>
      <x:c r="B142"/>
      <x:c r="C142"/>
      <x:c r="D142"/>
      <x:c r="E142"/>
      <x:c r="F142"/>
      <x:c r="G142"/>
      <x:c r="H142" s="12" t="str">
        <x:f>IF(A142="","",A142+1)</x:f>
      </x:c>
      <x:c r="I142"/>
      <x:c r="J142" s="12" t="str">
        <x:f>IF(A142="","",A142+7)</x:f>
      </x:c>
      <x:c r="K142"/>
      <x:c r="L142" s="12" t="str">
        <x:f>IF(A142="","",A142+21)</x:f>
      </x:c>
      <x:c r="M142"/>
      <x:c r="N142"/>
      <x:c r="O142"/>
      <x:c r="P142"/>
    </x:row>
    <x:row r="143">
      <x:c r="A143" s="12"/>
      <x:c r="B143"/>
      <x:c r="C143"/>
      <x:c r="D143"/>
      <x:c r="E143"/>
      <x:c r="F143"/>
      <x:c r="G143"/>
      <x:c r="H143" s="12" t="str">
        <x:f>IF(A143="","",A143+1)</x:f>
      </x:c>
      <x:c r="I143"/>
      <x:c r="J143" s="12" t="str">
        <x:f>IF(A143="","",A143+7)</x:f>
      </x:c>
      <x:c r="K143"/>
      <x:c r="L143" s="12" t="str">
        <x:f>IF(A143="","",A143+21)</x:f>
      </x:c>
      <x:c r="M143"/>
      <x:c r="N143"/>
      <x:c r="O143"/>
      <x:c r="P143"/>
    </x:row>
    <x:row r="144">
      <x:c r="A144" s="12"/>
      <x:c r="B144"/>
      <x:c r="C144"/>
      <x:c r="D144"/>
      <x:c r="E144"/>
      <x:c r="F144"/>
      <x:c r="G144"/>
      <x:c r="H144" s="12" t="str">
        <x:f>IF(A144="","",A144+1)</x:f>
      </x:c>
      <x:c r="I144"/>
      <x:c r="J144" s="12" t="str">
        <x:f>IF(A144="","",A144+7)</x:f>
      </x:c>
      <x:c r="K144"/>
      <x:c r="L144" s="12" t="str">
        <x:f>IF(A144="","",A144+21)</x:f>
      </x:c>
      <x:c r="M144"/>
      <x:c r="N144"/>
      <x:c r="O144"/>
      <x:c r="P144"/>
    </x:row>
    <x:row r="145">
      <x:c r="A145" s="12"/>
      <x:c r="B145"/>
      <x:c r="C145"/>
      <x:c r="D145"/>
      <x:c r="E145"/>
      <x:c r="F145"/>
      <x:c r="G145"/>
      <x:c r="H145" s="12" t="str">
        <x:f>IF(A145="","",A145+1)</x:f>
      </x:c>
      <x:c r="I145"/>
      <x:c r="J145" s="12" t="str">
        <x:f>IF(A145="","",A145+7)</x:f>
      </x:c>
      <x:c r="K145"/>
      <x:c r="L145" s="12" t="str">
        <x:f>IF(A145="","",A145+21)</x:f>
      </x:c>
      <x:c r="M145"/>
      <x:c r="N145"/>
      <x:c r="O145"/>
      <x:c r="P145"/>
    </x:row>
    <x:row r="146">
      <x:c r="A146" s="12"/>
      <x:c r="B146"/>
      <x:c r="C146"/>
      <x:c r="D146"/>
      <x:c r="E146"/>
      <x:c r="F146"/>
      <x:c r="G146"/>
      <x:c r="H146" s="12" t="str">
        <x:f>IF(A146="","",A146+1)</x:f>
      </x:c>
      <x:c r="I146"/>
      <x:c r="J146" s="12" t="str">
        <x:f>IF(A146="","",A146+7)</x:f>
      </x:c>
      <x:c r="K146"/>
      <x:c r="L146" s="12" t="str">
        <x:f>IF(A146="","",A146+21)</x:f>
      </x:c>
      <x:c r="M146"/>
      <x:c r="N146"/>
      <x:c r="O146"/>
      <x:c r="P146"/>
    </x:row>
    <x:row r="147">
      <x:c r="A147" s="12"/>
      <x:c r="B147"/>
      <x:c r="C147"/>
      <x:c r="D147"/>
      <x:c r="E147"/>
      <x:c r="F147"/>
      <x:c r="G147"/>
      <x:c r="H147" s="12" t="str">
        <x:f>IF(A147="","",A147+1)</x:f>
      </x:c>
      <x:c r="I147"/>
      <x:c r="J147" s="12" t="str">
        <x:f>IF(A147="","",A147+7)</x:f>
      </x:c>
      <x:c r="K147"/>
      <x:c r="L147" s="12" t="str">
        <x:f>IF(A147="","",A147+21)</x:f>
      </x:c>
      <x:c r="M147"/>
      <x:c r="N147"/>
      <x:c r="O147"/>
      <x:c r="P147"/>
    </x:row>
    <x:row r="148">
      <x:c r="A148" s="12"/>
      <x:c r="B148"/>
      <x:c r="C148"/>
      <x:c r="D148"/>
      <x:c r="E148"/>
      <x:c r="F148"/>
      <x:c r="G148"/>
      <x:c r="H148" s="12" t="str">
        <x:f>IF(A148="","",A148+1)</x:f>
      </x:c>
      <x:c r="I148"/>
      <x:c r="J148" s="12" t="str">
        <x:f>IF(A148="","",A148+7)</x:f>
      </x:c>
      <x:c r="K148"/>
      <x:c r="L148" s="12" t="str">
        <x:f>IF(A148="","",A148+21)</x:f>
      </x:c>
      <x:c r="M148"/>
      <x:c r="N148"/>
      <x:c r="O148"/>
      <x:c r="P148"/>
    </x:row>
    <x:row r="149">
      <x:c r="A149" s="12"/>
      <x:c r="B149"/>
      <x:c r="C149"/>
      <x:c r="D149"/>
      <x:c r="E149"/>
      <x:c r="F149"/>
      <x:c r="G149"/>
      <x:c r="H149" s="12" t="str">
        <x:f>IF(A149="","",A149+1)</x:f>
      </x:c>
      <x:c r="I149"/>
      <x:c r="J149" s="12" t="str">
        <x:f>IF(A149="","",A149+7)</x:f>
      </x:c>
      <x:c r="K149"/>
      <x:c r="L149" s="12" t="str">
        <x:f>IF(A149="","",A149+21)</x:f>
      </x:c>
      <x:c r="M149"/>
      <x:c r="N149"/>
      <x:c r="O149"/>
      <x:c r="P149"/>
    </x:row>
    <x:row r="150">
      <x:c r="A150" s="12"/>
      <x:c r="B150"/>
      <x:c r="C150"/>
      <x:c r="D150"/>
      <x:c r="E150"/>
      <x:c r="F150"/>
      <x:c r="G150"/>
      <x:c r="H150" s="12" t="str">
        <x:f>IF(A150="","",A150+1)</x:f>
      </x:c>
      <x:c r="I150"/>
      <x:c r="J150" s="12" t="str">
        <x:f>IF(A150="","",A150+7)</x:f>
      </x:c>
      <x:c r="K150"/>
      <x:c r="L150" s="12" t="str">
        <x:f>IF(A150="","",A150+21)</x:f>
      </x:c>
      <x:c r="M150"/>
      <x:c r="N150"/>
      <x:c r="O150"/>
      <x:c r="P150"/>
    </x:row>
    <x:row r="151">
      <x:c r="A151" s="12"/>
      <x:c r="B151"/>
      <x:c r="C151"/>
      <x:c r="D151"/>
      <x:c r="E151"/>
      <x:c r="F151"/>
      <x:c r="G151"/>
      <x:c r="H151" s="12" t="str">
        <x:f>IF(A151="","",A151+1)</x:f>
      </x:c>
      <x:c r="I151"/>
      <x:c r="J151" s="12" t="str">
        <x:f>IF(A151="","",A151+7)</x:f>
      </x:c>
      <x:c r="K151"/>
      <x:c r="L151" s="12" t="str">
        <x:f>IF(A151="","",A151+21)</x:f>
      </x:c>
      <x:c r="M151"/>
      <x:c r="N151"/>
      <x:c r="O151"/>
      <x:c r="P151"/>
    </x:row>
    <x:row r="152">
      <x:c r="A152" s="12"/>
      <x:c r="B152"/>
      <x:c r="C152"/>
      <x:c r="D152"/>
      <x:c r="E152"/>
      <x:c r="F152"/>
      <x:c r="G152"/>
      <x:c r="H152" s="12" t="str">
        <x:f>IF(A152="","",A152+1)</x:f>
      </x:c>
      <x:c r="I152"/>
      <x:c r="J152" s="12" t="str">
        <x:f>IF(A152="","",A152+7)</x:f>
      </x:c>
      <x:c r="K152"/>
      <x:c r="L152" s="12" t="str">
        <x:f>IF(A152="","",A152+21)</x:f>
      </x:c>
      <x:c r="M152"/>
      <x:c r="N152"/>
      <x:c r="O152"/>
      <x:c r="P152"/>
    </x:row>
    <x:row r="153">
      <x:c r="A153" s="12"/>
      <x:c r="B153"/>
      <x:c r="C153"/>
      <x:c r="D153"/>
      <x:c r="E153"/>
      <x:c r="F153"/>
      <x:c r="G153"/>
      <x:c r="H153" s="12" t="str">
        <x:f>IF(A153="","",A153+1)</x:f>
      </x:c>
      <x:c r="I153"/>
      <x:c r="J153" s="12" t="str">
        <x:f>IF(A153="","",A153+7)</x:f>
      </x:c>
      <x:c r="K153"/>
      <x:c r="L153" s="12" t="str">
        <x:f>IF(A153="","",A153+21)</x:f>
      </x:c>
      <x:c r="M153"/>
      <x:c r="N153"/>
      <x:c r="O153"/>
      <x:c r="P153"/>
    </x:row>
    <x:row r="154">
      <x:c r="A154" s="12"/>
      <x:c r="B154"/>
      <x:c r="C154"/>
      <x:c r="D154"/>
      <x:c r="E154"/>
      <x:c r="F154"/>
      <x:c r="G154"/>
      <x:c r="H154" s="12" t="str">
        <x:f>IF(A154="","",A154+1)</x:f>
      </x:c>
      <x:c r="I154"/>
      <x:c r="J154" s="12" t="str">
        <x:f>IF(A154="","",A154+7)</x:f>
      </x:c>
      <x:c r="K154"/>
      <x:c r="L154" s="12" t="str">
        <x:f>IF(A154="","",A154+21)</x:f>
      </x:c>
      <x:c r="M154"/>
      <x:c r="N154"/>
      <x:c r="O154"/>
      <x:c r="P154"/>
    </x:row>
    <x:row r="155">
      <x:c r="A155" s="12"/>
      <x:c r="B155"/>
      <x:c r="C155"/>
      <x:c r="D155"/>
      <x:c r="E155"/>
      <x:c r="F155"/>
      <x:c r="G155"/>
      <x:c r="H155" s="12" t="str">
        <x:f>IF(A155="","",A155+1)</x:f>
      </x:c>
      <x:c r="I155"/>
      <x:c r="J155" s="12" t="str">
        <x:f>IF(A155="","",A155+7)</x:f>
      </x:c>
      <x:c r="K155"/>
      <x:c r="L155" s="12" t="str">
        <x:f>IF(A155="","",A155+21)</x:f>
      </x:c>
      <x:c r="M155"/>
      <x:c r="N155"/>
      <x:c r="O155"/>
      <x:c r="P155"/>
    </x:row>
    <x:row r="156">
      <x:c r="A156" s="12"/>
      <x:c r="B156"/>
      <x:c r="C156"/>
      <x:c r="D156"/>
      <x:c r="E156"/>
      <x:c r="F156"/>
      <x:c r="G156"/>
      <x:c r="H156" s="12" t="str">
        <x:f>IF(A156="","",A156+1)</x:f>
      </x:c>
      <x:c r="I156"/>
      <x:c r="J156" s="12" t="str">
        <x:f>IF(A156="","",A156+7)</x:f>
      </x:c>
      <x:c r="K156"/>
      <x:c r="L156" s="12" t="str">
        <x:f>IF(A156="","",A156+21)</x:f>
      </x:c>
      <x:c r="M156"/>
      <x:c r="N156"/>
      <x:c r="O156"/>
      <x:c r="P156"/>
    </x:row>
    <x:row r="157">
      <x:c r="A157" s="12"/>
      <x:c r="B157"/>
      <x:c r="C157"/>
      <x:c r="D157"/>
      <x:c r="E157"/>
      <x:c r="F157"/>
      <x:c r="G157"/>
      <x:c r="H157" s="12" t="str">
        <x:f>IF(A157="","",A157+1)</x:f>
      </x:c>
      <x:c r="I157"/>
      <x:c r="J157" s="12" t="str">
        <x:f>IF(A157="","",A157+7)</x:f>
      </x:c>
      <x:c r="K157"/>
      <x:c r="L157" s="12" t="str">
        <x:f>IF(A157="","",A157+21)</x:f>
      </x:c>
      <x:c r="M157"/>
      <x:c r="N157"/>
      <x:c r="O157"/>
      <x:c r="P157"/>
    </x:row>
    <x:row r="158">
      <x:c r="A158" s="12"/>
      <x:c r="B158"/>
      <x:c r="C158"/>
      <x:c r="D158"/>
      <x:c r="E158"/>
      <x:c r="F158"/>
      <x:c r="G158"/>
      <x:c r="H158" s="12" t="str">
        <x:f>IF(A158="","",A158+1)</x:f>
      </x:c>
      <x:c r="I158"/>
      <x:c r="J158" s="12" t="str">
        <x:f>IF(A158="","",A158+7)</x:f>
      </x:c>
      <x:c r="K158"/>
      <x:c r="L158" s="12" t="str">
        <x:f>IF(A158="","",A158+21)</x:f>
      </x:c>
      <x:c r="M158"/>
      <x:c r="N158"/>
      <x:c r="O158"/>
      <x:c r="P158"/>
    </x:row>
    <x:row r="159">
      <x:c r="A159" s="12"/>
      <x:c r="B159"/>
      <x:c r="C159"/>
      <x:c r="D159"/>
      <x:c r="E159"/>
      <x:c r="F159"/>
      <x:c r="G159"/>
      <x:c r="H159" s="12" t="str">
        <x:f>IF(A159="","",A159+1)</x:f>
      </x:c>
      <x:c r="I159"/>
      <x:c r="J159" s="12" t="str">
        <x:f>IF(A159="","",A159+7)</x:f>
      </x:c>
      <x:c r="K159"/>
      <x:c r="L159" s="12" t="str">
        <x:f>IF(A159="","",A159+21)</x:f>
      </x:c>
      <x:c r="M159"/>
      <x:c r="N159"/>
      <x:c r="O159"/>
      <x:c r="P159"/>
    </x:row>
    <x:row r="160">
      <x:c r="A160" s="12"/>
      <x:c r="B160"/>
      <x:c r="C160"/>
      <x:c r="D160"/>
      <x:c r="E160"/>
      <x:c r="F160"/>
      <x:c r="G160"/>
      <x:c r="H160" s="12" t="str">
        <x:f>IF(A160="","",A160+1)</x:f>
      </x:c>
      <x:c r="I160"/>
      <x:c r="J160" s="12" t="str">
        <x:f>IF(A160="","",A160+7)</x:f>
      </x:c>
      <x:c r="K160"/>
      <x:c r="L160" s="12" t="str">
        <x:f>IF(A160="","",A160+21)</x:f>
      </x:c>
      <x:c r="M160"/>
      <x:c r="N160"/>
      <x:c r="O160"/>
      <x:c r="P160"/>
    </x:row>
    <x:row r="161">
      <x:c r="A161" s="12"/>
      <x:c r="B161"/>
      <x:c r="C161"/>
      <x:c r="D161"/>
      <x:c r="E161"/>
      <x:c r="F161"/>
      <x:c r="G161"/>
      <x:c r="H161" s="12" t="str">
        <x:f>IF(A161="","",A161+1)</x:f>
      </x:c>
      <x:c r="I161"/>
      <x:c r="J161" s="12" t="str">
        <x:f>IF(A161="","",A161+7)</x:f>
      </x:c>
      <x:c r="K161"/>
      <x:c r="L161" s="12" t="str">
        <x:f>IF(A161="","",A161+21)</x:f>
      </x:c>
      <x:c r="M161"/>
      <x:c r="N161"/>
      <x:c r="O161"/>
      <x:c r="P161"/>
    </x:row>
    <x:row r="162">
      <x:c r="A162" s="12"/>
      <x:c r="B162"/>
      <x:c r="C162"/>
      <x:c r="D162"/>
      <x:c r="E162"/>
      <x:c r="F162"/>
      <x:c r="G162"/>
      <x:c r="H162" s="12" t="str">
        <x:f>IF(A162="","",A162+1)</x:f>
      </x:c>
      <x:c r="I162"/>
      <x:c r="J162" s="12" t="str">
        <x:f>IF(A162="","",A162+7)</x:f>
      </x:c>
      <x:c r="K162"/>
      <x:c r="L162" s="12" t="str">
        <x:f>IF(A162="","",A162+21)</x:f>
      </x:c>
      <x:c r="M162"/>
      <x:c r="N162"/>
      <x:c r="O162"/>
      <x:c r="P162"/>
    </x:row>
    <x:row r="163">
      <x:c r="A163" s="12"/>
      <x:c r="B163"/>
      <x:c r="C163"/>
      <x:c r="D163"/>
      <x:c r="E163"/>
      <x:c r="F163"/>
      <x:c r="G163"/>
      <x:c r="H163" s="12" t="str">
        <x:f>IF(A163="","",A163+1)</x:f>
      </x:c>
      <x:c r="I163"/>
      <x:c r="J163" s="12" t="str">
        <x:f>IF(A163="","",A163+7)</x:f>
      </x:c>
      <x:c r="K163"/>
      <x:c r="L163" s="12" t="str">
        <x:f>IF(A163="","",A163+21)</x:f>
      </x:c>
      <x:c r="M163"/>
      <x:c r="N163"/>
      <x:c r="O163"/>
      <x:c r="P163"/>
    </x:row>
    <x:row r="164">
      <x:c r="A164" s="12"/>
      <x:c r="B164"/>
      <x:c r="C164"/>
      <x:c r="D164"/>
      <x:c r="E164"/>
      <x:c r="F164"/>
      <x:c r="G164"/>
      <x:c r="H164" s="12" t="str">
        <x:f>IF(A164="","",A164+1)</x:f>
      </x:c>
      <x:c r="I164"/>
      <x:c r="J164" s="12" t="str">
        <x:f>IF(A164="","",A164+7)</x:f>
      </x:c>
      <x:c r="K164"/>
      <x:c r="L164" s="12" t="str">
        <x:f>IF(A164="","",A164+21)</x:f>
      </x:c>
      <x:c r="M164"/>
      <x:c r="N164"/>
      <x:c r="O164"/>
      <x:c r="P164"/>
    </x:row>
    <x:row r="165">
      <x:c r="A165" s="12"/>
      <x:c r="B165"/>
      <x:c r="C165"/>
      <x:c r="D165"/>
      <x:c r="E165"/>
      <x:c r="F165"/>
      <x:c r="G165"/>
      <x:c r="H165" s="12" t="str">
        <x:f>IF(A165="","",A165+1)</x:f>
      </x:c>
      <x:c r="I165"/>
      <x:c r="J165" s="12" t="str">
        <x:f>IF(A165="","",A165+7)</x:f>
      </x:c>
      <x:c r="K165"/>
      <x:c r="L165" s="12" t="str">
        <x:f>IF(A165="","",A165+21)</x:f>
      </x:c>
      <x:c r="M165"/>
      <x:c r="N165"/>
      <x:c r="O165"/>
      <x:c r="P165"/>
    </x:row>
    <x:row r="166">
      <x:c r="A166" s="12"/>
      <x:c r="B166"/>
      <x:c r="C166"/>
      <x:c r="D166"/>
      <x:c r="E166"/>
      <x:c r="F166"/>
      <x:c r="G166"/>
      <x:c r="H166" s="12" t="str">
        <x:f>IF(A166="","",A166+1)</x:f>
      </x:c>
      <x:c r="I166"/>
      <x:c r="J166" s="12" t="str">
        <x:f>IF(A166="","",A166+7)</x:f>
      </x:c>
      <x:c r="K166"/>
      <x:c r="L166" s="12" t="str">
        <x:f>IF(A166="","",A166+21)</x:f>
      </x:c>
      <x:c r="M166"/>
      <x:c r="N166"/>
      <x:c r="O166"/>
      <x:c r="P166"/>
    </x:row>
    <x:row r="167">
      <x:c r="A167" s="12"/>
      <x:c r="B167"/>
      <x:c r="C167"/>
      <x:c r="D167"/>
      <x:c r="E167"/>
      <x:c r="F167"/>
      <x:c r="G167"/>
      <x:c r="H167" s="12" t="str">
        <x:f>IF(A167="","",A167+1)</x:f>
      </x:c>
      <x:c r="I167"/>
      <x:c r="J167" s="12" t="str">
        <x:f>IF(A167="","",A167+7)</x:f>
      </x:c>
      <x:c r="K167"/>
      <x:c r="L167" s="12" t="str">
        <x:f>IF(A167="","",A167+21)</x:f>
      </x:c>
      <x:c r="M167"/>
      <x:c r="N167"/>
      <x:c r="O167"/>
      <x:c r="P167"/>
    </x:row>
    <x:row r="168">
      <x:c r="A168" s="12"/>
      <x:c r="B168"/>
      <x:c r="C168"/>
      <x:c r="D168"/>
      <x:c r="E168"/>
      <x:c r="F168"/>
      <x:c r="G168"/>
      <x:c r="H168" s="12" t="str">
        <x:f>IF(A168="","",A168+1)</x:f>
      </x:c>
      <x:c r="I168"/>
      <x:c r="J168" s="12" t="str">
        <x:f>IF(A168="","",A168+7)</x:f>
      </x:c>
      <x:c r="K168"/>
      <x:c r="L168" s="12" t="str">
        <x:f>IF(A168="","",A168+21)</x:f>
      </x:c>
      <x:c r="M168"/>
      <x:c r="N168"/>
      <x:c r="O168"/>
      <x:c r="P168"/>
    </x:row>
    <x:row r="169">
      <x:c r="A169" s="12"/>
      <x:c r="B169"/>
      <x:c r="C169"/>
      <x:c r="D169"/>
      <x:c r="E169"/>
      <x:c r="F169"/>
      <x:c r="G169"/>
      <x:c r="H169" s="12" t="str">
        <x:f>IF(A169="","",A169+1)</x:f>
      </x:c>
      <x:c r="I169"/>
      <x:c r="J169" s="12" t="str">
        <x:f>IF(A169="","",A169+7)</x:f>
      </x:c>
      <x:c r="K169"/>
      <x:c r="L169" s="12" t="str">
        <x:f>IF(A169="","",A169+21)</x:f>
      </x:c>
      <x:c r="M169"/>
      <x:c r="N169"/>
      <x:c r="O169"/>
      <x:c r="P169"/>
    </x:row>
    <x:row r="170">
      <x:c r="A170" s="12"/>
      <x:c r="B170"/>
      <x:c r="C170"/>
      <x:c r="D170"/>
      <x:c r="E170"/>
      <x:c r="F170"/>
      <x:c r="G170"/>
      <x:c r="H170" s="12" t="str">
        <x:f>IF(A170="","",A170+1)</x:f>
      </x:c>
      <x:c r="I170"/>
      <x:c r="J170" s="12" t="str">
        <x:f>IF(A170="","",A170+7)</x:f>
      </x:c>
      <x:c r="K170"/>
      <x:c r="L170" s="12" t="str">
        <x:f>IF(A170="","",A170+21)</x:f>
      </x:c>
      <x:c r="M170"/>
      <x:c r="N170"/>
      <x:c r="O170"/>
      <x:c r="P170"/>
    </x:row>
    <x:row r="171">
      <x:c r="A171" s="12"/>
      <x:c r="B171"/>
      <x:c r="C171"/>
      <x:c r="D171"/>
      <x:c r="E171"/>
      <x:c r="F171"/>
      <x:c r="G171"/>
      <x:c r="H171" s="12" t="str">
        <x:f>IF(A171="","",A171+1)</x:f>
      </x:c>
      <x:c r="I171"/>
      <x:c r="J171" s="12" t="str">
        <x:f>IF(A171="","",A171+7)</x:f>
      </x:c>
      <x:c r="K171"/>
      <x:c r="L171" s="12" t="str">
        <x:f>IF(A171="","",A171+21)</x:f>
      </x:c>
      <x:c r="M171"/>
      <x:c r="N171"/>
      <x:c r="O171"/>
      <x:c r="P171"/>
    </x:row>
    <x:row r="172">
      <x:c r="A172" s="12"/>
      <x:c r="B172"/>
      <x:c r="C172"/>
      <x:c r="D172"/>
      <x:c r="E172"/>
      <x:c r="F172"/>
      <x:c r="G172"/>
      <x:c r="H172" s="12" t="str">
        <x:f>IF(A172="","",A172+1)</x:f>
      </x:c>
      <x:c r="I172"/>
      <x:c r="J172" s="12" t="str">
        <x:f>IF(A172="","",A172+7)</x:f>
      </x:c>
      <x:c r="K172"/>
      <x:c r="L172" s="12" t="str">
        <x:f>IF(A172="","",A172+21)</x:f>
      </x:c>
      <x:c r="M172"/>
      <x:c r="N172"/>
      <x:c r="O172"/>
      <x:c r="P172"/>
    </x:row>
    <x:row r="173">
      <x:c r="A173" s="12"/>
      <x:c r="B173"/>
      <x:c r="C173"/>
      <x:c r="D173"/>
      <x:c r="E173"/>
      <x:c r="F173"/>
      <x:c r="G173"/>
      <x:c r="H173" s="12" t="str">
        <x:f>IF(A173="","",A173+1)</x:f>
      </x:c>
      <x:c r="I173"/>
      <x:c r="J173" s="12" t="str">
        <x:f>IF(A173="","",A173+7)</x:f>
      </x:c>
      <x:c r="K173"/>
      <x:c r="L173" s="12" t="str">
        <x:f>IF(A173="","",A173+21)</x:f>
      </x:c>
      <x:c r="M173"/>
      <x:c r="N173"/>
      <x:c r="O173"/>
      <x:c r="P173"/>
    </x:row>
    <x:row r="174">
      <x:c r="A174" s="12"/>
      <x:c r="B174"/>
      <x:c r="C174"/>
      <x:c r="D174"/>
      <x:c r="E174"/>
      <x:c r="F174"/>
      <x:c r="G174"/>
      <x:c r="H174" s="12" t="str">
        <x:f>IF(A174="","",A174+1)</x:f>
      </x:c>
      <x:c r="I174"/>
      <x:c r="J174" s="12" t="str">
        <x:f>IF(A174="","",A174+7)</x:f>
      </x:c>
      <x:c r="K174"/>
      <x:c r="L174" s="12" t="str">
        <x:f>IF(A174="","",A174+21)</x:f>
      </x:c>
      <x:c r="M174"/>
      <x:c r="N174"/>
      <x:c r="O174"/>
      <x:c r="P174"/>
    </x:row>
    <x:row r="175">
      <x:c r="A175" s="12"/>
      <x:c r="B175"/>
      <x:c r="C175"/>
      <x:c r="D175"/>
      <x:c r="E175"/>
      <x:c r="F175"/>
      <x:c r="G175"/>
      <x:c r="H175" s="12" t="str">
        <x:f>IF(A175="","",A175+1)</x:f>
      </x:c>
      <x:c r="I175"/>
      <x:c r="J175" s="12" t="str">
        <x:f>IF(A175="","",A175+7)</x:f>
      </x:c>
      <x:c r="K175"/>
      <x:c r="L175" s="12" t="str">
        <x:f>IF(A175="","",A175+21)</x:f>
      </x:c>
      <x:c r="M175"/>
      <x:c r="N175"/>
      <x:c r="O175"/>
      <x:c r="P175"/>
    </x:row>
    <x:row r="176">
      <x:c r="A176" s="12"/>
      <x:c r="B176"/>
      <x:c r="C176"/>
      <x:c r="D176"/>
      <x:c r="E176"/>
      <x:c r="F176"/>
      <x:c r="G176"/>
      <x:c r="H176" s="12" t="str">
        <x:f>IF(A176="","",A176+1)</x:f>
      </x:c>
      <x:c r="I176"/>
      <x:c r="J176" s="12" t="str">
        <x:f>IF(A176="","",A176+7)</x:f>
      </x:c>
      <x:c r="K176"/>
      <x:c r="L176" s="12" t="str">
        <x:f>IF(A176="","",A176+21)</x:f>
      </x:c>
      <x:c r="M176"/>
      <x:c r="N176"/>
      <x:c r="O176"/>
      <x:c r="P176"/>
    </x:row>
    <x:row r="177">
      <x:c r="A177" s="12"/>
      <x:c r="B177"/>
      <x:c r="C177"/>
      <x:c r="D177"/>
      <x:c r="E177"/>
      <x:c r="F177"/>
      <x:c r="G177"/>
      <x:c r="H177" s="12" t="str">
        <x:f>IF(A177="","",A177+1)</x:f>
      </x:c>
      <x:c r="I177"/>
      <x:c r="J177" s="12" t="str">
        <x:f>IF(A177="","",A177+7)</x:f>
      </x:c>
      <x:c r="K177"/>
      <x:c r="L177" s="12" t="str">
        <x:f>IF(A177="","",A177+21)</x:f>
      </x:c>
      <x:c r="M177"/>
      <x:c r="N177"/>
      <x:c r="O177"/>
      <x:c r="P177"/>
    </x:row>
    <x:row r="178">
      <x:c r="A178" s="12"/>
      <x:c r="B178"/>
      <x:c r="C178"/>
      <x:c r="D178"/>
      <x:c r="E178"/>
      <x:c r="F178"/>
      <x:c r="G178"/>
      <x:c r="H178" s="12" t="str">
        <x:f>IF(A178="","",A178+1)</x:f>
      </x:c>
      <x:c r="I178"/>
      <x:c r="J178" s="12" t="str">
        <x:f>IF(A178="","",A178+7)</x:f>
      </x:c>
      <x:c r="K178"/>
      <x:c r="L178" s="12" t="str">
        <x:f>IF(A178="","",A178+21)</x:f>
      </x:c>
      <x:c r="M178"/>
      <x:c r="N178"/>
      <x:c r="O178"/>
      <x:c r="P178"/>
    </x:row>
    <x:row r="179">
      <x:c r="A179" s="12"/>
      <x:c r="B179"/>
      <x:c r="C179"/>
      <x:c r="D179"/>
      <x:c r="E179"/>
      <x:c r="F179"/>
      <x:c r="G179"/>
      <x:c r="H179" s="12" t="str">
        <x:f>IF(A179="","",A179+1)</x:f>
      </x:c>
      <x:c r="I179"/>
      <x:c r="J179" s="12" t="str">
        <x:f>IF(A179="","",A179+7)</x:f>
      </x:c>
      <x:c r="K179"/>
      <x:c r="L179" s="12" t="str">
        <x:f>IF(A179="","",A179+21)</x:f>
      </x:c>
      <x:c r="M179"/>
      <x:c r="N179"/>
      <x:c r="O179"/>
      <x:c r="P179"/>
    </x:row>
    <x:row r="180">
      <x:c r="A180" s="12"/>
      <x:c r="B180"/>
      <x:c r="C180"/>
      <x:c r="D180"/>
      <x:c r="E180"/>
      <x:c r="F180"/>
      <x:c r="G180"/>
      <x:c r="H180" s="12" t="str">
        <x:f>IF(A180="","",A180+1)</x:f>
      </x:c>
      <x:c r="I180"/>
      <x:c r="J180" s="12" t="str">
        <x:f>IF(A180="","",A180+7)</x:f>
      </x:c>
      <x:c r="K180"/>
      <x:c r="L180" s="12" t="str">
        <x:f>IF(A180="","",A180+21)</x:f>
      </x:c>
      <x:c r="M180"/>
      <x:c r="N180"/>
      <x:c r="O180"/>
      <x:c r="P180"/>
    </x:row>
    <x:row r="181">
      <x:c r="A181" s="12"/>
      <x:c r="B181"/>
      <x:c r="C181"/>
      <x:c r="D181"/>
      <x:c r="E181"/>
      <x:c r="F181"/>
      <x:c r="G181"/>
      <x:c r="H181" s="12" t="str">
        <x:f>IF(A181="","",A181+1)</x:f>
      </x:c>
      <x:c r="I181"/>
      <x:c r="J181" s="12" t="str">
        <x:f>IF(A181="","",A181+7)</x:f>
      </x:c>
      <x:c r="K181"/>
      <x:c r="L181" s="12" t="str">
        <x:f>IF(A181="","",A181+21)</x:f>
      </x:c>
      <x:c r="M181"/>
      <x:c r="N181"/>
      <x:c r="O181"/>
      <x:c r="P181"/>
    </x:row>
    <x:row r="182">
      <x:c r="A182" s="12"/>
      <x:c r="B182"/>
      <x:c r="C182"/>
      <x:c r="D182"/>
      <x:c r="E182"/>
      <x:c r="F182"/>
      <x:c r="G182"/>
      <x:c r="H182" s="12" t="str">
        <x:f>IF(A182="","",A182+1)</x:f>
      </x:c>
      <x:c r="I182"/>
      <x:c r="J182" s="12" t="str">
        <x:f>IF(A182="","",A182+7)</x:f>
      </x:c>
      <x:c r="K182"/>
      <x:c r="L182" s="12" t="str">
        <x:f>IF(A182="","",A182+21)</x:f>
      </x:c>
      <x:c r="M182"/>
      <x:c r="N182"/>
      <x:c r="O182"/>
      <x:c r="P182"/>
    </x:row>
    <x:row r="183">
      <x:c r="A183" s="12"/>
      <x:c r="B183"/>
      <x:c r="C183"/>
      <x:c r="D183"/>
      <x:c r="E183"/>
      <x:c r="F183"/>
      <x:c r="G183"/>
      <x:c r="H183" s="12" t="str">
        <x:f>IF(A183="","",A183+1)</x:f>
      </x:c>
      <x:c r="I183"/>
      <x:c r="J183" s="12" t="str">
        <x:f>IF(A183="","",A183+7)</x:f>
      </x:c>
      <x:c r="K183"/>
      <x:c r="L183" s="12" t="str">
        <x:f>IF(A183="","",A183+21)</x:f>
      </x:c>
      <x:c r="M183"/>
      <x:c r="N183"/>
      <x:c r="O183"/>
      <x:c r="P183"/>
    </x:row>
    <x:row r="184">
      <x:c r="A184" s="12"/>
      <x:c r="B184"/>
      <x:c r="C184"/>
      <x:c r="D184"/>
      <x:c r="E184"/>
      <x:c r="F184"/>
      <x:c r="G184"/>
      <x:c r="H184" s="12" t="str">
        <x:f>IF(A184="","",A184+1)</x:f>
      </x:c>
      <x:c r="I184"/>
      <x:c r="J184" s="12" t="str">
        <x:f>IF(A184="","",A184+7)</x:f>
      </x:c>
      <x:c r="K184"/>
      <x:c r="L184" s="12" t="str">
        <x:f>IF(A184="","",A184+21)</x:f>
      </x:c>
      <x:c r="M184"/>
      <x:c r="N184"/>
      <x:c r="O184"/>
      <x:c r="P184"/>
    </x:row>
    <x:row r="185">
      <x:c r="A185" s="12"/>
      <x:c r="B185"/>
      <x:c r="C185"/>
      <x:c r="D185"/>
      <x:c r="E185"/>
      <x:c r="F185"/>
      <x:c r="G185"/>
      <x:c r="H185" s="12" t="str">
        <x:f>IF(A185="","",A185+1)</x:f>
      </x:c>
      <x:c r="I185"/>
      <x:c r="J185" s="12" t="str">
        <x:f>IF(A185="","",A185+7)</x:f>
      </x:c>
      <x:c r="K185"/>
      <x:c r="L185" s="12" t="str">
        <x:f>IF(A185="","",A185+21)</x:f>
      </x:c>
      <x:c r="M185"/>
      <x:c r="N185"/>
      <x:c r="O185"/>
      <x:c r="P185"/>
    </x:row>
    <x:row r="186">
      <x:c r="A186" s="12"/>
      <x:c r="B186"/>
      <x:c r="C186"/>
      <x:c r="D186"/>
      <x:c r="E186"/>
      <x:c r="F186"/>
      <x:c r="G186"/>
      <x:c r="H186" s="12" t="str">
        <x:f>IF(A186="","",A186+1)</x:f>
      </x:c>
      <x:c r="I186"/>
      <x:c r="J186" s="12" t="str">
        <x:f>IF(A186="","",A186+7)</x:f>
      </x:c>
      <x:c r="K186"/>
      <x:c r="L186" s="12" t="str">
        <x:f>IF(A186="","",A186+21)</x:f>
      </x:c>
      <x:c r="M186"/>
      <x:c r="N186"/>
      <x:c r="O186"/>
      <x:c r="P186"/>
    </x:row>
    <x:row r="187">
      <x:c r="A187" s="12"/>
      <x:c r="B187"/>
      <x:c r="C187"/>
      <x:c r="D187"/>
      <x:c r="E187"/>
      <x:c r="F187"/>
      <x:c r="G187"/>
      <x:c r="H187" s="12" t="str">
        <x:f>IF(A187="","",A187+1)</x:f>
      </x:c>
      <x:c r="I187"/>
      <x:c r="J187" s="12" t="str">
        <x:f>IF(A187="","",A187+7)</x:f>
      </x:c>
      <x:c r="K187"/>
      <x:c r="L187" s="12" t="str">
        <x:f>IF(A187="","",A187+21)</x:f>
      </x:c>
      <x:c r="M187"/>
      <x:c r="N187"/>
      <x:c r="O187"/>
      <x:c r="P187"/>
    </x:row>
    <x:row r="188">
      <x:c r="A188" s="12"/>
      <x:c r="B188"/>
      <x:c r="C188"/>
      <x:c r="D188"/>
      <x:c r="E188"/>
      <x:c r="F188"/>
      <x:c r="G188"/>
      <x:c r="H188" s="12" t="str">
        <x:f>IF(A188="","",A188+1)</x:f>
      </x:c>
      <x:c r="I188"/>
      <x:c r="J188" s="12" t="str">
        <x:f>IF(A188="","",A188+7)</x:f>
      </x:c>
      <x:c r="K188"/>
      <x:c r="L188" s="12" t="str">
        <x:f>IF(A188="","",A188+21)</x:f>
      </x:c>
      <x:c r="M188"/>
      <x:c r="N188"/>
      <x:c r="O188"/>
      <x:c r="P188"/>
    </x:row>
    <x:row r="189">
      <x:c r="A189" s="12"/>
      <x:c r="B189"/>
      <x:c r="C189"/>
      <x:c r="D189"/>
      <x:c r="E189"/>
      <x:c r="F189"/>
      <x:c r="G189"/>
      <x:c r="H189" s="12" t="str">
        <x:f>IF(A189="","",A189+1)</x:f>
      </x:c>
      <x:c r="I189"/>
      <x:c r="J189" s="12" t="str">
        <x:f>IF(A189="","",A189+7)</x:f>
      </x:c>
      <x:c r="K189"/>
      <x:c r="L189" s="12" t="str">
        <x:f>IF(A189="","",A189+21)</x:f>
      </x:c>
      <x:c r="M189"/>
      <x:c r="N189"/>
      <x:c r="O189"/>
      <x:c r="P189"/>
    </x:row>
    <x:row r="190">
      <x:c r="A190" s="12"/>
      <x:c r="B190"/>
      <x:c r="C190"/>
      <x:c r="D190"/>
      <x:c r="E190"/>
      <x:c r="F190"/>
      <x:c r="G190"/>
      <x:c r="H190" s="12" t="str">
        <x:f>IF(A190="","",A190+1)</x:f>
      </x:c>
      <x:c r="I190"/>
      <x:c r="J190" s="12" t="str">
        <x:f>IF(A190="","",A190+7)</x:f>
      </x:c>
      <x:c r="K190"/>
      <x:c r="L190" s="12" t="str">
        <x:f>IF(A190="","",A190+21)</x:f>
      </x:c>
      <x:c r="M190"/>
      <x:c r="N190"/>
      <x:c r="O190"/>
      <x:c r="P190"/>
    </x:row>
    <x:row r="191">
      <x:c r="A191" s="12"/>
      <x:c r="B191"/>
      <x:c r="C191"/>
      <x:c r="D191"/>
      <x:c r="E191"/>
      <x:c r="F191"/>
      <x:c r="G191"/>
      <x:c r="H191" s="12" t="str">
        <x:f>IF(A191="","",A191+1)</x:f>
      </x:c>
      <x:c r="I191"/>
      <x:c r="J191" s="12" t="str">
        <x:f>IF(A191="","",A191+7)</x:f>
      </x:c>
      <x:c r="K191"/>
      <x:c r="L191" s="12" t="str">
        <x:f>IF(A191="","",A191+21)</x:f>
      </x:c>
      <x:c r="M191"/>
      <x:c r="N191"/>
      <x:c r="O191"/>
      <x:c r="P191"/>
    </x:row>
    <x:row r="192">
      <x:c r="A192" s="12"/>
      <x:c r="B192"/>
      <x:c r="C192"/>
      <x:c r="D192"/>
      <x:c r="E192"/>
      <x:c r="F192"/>
      <x:c r="G192"/>
      <x:c r="H192" s="12" t="str">
        <x:f>IF(A192="","",A192+1)</x:f>
      </x:c>
      <x:c r="I192"/>
      <x:c r="J192" s="12" t="str">
        <x:f>IF(A192="","",A192+7)</x:f>
      </x:c>
      <x:c r="K192"/>
      <x:c r="L192" s="12" t="str">
        <x:f>IF(A192="","",A192+21)</x:f>
      </x:c>
      <x:c r="M192"/>
      <x:c r="N192"/>
      <x:c r="O192"/>
      <x:c r="P192"/>
    </x:row>
    <x:row r="193">
      <x:c r="A193" s="12"/>
      <x:c r="B193"/>
      <x:c r="C193"/>
      <x:c r="D193"/>
      <x:c r="E193"/>
      <x:c r="F193"/>
      <x:c r="G193"/>
      <x:c r="H193" s="12" t="str">
        <x:f>IF(A193="","",A193+1)</x:f>
      </x:c>
      <x:c r="I193"/>
      <x:c r="J193" s="12" t="str">
        <x:f>IF(A193="","",A193+7)</x:f>
      </x:c>
      <x:c r="K193"/>
      <x:c r="L193" s="12" t="str">
        <x:f>IF(A193="","",A193+21)</x:f>
      </x:c>
      <x:c r="M193"/>
      <x:c r="N193"/>
      <x:c r="O193"/>
      <x:c r="P193"/>
    </x:row>
    <x:row r="194">
      <x:c r="A194" s="12"/>
      <x:c r="B194"/>
      <x:c r="C194"/>
      <x:c r="D194"/>
      <x:c r="E194"/>
      <x:c r="F194"/>
      <x:c r="G194"/>
      <x:c r="H194" s="12" t="str">
        <x:f>IF(A194="","",A194+1)</x:f>
      </x:c>
      <x:c r="I194"/>
      <x:c r="J194" s="12" t="str">
        <x:f>IF(A194="","",A194+7)</x:f>
      </x:c>
      <x:c r="K194"/>
      <x:c r="L194" s="12" t="str">
        <x:f>IF(A194="","",A194+21)</x:f>
      </x:c>
      <x:c r="M194"/>
      <x:c r="N194"/>
      <x:c r="O194"/>
      <x:c r="P194"/>
    </x:row>
    <x:row r="195">
      <x:c r="A195" s="12"/>
      <x:c r="B195"/>
      <x:c r="C195"/>
      <x:c r="D195"/>
      <x:c r="E195"/>
      <x:c r="F195"/>
      <x:c r="G195"/>
      <x:c r="H195" s="12" t="str">
        <x:f>IF(A195="","",A195+1)</x:f>
      </x:c>
      <x:c r="I195"/>
      <x:c r="J195" s="12" t="str">
        <x:f>IF(A195="","",A195+7)</x:f>
      </x:c>
      <x:c r="K195"/>
      <x:c r="L195" s="12" t="str">
        <x:f>IF(A195="","",A195+21)</x:f>
      </x:c>
      <x:c r="M195"/>
      <x:c r="N195"/>
      <x:c r="O195"/>
      <x:c r="P195"/>
    </x:row>
    <x:row r="196">
      <x:c r="A196" s="12"/>
      <x:c r="B196"/>
      <x:c r="C196"/>
      <x:c r="D196"/>
      <x:c r="E196"/>
      <x:c r="F196"/>
      <x:c r="G196"/>
      <x:c r="H196" s="12" t="str">
        <x:f>IF(A196="","",A196+1)</x:f>
      </x:c>
      <x:c r="I196"/>
      <x:c r="J196" s="12" t="str">
        <x:f>IF(A196="","",A196+7)</x:f>
      </x:c>
      <x:c r="K196"/>
      <x:c r="L196" s="12" t="str">
        <x:f>IF(A196="","",A196+21)</x:f>
      </x:c>
      <x:c r="M196"/>
      <x:c r="N196"/>
      <x:c r="O196"/>
      <x:c r="P196"/>
    </x:row>
    <x:row r="197">
      <x:c r="A197" s="12"/>
      <x:c r="B197"/>
      <x:c r="C197"/>
      <x:c r="D197"/>
      <x:c r="E197"/>
      <x:c r="F197"/>
      <x:c r="G197"/>
      <x:c r="H197" s="12" t="str">
        <x:f>IF(A197="","",A197+1)</x:f>
      </x:c>
      <x:c r="I197"/>
      <x:c r="J197" s="12" t="str">
        <x:f>IF(A197="","",A197+7)</x:f>
      </x:c>
      <x:c r="K197"/>
      <x:c r="L197" s="12" t="str">
        <x:f>IF(A197="","",A197+21)</x:f>
      </x:c>
      <x:c r="M197"/>
      <x:c r="N197"/>
      <x:c r="O197"/>
      <x:c r="P197"/>
    </x:row>
    <x:row r="198">
      <x:c r="A198" s="12"/>
      <x:c r="B198"/>
      <x:c r="C198"/>
      <x:c r="D198"/>
      <x:c r="E198"/>
      <x:c r="F198"/>
      <x:c r="G198"/>
      <x:c r="H198" s="12" t="str">
        <x:f>IF(A198="","",A198+1)</x:f>
      </x:c>
      <x:c r="I198"/>
      <x:c r="J198" s="12" t="str">
        <x:f>IF(A198="","",A198+7)</x:f>
      </x:c>
      <x:c r="K198"/>
      <x:c r="L198" s="12" t="str">
        <x:f>IF(A198="","",A198+21)</x:f>
      </x:c>
      <x:c r="M198"/>
      <x:c r="N198"/>
      <x:c r="O198"/>
      <x:c r="P198"/>
    </x:row>
    <x:row r="199">
      <x:c r="A199" s="12"/>
      <x:c r="B199"/>
      <x:c r="C199"/>
      <x:c r="D199"/>
      <x:c r="E199"/>
      <x:c r="F199"/>
      <x:c r="G199"/>
      <x:c r="H199" s="12" t="str">
        <x:f>IF(A199="","",A199+1)</x:f>
      </x:c>
      <x:c r="I199"/>
      <x:c r="J199" s="12" t="str">
        <x:f>IF(A199="","",A199+7)</x:f>
      </x:c>
      <x:c r="K199"/>
      <x:c r="L199" s="12" t="str">
        <x:f>IF(A199="","",A199+21)</x:f>
      </x:c>
      <x:c r="M199"/>
      <x:c r="N199"/>
      <x:c r="O199"/>
      <x:c r="P199"/>
    </x:row>
    <x:row r="200">
      <x:c r="A200" s="12"/>
      <x:c r="B200"/>
      <x:c r="C200"/>
      <x:c r="D200"/>
      <x:c r="E200"/>
      <x:c r="F200"/>
      <x:c r="G200"/>
      <x:c r="H200" s="12" t="str">
        <x:f>IF(A200="","",A200+1)</x:f>
      </x:c>
      <x:c r="I200"/>
      <x:c r="J200" s="12" t="str">
        <x:f>IF(A200="","",A200+7)</x:f>
      </x:c>
      <x:c r="K200"/>
      <x:c r="L200" s="12" t="str">
        <x:f>IF(A200="","",A200+21)</x:f>
      </x:c>
      <x:c r="M200"/>
      <x:c r="N200"/>
      <x:c r="O200"/>
      <x:c r="P200"/>
    </x:row>
    <x:row r="201">
      <x:c r="A201" s="12"/>
      <x:c r="B201"/>
      <x:c r="C201"/>
      <x:c r="D201"/>
      <x:c r="E201"/>
      <x:c r="F201"/>
      <x:c r="G201"/>
      <x:c r="H201" s="12" t="str">
        <x:f>IF(A201="","",A201+1)</x:f>
      </x:c>
      <x:c r="I201"/>
      <x:c r="J201" s="12" t="str">
        <x:f>IF(A201="","",A201+7)</x:f>
      </x:c>
      <x:c r="K201"/>
      <x:c r="L201" s="12" t="str">
        <x:f>IF(A201="","",A201+21)</x:f>
      </x:c>
      <x:c r="M201"/>
      <x:c r="N201"/>
      <x:c r="O201"/>
      <x:c r="P201"/>
    </x:row>
    <x:row r="202">
      <x:c r="A202" s="12"/>
      <x:c r="B202"/>
      <x:c r="C202"/>
      <x:c r="D202"/>
      <x:c r="E202"/>
      <x:c r="F202"/>
      <x:c r="G202"/>
      <x:c r="H202" s="12" t="str">
        <x:f>IF(A202="","",A202+1)</x:f>
      </x:c>
      <x:c r="I202"/>
      <x:c r="J202" s="12" t="str">
        <x:f>IF(A202="","",A202+7)</x:f>
      </x:c>
      <x:c r="K202"/>
      <x:c r="L202" s="12" t="str">
        <x:f>IF(A202="","",A202+21)</x:f>
      </x:c>
      <x:c r="M202"/>
      <x:c r="N202"/>
      <x:c r="O202"/>
      <x:c r="P202"/>
    </x:row>
    <x:row r="203">
      <x:c r="A203" s="12"/>
      <x:c r="B203"/>
      <x:c r="C203"/>
      <x:c r="D203"/>
      <x:c r="E203"/>
      <x:c r="F203"/>
      <x:c r="G203"/>
      <x:c r="H203" s="12" t="str">
        <x:f>IF(A203="","",A203+1)</x:f>
      </x:c>
      <x:c r="I203"/>
      <x:c r="J203" s="12" t="str">
        <x:f>IF(A203="","",A203+7)</x:f>
      </x:c>
      <x:c r="K203"/>
      <x:c r="L203" s="12" t="str">
        <x:f>IF(A203="","",A203+21)</x:f>
      </x:c>
      <x:c r="M203"/>
      <x:c r="N203"/>
      <x:c r="O203"/>
      <x:c r="P203"/>
    </x:row>
    <x:row r="204">
      <x:c r="A204" s="12"/>
      <x:c r="B204"/>
      <x:c r="C204"/>
      <x:c r="D204"/>
      <x:c r="E204"/>
      <x:c r="F204"/>
      <x:c r="G204"/>
      <x:c r="H204" s="12" t="str">
        <x:f>IF(A204="","",A204+1)</x:f>
      </x:c>
      <x:c r="I204"/>
      <x:c r="J204" s="12" t="str">
        <x:f>IF(A204="","",A204+7)</x:f>
      </x:c>
      <x:c r="K204"/>
      <x:c r="L204" s="12" t="str">
        <x:f>IF(A204="","",A204+21)</x:f>
      </x:c>
      <x:c r="M204"/>
      <x:c r="N204"/>
      <x:c r="O204"/>
      <x:c r="P204"/>
    </x:row>
    <x:row r="205">
      <x:c r="A205" s="12"/>
      <x:c r="B205"/>
      <x:c r="C205"/>
      <x:c r="D205"/>
      <x:c r="E205"/>
      <x:c r="F205"/>
      <x:c r="G205"/>
      <x:c r="H205" s="12" t="str">
        <x:f>IF(A205="","",A205+1)</x:f>
      </x:c>
      <x:c r="I205"/>
      <x:c r="J205" s="12" t="str">
        <x:f>IF(A205="","",A205+7)</x:f>
      </x:c>
      <x:c r="K205"/>
      <x:c r="L205" s="12" t="str">
        <x:f>IF(A205="","",A205+21)</x:f>
      </x:c>
      <x:c r="M205"/>
      <x:c r="N205"/>
      <x:c r="O205"/>
      <x:c r="P205"/>
    </x:row>
    <x:row r="206">
      <x:c r="A206" s="12"/>
      <x:c r="B206"/>
      <x:c r="C206"/>
      <x:c r="D206"/>
      <x:c r="E206"/>
      <x:c r="F206"/>
      <x:c r="G206"/>
      <x:c r="H206" s="12" t="str">
        <x:f>IF(A206="","",A206+1)</x:f>
      </x:c>
      <x:c r="I206"/>
      <x:c r="J206" s="12" t="str">
        <x:f>IF(A206="","",A206+7)</x:f>
      </x:c>
      <x:c r="K206"/>
      <x:c r="L206" s="12" t="str">
        <x:f>IF(A206="","",A206+21)</x:f>
      </x:c>
      <x:c r="M206"/>
      <x:c r="N206"/>
      <x:c r="O206"/>
      <x:c r="P206"/>
    </x:row>
    <x:row r="207">
      <x:c r="A207" s="12"/>
      <x:c r="B207"/>
      <x:c r="C207"/>
      <x:c r="D207"/>
      <x:c r="E207"/>
      <x:c r="F207"/>
      <x:c r="G207"/>
      <x:c r="H207" s="12" t="str">
        <x:f>IF(A207="","",A207+1)</x:f>
      </x:c>
      <x:c r="I207"/>
      <x:c r="J207" s="12" t="str">
        <x:f>IF(A207="","",A207+7)</x:f>
      </x:c>
      <x:c r="K207"/>
      <x:c r="L207" s="12" t="str">
        <x:f>IF(A207="","",A207+21)</x:f>
      </x:c>
      <x:c r="M207"/>
      <x:c r="N207"/>
      <x:c r="O207"/>
      <x:c r="P207"/>
    </x:row>
    <x:row r="208">
      <x:c r="A208" s="12"/>
      <x:c r="B208"/>
      <x:c r="C208"/>
      <x:c r="D208"/>
      <x:c r="E208"/>
      <x:c r="F208"/>
      <x:c r="G208"/>
      <x:c r="H208" s="12" t="str">
        <x:f>IF(A208="","",A208+1)</x:f>
      </x:c>
      <x:c r="I208"/>
      <x:c r="J208" s="12" t="str">
        <x:f>IF(A208="","",A208+7)</x:f>
      </x:c>
      <x:c r="K208"/>
      <x:c r="L208" s="12" t="str">
        <x:f>IF(A208="","",A208+21)</x:f>
      </x:c>
      <x:c r="M208"/>
      <x:c r="N208"/>
      <x:c r="O208"/>
      <x:c r="P208"/>
    </x:row>
    <x:row r="209">
      <x:c r="A209" s="12"/>
      <x:c r="B209"/>
      <x:c r="C209"/>
      <x:c r="D209"/>
      <x:c r="E209"/>
      <x:c r="F209"/>
      <x:c r="G209"/>
      <x:c r="H209" s="12" t="str">
        <x:f>IF(A209="","",A209+1)</x:f>
      </x:c>
      <x:c r="I209"/>
      <x:c r="J209" s="12" t="str">
        <x:f>IF(A209="","",A209+7)</x:f>
      </x:c>
      <x:c r="K209"/>
      <x:c r="L209" s="12" t="str">
        <x:f>IF(A209="","",A209+21)</x:f>
      </x:c>
      <x:c r="M209"/>
      <x:c r="N209"/>
      <x:c r="O209"/>
      <x:c r="P209"/>
    </x:row>
    <x:row r="210">
      <x:c r="A210" s="12"/>
      <x:c r="B210"/>
      <x:c r="C210"/>
      <x:c r="D210"/>
      <x:c r="E210"/>
      <x:c r="F210"/>
      <x:c r="G210"/>
      <x:c r="H210" s="12" t="str">
        <x:f>IF(A210="","",A210+1)</x:f>
      </x:c>
      <x:c r="I210"/>
      <x:c r="J210" s="12" t="str">
        <x:f>IF(A210="","",A210+7)</x:f>
      </x:c>
      <x:c r="K210"/>
      <x:c r="L210" s="12" t="str">
        <x:f>IF(A210="","",A210+21)</x:f>
      </x:c>
      <x:c r="M210"/>
      <x:c r="N210"/>
      <x:c r="O210"/>
      <x:c r="P210"/>
    </x:row>
    <x:row r="211">
      <x:c r="A211" s="12"/>
      <x:c r="B211"/>
      <x:c r="C211"/>
      <x:c r="D211"/>
      <x:c r="E211"/>
      <x:c r="F211"/>
      <x:c r="G211"/>
      <x:c r="H211" s="12" t="str">
        <x:f>IF(A211="","",A211+1)</x:f>
      </x:c>
      <x:c r="I211"/>
      <x:c r="J211" s="12" t="str">
        <x:f>IF(A211="","",A211+7)</x:f>
      </x:c>
      <x:c r="K211"/>
      <x:c r="L211" s="12" t="str">
        <x:f>IF(A211="","",A211+21)</x:f>
      </x:c>
      <x:c r="M211"/>
      <x:c r="N211"/>
      <x:c r="O211"/>
      <x:c r="P211"/>
    </x:row>
    <x:row r="212">
      <x:c r="A212" s="12"/>
      <x:c r="B212"/>
      <x:c r="C212"/>
      <x:c r="D212"/>
      <x:c r="E212"/>
      <x:c r="F212"/>
      <x:c r="G212"/>
      <x:c r="H212" s="12" t="str">
        <x:f>IF(A212="","",A212+1)</x:f>
      </x:c>
      <x:c r="I212"/>
      <x:c r="J212" s="12" t="str">
        <x:f>IF(A212="","",A212+7)</x:f>
      </x:c>
      <x:c r="K212"/>
      <x:c r="L212" s="12" t="str">
        <x:f>IF(A212="","",A212+21)</x:f>
      </x:c>
      <x:c r="M212"/>
      <x:c r="N212"/>
      <x:c r="O212"/>
      <x:c r="P212"/>
    </x:row>
    <x:row r="213">
      <x:c r="A213" s="12"/>
      <x:c r="B213"/>
      <x:c r="C213"/>
      <x:c r="D213"/>
      <x:c r="E213"/>
      <x:c r="F213"/>
      <x:c r="G213"/>
      <x:c r="H213" s="12" t="str">
        <x:f>IF(A213="","",A213+1)</x:f>
      </x:c>
      <x:c r="I213"/>
      <x:c r="J213" s="12" t="str">
        <x:f>IF(A213="","",A213+7)</x:f>
      </x:c>
      <x:c r="K213"/>
      <x:c r="L213" s="12" t="str">
        <x:f>IF(A213="","",A213+21)</x:f>
      </x:c>
      <x:c r="M213"/>
      <x:c r="N213"/>
      <x:c r="O213"/>
      <x:c r="P213"/>
    </x:row>
    <x:row r="214">
      <x:c r="A214" s="12"/>
      <x:c r="B214"/>
      <x:c r="C214"/>
      <x:c r="D214"/>
      <x:c r="E214"/>
      <x:c r="F214"/>
      <x:c r="G214"/>
      <x:c r="H214" s="12" t="str">
        <x:f>IF(A214="","",A214+1)</x:f>
      </x:c>
      <x:c r="I214"/>
      <x:c r="J214" s="12" t="str">
        <x:f>IF(A214="","",A214+7)</x:f>
      </x:c>
      <x:c r="K214"/>
      <x:c r="L214" s="12" t="str">
        <x:f>IF(A214="","",A214+21)</x:f>
      </x:c>
      <x:c r="M214"/>
      <x:c r="N214"/>
      <x:c r="O214"/>
      <x:c r="P214"/>
    </x:row>
    <x:row r="215">
      <x:c r="A215" s="12"/>
      <x:c r="B215"/>
      <x:c r="C215"/>
      <x:c r="D215"/>
      <x:c r="E215"/>
      <x:c r="F215"/>
      <x:c r="G215"/>
      <x:c r="H215" s="12" t="str">
        <x:f>IF(A215="","",A215+1)</x:f>
      </x:c>
      <x:c r="I215"/>
      <x:c r="J215" s="12" t="str">
        <x:f>IF(A215="","",A215+7)</x:f>
      </x:c>
      <x:c r="K215"/>
      <x:c r="L215" s="12" t="str">
        <x:f>IF(A215="","",A215+21)</x:f>
      </x:c>
      <x:c r="M215"/>
      <x:c r="N215"/>
      <x:c r="O215"/>
      <x:c r="P215"/>
    </x:row>
    <x:row r="216">
      <x:c r="A216" s="12"/>
      <x:c r="B216"/>
      <x:c r="C216"/>
      <x:c r="D216"/>
      <x:c r="E216"/>
      <x:c r="F216"/>
      <x:c r="G216"/>
      <x:c r="H216" s="12" t="str">
        <x:f>IF(A216="","",A216+1)</x:f>
      </x:c>
      <x:c r="I216"/>
      <x:c r="J216" s="12" t="str">
        <x:f>IF(A216="","",A216+7)</x:f>
      </x:c>
      <x:c r="K216"/>
      <x:c r="L216" s="12" t="str">
        <x:f>IF(A216="","",A216+21)</x:f>
      </x:c>
      <x:c r="M216"/>
      <x:c r="N216"/>
      <x:c r="O216"/>
      <x:c r="P216"/>
    </x:row>
    <x:row r="217">
      <x:c r="A217" s="12"/>
      <x:c r="B217"/>
      <x:c r="C217"/>
      <x:c r="D217"/>
      <x:c r="E217"/>
      <x:c r="F217"/>
      <x:c r="G217"/>
      <x:c r="H217" s="12" t="str">
        <x:f>IF(A217="","",A217+1)</x:f>
      </x:c>
      <x:c r="I217"/>
      <x:c r="J217" s="12" t="str">
        <x:f>IF(A217="","",A217+7)</x:f>
      </x:c>
      <x:c r="K217"/>
      <x:c r="L217" s="12" t="str">
        <x:f>IF(A217="","",A217+21)</x:f>
      </x:c>
      <x:c r="M217"/>
      <x:c r="N217"/>
      <x:c r="O217"/>
      <x:c r="P217"/>
    </x:row>
    <x:row r="218">
      <x:c r="A218" s="12"/>
      <x:c r="B218"/>
      <x:c r="C218"/>
      <x:c r="D218"/>
      <x:c r="E218"/>
      <x:c r="F218"/>
      <x:c r="G218"/>
      <x:c r="H218" s="12" t="str">
        <x:f>IF(A218="","",A218+1)</x:f>
      </x:c>
      <x:c r="I218"/>
      <x:c r="J218" s="12" t="str">
        <x:f>IF(A218="","",A218+7)</x:f>
      </x:c>
      <x:c r="K218"/>
      <x:c r="L218" s="12" t="str">
        <x:f>IF(A218="","",A218+21)</x:f>
      </x:c>
      <x:c r="M218"/>
      <x:c r="N218"/>
      <x:c r="O218"/>
      <x:c r="P218"/>
    </x:row>
    <x:row r="219">
      <x:c r="A219" s="12"/>
      <x:c r="B219"/>
      <x:c r="C219"/>
      <x:c r="D219"/>
      <x:c r="E219"/>
      <x:c r="F219"/>
      <x:c r="G219"/>
      <x:c r="H219" s="12" t="str">
        <x:f>IF(A219="","",A219+1)</x:f>
      </x:c>
      <x:c r="I219"/>
      <x:c r="J219" s="12" t="str">
        <x:f>IF(A219="","",A219+7)</x:f>
      </x:c>
      <x:c r="K219"/>
      <x:c r="L219" s="12" t="str">
        <x:f>IF(A219="","",A219+21)</x:f>
      </x:c>
      <x:c r="M219"/>
      <x:c r="N219"/>
      <x:c r="O219"/>
      <x:c r="P219"/>
    </x:row>
    <x:row r="220">
      <x:c r="A220" s="12"/>
      <x:c r="B220"/>
      <x:c r="C220"/>
      <x:c r="D220"/>
      <x:c r="E220"/>
      <x:c r="F220"/>
      <x:c r="G220"/>
      <x:c r="H220" s="12" t="str">
        <x:f>IF(A220="","",A220+1)</x:f>
      </x:c>
      <x:c r="I220"/>
      <x:c r="J220" s="12" t="str">
        <x:f>IF(A220="","",A220+7)</x:f>
      </x:c>
      <x:c r="K220"/>
      <x:c r="L220" s="12" t="str">
        <x:f>IF(A220="","",A220+21)</x:f>
      </x:c>
      <x:c r="M220"/>
      <x:c r="N220"/>
      <x:c r="O220"/>
      <x:c r="P220"/>
    </x:row>
    <x:row r="221">
      <x:c r="A221" s="12"/>
      <x:c r="B221"/>
      <x:c r="C221"/>
      <x:c r="D221"/>
      <x:c r="E221"/>
      <x:c r="F221"/>
      <x:c r="G221"/>
      <x:c r="H221" s="12" t="str">
        <x:f>IF(A221="","",A221+1)</x:f>
      </x:c>
      <x:c r="I221"/>
      <x:c r="J221" s="12" t="str">
        <x:f>IF(A221="","",A221+7)</x:f>
      </x:c>
      <x:c r="K221"/>
      <x:c r="L221" s="12" t="str">
        <x:f>IF(A221="","",A221+21)</x:f>
      </x:c>
      <x:c r="M221"/>
      <x:c r="N221"/>
      <x:c r="O221"/>
      <x:c r="P221"/>
    </x:row>
    <x:row r="222">
      <x:c r="A222" s="12"/>
      <x:c r="B222"/>
      <x:c r="C222"/>
      <x:c r="D222"/>
      <x:c r="E222"/>
      <x:c r="F222"/>
      <x:c r="G222"/>
      <x:c r="H222" s="12" t="str">
        <x:f>IF(A222="","",A222+1)</x:f>
      </x:c>
      <x:c r="I222"/>
      <x:c r="J222" s="12" t="str">
        <x:f>IF(A222="","",A222+7)</x:f>
      </x:c>
      <x:c r="K222"/>
      <x:c r="L222" s="12" t="str">
        <x:f>IF(A222="","",A222+21)</x:f>
      </x:c>
      <x:c r="M222"/>
      <x:c r="N222"/>
      <x:c r="O222"/>
      <x:c r="P222"/>
    </x:row>
    <x:row r="223">
      <x:c r="A223" s="12"/>
      <x:c r="B223"/>
      <x:c r="C223"/>
      <x:c r="D223"/>
      <x:c r="E223"/>
      <x:c r="F223"/>
      <x:c r="G223"/>
      <x:c r="H223" s="12" t="str">
        <x:f>IF(A223="","",A223+1)</x:f>
      </x:c>
      <x:c r="I223"/>
      <x:c r="J223" s="12" t="str">
        <x:f>IF(A223="","",A223+7)</x:f>
      </x:c>
      <x:c r="K223"/>
      <x:c r="L223" s="12" t="str">
        <x:f>IF(A223="","",A223+21)</x:f>
      </x:c>
      <x:c r="M223"/>
      <x:c r="N223"/>
      <x:c r="O223"/>
      <x:c r="P223"/>
    </x:row>
    <x:row r="224">
      <x:c r="A224" s="12"/>
      <x:c r="B224"/>
      <x:c r="C224"/>
      <x:c r="D224"/>
      <x:c r="E224"/>
      <x:c r="F224"/>
      <x:c r="G224"/>
      <x:c r="H224" s="12" t="str">
        <x:f>IF(A224="","",A224+1)</x:f>
      </x:c>
      <x:c r="I224"/>
      <x:c r="J224" s="12" t="str">
        <x:f>IF(A224="","",A224+7)</x:f>
      </x:c>
      <x:c r="K224"/>
      <x:c r="L224" s="12" t="str">
        <x:f>IF(A224="","",A224+21)</x:f>
      </x:c>
      <x:c r="M224"/>
      <x:c r="N224"/>
      <x:c r="O224"/>
      <x:c r="P224"/>
    </x:row>
    <x:row r="225">
      <x:c r="A225" s="12"/>
      <x:c r="B225"/>
      <x:c r="C225"/>
      <x:c r="D225"/>
      <x:c r="E225"/>
      <x:c r="F225"/>
      <x:c r="G225"/>
      <x:c r="H225" s="12" t="str">
        <x:f>IF(A225="","",A225+1)</x:f>
      </x:c>
      <x:c r="I225"/>
      <x:c r="J225" s="12" t="str">
        <x:f>IF(A225="","",A225+7)</x:f>
      </x:c>
      <x:c r="K225"/>
      <x:c r="L225" s="12" t="str">
        <x:f>IF(A225="","",A225+21)</x:f>
      </x:c>
      <x:c r="M225"/>
      <x:c r="N225"/>
      <x:c r="O225"/>
      <x:c r="P225"/>
    </x:row>
    <x:row r="226">
      <x:c r="A226" s="12"/>
      <x:c r="B226"/>
      <x:c r="C226"/>
      <x:c r="D226"/>
      <x:c r="E226"/>
      <x:c r="F226"/>
      <x:c r="G226"/>
      <x:c r="H226" s="12" t="str">
        <x:f>IF(A226="","",A226+1)</x:f>
      </x:c>
      <x:c r="I226"/>
      <x:c r="J226" s="12" t="str">
        <x:f>IF(A226="","",A226+7)</x:f>
      </x:c>
      <x:c r="K226"/>
      <x:c r="L226" s="12" t="str">
        <x:f>IF(A226="","",A226+21)</x:f>
      </x:c>
      <x:c r="M226"/>
      <x:c r="N226"/>
      <x:c r="O226"/>
      <x:c r="P226"/>
    </x:row>
    <x:row r="227">
      <x:c r="A227" s="12"/>
      <x:c r="B227"/>
      <x:c r="C227"/>
      <x:c r="D227"/>
      <x:c r="E227"/>
      <x:c r="F227"/>
      <x:c r="G227"/>
      <x:c r="H227" s="12" t="str">
        <x:f>IF(A227="","",A227+1)</x:f>
      </x:c>
      <x:c r="I227"/>
      <x:c r="J227" s="12" t="str">
        <x:f>IF(A227="","",A227+7)</x:f>
      </x:c>
      <x:c r="K227"/>
      <x:c r="L227" s="12" t="str">
        <x:f>IF(A227="","",A227+21)</x:f>
      </x:c>
      <x:c r="M227"/>
      <x:c r="N227"/>
      <x:c r="O227"/>
      <x:c r="P227"/>
    </x:row>
    <x:row r="228">
      <x:c r="A228" s="12"/>
      <x:c r="B228"/>
      <x:c r="C228"/>
      <x:c r="D228"/>
      <x:c r="E228"/>
      <x:c r="F228"/>
      <x:c r="G228"/>
      <x:c r="H228" s="12" t="str">
        <x:f>IF(A228="","",A228+1)</x:f>
      </x:c>
      <x:c r="I228"/>
      <x:c r="J228" s="12" t="str">
        <x:f>IF(A228="","",A228+7)</x:f>
      </x:c>
      <x:c r="K228"/>
      <x:c r="L228" s="12" t="str">
        <x:f>IF(A228="","",A228+21)</x:f>
      </x:c>
      <x:c r="M228"/>
      <x:c r="N228"/>
      <x:c r="O228"/>
      <x:c r="P228"/>
    </x:row>
    <x:row r="229">
      <x:c r="A229" s="12"/>
      <x:c r="B229"/>
      <x:c r="C229"/>
      <x:c r="D229"/>
      <x:c r="E229"/>
      <x:c r="F229"/>
      <x:c r="G229"/>
      <x:c r="H229" s="12" t="str">
        <x:f>IF(A229="","",A229+1)</x:f>
      </x:c>
      <x:c r="I229"/>
      <x:c r="J229" s="12" t="str">
        <x:f>IF(A229="","",A229+7)</x:f>
      </x:c>
      <x:c r="K229"/>
      <x:c r="L229" s="12" t="str">
        <x:f>IF(A229="","",A229+21)</x:f>
      </x:c>
      <x:c r="M229"/>
      <x:c r="N229"/>
      <x:c r="O229"/>
      <x:c r="P229"/>
    </x:row>
    <x:row r="230">
      <x:c r="A230" s="12"/>
      <x:c r="B230"/>
      <x:c r="C230"/>
      <x:c r="D230"/>
      <x:c r="E230"/>
      <x:c r="F230"/>
      <x:c r="G230"/>
      <x:c r="H230" s="12" t="str">
        <x:f>IF(A230="","",A230+1)</x:f>
      </x:c>
      <x:c r="I230"/>
      <x:c r="J230" s="12" t="str">
        <x:f>IF(A230="","",A230+7)</x:f>
      </x:c>
      <x:c r="K230"/>
      <x:c r="L230" s="12" t="str">
        <x:f>IF(A230="","",A230+21)</x:f>
      </x:c>
      <x:c r="M230"/>
      <x:c r="N230"/>
      <x:c r="O230"/>
      <x:c r="P230"/>
    </x:row>
    <x:row r="231">
      <x:c r="A231" s="12"/>
      <x:c r="B231"/>
      <x:c r="C231"/>
      <x:c r="D231"/>
      <x:c r="E231"/>
      <x:c r="F231"/>
      <x:c r="G231"/>
      <x:c r="H231" s="12" t="str">
        <x:f>IF(A231="","",A231+1)</x:f>
      </x:c>
      <x:c r="I231"/>
      <x:c r="J231" s="12" t="str">
        <x:f>IF(A231="","",A231+7)</x:f>
      </x:c>
      <x:c r="K231"/>
      <x:c r="L231" s="12" t="str">
        <x:f>IF(A231="","",A231+21)</x:f>
      </x:c>
      <x:c r="M231"/>
      <x:c r="N231"/>
      <x:c r="O231"/>
      <x:c r="P231"/>
    </x:row>
    <x:row r="232">
      <x:c r="A232" s="12"/>
      <x:c r="B232"/>
      <x:c r="C232"/>
      <x:c r="D232"/>
      <x:c r="E232"/>
      <x:c r="F232"/>
      <x:c r="G232"/>
      <x:c r="H232" s="12" t="str">
        <x:f>IF(A232="","",A232+1)</x:f>
      </x:c>
      <x:c r="I232"/>
      <x:c r="J232" s="12" t="str">
        <x:f>IF(A232="","",A232+7)</x:f>
      </x:c>
      <x:c r="K232"/>
      <x:c r="L232" s="12" t="str">
        <x:f>IF(A232="","",A232+21)</x:f>
      </x:c>
      <x:c r="M232"/>
      <x:c r="N232"/>
      <x:c r="O232"/>
      <x:c r="P232"/>
    </x:row>
    <x:row r="233">
      <x:c r="A233" s="12"/>
      <x:c r="B233"/>
      <x:c r="C233"/>
      <x:c r="D233"/>
      <x:c r="E233"/>
      <x:c r="F233"/>
      <x:c r="G233"/>
      <x:c r="H233" s="12" t="str">
        <x:f>IF(A233="","",A233+1)</x:f>
      </x:c>
      <x:c r="I233"/>
      <x:c r="J233" s="12" t="str">
        <x:f>IF(A233="","",A233+7)</x:f>
      </x:c>
      <x:c r="K233"/>
      <x:c r="L233" s="12" t="str">
        <x:f>IF(A233="","",A233+21)</x:f>
      </x:c>
      <x:c r="M233"/>
      <x:c r="N233"/>
      <x:c r="O233"/>
      <x:c r="P233"/>
    </x:row>
    <x:row r="234">
      <x:c r="A234" s="12"/>
      <x:c r="B234"/>
      <x:c r="C234"/>
      <x:c r="D234"/>
      <x:c r="E234"/>
      <x:c r="F234"/>
      <x:c r="G234"/>
      <x:c r="H234" s="12" t="str">
        <x:f>IF(A234="","",A234+1)</x:f>
      </x:c>
      <x:c r="I234"/>
      <x:c r="J234" s="12" t="str">
        <x:f>IF(A234="","",A234+7)</x:f>
      </x:c>
      <x:c r="K234"/>
      <x:c r="L234" s="12" t="str">
        <x:f>IF(A234="","",A234+21)</x:f>
      </x:c>
      <x:c r="M234"/>
      <x:c r="N234"/>
      <x:c r="O234"/>
      <x:c r="P234"/>
    </x:row>
    <x:row r="235">
      <x:c r="A235" s="12"/>
      <x:c r="B235"/>
      <x:c r="C235"/>
      <x:c r="D235"/>
      <x:c r="E235"/>
      <x:c r="F235"/>
      <x:c r="G235"/>
      <x:c r="H235" s="12" t="str">
        <x:f>IF(A235="","",A235+1)</x:f>
      </x:c>
      <x:c r="I235"/>
      <x:c r="J235" s="12" t="str">
        <x:f>IF(A235="","",A235+7)</x:f>
      </x:c>
      <x:c r="K235"/>
      <x:c r="L235" s="12" t="str">
        <x:f>IF(A235="","",A235+21)</x:f>
      </x:c>
      <x:c r="M235"/>
      <x:c r="N235"/>
      <x:c r="O235"/>
      <x:c r="P235"/>
    </x:row>
    <x:row r="236">
      <x:c r="A236" s="12"/>
      <x:c r="B236"/>
      <x:c r="C236"/>
      <x:c r="D236"/>
      <x:c r="E236"/>
      <x:c r="F236"/>
      <x:c r="G236"/>
      <x:c r="H236" s="12" t="str">
        <x:f>IF(A236="","",A236+1)</x:f>
      </x:c>
      <x:c r="I236"/>
      <x:c r="J236" s="12" t="str">
        <x:f>IF(A236="","",A236+7)</x:f>
      </x:c>
      <x:c r="K236"/>
      <x:c r="L236" s="12" t="str">
        <x:f>IF(A236="","",A236+21)</x:f>
      </x:c>
      <x:c r="M236"/>
      <x:c r="N236"/>
      <x:c r="O236"/>
      <x:c r="P236"/>
    </x:row>
    <x:row r="237">
      <x:c r="A237" s="12"/>
      <x:c r="B237"/>
      <x:c r="C237"/>
      <x:c r="D237"/>
      <x:c r="E237"/>
      <x:c r="F237"/>
      <x:c r="G237"/>
      <x:c r="H237" s="12" t="str">
        <x:f>IF(A237="","",A237+1)</x:f>
      </x:c>
      <x:c r="I237"/>
      <x:c r="J237" s="12" t="str">
        <x:f>IF(A237="","",A237+7)</x:f>
      </x:c>
      <x:c r="K237"/>
      <x:c r="L237" s="12" t="str">
        <x:f>IF(A237="","",A237+21)</x:f>
      </x:c>
      <x:c r="M237"/>
      <x:c r="N237"/>
      <x:c r="O237"/>
      <x:c r="P237"/>
    </x:row>
    <x:row r="238">
      <x:c r="A238" s="12"/>
      <x:c r="B238"/>
      <x:c r="C238"/>
      <x:c r="D238"/>
      <x:c r="E238"/>
      <x:c r="F238"/>
      <x:c r="G238"/>
      <x:c r="H238" s="12" t="str">
        <x:f>IF(A238="","",A238+1)</x:f>
      </x:c>
      <x:c r="I238"/>
      <x:c r="J238" s="12" t="str">
        <x:f>IF(A238="","",A238+7)</x:f>
      </x:c>
      <x:c r="K238"/>
      <x:c r="L238" s="12" t="str">
        <x:f>IF(A238="","",A238+21)</x:f>
      </x:c>
      <x:c r="M238"/>
      <x:c r="N238"/>
      <x:c r="O238"/>
      <x:c r="P238"/>
    </x:row>
    <x:row r="239">
      <x:c r="A239" s="12"/>
      <x:c r="B239"/>
      <x:c r="C239"/>
      <x:c r="D239"/>
      <x:c r="E239"/>
      <x:c r="F239"/>
      <x:c r="G239"/>
      <x:c r="H239" s="12" t="str">
        <x:f>IF(A239="","",A239+1)</x:f>
      </x:c>
      <x:c r="I239"/>
      <x:c r="J239" s="12" t="str">
        <x:f>IF(A239="","",A239+7)</x:f>
      </x:c>
      <x:c r="K239"/>
      <x:c r="L239" s="12" t="str">
        <x:f>IF(A239="","",A239+21)</x:f>
      </x:c>
      <x:c r="M239"/>
      <x:c r="N239"/>
      <x:c r="O239"/>
      <x:c r="P239"/>
    </x:row>
    <x:row r="240">
      <x:c r="A240" s="12"/>
      <x:c r="B240"/>
      <x:c r="C240"/>
      <x:c r="D240"/>
      <x:c r="E240"/>
      <x:c r="F240"/>
      <x:c r="G240"/>
      <x:c r="H240" s="12" t="str">
        <x:f>IF(A240="","",A240+1)</x:f>
      </x:c>
      <x:c r="I240"/>
      <x:c r="J240" s="12" t="str">
        <x:f>IF(A240="","",A240+7)</x:f>
      </x:c>
      <x:c r="K240"/>
      <x:c r="L240" s="12" t="str">
        <x:f>IF(A240="","",A240+21)</x:f>
      </x:c>
      <x:c r="M240"/>
      <x:c r="N240"/>
      <x:c r="O240"/>
      <x:c r="P240"/>
    </x:row>
    <x:row r="241">
      <x:c r="A241" s="12"/>
      <x:c r="B241"/>
      <x:c r="C241"/>
      <x:c r="D241"/>
      <x:c r="E241"/>
      <x:c r="F241"/>
      <x:c r="G241"/>
      <x:c r="H241" s="12" t="str">
        <x:f>IF(A241="","",A241+1)</x:f>
      </x:c>
      <x:c r="I241"/>
      <x:c r="J241" s="12" t="str">
        <x:f>IF(A241="","",A241+7)</x:f>
      </x:c>
      <x:c r="K241"/>
      <x:c r="L241" s="12" t="str">
        <x:f>IF(A241="","",A241+21)</x:f>
      </x:c>
      <x:c r="M241"/>
      <x:c r="N241"/>
      <x:c r="O241"/>
      <x:c r="P241"/>
    </x:row>
    <x:row r="242">
      <x:c r="A242" s="12"/>
      <x:c r="B242"/>
      <x:c r="C242"/>
      <x:c r="D242"/>
      <x:c r="E242"/>
      <x:c r="F242"/>
      <x:c r="G242"/>
      <x:c r="H242" s="12" t="str">
        <x:f>IF(A242="","",A242+1)</x:f>
      </x:c>
      <x:c r="I242"/>
      <x:c r="J242" s="12" t="str">
        <x:f>IF(A242="","",A242+7)</x:f>
      </x:c>
      <x:c r="K242"/>
      <x:c r="L242" s="12" t="str">
        <x:f>IF(A242="","",A242+21)</x:f>
      </x:c>
      <x:c r="M242"/>
      <x:c r="N242"/>
      <x:c r="O242"/>
      <x:c r="P242"/>
    </x:row>
    <x:row r="243">
      <x:c r="A243" s="12"/>
      <x:c r="B243"/>
      <x:c r="C243"/>
      <x:c r="D243"/>
      <x:c r="E243"/>
      <x:c r="F243"/>
      <x:c r="G243"/>
      <x:c r="H243" s="12" t="str">
        <x:f>IF(A243="","",A243+1)</x:f>
      </x:c>
      <x:c r="I243"/>
      <x:c r="J243" s="12" t="str">
        <x:f>IF(A243="","",A243+7)</x:f>
      </x:c>
      <x:c r="K243"/>
      <x:c r="L243" s="12" t="str">
        <x:f>IF(A243="","",A243+21)</x:f>
      </x:c>
      <x:c r="M243"/>
      <x:c r="N243"/>
      <x:c r="O243"/>
      <x:c r="P243"/>
    </x:row>
    <x:row r="244">
      <x:c r="A244" s="12"/>
      <x:c r="B244"/>
      <x:c r="C244"/>
      <x:c r="D244"/>
      <x:c r="E244"/>
      <x:c r="F244"/>
      <x:c r="G244"/>
      <x:c r="H244" s="12" t="str">
        <x:f>IF(A244="","",A244+1)</x:f>
      </x:c>
      <x:c r="I244"/>
      <x:c r="J244" s="12" t="str">
        <x:f>IF(A244="","",A244+7)</x:f>
      </x:c>
      <x:c r="K244"/>
      <x:c r="L244" s="12" t="str">
        <x:f>IF(A244="","",A244+21)</x:f>
      </x:c>
      <x:c r="M244"/>
      <x:c r="N244"/>
      <x:c r="O244"/>
      <x:c r="P244"/>
    </x:row>
    <x:row r="245">
      <x:c r="A245" s="12"/>
      <x:c r="B245"/>
      <x:c r="C245"/>
      <x:c r="D245"/>
      <x:c r="E245"/>
      <x:c r="F245"/>
      <x:c r="G245"/>
      <x:c r="H245" s="12" t="str">
        <x:f>IF(A245="","",A245+1)</x:f>
      </x:c>
      <x:c r="I245"/>
      <x:c r="J245" s="12" t="str">
        <x:f>IF(A245="","",A245+7)</x:f>
      </x:c>
      <x:c r="K245"/>
      <x:c r="L245" s="12" t="str">
        <x:f>IF(A245="","",A245+21)</x:f>
      </x:c>
      <x:c r="M245"/>
      <x:c r="N245"/>
      <x:c r="O245"/>
      <x:c r="P245"/>
    </x:row>
    <x:row r="246">
      <x:c r="A246" s="12"/>
      <x:c r="B246"/>
      <x:c r="C246"/>
      <x:c r="D246"/>
      <x:c r="E246"/>
      <x:c r="F246"/>
      <x:c r="G246"/>
      <x:c r="H246" s="12" t="str">
        <x:f>IF(A246="","",A246+1)</x:f>
      </x:c>
      <x:c r="I246"/>
      <x:c r="J246" s="12" t="str">
        <x:f>IF(A246="","",A246+7)</x:f>
      </x:c>
      <x:c r="K246"/>
      <x:c r="L246" s="12" t="str">
        <x:f>IF(A246="","",A246+21)</x:f>
      </x:c>
      <x:c r="M246"/>
      <x:c r="N246"/>
      <x:c r="O246"/>
      <x:c r="P246"/>
    </x:row>
    <x:row r="247">
      <x:c r="A247" s="12"/>
      <x:c r="B247"/>
      <x:c r="C247"/>
      <x:c r="D247"/>
      <x:c r="E247"/>
      <x:c r="F247"/>
      <x:c r="G247"/>
      <x:c r="H247" s="12" t="str">
        <x:f>IF(A247="","",A247+1)</x:f>
      </x:c>
      <x:c r="I247"/>
      <x:c r="J247" s="12" t="str">
        <x:f>IF(A247="","",A247+7)</x:f>
      </x:c>
      <x:c r="K247"/>
      <x:c r="L247" s="12" t="str">
        <x:f>IF(A247="","",A247+21)</x:f>
      </x:c>
      <x:c r="M247"/>
      <x:c r="N247"/>
      <x:c r="O247"/>
      <x:c r="P247"/>
    </x:row>
    <x:row r="248">
      <x:c r="A248" s="12"/>
      <x:c r="B248"/>
      <x:c r="C248"/>
      <x:c r="D248"/>
      <x:c r="E248"/>
      <x:c r="F248"/>
      <x:c r="G248"/>
      <x:c r="H248" s="12" t="str">
        <x:f>IF(A248="","",A248+1)</x:f>
      </x:c>
      <x:c r="I248"/>
      <x:c r="J248" s="12" t="str">
        <x:f>IF(A248="","",A248+7)</x:f>
      </x:c>
      <x:c r="K248"/>
      <x:c r="L248" s="12" t="str">
        <x:f>IF(A248="","",A248+21)</x:f>
      </x:c>
      <x:c r="M248"/>
      <x:c r="N248"/>
      <x:c r="O248"/>
      <x:c r="P248"/>
    </x:row>
    <x:row r="249">
      <x:c r="A249" s="12"/>
      <x:c r="B249"/>
      <x:c r="C249"/>
      <x:c r="D249"/>
      <x:c r="E249"/>
      <x:c r="F249"/>
      <x:c r="G249"/>
      <x:c r="H249" s="12" t="str">
        <x:f>IF(A249="","",A249+1)</x:f>
      </x:c>
      <x:c r="I249"/>
      <x:c r="J249" s="12" t="str">
        <x:f>IF(A249="","",A249+7)</x:f>
      </x:c>
      <x:c r="K249"/>
      <x:c r="L249" s="12" t="str">
        <x:f>IF(A249="","",A249+21)</x:f>
      </x:c>
      <x:c r="M249"/>
      <x:c r="N249"/>
      <x:c r="O249"/>
      <x:c r="P249"/>
    </x:row>
    <x:row r="250">
      <x:c r="A250" s="12"/>
      <x:c r="B250"/>
      <x:c r="C250"/>
      <x:c r="D250"/>
      <x:c r="E250"/>
      <x:c r="F250"/>
      <x:c r="G250"/>
      <x:c r="H250" s="12" t="str">
        <x:f>IF(A250="","",A250+1)</x:f>
      </x:c>
      <x:c r="I250"/>
      <x:c r="J250" s="12" t="str">
        <x:f>IF(A250="","",A250+7)</x:f>
      </x:c>
      <x:c r="K250"/>
      <x:c r="L250" s="12" t="str">
        <x:f>IF(A250="","",A250+21)</x:f>
      </x:c>
      <x:c r="M250"/>
      <x:c r="N250"/>
      <x:c r="O250"/>
      <x:c r="P250"/>
    </x:row>
    <x:row r="251">
      <x:c r="A251" s="12"/>
      <x:c r="B251"/>
      <x:c r="C251"/>
      <x:c r="D251"/>
      <x:c r="E251"/>
      <x:c r="F251"/>
      <x:c r="G251"/>
      <x:c r="H251" s="12" t="str">
        <x:f>IF(A251="","",A251+1)</x:f>
      </x:c>
      <x:c r="I251"/>
      <x:c r="J251" s="12" t="str">
        <x:f>IF(A251="","",A251+7)</x:f>
      </x:c>
      <x:c r="K251"/>
      <x:c r="L251" s="12" t="str">
        <x:f>IF(A251="","",A251+21)</x:f>
      </x:c>
      <x:c r="M251"/>
      <x:c r="N251"/>
      <x:c r="O251"/>
      <x:c r="P251"/>
    </x:row>
    <x:row r="252">
      <x:c r="A252" s="12"/>
      <x:c r="B252"/>
      <x:c r="C252"/>
      <x:c r="D252"/>
      <x:c r="E252"/>
      <x:c r="F252"/>
      <x:c r="G252"/>
      <x:c r="H252" s="12" t="str">
        <x:f>IF(A252="","",A252+1)</x:f>
      </x:c>
      <x:c r="I252"/>
      <x:c r="J252" s="12" t="str">
        <x:f>IF(A252="","",A252+7)</x:f>
      </x:c>
      <x:c r="K252"/>
      <x:c r="L252" s="12" t="str">
        <x:f>IF(A252="","",A252+21)</x:f>
      </x:c>
      <x:c r="M252"/>
      <x:c r="N252"/>
      <x:c r="O252"/>
      <x:c r="P252"/>
    </x:row>
    <x:row r="253">
      <x:c r="A253" s="12"/>
      <x:c r="B253"/>
      <x:c r="C253"/>
      <x:c r="D253"/>
      <x:c r="E253"/>
      <x:c r="F253"/>
      <x:c r="G253"/>
      <x:c r="H253" s="12" t="str">
        <x:f>IF(A253="","",A253+1)</x:f>
      </x:c>
      <x:c r="I253"/>
      <x:c r="J253" s="12" t="str">
        <x:f>IF(A253="","",A253+7)</x:f>
      </x:c>
      <x:c r="K253"/>
      <x:c r="L253" s="12" t="str">
        <x:f>IF(A253="","",A253+21)</x:f>
      </x:c>
      <x:c r="M253"/>
      <x:c r="N253"/>
      <x:c r="O253"/>
      <x:c r="P253"/>
    </x:row>
    <x:row r="254">
      <x:c r="A254" s="12"/>
      <x:c r="B254"/>
      <x:c r="C254"/>
      <x:c r="D254"/>
      <x:c r="E254"/>
      <x:c r="F254"/>
      <x:c r="G254"/>
      <x:c r="H254" s="12" t="str">
        <x:f>IF(A254="","",A254+1)</x:f>
      </x:c>
      <x:c r="I254"/>
      <x:c r="J254" s="12" t="str">
        <x:f>IF(A254="","",A254+7)</x:f>
      </x:c>
      <x:c r="K254"/>
      <x:c r="L254" s="12" t="str">
        <x:f>IF(A254="","",A254+21)</x:f>
      </x:c>
      <x:c r="M254"/>
      <x:c r="N254"/>
      <x:c r="O254"/>
      <x:c r="P254"/>
    </x:row>
    <x:row r="255">
      <x:c r="A255" s="12"/>
      <x:c r="B255"/>
      <x:c r="C255"/>
      <x:c r="D255"/>
      <x:c r="E255"/>
      <x:c r="F255"/>
      <x:c r="G255"/>
      <x:c r="H255" s="12" t="str">
        <x:f>IF(A255="","",A255+1)</x:f>
      </x:c>
      <x:c r="I255"/>
      <x:c r="J255" s="12" t="str">
        <x:f>IF(A255="","",A255+7)</x:f>
      </x:c>
      <x:c r="K255"/>
      <x:c r="L255" s="12" t="str">
        <x:f>IF(A255="","",A255+21)</x:f>
      </x:c>
      <x:c r="M255"/>
      <x:c r="N255"/>
      <x:c r="O255"/>
      <x:c r="P255"/>
    </x:row>
    <x:row r="256">
      <x:c r="A256" s="12"/>
      <x:c r="B256"/>
      <x:c r="C256"/>
      <x:c r="D256"/>
      <x:c r="E256"/>
      <x:c r="F256"/>
      <x:c r="G256"/>
      <x:c r="H256" s="12" t="str">
        <x:f>IF(A256="","",A256+1)</x:f>
      </x:c>
      <x:c r="I256"/>
      <x:c r="J256" s="12" t="str">
        <x:f>IF(A256="","",A256+7)</x:f>
      </x:c>
      <x:c r="K256"/>
      <x:c r="L256" s="12" t="str">
        <x:f>IF(A256="","",A256+21)</x:f>
      </x:c>
      <x:c r="M256"/>
      <x:c r="N256"/>
      <x:c r="O256"/>
      <x:c r="P256"/>
    </x:row>
    <x:row r="257">
      <x:c r="A257" s="12"/>
      <x:c r="B257"/>
      <x:c r="C257"/>
      <x:c r="D257"/>
      <x:c r="E257"/>
      <x:c r="F257"/>
      <x:c r="G257"/>
      <x:c r="H257" s="12" t="str">
        <x:f>IF(A257="","",A257+1)</x:f>
      </x:c>
      <x:c r="I257"/>
      <x:c r="J257" s="12" t="str">
        <x:f>IF(A257="","",A257+7)</x:f>
      </x:c>
      <x:c r="K257"/>
      <x:c r="L257" s="12" t="str">
        <x:f>IF(A257="","",A257+21)</x:f>
      </x:c>
      <x:c r="M257"/>
      <x:c r="N257"/>
      <x:c r="O257"/>
      <x:c r="P257"/>
    </x:row>
    <x:row r="258">
      <x:c r="A258" s="12"/>
      <x:c r="B258"/>
      <x:c r="C258"/>
      <x:c r="D258"/>
      <x:c r="E258"/>
      <x:c r="F258"/>
      <x:c r="G258"/>
      <x:c r="H258" s="12" t="str">
        <x:f>IF(A258="","",A258+1)</x:f>
      </x:c>
      <x:c r="I258"/>
      <x:c r="J258" s="12" t="str">
        <x:f>IF(A258="","",A258+7)</x:f>
      </x:c>
      <x:c r="K258"/>
      <x:c r="L258" s="12" t="str">
        <x:f>IF(A258="","",A258+21)</x:f>
      </x:c>
      <x:c r="M258"/>
      <x:c r="N258"/>
      <x:c r="O258"/>
      <x:c r="P258"/>
    </x:row>
    <x:row r="259">
      <x:c r="A259" s="12"/>
      <x:c r="B259"/>
      <x:c r="C259"/>
      <x:c r="D259"/>
      <x:c r="E259"/>
      <x:c r="F259"/>
      <x:c r="G259"/>
      <x:c r="H259" s="12" t="str">
        <x:f>IF(A259="","",A259+1)</x:f>
      </x:c>
      <x:c r="I259"/>
      <x:c r="J259" s="12" t="str">
        <x:f>IF(A259="","",A259+7)</x:f>
      </x:c>
      <x:c r="K259"/>
      <x:c r="L259" s="12" t="str">
        <x:f>IF(A259="","",A259+21)</x:f>
      </x:c>
      <x:c r="M259"/>
      <x:c r="N259"/>
      <x:c r="O259"/>
      <x:c r="P259"/>
    </x:row>
    <x:row r="260">
      <x:c r="A260" s="12"/>
      <x:c r="B260"/>
      <x:c r="C260"/>
      <x:c r="D260"/>
      <x:c r="E260"/>
      <x:c r="F260"/>
      <x:c r="G260"/>
      <x:c r="H260" s="12" t="str">
        <x:f>IF(A260="","",A260+1)</x:f>
      </x:c>
      <x:c r="I260"/>
      <x:c r="J260" s="12" t="str">
        <x:f>IF(A260="","",A260+7)</x:f>
      </x:c>
      <x:c r="K260"/>
      <x:c r="L260" s="12" t="str">
        <x:f>IF(A260="","",A260+21)</x:f>
      </x:c>
      <x:c r="M260"/>
      <x:c r="N260"/>
      <x:c r="O260"/>
      <x:c r="P260"/>
    </x:row>
    <x:row r="261">
      <x:c r="A261" s="12"/>
      <x:c r="B261"/>
      <x:c r="C261"/>
      <x:c r="D261"/>
      <x:c r="E261"/>
      <x:c r="F261"/>
      <x:c r="G261"/>
      <x:c r="H261" s="12" t="str">
        <x:f>IF(A261="","",A261+1)</x:f>
      </x:c>
      <x:c r="I261"/>
      <x:c r="J261" s="12" t="str">
        <x:f>IF(A261="","",A261+7)</x:f>
      </x:c>
      <x:c r="K261"/>
      <x:c r="L261" s="12" t="str">
        <x:f>IF(A261="","",A261+21)</x:f>
      </x:c>
      <x:c r="M261"/>
      <x:c r="N261"/>
      <x:c r="O261"/>
      <x:c r="P261"/>
    </x:row>
    <x:row r="262">
      <x:c r="A262" s="12"/>
      <x:c r="B262"/>
      <x:c r="C262"/>
      <x:c r="D262"/>
      <x:c r="E262"/>
      <x:c r="F262"/>
      <x:c r="G262"/>
      <x:c r="H262" s="12" t="str">
        <x:f>IF(A262="","",A262+1)</x:f>
      </x:c>
      <x:c r="I262"/>
      <x:c r="J262" s="12" t="str">
        <x:f>IF(A262="","",A262+7)</x:f>
      </x:c>
      <x:c r="K262"/>
      <x:c r="L262" s="12" t="str">
        <x:f>IF(A262="","",A262+21)</x:f>
      </x:c>
      <x:c r="M262"/>
      <x:c r="N262"/>
      <x:c r="O262"/>
      <x:c r="P262"/>
    </x:row>
    <x:row r="263">
      <x:c r="A263" s="12"/>
      <x:c r="B263"/>
      <x:c r="C263"/>
      <x:c r="D263"/>
      <x:c r="E263"/>
      <x:c r="F263"/>
      <x:c r="G263"/>
      <x:c r="H263" s="12" t="str">
        <x:f>IF(A263="","",A263+1)</x:f>
      </x:c>
      <x:c r="I263"/>
      <x:c r="J263" s="12" t="str">
        <x:f>IF(A263="","",A263+7)</x:f>
      </x:c>
      <x:c r="K263"/>
      <x:c r="L263" s="12" t="str">
        <x:f>IF(A263="","",A263+21)</x:f>
      </x:c>
      <x:c r="M263"/>
      <x:c r="N263"/>
      <x:c r="O263"/>
      <x:c r="P263"/>
    </x:row>
    <x:row r="264">
      <x:c r="A264" s="12"/>
      <x:c r="B264"/>
      <x:c r="C264"/>
      <x:c r="D264"/>
      <x:c r="E264"/>
      <x:c r="F264"/>
      <x:c r="G264"/>
      <x:c r="H264" s="12" t="str">
        <x:f>IF(A264="","",A264+1)</x:f>
      </x:c>
      <x:c r="I264"/>
      <x:c r="J264" s="12" t="str">
        <x:f>IF(A264="","",A264+7)</x:f>
      </x:c>
      <x:c r="K264"/>
      <x:c r="L264" s="12" t="str">
        <x:f>IF(A264="","",A264+21)</x:f>
      </x:c>
      <x:c r="M264"/>
      <x:c r="N264"/>
      <x:c r="O264"/>
      <x:c r="P264"/>
    </x:row>
    <x:row r="265">
      <x:c r="A265" s="12"/>
      <x:c r="B265"/>
      <x:c r="C265"/>
      <x:c r="D265"/>
      <x:c r="E265"/>
      <x:c r="F265"/>
      <x:c r="G265"/>
      <x:c r="H265" s="12" t="str">
        <x:f>IF(A265="","",A265+1)</x:f>
      </x:c>
      <x:c r="I265"/>
      <x:c r="J265" s="12" t="str">
        <x:f>IF(A265="","",A265+7)</x:f>
      </x:c>
      <x:c r="K265"/>
      <x:c r="L265" s="12" t="str">
        <x:f>IF(A265="","",A265+21)</x:f>
      </x:c>
      <x:c r="M265"/>
      <x:c r="N265"/>
      <x:c r="O265"/>
      <x:c r="P265"/>
    </x:row>
    <x:row r="266">
      <x:c r="A266" s="12"/>
      <x:c r="B266"/>
      <x:c r="C266"/>
      <x:c r="D266"/>
      <x:c r="E266"/>
      <x:c r="F266"/>
      <x:c r="G266"/>
      <x:c r="H266" s="12" t="str">
        <x:f>IF(A266="","",A266+1)</x:f>
      </x:c>
      <x:c r="I266"/>
      <x:c r="J266" s="12" t="str">
        <x:f>IF(A266="","",A266+7)</x:f>
      </x:c>
      <x:c r="K266"/>
      <x:c r="L266" s="12" t="str">
        <x:f>IF(A266="","",A266+21)</x:f>
      </x:c>
      <x:c r="M266"/>
      <x:c r="N266"/>
      <x:c r="O266"/>
      <x:c r="P266"/>
    </x:row>
    <x:row r="267">
      <x:c r="A267" s="12"/>
      <x:c r="B267"/>
      <x:c r="C267"/>
      <x:c r="D267"/>
      <x:c r="E267"/>
      <x:c r="F267"/>
      <x:c r="G267"/>
      <x:c r="H267" s="12" t="str">
        <x:f>IF(A267="","",A267+1)</x:f>
      </x:c>
      <x:c r="I267"/>
      <x:c r="J267" s="12" t="str">
        <x:f>IF(A267="","",A267+7)</x:f>
      </x:c>
      <x:c r="K267"/>
      <x:c r="L267" s="12" t="str">
        <x:f>IF(A267="","",A267+21)</x:f>
      </x:c>
      <x:c r="M267"/>
      <x:c r="N267"/>
      <x:c r="O267"/>
      <x:c r="P267"/>
    </x:row>
    <x:row r="268">
      <x:c r="A268" s="12"/>
      <x:c r="B268"/>
      <x:c r="C268"/>
      <x:c r="D268"/>
      <x:c r="E268"/>
      <x:c r="F268"/>
      <x:c r="G268"/>
      <x:c r="H268" s="12" t="str">
        <x:f>IF(A268="","",A268+1)</x:f>
      </x:c>
      <x:c r="I268"/>
      <x:c r="J268" s="12" t="str">
        <x:f>IF(A268="","",A268+7)</x:f>
      </x:c>
      <x:c r="K268"/>
      <x:c r="L268" s="12" t="str">
        <x:f>IF(A268="","",A268+21)</x:f>
      </x:c>
      <x:c r="M268"/>
      <x:c r="N268"/>
      <x:c r="O268"/>
      <x:c r="P268"/>
    </x:row>
    <x:row r="269">
      <x:c r="A269" s="12"/>
      <x:c r="B269"/>
      <x:c r="C269"/>
      <x:c r="D269"/>
      <x:c r="E269"/>
      <x:c r="F269"/>
      <x:c r="G269"/>
      <x:c r="H269" s="12" t="str">
        <x:f>IF(A269="","",A269+1)</x:f>
      </x:c>
      <x:c r="I269"/>
      <x:c r="J269" s="12" t="str">
        <x:f>IF(A269="","",A269+7)</x:f>
      </x:c>
      <x:c r="K269"/>
      <x:c r="L269" s="12" t="str">
        <x:f>IF(A269="","",A269+21)</x:f>
      </x:c>
      <x:c r="M269"/>
      <x:c r="N269"/>
      <x:c r="O269"/>
      <x:c r="P269"/>
    </x:row>
    <x:row r="270">
      <x:c r="A270" s="12"/>
      <x:c r="B270"/>
      <x:c r="C270"/>
      <x:c r="D270"/>
      <x:c r="E270"/>
      <x:c r="F270"/>
      <x:c r="G270"/>
      <x:c r="H270" s="12" t="str">
        <x:f>IF(A270="","",A270+1)</x:f>
      </x:c>
      <x:c r="I270"/>
      <x:c r="J270" s="12" t="str">
        <x:f>IF(A270="","",A270+7)</x:f>
      </x:c>
      <x:c r="K270"/>
      <x:c r="L270" s="12" t="str">
        <x:f>IF(A270="","",A270+21)</x:f>
      </x:c>
      <x:c r="M270"/>
      <x:c r="N270"/>
      <x:c r="O270"/>
      <x:c r="P270"/>
    </x:row>
    <x:row r="271">
      <x:c r="A271" s="12"/>
      <x:c r="B271"/>
      <x:c r="C271"/>
      <x:c r="D271"/>
      <x:c r="E271"/>
      <x:c r="F271"/>
      <x:c r="G271"/>
      <x:c r="H271" s="12" t="str">
        <x:f>IF(A271="","",A271+1)</x:f>
      </x:c>
      <x:c r="I271"/>
      <x:c r="J271" s="12" t="str">
        <x:f>IF(A271="","",A271+7)</x:f>
      </x:c>
      <x:c r="K271"/>
      <x:c r="L271" s="12" t="str">
        <x:f>IF(A271="","",A271+21)</x:f>
      </x:c>
      <x:c r="M271"/>
      <x:c r="N271"/>
      <x:c r="O271"/>
      <x:c r="P271"/>
    </x:row>
    <x:row r="272">
      <x:c r="A272" s="12"/>
      <x:c r="B272"/>
      <x:c r="C272"/>
      <x:c r="D272"/>
      <x:c r="E272"/>
      <x:c r="F272"/>
      <x:c r="G272"/>
      <x:c r="H272" s="12" t="str">
        <x:f>IF(A272="","",A272+1)</x:f>
      </x:c>
      <x:c r="I272"/>
      <x:c r="J272" s="12" t="str">
        <x:f>IF(A272="","",A272+7)</x:f>
      </x:c>
      <x:c r="K272"/>
      <x:c r="L272" s="12" t="str">
        <x:f>IF(A272="","",A272+21)</x:f>
      </x:c>
      <x:c r="M272"/>
      <x:c r="N272"/>
      <x:c r="O272"/>
      <x:c r="P272"/>
    </x:row>
    <x:row r="273">
      <x:c r="A273" s="12"/>
      <x:c r="B273"/>
      <x:c r="C273"/>
      <x:c r="D273"/>
      <x:c r="E273"/>
      <x:c r="F273"/>
      <x:c r="G273"/>
      <x:c r="H273" s="12" t="str">
        <x:f>IF(A273="","",A273+1)</x:f>
      </x:c>
      <x:c r="I273"/>
      <x:c r="J273" s="12" t="str">
        <x:f>IF(A273="","",A273+7)</x:f>
      </x:c>
      <x:c r="K273"/>
      <x:c r="L273" s="12" t="str">
        <x:f>IF(A273="","",A273+21)</x:f>
      </x:c>
      <x:c r="M273"/>
      <x:c r="N273"/>
      <x:c r="O273"/>
      <x:c r="P273"/>
    </x:row>
    <x:row r="274">
      <x:c r="A274" s="12"/>
      <x:c r="B274"/>
      <x:c r="C274"/>
      <x:c r="D274"/>
      <x:c r="E274"/>
      <x:c r="F274"/>
      <x:c r="G274"/>
      <x:c r="H274" s="12" t="str">
        <x:f>IF(A274="","",A274+1)</x:f>
      </x:c>
      <x:c r="I274"/>
      <x:c r="J274" s="12" t="str">
        <x:f>IF(A274="","",A274+7)</x:f>
      </x:c>
      <x:c r="K274"/>
      <x:c r="L274" s="12" t="str">
        <x:f>IF(A274="","",A274+21)</x:f>
      </x:c>
      <x:c r="M274"/>
      <x:c r="N274"/>
      <x:c r="O274"/>
      <x:c r="P274"/>
    </x:row>
    <x:row r="275">
      <x:c r="A275" s="12"/>
      <x:c r="B275"/>
      <x:c r="C275"/>
      <x:c r="D275"/>
      <x:c r="E275"/>
      <x:c r="F275"/>
      <x:c r="G275"/>
      <x:c r="H275" s="12" t="str">
        <x:f>IF(A275="","",A275+1)</x:f>
      </x:c>
      <x:c r="I275"/>
      <x:c r="J275" s="12" t="str">
        <x:f>IF(A275="","",A275+7)</x:f>
      </x:c>
      <x:c r="K275"/>
      <x:c r="L275" s="12" t="str">
        <x:f>IF(A275="","",A275+21)</x:f>
      </x:c>
      <x:c r="M275"/>
      <x:c r="N275"/>
      <x:c r="O275"/>
      <x:c r="P275"/>
    </x:row>
    <x:row r="276">
      <x:c r="A276" s="12"/>
      <x:c r="B276"/>
      <x:c r="C276"/>
      <x:c r="D276"/>
      <x:c r="E276"/>
      <x:c r="F276"/>
      <x:c r="G276"/>
      <x:c r="H276" s="12" t="str">
        <x:f>IF(A276="","",A276+1)</x:f>
      </x:c>
      <x:c r="I276"/>
      <x:c r="J276" s="12" t="str">
        <x:f>IF(A276="","",A276+7)</x:f>
      </x:c>
      <x:c r="K276"/>
      <x:c r="L276" s="12" t="str">
        <x:f>IF(A276="","",A276+21)</x:f>
      </x:c>
      <x:c r="M276"/>
      <x:c r="N276"/>
      <x:c r="O276"/>
      <x:c r="P276"/>
    </x:row>
    <x:row r="277">
      <x:c r="A277" s="12"/>
      <x:c r="B277"/>
      <x:c r="C277"/>
      <x:c r="D277"/>
      <x:c r="E277"/>
      <x:c r="F277"/>
      <x:c r="G277"/>
      <x:c r="H277" s="12" t="str">
        <x:f>IF(A277="","",A277+1)</x:f>
      </x:c>
      <x:c r="I277"/>
      <x:c r="J277" s="12" t="str">
        <x:f>IF(A277="","",A277+7)</x:f>
      </x:c>
      <x:c r="K277"/>
      <x:c r="L277" s="12" t="str">
        <x:f>IF(A277="","",A277+21)</x:f>
      </x:c>
      <x:c r="M277"/>
      <x:c r="N277"/>
      <x:c r="O277"/>
      <x:c r="P277"/>
    </x:row>
    <x:row r="278">
      <x:c r="A278" s="12"/>
      <x:c r="B278"/>
      <x:c r="C278"/>
      <x:c r="D278"/>
      <x:c r="E278"/>
      <x:c r="F278"/>
      <x:c r="G278"/>
      <x:c r="H278" s="12" t="str">
        <x:f>IF(A278="","",A278+1)</x:f>
      </x:c>
      <x:c r="I278"/>
      <x:c r="J278" s="12" t="str">
        <x:f>IF(A278="","",A278+7)</x:f>
      </x:c>
      <x:c r="K278"/>
      <x:c r="L278" s="12" t="str">
        <x:f>IF(A278="","",A278+21)</x:f>
      </x:c>
      <x:c r="M278"/>
      <x:c r="N278"/>
      <x:c r="O278"/>
      <x:c r="P278"/>
    </x:row>
    <x:row r="279">
      <x:c r="A279" s="12"/>
      <x:c r="B279"/>
      <x:c r="C279"/>
      <x:c r="D279"/>
      <x:c r="E279"/>
      <x:c r="F279"/>
      <x:c r="G279"/>
      <x:c r="H279" s="12" t="str">
        <x:f>IF(A279="","",A279+1)</x:f>
      </x:c>
      <x:c r="I279"/>
      <x:c r="J279" s="12" t="str">
        <x:f>IF(A279="","",A279+7)</x:f>
      </x:c>
      <x:c r="K279"/>
      <x:c r="L279" s="12" t="str">
        <x:f>IF(A279="","",A279+21)</x:f>
      </x:c>
      <x:c r="M279"/>
      <x:c r="N279"/>
      <x:c r="O279"/>
      <x:c r="P279"/>
    </x:row>
    <x:row r="280">
      <x:c r="A280" s="12"/>
      <x:c r="B280"/>
      <x:c r="C280"/>
      <x:c r="D280"/>
      <x:c r="E280"/>
      <x:c r="F280"/>
      <x:c r="G280"/>
      <x:c r="H280" s="12" t="str">
        <x:f>IF(A280="","",A280+1)</x:f>
      </x:c>
      <x:c r="I280"/>
      <x:c r="J280" s="12" t="str">
        <x:f>IF(A280="","",A280+7)</x:f>
      </x:c>
      <x:c r="K280"/>
      <x:c r="L280" s="12" t="str">
        <x:f>IF(A280="","",A280+21)</x:f>
      </x:c>
      <x:c r="M280"/>
      <x:c r="N280"/>
      <x:c r="O280"/>
      <x:c r="P280"/>
    </x:row>
    <x:row r="281">
      <x:c r="A281" s="12"/>
      <x:c r="B281"/>
      <x:c r="C281"/>
      <x:c r="D281"/>
      <x:c r="E281"/>
      <x:c r="F281"/>
      <x:c r="G281"/>
      <x:c r="H281" s="12" t="str">
        <x:f>IF(A281="","",A281+1)</x:f>
      </x:c>
      <x:c r="I281"/>
      <x:c r="J281" s="12" t="str">
        <x:f>IF(A281="","",A281+7)</x:f>
      </x:c>
      <x:c r="K281"/>
      <x:c r="L281" s="12" t="str">
        <x:f>IF(A281="","",A281+21)</x:f>
      </x:c>
      <x:c r="M281"/>
      <x:c r="N281"/>
      <x:c r="O281"/>
      <x:c r="P281"/>
    </x:row>
    <x:row r="282">
      <x:c r="A282" s="12"/>
      <x:c r="B282"/>
      <x:c r="C282"/>
      <x:c r="D282"/>
      <x:c r="E282"/>
      <x:c r="F282"/>
      <x:c r="G282"/>
      <x:c r="H282" s="12" t="str">
        <x:f>IF(A282="","",A282+1)</x:f>
      </x:c>
      <x:c r="I282"/>
      <x:c r="J282" s="12" t="str">
        <x:f>IF(A282="","",A282+7)</x:f>
      </x:c>
      <x:c r="K282"/>
      <x:c r="L282" s="12" t="str">
        <x:f>IF(A282="","",A282+21)</x:f>
      </x:c>
      <x:c r="M282"/>
      <x:c r="N282"/>
      <x:c r="O282"/>
      <x:c r="P282"/>
    </x:row>
    <x:row r="283">
      <x:c r="A283" s="12"/>
      <x:c r="B283"/>
      <x:c r="C283"/>
      <x:c r="D283"/>
      <x:c r="E283"/>
      <x:c r="F283"/>
      <x:c r="G283"/>
      <x:c r="H283" s="12" t="str">
        <x:f>IF(A283="","",A283+1)</x:f>
      </x:c>
      <x:c r="I283"/>
      <x:c r="J283" s="12" t="str">
        <x:f>IF(A283="","",A283+7)</x:f>
      </x:c>
      <x:c r="K283"/>
      <x:c r="L283" s="12" t="str">
        <x:f>IF(A283="","",A283+21)</x:f>
      </x:c>
      <x:c r="M283"/>
      <x:c r="N283"/>
      <x:c r="O283"/>
      <x:c r="P283"/>
    </x:row>
    <x:row r="284">
      <x:c r="A284" s="12"/>
      <x:c r="B284"/>
      <x:c r="C284"/>
      <x:c r="D284"/>
      <x:c r="E284"/>
      <x:c r="F284"/>
      <x:c r="G284"/>
      <x:c r="H284" s="12" t="str">
        <x:f>IF(A284="","",A284+1)</x:f>
      </x:c>
      <x:c r="I284"/>
      <x:c r="J284" s="12" t="str">
        <x:f>IF(A284="","",A284+7)</x:f>
      </x:c>
      <x:c r="K284"/>
      <x:c r="L284" s="12" t="str">
        <x:f>IF(A284="","",A284+21)</x:f>
      </x:c>
      <x:c r="M284"/>
      <x:c r="N284"/>
      <x:c r="O284"/>
      <x:c r="P284"/>
    </x:row>
    <x:row r="285">
      <x:c r="A285" s="12"/>
      <x:c r="B285"/>
      <x:c r="C285"/>
      <x:c r="D285"/>
      <x:c r="E285"/>
      <x:c r="F285"/>
      <x:c r="G285"/>
      <x:c r="H285" s="12" t="str">
        <x:f>IF(A285="","",A285+1)</x:f>
      </x:c>
      <x:c r="I285"/>
      <x:c r="J285" s="12" t="str">
        <x:f>IF(A285="","",A285+7)</x:f>
      </x:c>
      <x:c r="K285"/>
      <x:c r="L285" s="12" t="str">
        <x:f>IF(A285="","",A285+21)</x:f>
      </x:c>
      <x:c r="M285"/>
      <x:c r="N285"/>
      <x:c r="O285"/>
      <x:c r="P285"/>
    </x:row>
    <x:row r="286">
      <x:c r="A286" s="12"/>
      <x:c r="B286"/>
      <x:c r="C286"/>
      <x:c r="D286"/>
      <x:c r="E286"/>
      <x:c r="F286"/>
      <x:c r="G286"/>
      <x:c r="H286" s="12" t="str">
        <x:f>IF(A286="","",A286+1)</x:f>
      </x:c>
      <x:c r="I286"/>
      <x:c r="J286" s="12" t="str">
        <x:f>IF(A286="","",A286+7)</x:f>
      </x:c>
      <x:c r="K286"/>
      <x:c r="L286" s="12" t="str">
        <x:f>IF(A286="","",A286+21)</x:f>
      </x:c>
      <x:c r="M286"/>
      <x:c r="N286"/>
      <x:c r="O286"/>
      <x:c r="P286"/>
    </x:row>
    <x:row r="287">
      <x:c r="A287" s="12"/>
      <x:c r="B287"/>
      <x:c r="C287"/>
      <x:c r="D287"/>
      <x:c r="E287"/>
      <x:c r="F287"/>
      <x:c r="G287"/>
      <x:c r="H287" s="12" t="str">
        <x:f>IF(A287="","",A287+1)</x:f>
      </x:c>
      <x:c r="I287"/>
      <x:c r="J287" s="12" t="str">
        <x:f>IF(A287="","",A287+7)</x:f>
      </x:c>
      <x:c r="K287"/>
      <x:c r="L287" s="12" t="str">
        <x:f>IF(A287="","",A287+21)</x:f>
      </x:c>
      <x:c r="M287"/>
      <x:c r="N287"/>
      <x:c r="O287"/>
      <x:c r="P287"/>
    </x:row>
    <x:row r="288">
      <x:c r="A288" s="12"/>
      <x:c r="B288"/>
      <x:c r="C288"/>
      <x:c r="D288"/>
      <x:c r="E288"/>
      <x:c r="F288"/>
      <x:c r="G288"/>
      <x:c r="H288" s="12" t="str">
        <x:f>IF(A288="","",A288+1)</x:f>
      </x:c>
      <x:c r="I288"/>
      <x:c r="J288" s="12" t="str">
        <x:f>IF(A288="","",A288+7)</x:f>
      </x:c>
      <x:c r="K288"/>
      <x:c r="L288" s="12" t="str">
        <x:f>IF(A288="","",A288+21)</x:f>
      </x:c>
      <x:c r="M288"/>
      <x:c r="N288"/>
      <x:c r="O288"/>
      <x:c r="P288"/>
    </x:row>
    <x:row r="289">
      <x:c r="A289" s="12"/>
      <x:c r="B289"/>
      <x:c r="C289"/>
      <x:c r="D289"/>
      <x:c r="E289"/>
      <x:c r="F289"/>
      <x:c r="G289"/>
      <x:c r="H289" s="12" t="str">
        <x:f>IF(A289="","",A289+1)</x:f>
      </x:c>
      <x:c r="I289"/>
      <x:c r="J289" s="12" t="str">
        <x:f>IF(A289="","",A289+7)</x:f>
      </x:c>
      <x:c r="K289"/>
      <x:c r="L289" s="12" t="str">
        <x:f>IF(A289="","",A289+21)</x:f>
      </x:c>
      <x:c r="M289"/>
      <x:c r="N289"/>
      <x:c r="O289"/>
      <x:c r="P289"/>
    </x:row>
    <x:row r="290">
      <x:c r="A290" s="12"/>
      <x:c r="B290"/>
      <x:c r="C290"/>
      <x:c r="D290"/>
      <x:c r="E290"/>
      <x:c r="F290"/>
      <x:c r="G290"/>
      <x:c r="H290" s="12" t="str">
        <x:f>IF(A290="","",A290+1)</x:f>
      </x:c>
      <x:c r="I290"/>
      <x:c r="J290" s="12" t="str">
        <x:f>IF(A290="","",A290+7)</x:f>
      </x:c>
      <x:c r="K290"/>
      <x:c r="L290" s="12" t="str">
        <x:f>IF(A290="","",A290+21)</x:f>
      </x:c>
      <x:c r="M290"/>
      <x:c r="N290"/>
      <x:c r="O290"/>
      <x:c r="P290"/>
    </x:row>
    <x:row r="291">
      <x:c r="A291" s="12"/>
      <x:c r="B291"/>
      <x:c r="C291"/>
      <x:c r="D291"/>
      <x:c r="E291"/>
      <x:c r="F291"/>
      <x:c r="G291"/>
      <x:c r="H291" s="12" t="str">
        <x:f>IF(A291="","",A291+1)</x:f>
      </x:c>
      <x:c r="I291"/>
      <x:c r="J291" s="12" t="str">
        <x:f>IF(A291="","",A291+7)</x:f>
      </x:c>
      <x:c r="K291"/>
      <x:c r="L291" s="12" t="str">
        <x:f>IF(A291="","",A291+21)</x:f>
      </x:c>
      <x:c r="M291"/>
      <x:c r="N291"/>
      <x:c r="O291"/>
      <x:c r="P291"/>
    </x:row>
    <x:row r="292">
      <x:c r="A292" s="12"/>
      <x:c r="B292"/>
      <x:c r="C292"/>
      <x:c r="D292"/>
      <x:c r="E292"/>
      <x:c r="F292"/>
      <x:c r="G292"/>
      <x:c r="H292" s="12" t="str">
        <x:f>IF(A292="","",A292+1)</x:f>
      </x:c>
      <x:c r="I292"/>
      <x:c r="J292" s="12" t="str">
        <x:f>IF(A292="","",A292+7)</x:f>
      </x:c>
      <x:c r="K292"/>
      <x:c r="L292" s="12" t="str">
        <x:f>IF(A292="","",A292+21)</x:f>
      </x:c>
      <x:c r="M292"/>
      <x:c r="N292"/>
      <x:c r="O292"/>
      <x:c r="P292"/>
    </x:row>
    <x:row r="293">
      <x:c r="A293" s="12"/>
      <x:c r="B293"/>
      <x:c r="C293"/>
      <x:c r="D293"/>
      <x:c r="E293"/>
      <x:c r="F293"/>
      <x:c r="G293"/>
      <x:c r="H293" s="12" t="str">
        <x:f>IF(A293="","",A293+1)</x:f>
      </x:c>
      <x:c r="I293"/>
      <x:c r="J293" s="12" t="str">
        <x:f>IF(A293="","",A293+7)</x:f>
      </x:c>
      <x:c r="K293"/>
      <x:c r="L293" s="12" t="str">
        <x:f>IF(A293="","",A293+21)</x:f>
      </x:c>
      <x:c r="M293"/>
      <x:c r="N293"/>
      <x:c r="O293"/>
      <x:c r="P293"/>
    </x:row>
    <x:row r="294">
      <x:c r="A294" s="12"/>
      <x:c r="B294"/>
      <x:c r="C294"/>
      <x:c r="D294"/>
      <x:c r="E294"/>
      <x:c r="F294"/>
      <x:c r="G294"/>
      <x:c r="H294" s="12" t="str">
        <x:f>IF(A294="","",A294+1)</x:f>
      </x:c>
      <x:c r="I294"/>
      <x:c r="J294" s="12" t="str">
        <x:f>IF(A294="","",A294+7)</x:f>
      </x:c>
      <x:c r="K294"/>
      <x:c r="L294" s="12" t="str">
        <x:f>IF(A294="","",A294+21)</x:f>
      </x:c>
      <x:c r="M294"/>
      <x:c r="N294"/>
      <x:c r="O294"/>
      <x:c r="P294"/>
    </x:row>
    <x:row r="295">
      <x:c r="A295" s="12"/>
      <x:c r="B295"/>
      <x:c r="C295"/>
      <x:c r="D295"/>
      <x:c r="E295"/>
      <x:c r="F295"/>
      <x:c r="G295"/>
      <x:c r="H295" s="12" t="str">
        <x:f>IF(A295="","",A295+1)</x:f>
      </x:c>
      <x:c r="I295"/>
      <x:c r="J295" s="12" t="str">
        <x:f>IF(A295="","",A295+7)</x:f>
      </x:c>
      <x:c r="K295"/>
      <x:c r="L295" s="12" t="str">
        <x:f>IF(A295="","",A295+21)</x:f>
      </x:c>
      <x:c r="M295"/>
      <x:c r="N295"/>
      <x:c r="O295"/>
      <x:c r="P295"/>
    </x:row>
    <x:row r="296">
      <x:c r="A296" s="12"/>
      <x:c r="B296"/>
      <x:c r="C296"/>
      <x:c r="D296"/>
      <x:c r="E296"/>
      <x:c r="F296"/>
      <x:c r="G296"/>
      <x:c r="H296" s="12" t="str">
        <x:f>IF(A296="","",A296+1)</x:f>
      </x:c>
      <x:c r="I296"/>
      <x:c r="J296" s="12" t="str">
        <x:f>IF(A296="","",A296+7)</x:f>
      </x:c>
      <x:c r="K296"/>
      <x:c r="L296" s="12" t="str">
        <x:f>IF(A296="","",A296+21)</x:f>
      </x:c>
      <x:c r="M296"/>
      <x:c r="N296"/>
      <x:c r="O296"/>
      <x:c r="P296"/>
    </x:row>
    <x:row r="297">
      <x:c r="A297" s="12"/>
      <x:c r="B297"/>
      <x:c r="C297"/>
      <x:c r="D297"/>
      <x:c r="E297"/>
      <x:c r="F297"/>
      <x:c r="G297"/>
      <x:c r="H297" s="12" t="str">
        <x:f>IF(A297="","",A297+1)</x:f>
      </x:c>
      <x:c r="I297"/>
      <x:c r="J297" s="12" t="str">
        <x:f>IF(A297="","",A297+7)</x:f>
      </x:c>
      <x:c r="K297"/>
      <x:c r="L297" s="12" t="str">
        <x:f>IF(A297="","",A297+21)</x:f>
      </x:c>
      <x:c r="M297"/>
      <x:c r="N297"/>
      <x:c r="O297"/>
      <x:c r="P297"/>
    </x:row>
    <x:row r="298">
      <x:c r="A298" s="12"/>
      <x:c r="B298"/>
      <x:c r="C298"/>
      <x:c r="D298"/>
      <x:c r="E298"/>
      <x:c r="F298"/>
      <x:c r="G298"/>
      <x:c r="H298" s="12" t="str">
        <x:f>IF(A298="","",A298+1)</x:f>
      </x:c>
      <x:c r="I298"/>
      <x:c r="J298" s="12" t="str">
        <x:f>IF(A298="","",A298+7)</x:f>
      </x:c>
      <x:c r="K298"/>
      <x:c r="L298" s="12" t="str">
        <x:f>IF(A298="","",A298+21)</x:f>
      </x:c>
      <x:c r="M298"/>
      <x:c r="N298"/>
      <x:c r="O298"/>
      <x:c r="P298"/>
    </x:row>
    <x:row r="299">
      <x:c r="A299" s="12"/>
      <x:c r="B299"/>
      <x:c r="C299"/>
      <x:c r="D299"/>
      <x:c r="E299"/>
      <x:c r="F299"/>
      <x:c r="G299"/>
      <x:c r="H299" s="12" t="str">
        <x:f>IF(A299="","",A299+1)</x:f>
      </x:c>
      <x:c r="I299"/>
      <x:c r="J299" s="12" t="str">
        <x:f>IF(A299="","",A299+7)</x:f>
      </x:c>
      <x:c r="K299"/>
      <x:c r="L299" s="12" t="str">
        <x:f>IF(A299="","",A299+21)</x:f>
      </x:c>
      <x:c r="M299"/>
      <x:c r="N299"/>
      <x:c r="O299"/>
      <x:c r="P299"/>
    </x:row>
    <x:row r="300">
      <x:c r="A300" s="12"/>
      <x:c r="B300"/>
      <x:c r="C300"/>
      <x:c r="D300"/>
      <x:c r="E300"/>
      <x:c r="F300"/>
      <x:c r="G300"/>
      <x:c r="H300" s="12" t="str">
        <x:f>IF(A300="","",A300+1)</x:f>
      </x:c>
      <x:c r="I300"/>
      <x:c r="J300" s="12" t="str">
        <x:f>IF(A300="","",A300+7)</x:f>
      </x:c>
      <x:c r="K300"/>
      <x:c r="L300" s="12" t="str">
        <x:f>IF(A300="","",A300+21)</x:f>
      </x:c>
      <x:c r="M300"/>
      <x:c r="N300"/>
      <x:c r="O300"/>
      <x:c r="P300"/>
    </x:row>
    <x:row r="301">
      <x:c r="A301" s="12"/>
      <x:c r="B301"/>
      <x:c r="C301"/>
      <x:c r="D301"/>
      <x:c r="E301"/>
      <x:c r="F301"/>
      <x:c r="G301"/>
      <x:c r="H301" s="12" t="str">
        <x:f>IF(A301="","",A301+1)</x:f>
      </x:c>
      <x:c r="I301"/>
      <x:c r="J301" s="12" t="str">
        <x:f>IF(A301="","",A301+7)</x:f>
      </x:c>
      <x:c r="K301"/>
      <x:c r="L301" s="12" t="str">
        <x:f>IF(A301="","",A301+21)</x:f>
      </x:c>
      <x:c r="M301"/>
      <x:c r="N301"/>
      <x:c r="O301"/>
      <x:c r="P301"/>
    </x:row>
    <x:row r="302">
      <x:c r="A302" s="12"/>
      <x:c r="B302"/>
      <x:c r="C302"/>
      <x:c r="D302"/>
      <x:c r="E302"/>
      <x:c r="F302"/>
      <x:c r="G302"/>
      <x:c r="H302" s="12" t="str">
        <x:f>IF(A302="","",A302+1)</x:f>
      </x:c>
      <x:c r="I302"/>
      <x:c r="J302" s="12" t="str">
        <x:f>IF(A302="","",A302+7)</x:f>
      </x:c>
      <x:c r="K302"/>
      <x:c r="L302" s="12" t="str">
        <x:f>IF(A302="","",A302+21)</x:f>
      </x:c>
      <x:c r="M302"/>
      <x:c r="N302"/>
      <x:c r="O302"/>
      <x:c r="P302"/>
    </x:row>
    <x:row r="303">
      <x:c r="A303" s="12"/>
      <x:c r="B303"/>
      <x:c r="C303"/>
      <x:c r="D303"/>
      <x:c r="E303"/>
      <x:c r="F303"/>
      <x:c r="G303"/>
      <x:c r="H303" s="12" t="str">
        <x:f>IF(A303="","",A303+1)</x:f>
      </x:c>
      <x:c r="I303"/>
      <x:c r="J303" s="12" t="str">
        <x:f>IF(A303="","",A303+7)</x:f>
      </x:c>
      <x:c r="K303"/>
      <x:c r="L303" s="12" t="str">
        <x:f>IF(A303="","",A303+21)</x:f>
      </x:c>
      <x:c r="M303"/>
      <x:c r="N303"/>
      <x:c r="O303"/>
      <x:c r="P303"/>
    </x:row>
    <x:row r="304">
      <x:c r="A304" s="12"/>
      <x:c r="B304"/>
      <x:c r="C304"/>
      <x:c r="D304"/>
      <x:c r="E304"/>
      <x:c r="F304"/>
      <x:c r="G304"/>
      <x:c r="H304" s="12" t="str">
        <x:f>IF(A304="","",A304+1)</x:f>
      </x:c>
      <x:c r="I304"/>
      <x:c r="J304" s="12" t="str">
        <x:f>IF(A304="","",A304+7)</x:f>
      </x:c>
      <x:c r="K304"/>
      <x:c r="L304" s="12" t="str">
        <x:f>IF(A304="","",A304+21)</x:f>
      </x:c>
      <x:c r="M304"/>
      <x:c r="N304"/>
      <x:c r="O304"/>
      <x:c r="P304"/>
    </x:row>
    <x:row r="305">
      <x:c r="A305" s="12"/>
      <x:c r="B305"/>
      <x:c r="C305"/>
      <x:c r="D305"/>
      <x:c r="E305"/>
      <x:c r="F305"/>
      <x:c r="G305"/>
      <x:c r="H305" s="12" t="str">
        <x:f>IF(A305="","",A305+1)</x:f>
      </x:c>
      <x:c r="I305"/>
      <x:c r="J305" s="12" t="str">
        <x:f>IF(A305="","",A305+7)</x:f>
      </x:c>
      <x:c r="K305"/>
      <x:c r="L305" s="12" t="str">
        <x:f>IF(A305="","",A305+21)</x:f>
      </x:c>
      <x:c r="M305"/>
      <x:c r="N305"/>
      <x:c r="O305"/>
      <x:c r="P305"/>
    </x:row>
    <x:row r="306">
      <x:c r="A306" s="12"/>
      <x:c r="B306"/>
      <x:c r="C306"/>
      <x:c r="D306"/>
      <x:c r="E306"/>
      <x:c r="F306"/>
      <x:c r="G306"/>
      <x:c r="H306" s="12" t="str">
        <x:f>IF(A306="","",A306+1)</x:f>
      </x:c>
      <x:c r="I306"/>
      <x:c r="J306" s="12" t="str">
        <x:f>IF(A306="","",A306+7)</x:f>
      </x:c>
      <x:c r="K306"/>
      <x:c r="L306" s="12" t="str">
        <x:f>IF(A306="","",A306+21)</x:f>
      </x:c>
      <x:c r="M306"/>
      <x:c r="N306"/>
      <x:c r="O306"/>
      <x:c r="P306"/>
    </x:row>
    <x:row r="307">
      <x:c r="A307" s="12"/>
      <x:c r="B307"/>
      <x:c r="C307"/>
      <x:c r="D307"/>
      <x:c r="E307"/>
      <x:c r="F307"/>
      <x:c r="G307"/>
      <x:c r="H307" s="12" t="str">
        <x:f>IF(A307="","",A307+1)</x:f>
      </x:c>
      <x:c r="I307"/>
      <x:c r="J307" s="12" t="str">
        <x:f>IF(A307="","",A307+7)</x:f>
      </x:c>
      <x:c r="K307"/>
      <x:c r="L307" s="12" t="str">
        <x:f>IF(A307="","",A307+21)</x:f>
      </x:c>
      <x:c r="M307"/>
      <x:c r="N307"/>
      <x:c r="O307"/>
      <x:c r="P307"/>
    </x:row>
    <x:row r="308">
      <x:c r="A308" s="12"/>
      <x:c r="B308"/>
      <x:c r="C308"/>
      <x:c r="D308"/>
      <x:c r="E308"/>
      <x:c r="F308"/>
      <x:c r="G308"/>
      <x:c r="H308" s="12" t="str">
        <x:f>IF(A308="","",A308+1)</x:f>
      </x:c>
      <x:c r="I308"/>
      <x:c r="J308" s="12" t="str">
        <x:f>IF(A308="","",A308+7)</x:f>
      </x:c>
      <x:c r="K308"/>
      <x:c r="L308" s="12" t="str">
        <x:f>IF(A308="","",A308+21)</x:f>
      </x:c>
      <x:c r="M308"/>
      <x:c r="N308"/>
      <x:c r="O308"/>
      <x:c r="P308"/>
    </x:row>
    <x:row r="309">
      <x:c r="A309" s="12"/>
      <x:c r="B309"/>
      <x:c r="C309"/>
      <x:c r="D309"/>
      <x:c r="E309"/>
      <x:c r="F309"/>
      <x:c r="G309"/>
      <x:c r="H309" s="12" t="str">
        <x:f>IF(A309="","",A309+1)</x:f>
      </x:c>
      <x:c r="I309"/>
      <x:c r="J309" s="12" t="str">
        <x:f>IF(A309="","",A309+7)</x:f>
      </x:c>
      <x:c r="K309"/>
      <x:c r="L309" s="12" t="str">
        <x:f>IF(A309="","",A309+21)</x:f>
      </x:c>
      <x:c r="M309"/>
      <x:c r="N309"/>
      <x:c r="O309"/>
      <x:c r="P309"/>
    </x:row>
    <x:row r="310">
      <x:c r="A310" s="12"/>
      <x:c r="B310"/>
      <x:c r="C310"/>
      <x:c r="D310"/>
      <x:c r="E310"/>
      <x:c r="F310"/>
      <x:c r="G310"/>
      <x:c r="H310" s="12" t="str">
        <x:f>IF(A310="","",A310+1)</x:f>
      </x:c>
      <x:c r="I310"/>
      <x:c r="J310" s="12" t="str">
        <x:f>IF(A310="","",A310+7)</x:f>
      </x:c>
      <x:c r="K310"/>
      <x:c r="L310" s="12" t="str">
        <x:f>IF(A310="","",A310+21)</x:f>
      </x:c>
      <x:c r="M310"/>
      <x:c r="N310"/>
      <x:c r="O310"/>
      <x:c r="P310"/>
    </x:row>
    <x:row r="311">
      <x:c r="A311" s="12"/>
      <x:c r="B311"/>
      <x:c r="C311"/>
      <x:c r="D311"/>
      <x:c r="E311"/>
      <x:c r="F311"/>
      <x:c r="G311"/>
      <x:c r="H311" s="12" t="str">
        <x:f>IF(A311="","",A311+1)</x:f>
      </x:c>
      <x:c r="I311"/>
      <x:c r="J311" s="12" t="str">
        <x:f>IF(A311="","",A311+7)</x:f>
      </x:c>
      <x:c r="K311"/>
      <x:c r="L311" s="12" t="str">
        <x:f>IF(A311="","",A311+21)</x:f>
      </x:c>
      <x:c r="M311"/>
      <x:c r="N311"/>
      <x:c r="O311"/>
      <x:c r="P311"/>
    </x:row>
    <x:row r="312">
      <x:c r="A312" s="12"/>
      <x:c r="B312"/>
      <x:c r="C312"/>
      <x:c r="D312"/>
      <x:c r="E312"/>
      <x:c r="F312"/>
      <x:c r="G312"/>
      <x:c r="H312" s="12" t="str">
        <x:f>IF(A312="","",A312+1)</x:f>
      </x:c>
      <x:c r="I312"/>
      <x:c r="J312" s="12" t="str">
        <x:f>IF(A312="","",A312+7)</x:f>
      </x:c>
      <x:c r="K312"/>
      <x:c r="L312" s="12" t="str">
        <x:f>IF(A312="","",A312+21)</x:f>
      </x:c>
      <x:c r="M312"/>
      <x:c r="N312"/>
      <x:c r="O312"/>
      <x:c r="P312"/>
    </x:row>
    <x:row r="313">
      <x:c r="A313" s="12"/>
      <x:c r="B313"/>
      <x:c r="C313"/>
      <x:c r="D313"/>
      <x:c r="E313"/>
      <x:c r="F313"/>
      <x:c r="G313"/>
      <x:c r="H313" s="12" t="str">
        <x:f>IF(A313="","",A313+1)</x:f>
      </x:c>
      <x:c r="I313"/>
      <x:c r="J313" s="12" t="str">
        <x:f>IF(A313="","",A313+7)</x:f>
      </x:c>
      <x:c r="K313"/>
      <x:c r="L313" s="12" t="str">
        <x:f>IF(A313="","",A313+21)</x:f>
      </x:c>
      <x:c r="M313"/>
      <x:c r="N313"/>
      <x:c r="O313"/>
      <x:c r="P313"/>
    </x:row>
    <x:row r="314">
      <x:c r="A314" s="12"/>
      <x:c r="B314"/>
      <x:c r="C314"/>
      <x:c r="D314"/>
      <x:c r="E314"/>
      <x:c r="F314"/>
      <x:c r="G314"/>
      <x:c r="H314" s="12" t="str">
        <x:f>IF(A314="","",A314+1)</x:f>
      </x:c>
      <x:c r="I314"/>
      <x:c r="J314" s="12" t="str">
        <x:f>IF(A314="","",A314+7)</x:f>
      </x:c>
      <x:c r="K314"/>
      <x:c r="L314" s="12" t="str">
        <x:f>IF(A314="","",A314+21)</x:f>
      </x:c>
      <x:c r="M314"/>
      <x:c r="N314"/>
      <x:c r="O314"/>
      <x:c r="P314"/>
    </x:row>
    <x:row r="315">
      <x:c r="A315" s="12"/>
      <x:c r="B315"/>
      <x:c r="C315"/>
      <x:c r="D315"/>
      <x:c r="E315"/>
      <x:c r="F315"/>
      <x:c r="G315"/>
      <x:c r="H315" s="12" t="str">
        <x:f>IF(A315="","",A315+1)</x:f>
      </x:c>
      <x:c r="I315"/>
      <x:c r="J315" s="12" t="str">
        <x:f>IF(A315="","",A315+7)</x:f>
      </x:c>
      <x:c r="K315"/>
      <x:c r="L315" s="12" t="str">
        <x:f>IF(A315="","",A315+21)</x:f>
      </x:c>
      <x:c r="M315"/>
      <x:c r="N315"/>
      <x:c r="O315"/>
      <x:c r="P315"/>
    </x:row>
    <x:row r="316">
      <x:c r="A316" s="12"/>
      <x:c r="B316"/>
      <x:c r="C316"/>
      <x:c r="D316"/>
      <x:c r="E316"/>
      <x:c r="F316"/>
      <x:c r="G316"/>
      <x:c r="H316" s="12" t="str">
        <x:f>IF(A316="","",A316+1)</x:f>
      </x:c>
      <x:c r="I316"/>
      <x:c r="J316" s="12" t="str">
        <x:f>IF(A316="","",A316+7)</x:f>
      </x:c>
      <x:c r="K316"/>
      <x:c r="L316" s="12" t="str">
        <x:f>IF(A316="","",A316+21)</x:f>
      </x:c>
      <x:c r="M316"/>
      <x:c r="N316"/>
      <x:c r="O316"/>
      <x:c r="P316"/>
    </x:row>
    <x:row r="317">
      <x:c r="A317" s="12"/>
      <x:c r="B317"/>
      <x:c r="C317"/>
      <x:c r="D317"/>
      <x:c r="E317"/>
      <x:c r="F317"/>
      <x:c r="G317"/>
      <x:c r="H317" s="12" t="str">
        <x:f>IF(A317="","",A317+1)</x:f>
      </x:c>
      <x:c r="I317"/>
      <x:c r="J317" s="12" t="str">
        <x:f>IF(A317="","",A317+7)</x:f>
      </x:c>
      <x:c r="K317"/>
      <x:c r="L317" s="12" t="str">
        <x:f>IF(A317="","",A317+21)</x:f>
      </x:c>
      <x:c r="M317"/>
      <x:c r="N317"/>
      <x:c r="O317"/>
      <x:c r="P317"/>
    </x:row>
    <x:row r="318">
      <x:c r="A318" s="12"/>
      <x:c r="B318"/>
      <x:c r="C318"/>
      <x:c r="D318"/>
      <x:c r="E318"/>
      <x:c r="F318"/>
      <x:c r="G318"/>
      <x:c r="H318" s="12" t="str">
        <x:f>IF(A318="","",A318+1)</x:f>
      </x:c>
      <x:c r="I318"/>
      <x:c r="J318" s="12" t="str">
        <x:f>IF(A318="","",A318+7)</x:f>
      </x:c>
      <x:c r="K318"/>
      <x:c r="L318" s="12" t="str">
        <x:f>IF(A318="","",A318+21)</x:f>
      </x:c>
      <x:c r="M318"/>
      <x:c r="N318"/>
      <x:c r="O318"/>
      <x:c r="P318"/>
    </x:row>
    <x:row r="319">
      <x:c r="A319" s="12"/>
      <x:c r="B319"/>
      <x:c r="C319"/>
      <x:c r="D319"/>
      <x:c r="E319"/>
      <x:c r="F319"/>
      <x:c r="G319"/>
      <x:c r="H319" s="12" t="str">
        <x:f>IF(A319="","",A319+1)</x:f>
      </x:c>
      <x:c r="I319"/>
      <x:c r="J319" s="12" t="str">
        <x:f>IF(A319="","",A319+7)</x:f>
      </x:c>
      <x:c r="K319"/>
      <x:c r="L319" s="12" t="str">
        <x:f>IF(A319="","",A319+21)</x:f>
      </x:c>
      <x:c r="M319"/>
      <x:c r="N319"/>
      <x:c r="O319"/>
      <x:c r="P319"/>
    </x:row>
    <x:row r="320">
      <x:c r="A320" s="12"/>
      <x:c r="B320"/>
      <x:c r="C320"/>
      <x:c r="D320"/>
      <x:c r="E320"/>
      <x:c r="F320"/>
      <x:c r="G320"/>
      <x:c r="H320" s="12" t="str">
        <x:f>IF(A320="","",A320+1)</x:f>
      </x:c>
      <x:c r="I320"/>
      <x:c r="J320" s="12" t="str">
        <x:f>IF(A320="","",A320+7)</x:f>
      </x:c>
      <x:c r="K320"/>
      <x:c r="L320" s="12" t="str">
        <x:f>IF(A320="","",A320+21)</x:f>
      </x:c>
      <x:c r="M320"/>
      <x:c r="N320"/>
      <x:c r="O320"/>
      <x:c r="P320"/>
    </x:row>
    <x:row r="321">
      <x:c r="A321" s="12"/>
      <x:c r="B321"/>
      <x:c r="C321"/>
      <x:c r="D321"/>
      <x:c r="E321"/>
      <x:c r="F321"/>
      <x:c r="G321"/>
      <x:c r="H321" s="12" t="str">
        <x:f>IF(A321="","",A321+1)</x:f>
      </x:c>
      <x:c r="I321"/>
      <x:c r="J321" s="12" t="str">
        <x:f>IF(A321="","",A321+7)</x:f>
      </x:c>
      <x:c r="K321"/>
      <x:c r="L321" s="12" t="str">
        <x:f>IF(A321="","",A321+21)</x:f>
      </x:c>
      <x:c r="M321"/>
      <x:c r="N321"/>
      <x:c r="O321"/>
      <x:c r="P321"/>
    </x:row>
    <x:row r="322">
      <x:c r="A322" s="12"/>
      <x:c r="B322"/>
      <x:c r="C322"/>
      <x:c r="D322"/>
      <x:c r="E322"/>
      <x:c r="F322"/>
      <x:c r="G322"/>
      <x:c r="H322" s="12" t="str">
        <x:f>IF(A322="","",A322+1)</x:f>
      </x:c>
      <x:c r="I322"/>
      <x:c r="J322" s="12" t="str">
        <x:f>IF(A322="","",A322+7)</x:f>
      </x:c>
      <x:c r="K322"/>
      <x:c r="L322" s="12" t="str">
        <x:f>IF(A322="","",A322+21)</x:f>
      </x:c>
      <x:c r="M322"/>
      <x:c r="N322"/>
      <x:c r="O322"/>
      <x:c r="P322"/>
    </x:row>
    <x:row r="323">
      <x:c r="A323" s="12"/>
      <x:c r="B323"/>
      <x:c r="C323"/>
      <x:c r="D323"/>
      <x:c r="E323"/>
      <x:c r="F323"/>
      <x:c r="G323"/>
      <x:c r="H323" s="12" t="str">
        <x:f>IF(A323="","",A323+1)</x:f>
      </x:c>
      <x:c r="I323"/>
      <x:c r="J323" s="12" t="str">
        <x:f>IF(A323="","",A323+7)</x:f>
      </x:c>
      <x:c r="K323"/>
      <x:c r="L323" s="12" t="str">
        <x:f>IF(A323="","",A323+21)</x:f>
      </x:c>
      <x:c r="M323"/>
      <x:c r="N323"/>
      <x:c r="O323"/>
      <x:c r="P323"/>
    </x:row>
    <x:row r="324">
      <x:c r="A324" s="12"/>
      <x:c r="B324"/>
      <x:c r="C324"/>
      <x:c r="D324"/>
      <x:c r="E324"/>
      <x:c r="F324"/>
      <x:c r="G324"/>
      <x:c r="H324" s="12" t="str">
        <x:f>IF(A324="","",A324+1)</x:f>
      </x:c>
      <x:c r="I324"/>
      <x:c r="J324" s="12" t="str">
        <x:f>IF(A324="","",A324+7)</x:f>
      </x:c>
      <x:c r="K324"/>
      <x:c r="L324" s="12" t="str">
        <x:f>IF(A324="","",A324+21)</x:f>
      </x:c>
      <x:c r="M324"/>
      <x:c r="N324"/>
      <x:c r="O324"/>
      <x:c r="P324"/>
    </x:row>
    <x:row r="325">
      <x:c r="A325" s="12"/>
      <x:c r="B325"/>
      <x:c r="C325"/>
      <x:c r="D325"/>
      <x:c r="E325"/>
      <x:c r="F325"/>
      <x:c r="G325"/>
      <x:c r="H325" s="12" t="str">
        <x:f>IF(A325="","",A325+1)</x:f>
      </x:c>
      <x:c r="I325"/>
      <x:c r="J325" s="12" t="str">
        <x:f>IF(A325="","",A325+7)</x:f>
      </x:c>
      <x:c r="K325"/>
      <x:c r="L325" s="12" t="str">
        <x:f>IF(A325="","",A325+21)</x:f>
      </x:c>
      <x:c r="M325"/>
      <x:c r="N325"/>
      <x:c r="O325"/>
      <x:c r="P325"/>
    </x:row>
    <x:row r="326">
      <x:c r="A326" s="12"/>
      <x:c r="B326"/>
      <x:c r="C326"/>
      <x:c r="D326"/>
      <x:c r="E326"/>
      <x:c r="F326"/>
      <x:c r="G326"/>
      <x:c r="H326" s="12" t="str">
        <x:f>IF(A326="","",A326+1)</x:f>
      </x:c>
      <x:c r="I326"/>
      <x:c r="J326" s="12" t="str">
        <x:f>IF(A326="","",A326+7)</x:f>
      </x:c>
      <x:c r="K326"/>
      <x:c r="L326" s="12" t="str">
        <x:f>IF(A326="","",A326+21)</x:f>
      </x:c>
      <x:c r="M326"/>
      <x:c r="N326"/>
      <x:c r="O326"/>
      <x:c r="P326"/>
    </x:row>
    <x:row r="327">
      <x:c r="A327" s="12"/>
      <x:c r="B327"/>
      <x:c r="C327"/>
      <x:c r="D327"/>
      <x:c r="E327"/>
      <x:c r="F327"/>
      <x:c r="G327"/>
      <x:c r="H327" s="12" t="str">
        <x:f>IF(A327="","",A327+1)</x:f>
      </x:c>
      <x:c r="I327"/>
      <x:c r="J327" s="12" t="str">
        <x:f>IF(A327="","",A327+7)</x:f>
      </x:c>
      <x:c r="K327"/>
      <x:c r="L327" s="12" t="str">
        <x:f>IF(A327="","",A327+21)</x:f>
      </x:c>
      <x:c r="M327"/>
      <x:c r="N327"/>
      <x:c r="O327"/>
      <x:c r="P327"/>
    </x:row>
    <x:row r="328">
      <x:c r="A328" s="12"/>
      <x:c r="B328"/>
      <x:c r="C328"/>
      <x:c r="D328"/>
      <x:c r="E328"/>
      <x:c r="F328"/>
      <x:c r="G328"/>
      <x:c r="H328" s="12" t="str">
        <x:f>IF(A328="","",A328+1)</x:f>
      </x:c>
      <x:c r="I328"/>
      <x:c r="J328" s="12" t="str">
        <x:f>IF(A328="","",A328+7)</x:f>
      </x:c>
      <x:c r="K328"/>
      <x:c r="L328" s="12" t="str">
        <x:f>IF(A328="","",A328+21)</x:f>
      </x:c>
      <x:c r="M328"/>
      <x:c r="N328"/>
      <x:c r="O328"/>
      <x:c r="P328"/>
    </x:row>
    <x:row r="329">
      <x:c r="A329" s="12"/>
      <x:c r="B329"/>
      <x:c r="C329"/>
      <x:c r="D329"/>
      <x:c r="E329"/>
      <x:c r="F329"/>
      <x:c r="G329"/>
      <x:c r="H329" s="12" t="str">
        <x:f>IF(A329="","",A329+1)</x:f>
      </x:c>
      <x:c r="I329"/>
      <x:c r="J329" s="12" t="str">
        <x:f>IF(A329="","",A329+7)</x:f>
      </x:c>
      <x:c r="K329"/>
      <x:c r="L329" s="12" t="str">
        <x:f>IF(A329="","",A329+21)</x:f>
      </x:c>
      <x:c r="M329"/>
      <x:c r="N329"/>
      <x:c r="O329"/>
      <x:c r="P329"/>
    </x:row>
    <x:row r="330">
      <x:c r="A330" s="12"/>
      <x:c r="B330"/>
      <x:c r="C330"/>
      <x:c r="D330"/>
      <x:c r="E330"/>
      <x:c r="F330"/>
      <x:c r="G330"/>
      <x:c r="H330" s="12" t="str">
        <x:f>IF(A330="","",A330+1)</x:f>
      </x:c>
      <x:c r="I330"/>
      <x:c r="J330" s="12" t="str">
        <x:f>IF(A330="","",A330+7)</x:f>
      </x:c>
      <x:c r="K330"/>
      <x:c r="L330" s="12" t="str">
        <x:f>IF(A330="","",A330+21)</x:f>
      </x:c>
      <x:c r="M330"/>
      <x:c r="N330"/>
      <x:c r="O330"/>
      <x:c r="P330"/>
    </x:row>
    <x:row r="331">
      <x:c r="A331" s="12"/>
      <x:c r="B331"/>
      <x:c r="C331"/>
      <x:c r="D331"/>
      <x:c r="E331"/>
      <x:c r="F331"/>
      <x:c r="G331"/>
      <x:c r="H331" s="12" t="str">
        <x:f>IF(A331="","",A331+1)</x:f>
      </x:c>
      <x:c r="I331"/>
      <x:c r="J331" s="12" t="str">
        <x:f>IF(A331="","",A331+7)</x:f>
      </x:c>
      <x:c r="K331"/>
      <x:c r="L331" s="12" t="str">
        <x:f>IF(A331="","",A331+21)</x:f>
      </x:c>
      <x:c r="M331"/>
      <x:c r="N331"/>
      <x:c r="O331"/>
      <x:c r="P331"/>
    </x:row>
    <x:row r="332">
      <x:c r="A332" s="12"/>
      <x:c r="B332"/>
      <x:c r="C332"/>
      <x:c r="D332"/>
      <x:c r="E332"/>
      <x:c r="F332"/>
      <x:c r="G332"/>
      <x:c r="H332" s="12" t="str">
        <x:f>IF(A332="","",A332+1)</x:f>
      </x:c>
      <x:c r="I332"/>
      <x:c r="J332" s="12" t="str">
        <x:f>IF(A332="","",A332+7)</x:f>
      </x:c>
      <x:c r="K332"/>
      <x:c r="L332" s="12" t="str">
        <x:f>IF(A332="","",A332+21)</x:f>
      </x:c>
      <x:c r="M332"/>
      <x:c r="N332"/>
      <x:c r="O332"/>
      <x:c r="P332"/>
    </x:row>
    <x:row r="333">
      <x:c r="A333" s="12"/>
      <x:c r="B333"/>
      <x:c r="C333"/>
      <x:c r="D333"/>
      <x:c r="E333"/>
      <x:c r="F333"/>
      <x:c r="G333"/>
      <x:c r="H333" s="12" t="str">
        <x:f>IF(A333="","",A333+1)</x:f>
      </x:c>
      <x:c r="I333"/>
      <x:c r="J333" s="12" t="str">
        <x:f>IF(A333="","",A333+7)</x:f>
      </x:c>
      <x:c r="K333"/>
      <x:c r="L333" s="12" t="str">
        <x:f>IF(A333="","",A333+21)</x:f>
      </x:c>
      <x:c r="M333"/>
      <x:c r="N333"/>
      <x:c r="O333"/>
      <x:c r="P333"/>
    </x:row>
    <x:row r="334">
      <x:c r="A334" s="12"/>
      <x:c r="B334"/>
      <x:c r="C334"/>
      <x:c r="D334"/>
      <x:c r="E334"/>
      <x:c r="F334"/>
      <x:c r="G334"/>
      <x:c r="H334" s="12" t="str">
        <x:f>IF(A334="","",A334+1)</x:f>
      </x:c>
      <x:c r="I334"/>
      <x:c r="J334" s="12" t="str">
        <x:f>IF(A334="","",A334+7)</x:f>
      </x:c>
      <x:c r="K334"/>
      <x:c r="L334" s="12" t="str">
        <x:f>IF(A334="","",A334+21)</x:f>
      </x:c>
      <x:c r="M334"/>
      <x:c r="N334"/>
      <x:c r="O334"/>
      <x:c r="P334"/>
    </x:row>
    <x:row r="335">
      <x:c r="A335" s="12"/>
      <x:c r="B335"/>
      <x:c r="C335"/>
      <x:c r="D335"/>
      <x:c r="E335"/>
      <x:c r="F335"/>
      <x:c r="G335"/>
      <x:c r="H335" s="12" t="str">
        <x:f>IF(A335="","",A335+1)</x:f>
      </x:c>
      <x:c r="I335"/>
      <x:c r="J335" s="12" t="str">
        <x:f>IF(A335="","",A335+7)</x:f>
      </x:c>
      <x:c r="K335"/>
      <x:c r="L335" s="12" t="str">
        <x:f>IF(A335="","",A335+21)</x:f>
      </x:c>
      <x:c r="M335"/>
      <x:c r="N335"/>
      <x:c r="O335"/>
      <x:c r="P335"/>
    </x:row>
    <x:row r="336">
      <x:c r="A336" s="12"/>
      <x:c r="B336"/>
      <x:c r="C336"/>
      <x:c r="D336"/>
      <x:c r="E336"/>
      <x:c r="F336"/>
      <x:c r="G336"/>
      <x:c r="H336" s="12" t="str">
        <x:f>IF(A336="","",A336+1)</x:f>
      </x:c>
      <x:c r="I336"/>
      <x:c r="J336" s="12" t="str">
        <x:f>IF(A336="","",A336+7)</x:f>
      </x:c>
      <x:c r="K336"/>
      <x:c r="L336" s="12" t="str">
        <x:f>IF(A336="","",A336+21)</x:f>
      </x:c>
      <x:c r="M336"/>
      <x:c r="N336"/>
      <x:c r="O336"/>
      <x:c r="P336"/>
    </x:row>
    <x:row r="337">
      <x:c r="A337" s="12"/>
      <x:c r="B337"/>
      <x:c r="C337"/>
      <x:c r="D337"/>
      <x:c r="E337"/>
      <x:c r="F337"/>
      <x:c r="G337"/>
      <x:c r="H337" s="12" t="str">
        <x:f>IF(A337="","",A337+1)</x:f>
      </x:c>
      <x:c r="I337"/>
      <x:c r="J337" s="12" t="str">
        <x:f>IF(A337="","",A337+7)</x:f>
      </x:c>
      <x:c r="K337"/>
      <x:c r="L337" s="12" t="str">
        <x:f>IF(A337="","",A337+21)</x:f>
      </x:c>
      <x:c r="M337"/>
      <x:c r="N337"/>
      <x:c r="O337"/>
      <x:c r="P337"/>
    </x:row>
    <x:row r="338">
      <x:c r="A338" s="12"/>
      <x:c r="B338"/>
      <x:c r="C338"/>
      <x:c r="D338"/>
      <x:c r="E338"/>
      <x:c r="F338"/>
      <x:c r="G338"/>
      <x:c r="H338" s="12" t="str">
        <x:f>IF(A338="","",A338+1)</x:f>
      </x:c>
      <x:c r="I338"/>
      <x:c r="J338" s="12" t="str">
        <x:f>IF(A338="","",A338+7)</x:f>
      </x:c>
      <x:c r="K338"/>
      <x:c r="L338" s="12" t="str">
        <x:f>IF(A338="","",A338+21)</x:f>
      </x:c>
      <x:c r="M338"/>
      <x:c r="N338"/>
      <x:c r="O338"/>
      <x:c r="P338"/>
    </x:row>
    <x:row r="339">
      <x:c r="A339" s="12"/>
      <x:c r="B339"/>
      <x:c r="C339"/>
      <x:c r="D339"/>
      <x:c r="E339"/>
      <x:c r="F339"/>
      <x:c r="G339"/>
      <x:c r="H339" s="12" t="str">
        <x:f>IF(A339="","",A339+1)</x:f>
      </x:c>
      <x:c r="I339"/>
      <x:c r="J339" s="12" t="str">
        <x:f>IF(A339="","",A339+7)</x:f>
      </x:c>
      <x:c r="K339"/>
      <x:c r="L339" s="12" t="str">
        <x:f>IF(A339="","",A339+21)</x:f>
      </x:c>
      <x:c r="M339"/>
      <x:c r="N339"/>
      <x:c r="O339"/>
      <x:c r="P339"/>
    </x:row>
    <x:row r="340">
      <x:c r="A340" s="12"/>
      <x:c r="B340"/>
      <x:c r="C340"/>
      <x:c r="D340"/>
      <x:c r="E340"/>
      <x:c r="F340"/>
      <x:c r="G340"/>
      <x:c r="H340" s="12" t="str">
        <x:f>IF(A340="","",A340+1)</x:f>
      </x:c>
      <x:c r="I340"/>
      <x:c r="J340" s="12" t="str">
        <x:f>IF(A340="","",A340+7)</x:f>
      </x:c>
      <x:c r="K340"/>
      <x:c r="L340" s="12" t="str">
        <x:f>IF(A340="","",A340+21)</x:f>
      </x:c>
      <x:c r="M340"/>
      <x:c r="N340"/>
      <x:c r="O340"/>
      <x:c r="P340"/>
    </x:row>
    <x:row r="341">
      <x:c r="A341" s="12"/>
      <x:c r="B341"/>
      <x:c r="C341"/>
      <x:c r="D341"/>
      <x:c r="E341"/>
      <x:c r="F341"/>
      <x:c r="G341"/>
      <x:c r="H341" s="12" t="str">
        <x:f>IF(A341="","",A341+1)</x:f>
      </x:c>
      <x:c r="I341"/>
      <x:c r="J341" s="12" t="str">
        <x:f>IF(A341="","",A341+7)</x:f>
      </x:c>
      <x:c r="K341"/>
      <x:c r="L341" s="12" t="str">
        <x:f>IF(A341="","",A341+21)</x:f>
      </x:c>
      <x:c r="M341"/>
      <x:c r="N341"/>
      <x:c r="O341"/>
      <x:c r="P341"/>
    </x:row>
    <x:row r="342">
      <x:c r="A342" s="12"/>
      <x:c r="B342"/>
      <x:c r="C342"/>
      <x:c r="D342"/>
      <x:c r="E342"/>
      <x:c r="F342"/>
      <x:c r="G342"/>
      <x:c r="H342" s="12" t="str">
        <x:f>IF(A342="","",A342+1)</x:f>
      </x:c>
      <x:c r="I342"/>
      <x:c r="J342" s="12" t="str">
        <x:f>IF(A342="","",A342+7)</x:f>
      </x:c>
      <x:c r="K342"/>
      <x:c r="L342" s="12" t="str">
        <x:f>IF(A342="","",A342+21)</x:f>
      </x:c>
      <x:c r="M342"/>
      <x:c r="N342"/>
      <x:c r="O342"/>
      <x:c r="P342"/>
    </x:row>
    <x:row r="343">
      <x:c r="A343" s="12"/>
      <x:c r="B343"/>
      <x:c r="C343"/>
      <x:c r="D343"/>
      <x:c r="E343"/>
      <x:c r="F343"/>
      <x:c r="G343"/>
      <x:c r="H343" s="12" t="str">
        <x:f>IF(A343="","",A343+1)</x:f>
      </x:c>
      <x:c r="I343"/>
      <x:c r="J343" s="12" t="str">
        <x:f>IF(A343="","",A343+7)</x:f>
      </x:c>
      <x:c r="K343"/>
      <x:c r="L343" s="12" t="str">
        <x:f>IF(A343="","",A343+21)</x:f>
      </x:c>
      <x:c r="M343"/>
      <x:c r="N343"/>
      <x:c r="O343"/>
      <x:c r="P343"/>
    </x:row>
    <x:row r="344">
      <x:c r="A344" s="12"/>
      <x:c r="B344"/>
      <x:c r="C344"/>
      <x:c r="D344"/>
      <x:c r="E344"/>
      <x:c r="F344"/>
      <x:c r="G344"/>
      <x:c r="H344" s="12" t="str">
        <x:f>IF(A344="","",A344+1)</x:f>
      </x:c>
      <x:c r="I344"/>
      <x:c r="J344" s="12" t="str">
        <x:f>IF(A344="","",A344+7)</x:f>
      </x:c>
      <x:c r="K344"/>
      <x:c r="L344" s="12" t="str">
        <x:f>IF(A344="","",A344+21)</x:f>
      </x:c>
      <x:c r="M344"/>
      <x:c r="N344"/>
      <x:c r="O344"/>
      <x:c r="P344"/>
    </x:row>
    <x:row r="345">
      <x:c r="A345" s="12"/>
      <x:c r="B345"/>
      <x:c r="C345"/>
      <x:c r="D345"/>
      <x:c r="E345"/>
      <x:c r="F345"/>
      <x:c r="G345"/>
      <x:c r="H345" s="12" t="str">
        <x:f>IF(A345="","",A345+1)</x:f>
      </x:c>
      <x:c r="I345"/>
      <x:c r="J345" s="12" t="str">
        <x:f>IF(A345="","",A345+7)</x:f>
      </x:c>
      <x:c r="K345"/>
      <x:c r="L345" s="12" t="str">
        <x:f>IF(A345="","",A345+21)</x:f>
      </x:c>
      <x:c r="M345"/>
      <x:c r="N345"/>
      <x:c r="O345"/>
      <x:c r="P345"/>
    </x:row>
    <x:row r="346">
      <x:c r="A346" s="12"/>
      <x:c r="B346"/>
      <x:c r="C346"/>
      <x:c r="D346"/>
      <x:c r="E346"/>
      <x:c r="F346"/>
      <x:c r="G346"/>
      <x:c r="H346" s="12" t="str">
        <x:f>IF(A346="","",A346+1)</x:f>
      </x:c>
      <x:c r="I346"/>
      <x:c r="J346" s="12" t="str">
        <x:f>IF(A346="","",A346+7)</x:f>
      </x:c>
      <x:c r="K346"/>
      <x:c r="L346" s="12" t="str">
        <x:f>IF(A346="","",A346+21)</x:f>
      </x:c>
      <x:c r="M346"/>
      <x:c r="N346"/>
      <x:c r="O346"/>
      <x:c r="P346"/>
    </x:row>
    <x:row r="347">
      <x:c r="A347" s="12"/>
      <x:c r="B347"/>
      <x:c r="C347"/>
      <x:c r="D347"/>
      <x:c r="E347"/>
      <x:c r="F347"/>
      <x:c r="G347"/>
      <x:c r="H347" s="12" t="str">
        <x:f>IF(A347="","",A347+1)</x:f>
      </x:c>
      <x:c r="I347"/>
      <x:c r="J347" s="12" t="str">
        <x:f>IF(A347="","",A347+7)</x:f>
      </x:c>
      <x:c r="K347"/>
      <x:c r="L347" s="12" t="str">
        <x:f>IF(A347="","",A347+21)</x:f>
      </x:c>
      <x:c r="M347"/>
      <x:c r="N347"/>
      <x:c r="O347"/>
      <x:c r="P347"/>
    </x:row>
    <x:row r="348">
      <x:c r="A348" s="12"/>
      <x:c r="B348"/>
      <x:c r="C348"/>
      <x:c r="D348"/>
      <x:c r="E348"/>
      <x:c r="F348"/>
      <x:c r="G348"/>
      <x:c r="H348" s="12" t="str">
        <x:f>IF(A348="","",A348+1)</x:f>
      </x:c>
      <x:c r="I348"/>
      <x:c r="J348" s="12" t="str">
        <x:f>IF(A348="","",A348+7)</x:f>
      </x:c>
      <x:c r="K348"/>
      <x:c r="L348" s="12" t="str">
        <x:f>IF(A348="","",A348+21)</x:f>
      </x:c>
      <x:c r="M348"/>
      <x:c r="N348"/>
      <x:c r="O348"/>
      <x:c r="P348"/>
    </x:row>
    <x:row r="349">
      <x:c r="A349" s="12"/>
      <x:c r="B349"/>
      <x:c r="C349"/>
      <x:c r="D349"/>
      <x:c r="E349"/>
      <x:c r="F349"/>
      <x:c r="G349"/>
      <x:c r="H349" s="12" t="str">
        <x:f>IF(A349="","",A349+1)</x:f>
      </x:c>
      <x:c r="I349"/>
      <x:c r="J349" s="12" t="str">
        <x:f>IF(A349="","",A349+7)</x:f>
      </x:c>
      <x:c r="K349"/>
      <x:c r="L349" s="12" t="str">
        <x:f>IF(A349="","",A349+21)</x:f>
      </x:c>
      <x:c r="M349"/>
      <x:c r="N349"/>
      <x:c r="O349"/>
      <x:c r="P349"/>
    </x:row>
    <x:row r="350">
      <x:c r="A350" s="12"/>
      <x:c r="B350"/>
      <x:c r="C350"/>
      <x:c r="D350"/>
      <x:c r="E350"/>
      <x:c r="F350"/>
      <x:c r="G350"/>
      <x:c r="H350" s="12" t="str">
        <x:f>IF(A350="","",A350+1)</x:f>
      </x:c>
      <x:c r="I350"/>
      <x:c r="J350" s="12" t="str">
        <x:f>IF(A350="","",A350+7)</x:f>
      </x:c>
      <x:c r="K350"/>
      <x:c r="L350" s="12" t="str">
        <x:f>IF(A350="","",A350+21)</x:f>
      </x:c>
      <x:c r="M350"/>
      <x:c r="N350"/>
      <x:c r="O350"/>
      <x:c r="P350"/>
    </x:row>
    <x:row r="351">
      <x:c r="A351" s="12"/>
      <x:c r="B351"/>
      <x:c r="C351"/>
      <x:c r="D351"/>
      <x:c r="E351"/>
      <x:c r="F351"/>
      <x:c r="G351"/>
      <x:c r="H351" s="12" t="str">
        <x:f>IF(A351="","",A351+1)</x:f>
      </x:c>
      <x:c r="I351"/>
      <x:c r="J351" s="12" t="str">
        <x:f>IF(A351="","",A351+7)</x:f>
      </x:c>
      <x:c r="K351"/>
      <x:c r="L351" s="12" t="str">
        <x:f>IF(A351="","",A351+21)</x:f>
      </x:c>
      <x:c r="M351"/>
      <x:c r="N351"/>
      <x:c r="O351"/>
      <x:c r="P351"/>
    </x:row>
    <x:row r="352">
      <x:c r="A352" s="12"/>
      <x:c r="B352"/>
      <x:c r="C352"/>
      <x:c r="D352"/>
      <x:c r="E352"/>
      <x:c r="F352"/>
      <x:c r="G352"/>
      <x:c r="H352" s="12" t="str">
        <x:f>IF(A352="","",A352+1)</x:f>
      </x:c>
      <x:c r="I352"/>
      <x:c r="J352" s="12" t="str">
        <x:f>IF(A352="","",A352+7)</x:f>
      </x:c>
      <x:c r="K352"/>
      <x:c r="L352" s="12" t="str">
        <x:f>IF(A352="","",A352+21)</x:f>
      </x:c>
      <x:c r="M352"/>
      <x:c r="N352"/>
      <x:c r="O352"/>
      <x:c r="P352"/>
    </x:row>
    <x:row r="353">
      <x:c r="A353" s="12"/>
      <x:c r="B353"/>
      <x:c r="C353"/>
      <x:c r="D353"/>
      <x:c r="E353"/>
      <x:c r="F353"/>
      <x:c r="G353"/>
      <x:c r="H353" s="12" t="str">
        <x:f>IF(A353="","",A353+1)</x:f>
      </x:c>
      <x:c r="I353"/>
      <x:c r="J353" s="12" t="str">
        <x:f>IF(A353="","",A353+7)</x:f>
      </x:c>
      <x:c r="K353"/>
      <x:c r="L353" s="12" t="str">
        <x:f>IF(A353="","",A353+21)</x:f>
      </x:c>
      <x:c r="M353"/>
      <x:c r="N353"/>
      <x:c r="O353"/>
      <x:c r="P353"/>
    </x:row>
    <x:row r="354">
      <x:c r="A354" s="12"/>
      <x:c r="B354"/>
      <x:c r="C354"/>
      <x:c r="D354"/>
      <x:c r="E354"/>
      <x:c r="F354"/>
      <x:c r="G354"/>
      <x:c r="H354" s="12" t="str">
        <x:f>IF(A354="","",A354+1)</x:f>
      </x:c>
      <x:c r="I354"/>
      <x:c r="J354" s="12" t="str">
        <x:f>IF(A354="","",A354+7)</x:f>
      </x:c>
      <x:c r="K354"/>
      <x:c r="L354" s="12" t="str">
        <x:f>IF(A354="","",A354+21)</x:f>
      </x:c>
      <x:c r="M354"/>
      <x:c r="N354"/>
      <x:c r="O354"/>
      <x:c r="P354"/>
    </x:row>
    <x:row r="355">
      <x:c r="A355" s="12"/>
      <x:c r="B355"/>
      <x:c r="C355"/>
      <x:c r="D355"/>
      <x:c r="E355"/>
      <x:c r="F355"/>
      <x:c r="G355"/>
      <x:c r="H355" s="12" t="str">
        <x:f>IF(A355="","",A355+1)</x:f>
      </x:c>
      <x:c r="I355"/>
      <x:c r="J355" s="12" t="str">
        <x:f>IF(A355="","",A355+7)</x:f>
      </x:c>
      <x:c r="K355"/>
      <x:c r="L355" s="12" t="str">
        <x:f>IF(A355="","",A355+21)</x:f>
      </x:c>
      <x:c r="M355"/>
      <x:c r="N355"/>
      <x:c r="O355"/>
      <x:c r="P355"/>
    </x:row>
    <x:row r="356">
      <x:c r="A356" s="12"/>
      <x:c r="B356"/>
      <x:c r="C356"/>
      <x:c r="D356"/>
      <x:c r="E356"/>
      <x:c r="F356"/>
      <x:c r="G356"/>
      <x:c r="H356" s="12" t="str">
        <x:f>IF(A356="","",A356+1)</x:f>
      </x:c>
      <x:c r="I356"/>
      <x:c r="J356" s="12" t="str">
        <x:f>IF(A356="","",A356+7)</x:f>
      </x:c>
      <x:c r="K356"/>
      <x:c r="L356" s="12" t="str">
        <x:f>IF(A356="","",A356+21)</x:f>
      </x:c>
      <x:c r="M356"/>
      <x:c r="N356"/>
      <x:c r="O356"/>
      <x:c r="P356"/>
    </x:row>
    <x:row r="357">
      <x:c r="A357" s="12"/>
      <x:c r="B357"/>
      <x:c r="C357"/>
      <x:c r="D357"/>
      <x:c r="E357"/>
      <x:c r="F357"/>
      <x:c r="G357"/>
      <x:c r="H357" s="12" t="str">
        <x:f>IF(A357="","",A357+1)</x:f>
      </x:c>
      <x:c r="I357"/>
      <x:c r="J357" s="12" t="str">
        <x:f>IF(A357="","",A357+7)</x:f>
      </x:c>
      <x:c r="K357"/>
      <x:c r="L357" s="12" t="str">
        <x:f>IF(A357="","",A357+21)</x:f>
      </x:c>
      <x:c r="M357"/>
      <x:c r="N357"/>
      <x:c r="O357"/>
      <x:c r="P357"/>
    </x:row>
    <x:row r="358">
      <x:c r="A358" s="12"/>
      <x:c r="B358"/>
      <x:c r="C358"/>
      <x:c r="D358"/>
      <x:c r="E358"/>
      <x:c r="F358"/>
      <x:c r="G358"/>
      <x:c r="H358" s="12" t="str">
        <x:f>IF(A358="","",A358+1)</x:f>
      </x:c>
      <x:c r="I358"/>
      <x:c r="J358" s="12" t="str">
        <x:f>IF(A358="","",A358+7)</x:f>
      </x:c>
      <x:c r="K358"/>
      <x:c r="L358" s="12" t="str">
        <x:f>IF(A358="","",A358+21)</x:f>
      </x:c>
      <x:c r="M358"/>
      <x:c r="N358"/>
      <x:c r="O358"/>
      <x:c r="P358"/>
    </x:row>
    <x:row r="359">
      <x:c r="A359" s="12"/>
      <x:c r="B359"/>
      <x:c r="C359"/>
      <x:c r="D359"/>
      <x:c r="E359"/>
      <x:c r="F359"/>
      <x:c r="G359"/>
      <x:c r="H359" s="12" t="str">
        <x:f>IF(A359="","",A359+1)</x:f>
      </x:c>
      <x:c r="I359"/>
      <x:c r="J359" s="12" t="str">
        <x:f>IF(A359="","",A359+7)</x:f>
      </x:c>
      <x:c r="K359"/>
      <x:c r="L359" s="12" t="str">
        <x:f>IF(A359="","",A359+21)</x:f>
      </x:c>
      <x:c r="M359"/>
      <x:c r="N359"/>
      <x:c r="O359"/>
      <x:c r="P359"/>
    </x:row>
    <x:row r="360">
      <x:c r="A360" s="12"/>
      <x:c r="B360"/>
      <x:c r="C360"/>
      <x:c r="D360"/>
      <x:c r="E360"/>
      <x:c r="F360"/>
      <x:c r="G360"/>
      <x:c r="H360" s="12" t="str">
        <x:f>IF(A360="","",A360+1)</x:f>
      </x:c>
      <x:c r="I360"/>
      <x:c r="J360" s="12" t="str">
        <x:f>IF(A360="","",A360+7)</x:f>
      </x:c>
      <x:c r="K360"/>
      <x:c r="L360" s="12" t="str">
        <x:f>IF(A360="","",A360+21)</x:f>
      </x:c>
      <x:c r="M360"/>
      <x:c r="N360"/>
      <x:c r="O360"/>
      <x:c r="P360"/>
    </x:row>
    <x:row r="361">
      <x:c r="A361" s="12"/>
      <x:c r="B361"/>
      <x:c r="C361"/>
      <x:c r="D361"/>
      <x:c r="E361"/>
      <x:c r="F361"/>
      <x:c r="G361"/>
      <x:c r="H361" s="12" t="str">
        <x:f>IF(A361="","",A361+1)</x:f>
      </x:c>
      <x:c r="I361"/>
      <x:c r="J361" s="12" t="str">
        <x:f>IF(A361="","",A361+7)</x:f>
      </x:c>
      <x:c r="K361"/>
      <x:c r="L361" s="12" t="str">
        <x:f>IF(A361="","",A361+21)</x:f>
      </x:c>
      <x:c r="M361"/>
      <x:c r="N361"/>
      <x:c r="O361"/>
      <x:c r="P361"/>
    </x:row>
    <x:row r="362">
      <x:c r="A362" s="12"/>
      <x:c r="B362"/>
      <x:c r="C362"/>
      <x:c r="D362"/>
      <x:c r="E362"/>
      <x:c r="F362"/>
      <x:c r="G362"/>
      <x:c r="H362" s="12" t="str">
        <x:f>IF(A362="","",A362+1)</x:f>
      </x:c>
      <x:c r="I362"/>
      <x:c r="J362" s="12" t="str">
        <x:f>IF(A362="","",A362+7)</x:f>
      </x:c>
      <x:c r="K362"/>
      <x:c r="L362" s="12" t="str">
        <x:f>IF(A362="","",A362+21)</x:f>
      </x:c>
      <x:c r="M362"/>
      <x:c r="N362"/>
      <x:c r="O362"/>
      <x:c r="P362"/>
    </x:row>
    <x:row r="363">
      <x:c r="A363" s="12"/>
      <x:c r="B363"/>
      <x:c r="C363"/>
      <x:c r="D363"/>
      <x:c r="E363"/>
      <x:c r="F363"/>
      <x:c r="G363"/>
      <x:c r="H363" s="12" t="str">
        <x:f>IF(A363="","",A363+1)</x:f>
      </x:c>
      <x:c r="I363"/>
      <x:c r="J363" s="12" t="str">
        <x:f>IF(A363="","",A363+7)</x:f>
      </x:c>
      <x:c r="K363"/>
      <x:c r="L363" s="12" t="str">
        <x:f>IF(A363="","",A363+21)</x:f>
      </x:c>
      <x:c r="M363"/>
      <x:c r="N363"/>
      <x:c r="O363"/>
      <x:c r="P363"/>
    </x:row>
    <x:row r="364">
      <x:c r="A364" s="12"/>
      <x:c r="B364"/>
      <x:c r="C364"/>
      <x:c r="D364"/>
      <x:c r="E364"/>
      <x:c r="F364"/>
      <x:c r="G364"/>
      <x:c r="H364" s="12" t="str">
        <x:f>IF(A364="","",A364+1)</x:f>
      </x:c>
      <x:c r="I364"/>
      <x:c r="J364" s="12" t="str">
        <x:f>IF(A364="","",A364+7)</x:f>
      </x:c>
      <x:c r="K364"/>
      <x:c r="L364" s="12" t="str">
        <x:f>IF(A364="","",A364+21)</x:f>
      </x:c>
      <x:c r="M364"/>
      <x:c r="N364"/>
      <x:c r="O364"/>
      <x:c r="P364"/>
    </x:row>
    <x:row r="365">
      <x:c r="A365" s="12"/>
      <x:c r="B365"/>
      <x:c r="C365"/>
      <x:c r="D365"/>
      <x:c r="E365"/>
      <x:c r="F365"/>
      <x:c r="G365"/>
      <x:c r="H365" s="12" t="str">
        <x:f>IF(A365="","",A365+1)</x:f>
      </x:c>
      <x:c r="I365"/>
      <x:c r="J365" s="12" t="str">
        <x:f>IF(A365="","",A365+7)</x:f>
      </x:c>
      <x:c r="K365"/>
      <x:c r="L365" s="12" t="str">
        <x:f>IF(A365="","",A365+21)</x:f>
      </x:c>
      <x:c r="M365"/>
      <x:c r="N365"/>
      <x:c r="O365"/>
      <x:c r="P365"/>
    </x:row>
    <x:row r="366">
      <x:c r="A366" s="12"/>
      <x:c r="B366"/>
      <x:c r="C366"/>
      <x:c r="D366"/>
      <x:c r="E366"/>
      <x:c r="F366"/>
      <x:c r="G366"/>
      <x:c r="H366" s="12" t="str">
        <x:f>IF(A366="","",A366+1)</x:f>
      </x:c>
      <x:c r="I366"/>
      <x:c r="J366" s="12" t="str">
        <x:f>IF(A366="","",A366+7)</x:f>
      </x:c>
      <x:c r="K366"/>
      <x:c r="L366" s="12" t="str">
        <x:f>IF(A366="","",A366+21)</x:f>
      </x:c>
      <x:c r="M366"/>
      <x:c r="N366"/>
      <x:c r="O366"/>
      <x:c r="P366"/>
    </x:row>
    <x:row r="367">
      <x:c r="A367" s="12"/>
      <x:c r="B367"/>
      <x:c r="C367"/>
      <x:c r="D367"/>
      <x:c r="E367"/>
      <x:c r="F367"/>
      <x:c r="G367"/>
      <x:c r="H367" s="12" t="str">
        <x:f>IF(A367="","",A367+1)</x:f>
      </x:c>
      <x:c r="I367"/>
      <x:c r="J367" s="12" t="str">
        <x:f>IF(A367="","",A367+7)</x:f>
      </x:c>
      <x:c r="K367"/>
      <x:c r="L367" s="12" t="str">
        <x:f>IF(A367="","",A367+21)</x:f>
      </x:c>
      <x:c r="M367"/>
      <x:c r="N367"/>
      <x:c r="O367"/>
      <x:c r="P367"/>
    </x:row>
    <x:row r="368">
      <x:c r="A368" s="12"/>
      <x:c r="B368"/>
      <x:c r="C368"/>
      <x:c r="D368"/>
      <x:c r="E368"/>
      <x:c r="F368"/>
      <x:c r="G368"/>
      <x:c r="H368" s="12" t="str">
        <x:f>IF(A368="","",A368+1)</x:f>
      </x:c>
      <x:c r="I368"/>
      <x:c r="J368" s="12" t="str">
        <x:f>IF(A368="","",A368+7)</x:f>
      </x:c>
      <x:c r="K368"/>
      <x:c r="L368" s="12" t="str">
        <x:f>IF(A368="","",A368+21)</x:f>
      </x:c>
      <x:c r="M368"/>
      <x:c r="N368"/>
      <x:c r="O368"/>
      <x:c r="P368"/>
    </x:row>
    <x:row r="369">
      <x:c r="A369" s="12"/>
      <x:c r="B369"/>
      <x:c r="C369"/>
      <x:c r="D369"/>
      <x:c r="E369"/>
      <x:c r="F369"/>
      <x:c r="G369"/>
      <x:c r="H369" s="12" t="str">
        <x:f>IF(A369="","",A369+1)</x:f>
      </x:c>
      <x:c r="I369"/>
      <x:c r="J369" s="12" t="str">
        <x:f>IF(A369="","",A369+7)</x:f>
      </x:c>
      <x:c r="K369"/>
      <x:c r="L369" s="12" t="str">
        <x:f>IF(A369="","",A369+21)</x:f>
      </x:c>
      <x:c r="M369"/>
      <x:c r="N369"/>
      <x:c r="O369"/>
      <x:c r="P369"/>
    </x:row>
    <x:row r="370">
      <x:c r="A370" s="12"/>
      <x:c r="B370"/>
      <x:c r="C370"/>
      <x:c r="D370"/>
      <x:c r="E370"/>
      <x:c r="F370"/>
      <x:c r="G370"/>
      <x:c r="H370" s="12" t="str">
        <x:f>IF(A370="","",A370+1)</x:f>
      </x:c>
      <x:c r="I370"/>
      <x:c r="J370" s="12" t="str">
        <x:f>IF(A370="","",A370+7)</x:f>
      </x:c>
      <x:c r="K370"/>
      <x:c r="L370" s="12" t="str">
        <x:f>IF(A370="","",A370+21)</x:f>
      </x:c>
      <x:c r="M370"/>
      <x:c r="N370"/>
      <x:c r="O370"/>
      <x:c r="P370"/>
    </x:row>
    <x:row r="371">
      <x:c r="A371" s="12"/>
      <x:c r="B371"/>
      <x:c r="C371"/>
      <x:c r="D371"/>
      <x:c r="E371"/>
      <x:c r="F371"/>
      <x:c r="G371"/>
      <x:c r="H371" s="12" t="str">
        <x:f>IF(A371="","",A371+1)</x:f>
      </x:c>
      <x:c r="I371"/>
      <x:c r="J371" s="12" t="str">
        <x:f>IF(A371="","",A371+7)</x:f>
      </x:c>
      <x:c r="K371"/>
      <x:c r="L371" s="12" t="str">
        <x:f>IF(A371="","",A371+21)</x:f>
      </x:c>
      <x:c r="M371"/>
      <x:c r="N371"/>
      <x:c r="O371"/>
      <x:c r="P371"/>
    </x:row>
    <x:row r="372">
      <x:c r="A372" s="12"/>
      <x:c r="B372"/>
      <x:c r="C372"/>
      <x:c r="D372"/>
      <x:c r="E372"/>
      <x:c r="F372"/>
      <x:c r="G372"/>
      <x:c r="H372" s="12" t="str">
        <x:f>IF(A372="","",A372+1)</x:f>
      </x:c>
      <x:c r="I372"/>
      <x:c r="J372" s="12" t="str">
        <x:f>IF(A372="","",A372+7)</x:f>
      </x:c>
      <x:c r="K372"/>
      <x:c r="L372" s="12" t="str">
        <x:f>IF(A372="","",A372+21)</x:f>
      </x:c>
      <x:c r="M372"/>
      <x:c r="N372"/>
      <x:c r="O372"/>
      <x:c r="P372"/>
    </x:row>
    <x:row r="373">
      <x:c r="A373" s="12"/>
      <x:c r="B373"/>
      <x:c r="C373"/>
      <x:c r="D373"/>
      <x:c r="E373"/>
      <x:c r="F373"/>
      <x:c r="G373"/>
      <x:c r="H373" s="12" t="str">
        <x:f>IF(A373="","",A373+1)</x:f>
      </x:c>
      <x:c r="I373"/>
      <x:c r="J373" s="12" t="str">
        <x:f>IF(A373="","",A373+7)</x:f>
      </x:c>
      <x:c r="K373"/>
      <x:c r="L373" s="12" t="str">
        <x:f>IF(A373="","",A373+21)</x:f>
      </x:c>
      <x:c r="M373"/>
      <x:c r="N373"/>
      <x:c r="O373"/>
      <x:c r="P373"/>
    </x:row>
    <x:row r="374">
      <x:c r="A374" s="12"/>
      <x:c r="B374"/>
      <x:c r="C374"/>
      <x:c r="D374"/>
      <x:c r="E374"/>
      <x:c r="F374"/>
      <x:c r="G374"/>
      <x:c r="H374" s="12" t="str">
        <x:f>IF(A374="","",A374+1)</x:f>
      </x:c>
      <x:c r="I374"/>
      <x:c r="J374" s="12" t="str">
        <x:f>IF(A374="","",A374+7)</x:f>
      </x:c>
      <x:c r="K374"/>
      <x:c r="L374" s="12" t="str">
        <x:f>IF(A374="","",A374+21)</x:f>
      </x:c>
      <x:c r="M374"/>
      <x:c r="N374"/>
      <x:c r="O374"/>
      <x:c r="P374"/>
    </x:row>
    <x:row r="375">
      <x:c r="A375" s="12"/>
      <x:c r="B375"/>
      <x:c r="C375"/>
      <x:c r="D375"/>
      <x:c r="E375"/>
      <x:c r="F375"/>
      <x:c r="G375"/>
      <x:c r="H375" s="12" t="str">
        <x:f>IF(A375="","",A375+1)</x:f>
      </x:c>
      <x:c r="I375"/>
      <x:c r="J375" s="12" t="str">
        <x:f>IF(A375="","",A375+7)</x:f>
      </x:c>
      <x:c r="K375"/>
      <x:c r="L375" s="12" t="str">
        <x:f>IF(A375="","",A375+21)</x:f>
      </x:c>
      <x:c r="M375"/>
      <x:c r="N375"/>
      <x:c r="O375"/>
      <x:c r="P375"/>
    </x:row>
    <x:row r="376">
      <x:c r="A376" s="12"/>
      <x:c r="B376"/>
      <x:c r="C376"/>
      <x:c r="D376"/>
      <x:c r="E376"/>
      <x:c r="F376"/>
      <x:c r="G376"/>
      <x:c r="H376" s="12" t="str">
        <x:f>IF(A376="","",A376+1)</x:f>
      </x:c>
      <x:c r="I376"/>
      <x:c r="J376" s="12" t="str">
        <x:f>IF(A376="","",A376+7)</x:f>
      </x:c>
      <x:c r="K376"/>
      <x:c r="L376" s="12" t="str">
        <x:f>IF(A376="","",A376+21)</x:f>
      </x:c>
      <x:c r="M376"/>
      <x:c r="N376"/>
      <x:c r="O376"/>
      <x:c r="P376"/>
    </x:row>
    <x:row r="377">
      <x:c r="A377" s="12"/>
      <x:c r="B377"/>
      <x:c r="C377"/>
      <x:c r="D377"/>
      <x:c r="E377"/>
      <x:c r="F377"/>
      <x:c r="G377"/>
      <x:c r="H377" s="12" t="str">
        <x:f>IF(A377="","",A377+1)</x:f>
      </x:c>
      <x:c r="I377"/>
      <x:c r="J377" s="12" t="str">
        <x:f>IF(A377="","",A377+7)</x:f>
      </x:c>
      <x:c r="K377"/>
      <x:c r="L377" s="12" t="str">
        <x:f>IF(A377="","",A377+21)</x:f>
      </x:c>
      <x:c r="M377"/>
      <x:c r="N377"/>
      <x:c r="O377"/>
      <x:c r="P377"/>
    </x:row>
    <x:row r="378">
      <x:c r="A378" s="12"/>
      <x:c r="B378"/>
      <x:c r="C378"/>
      <x:c r="D378"/>
      <x:c r="E378"/>
      <x:c r="F378"/>
      <x:c r="G378"/>
      <x:c r="H378" s="12" t="str">
        <x:f>IF(A378="","",A378+1)</x:f>
      </x:c>
      <x:c r="I378"/>
      <x:c r="J378" s="12" t="str">
        <x:f>IF(A378="","",A378+7)</x:f>
      </x:c>
      <x:c r="K378"/>
      <x:c r="L378" s="12" t="str">
        <x:f>IF(A378="","",A378+21)</x:f>
      </x:c>
      <x:c r="M378"/>
      <x:c r="N378"/>
      <x:c r="O378"/>
      <x:c r="P378"/>
    </x:row>
    <x:row r="379">
      <x:c r="A379" s="12"/>
      <x:c r="B379"/>
      <x:c r="C379"/>
      <x:c r="D379"/>
      <x:c r="E379"/>
      <x:c r="F379"/>
      <x:c r="G379"/>
      <x:c r="H379" s="12" t="str">
        <x:f>IF(A379="","",A379+1)</x:f>
      </x:c>
      <x:c r="I379"/>
      <x:c r="J379" s="12" t="str">
        <x:f>IF(A379="","",A379+7)</x:f>
      </x:c>
      <x:c r="K379"/>
      <x:c r="L379" s="12" t="str">
        <x:f>IF(A379="","",A379+21)</x:f>
      </x:c>
      <x:c r="M379"/>
      <x:c r="N379"/>
      <x:c r="O379"/>
      <x:c r="P379"/>
    </x:row>
    <x:row r="380">
      <x:c r="A380" s="12"/>
      <x:c r="B380"/>
      <x:c r="C380"/>
      <x:c r="D380"/>
      <x:c r="E380"/>
      <x:c r="F380"/>
      <x:c r="G380"/>
      <x:c r="H380" s="12" t="str">
        <x:f>IF(A380="","",A380+1)</x:f>
      </x:c>
      <x:c r="I380"/>
      <x:c r="J380" s="12" t="str">
        <x:f>IF(A380="","",A380+7)</x:f>
      </x:c>
      <x:c r="K380"/>
      <x:c r="L380" s="12" t="str">
        <x:f>IF(A380="","",A380+21)</x:f>
      </x:c>
      <x:c r="M380"/>
      <x:c r="N380"/>
      <x:c r="O380"/>
      <x:c r="P380"/>
    </x:row>
    <x:row r="381">
      <x:c r="A381" s="12"/>
      <x:c r="B381"/>
      <x:c r="C381"/>
      <x:c r="D381"/>
      <x:c r="E381"/>
      <x:c r="F381"/>
      <x:c r="G381"/>
      <x:c r="H381" s="12" t="str">
        <x:f>IF(A381="","",A381+1)</x:f>
      </x:c>
      <x:c r="I381"/>
      <x:c r="J381" s="12" t="str">
        <x:f>IF(A381="","",A381+7)</x:f>
      </x:c>
      <x:c r="K381"/>
      <x:c r="L381" s="12" t="str">
        <x:f>IF(A381="","",A381+21)</x:f>
      </x:c>
      <x:c r="M381"/>
      <x:c r="N381"/>
      <x:c r="O381"/>
      <x:c r="P381"/>
    </x:row>
    <x:row r="382">
      <x:c r="A382" s="12"/>
      <x:c r="B382"/>
      <x:c r="C382"/>
      <x:c r="D382"/>
      <x:c r="E382"/>
      <x:c r="F382"/>
      <x:c r="G382"/>
      <x:c r="H382" s="12" t="str">
        <x:f>IF(A382="","",A382+1)</x:f>
      </x:c>
      <x:c r="I382"/>
      <x:c r="J382" s="12" t="str">
        <x:f>IF(A382="","",A382+7)</x:f>
      </x:c>
      <x:c r="K382"/>
      <x:c r="L382" s="12" t="str">
        <x:f>IF(A382="","",A382+21)</x:f>
      </x:c>
      <x:c r="M382"/>
      <x:c r="N382"/>
      <x:c r="O382"/>
      <x:c r="P382"/>
    </x:row>
    <x:row r="383">
      <x:c r="A383" s="12"/>
      <x:c r="B383"/>
      <x:c r="C383"/>
      <x:c r="D383"/>
      <x:c r="E383"/>
      <x:c r="F383"/>
      <x:c r="G383"/>
      <x:c r="H383" s="12" t="str">
        <x:f>IF(A383="","",A383+1)</x:f>
      </x:c>
      <x:c r="I383"/>
      <x:c r="J383" s="12" t="str">
        <x:f>IF(A383="","",A383+7)</x:f>
      </x:c>
      <x:c r="K383"/>
      <x:c r="L383" s="12" t="str">
        <x:f>IF(A383="","",A383+21)</x:f>
      </x:c>
      <x:c r="M383"/>
      <x:c r="N383"/>
      <x:c r="O383"/>
      <x:c r="P383"/>
    </x:row>
    <x:row r="384">
      <x:c r="A384" s="12"/>
      <x:c r="B384"/>
      <x:c r="C384"/>
      <x:c r="D384"/>
      <x:c r="E384"/>
      <x:c r="F384"/>
      <x:c r="G384"/>
      <x:c r="H384" s="12" t="str">
        <x:f>IF(A384="","",A384+1)</x:f>
      </x:c>
      <x:c r="I384"/>
      <x:c r="J384" s="12" t="str">
        <x:f>IF(A384="","",A384+7)</x:f>
      </x:c>
      <x:c r="K384"/>
      <x:c r="L384" s="12" t="str">
        <x:f>IF(A384="","",A384+21)</x:f>
      </x:c>
      <x:c r="M384"/>
      <x:c r="N384"/>
      <x:c r="O384"/>
      <x:c r="P384"/>
    </x:row>
    <x:row r="385">
      <x:c r="A385" s="12"/>
      <x:c r="B385"/>
      <x:c r="C385"/>
      <x:c r="D385"/>
      <x:c r="E385"/>
      <x:c r="F385"/>
      <x:c r="G385"/>
      <x:c r="H385" s="12" t="str">
        <x:f>IF(A385="","",A385+1)</x:f>
      </x:c>
      <x:c r="I385"/>
      <x:c r="J385" s="12" t="str">
        <x:f>IF(A385="","",A385+7)</x:f>
      </x:c>
      <x:c r="K385"/>
      <x:c r="L385" s="12" t="str">
        <x:f>IF(A385="","",A385+21)</x:f>
      </x:c>
      <x:c r="M385"/>
      <x:c r="N385"/>
      <x:c r="O385"/>
      <x:c r="P385"/>
    </x:row>
    <x:row r="386">
      <x:c r="A386" s="12"/>
      <x:c r="B386"/>
      <x:c r="C386"/>
      <x:c r="D386"/>
      <x:c r="E386"/>
      <x:c r="F386"/>
      <x:c r="G386"/>
      <x:c r="H386" s="12" t="str">
        <x:f>IF(A386="","",A386+1)</x:f>
      </x:c>
      <x:c r="I386"/>
      <x:c r="J386" s="12" t="str">
        <x:f>IF(A386="","",A386+7)</x:f>
      </x:c>
      <x:c r="K386"/>
      <x:c r="L386" s="12" t="str">
        <x:f>IF(A386="","",A386+21)</x:f>
      </x:c>
      <x:c r="M386"/>
      <x:c r="N386"/>
      <x:c r="O386"/>
      <x:c r="P386"/>
    </x:row>
    <x:row r="387">
      <x:c r="A387" s="12"/>
      <x:c r="B387"/>
      <x:c r="C387"/>
      <x:c r="D387"/>
      <x:c r="E387"/>
      <x:c r="F387"/>
      <x:c r="G387"/>
      <x:c r="H387" s="12" t="str">
        <x:f>IF(A387="","",A387+1)</x:f>
      </x:c>
      <x:c r="I387"/>
      <x:c r="J387" s="12" t="str">
        <x:f>IF(A387="","",A387+7)</x:f>
      </x:c>
      <x:c r="K387"/>
      <x:c r="L387" s="12" t="str">
        <x:f>IF(A387="","",A387+21)</x:f>
      </x:c>
      <x:c r="M387"/>
      <x:c r="N387"/>
      <x:c r="O387"/>
      <x:c r="P387"/>
    </x:row>
    <x:row r="388">
      <x:c r="A388" s="12"/>
      <x:c r="B388"/>
      <x:c r="C388"/>
      <x:c r="D388"/>
      <x:c r="E388"/>
      <x:c r="F388"/>
      <x:c r="G388"/>
      <x:c r="H388" s="12" t="str">
        <x:f>IF(A388="","",A388+1)</x:f>
      </x:c>
      <x:c r="I388"/>
      <x:c r="J388" s="12" t="str">
        <x:f>IF(A388="","",A388+7)</x:f>
      </x:c>
      <x:c r="K388"/>
      <x:c r="L388" s="12" t="str">
        <x:f>IF(A388="","",A388+21)</x:f>
      </x:c>
      <x:c r="M388"/>
      <x:c r="N388"/>
      <x:c r="O388"/>
      <x:c r="P388"/>
    </x:row>
    <x:row r="389">
      <x:c r="A389" s="12"/>
      <x:c r="B389"/>
      <x:c r="C389"/>
      <x:c r="D389"/>
      <x:c r="E389"/>
      <x:c r="F389"/>
      <x:c r="G389"/>
      <x:c r="H389" s="12" t="str">
        <x:f>IF(A389="","",A389+1)</x:f>
      </x:c>
      <x:c r="I389"/>
      <x:c r="J389" s="12" t="str">
        <x:f>IF(A389="","",A389+7)</x:f>
      </x:c>
      <x:c r="K389"/>
      <x:c r="L389" s="12" t="str">
        <x:f>IF(A389="","",A389+21)</x:f>
      </x:c>
      <x:c r="M389"/>
      <x:c r="N389"/>
      <x:c r="O389"/>
      <x:c r="P389"/>
    </x:row>
    <x:row r="390">
      <x:c r="A390" s="12"/>
      <x:c r="B390"/>
      <x:c r="C390"/>
      <x:c r="D390"/>
      <x:c r="E390"/>
      <x:c r="F390"/>
      <x:c r="G390"/>
      <x:c r="H390" s="12" t="str">
        <x:f>IF(A390="","",A390+1)</x:f>
      </x:c>
      <x:c r="I390"/>
      <x:c r="J390" s="12" t="str">
        <x:f>IF(A390="","",A390+7)</x:f>
      </x:c>
      <x:c r="K390"/>
      <x:c r="L390" s="12" t="str">
        <x:f>IF(A390="","",A390+21)</x:f>
      </x:c>
      <x:c r="M390"/>
      <x:c r="N390"/>
      <x:c r="O390"/>
      <x:c r="P390"/>
    </x:row>
    <x:row r="391">
      <x:c r="A391" s="12"/>
      <x:c r="B391"/>
      <x:c r="C391"/>
      <x:c r="D391"/>
      <x:c r="E391"/>
      <x:c r="F391"/>
      <x:c r="G391"/>
      <x:c r="H391" s="12" t="str">
        <x:f>IF(A391="","",A391+1)</x:f>
      </x:c>
      <x:c r="I391"/>
      <x:c r="J391" s="12" t="str">
        <x:f>IF(A391="","",A391+7)</x:f>
      </x:c>
      <x:c r="K391"/>
      <x:c r="L391" s="12" t="str">
        <x:f>IF(A391="","",A391+21)</x:f>
      </x:c>
      <x:c r="M391"/>
      <x:c r="N391"/>
      <x:c r="O391"/>
      <x:c r="P391"/>
    </x:row>
    <x:row r="392">
      <x:c r="A392" s="12"/>
      <x:c r="B392"/>
      <x:c r="C392"/>
      <x:c r="D392"/>
      <x:c r="E392"/>
      <x:c r="F392"/>
      <x:c r="G392"/>
      <x:c r="H392" s="12" t="str">
        <x:f>IF(A392="","",A392+1)</x:f>
      </x:c>
      <x:c r="I392"/>
      <x:c r="J392" s="12" t="str">
        <x:f>IF(A392="","",A392+7)</x:f>
      </x:c>
      <x:c r="K392"/>
      <x:c r="L392" s="12" t="str">
        <x:f>IF(A392="","",A392+21)</x:f>
      </x:c>
      <x:c r="M392"/>
      <x:c r="N392"/>
      <x:c r="O392"/>
      <x:c r="P392"/>
    </x:row>
    <x:row r="393">
      <x:c r="A393" s="12"/>
      <x:c r="B393"/>
      <x:c r="C393"/>
      <x:c r="D393"/>
      <x:c r="E393"/>
      <x:c r="F393"/>
      <x:c r="G393"/>
      <x:c r="H393" s="12" t="str">
        <x:f>IF(A393="","",A393+1)</x:f>
      </x:c>
      <x:c r="I393"/>
      <x:c r="J393" s="12" t="str">
        <x:f>IF(A393="","",A393+7)</x:f>
      </x:c>
      <x:c r="K393"/>
      <x:c r="L393" s="12" t="str">
        <x:f>IF(A393="","",A393+21)</x:f>
      </x:c>
      <x:c r="M393"/>
      <x:c r="N393"/>
      <x:c r="O393"/>
      <x:c r="P393"/>
    </x:row>
    <x:row r="394">
      <x:c r="A394" s="12"/>
      <x:c r="B394"/>
      <x:c r="C394"/>
      <x:c r="D394"/>
      <x:c r="E394"/>
      <x:c r="F394"/>
      <x:c r="G394"/>
      <x:c r="H394" s="12" t="str">
        <x:f>IF(A394="","",A394+1)</x:f>
      </x:c>
      <x:c r="I394"/>
      <x:c r="J394" s="12" t="str">
        <x:f>IF(A394="","",A394+7)</x:f>
      </x:c>
      <x:c r="K394"/>
      <x:c r="L394" s="12" t="str">
        <x:f>IF(A394="","",A394+21)</x:f>
      </x:c>
      <x:c r="M394"/>
      <x:c r="N394"/>
      <x:c r="O394"/>
      <x:c r="P394"/>
    </x:row>
    <x:row r="395">
      <x:c r="A395" s="12"/>
      <x:c r="B395"/>
      <x:c r="C395"/>
      <x:c r="D395"/>
      <x:c r="E395"/>
      <x:c r="F395"/>
      <x:c r="G395"/>
      <x:c r="H395" s="12" t="str">
        <x:f>IF(A395="","",A395+1)</x:f>
      </x:c>
      <x:c r="I395"/>
      <x:c r="J395" s="12" t="str">
        <x:f>IF(A395="","",A395+7)</x:f>
      </x:c>
      <x:c r="K395"/>
      <x:c r="L395" s="12" t="str">
        <x:f>IF(A395="","",A395+21)</x:f>
      </x:c>
      <x:c r="M395"/>
      <x:c r="N395"/>
      <x:c r="O395"/>
      <x:c r="P395"/>
    </x:row>
    <x:row r="396">
      <x:c r="A396" s="12"/>
      <x:c r="B396"/>
      <x:c r="C396"/>
      <x:c r="D396"/>
      <x:c r="E396"/>
      <x:c r="F396"/>
      <x:c r="G396"/>
      <x:c r="H396" s="12" t="str">
        <x:f>IF(A396="","",A396+1)</x:f>
      </x:c>
      <x:c r="I396"/>
      <x:c r="J396" s="12" t="str">
        <x:f>IF(A396="","",A396+7)</x:f>
      </x:c>
      <x:c r="K396"/>
      <x:c r="L396" s="12" t="str">
        <x:f>IF(A396="","",A396+21)</x:f>
      </x:c>
      <x:c r="M396"/>
      <x:c r="N396"/>
      <x:c r="O396"/>
      <x:c r="P396"/>
    </x:row>
    <x:row r="397">
      <x:c r="A397" s="12"/>
      <x:c r="B397"/>
      <x:c r="C397"/>
      <x:c r="D397"/>
      <x:c r="E397"/>
      <x:c r="F397"/>
      <x:c r="G397"/>
      <x:c r="H397" s="12" t="str">
        <x:f>IF(A397="","",A397+1)</x:f>
      </x:c>
      <x:c r="I397"/>
      <x:c r="J397" s="12" t="str">
        <x:f>IF(A397="","",A397+7)</x:f>
      </x:c>
      <x:c r="K397"/>
      <x:c r="L397" s="12" t="str">
        <x:f>IF(A397="","",A397+21)</x:f>
      </x:c>
      <x:c r="M397"/>
      <x:c r="N397"/>
      <x:c r="O397"/>
      <x:c r="P397"/>
    </x:row>
    <x:row r="398">
      <x:c r="A398" s="12"/>
      <x:c r="B398"/>
      <x:c r="C398"/>
      <x:c r="D398"/>
      <x:c r="E398"/>
      <x:c r="F398"/>
      <x:c r="G398"/>
      <x:c r="H398" s="12" t="str">
        <x:f>IF(A398="","",A398+1)</x:f>
      </x:c>
      <x:c r="I398"/>
      <x:c r="J398" s="12" t="str">
        <x:f>IF(A398="","",A398+7)</x:f>
      </x:c>
      <x:c r="K398"/>
      <x:c r="L398" s="12" t="str">
        <x:f>IF(A398="","",A398+21)</x:f>
      </x:c>
      <x:c r="M398"/>
      <x:c r="N398"/>
      <x:c r="O398"/>
      <x:c r="P398"/>
    </x:row>
    <x:row r="399">
      <x:c r="A399" s="12"/>
      <x:c r="B399"/>
      <x:c r="C399"/>
      <x:c r="D399"/>
      <x:c r="E399"/>
      <x:c r="F399"/>
      <x:c r="G399"/>
      <x:c r="H399" s="12" t="str">
        <x:f>IF(A399="","",A399+1)</x:f>
      </x:c>
      <x:c r="I399"/>
      <x:c r="J399" s="12" t="str">
        <x:f>IF(A399="","",A399+7)</x:f>
      </x:c>
      <x:c r="K399"/>
      <x:c r="L399" s="12" t="str">
        <x:f>IF(A399="","",A399+21)</x:f>
      </x:c>
      <x:c r="M399"/>
      <x:c r="N399"/>
      <x:c r="O399"/>
      <x:c r="P399"/>
    </x:row>
    <x:row r="400">
      <x:c r="A400" s="12"/>
      <x:c r="B400"/>
      <x:c r="C400"/>
      <x:c r="D400"/>
      <x:c r="E400"/>
      <x:c r="F400"/>
      <x:c r="G400"/>
      <x:c r="H400" s="12" t="str">
        <x:f>IF(A400="","",A400+1)</x:f>
      </x:c>
      <x:c r="I400"/>
      <x:c r="J400" s="12" t="str">
        <x:f>IF(A400="","",A400+7)</x:f>
      </x:c>
      <x:c r="K400"/>
      <x:c r="L400" s="12" t="str">
        <x:f>IF(A400="","",A400+21)</x:f>
      </x:c>
      <x:c r="M400"/>
      <x:c r="N400"/>
      <x:c r="O400"/>
      <x:c r="P400"/>
    </x:row>
    <x:row r="401">
      <x:c r="A401" s="12"/>
      <x:c r="B401"/>
      <x:c r="C401"/>
      <x:c r="D401"/>
      <x:c r="E401"/>
      <x:c r="F401"/>
      <x:c r="G401"/>
      <x:c r="H401" s="12" t="str">
        <x:f>IF(A401="","",A401+1)</x:f>
      </x:c>
      <x:c r="I401"/>
      <x:c r="J401" s="12" t="str">
        <x:f>IF(A401="","",A401+7)</x:f>
      </x:c>
      <x:c r="K401"/>
      <x:c r="L401" s="12" t="str">
        <x:f>IF(A401="","",A401+21)</x:f>
      </x:c>
      <x:c r="M401"/>
      <x:c r="N401"/>
      <x:c r="O401"/>
      <x:c r="P401"/>
    </x:row>
  </x:sheetData>
  <x:dataValidations count="6">
    <x:dataValidation type="list" sqref="F2:F401">
      <x:formula1>"Bilgi Eksikliği,İşlem Hatası,Dikkat,Soruyu Yanlış Okuma,Yorumlama,Diğer"</x:formula1>
    </x:dataValidation>
    <x:dataValidation type="list" sqref="I2:I401">
      <x:formula1>"Bekliyor,Tamamlandı,Tekrar Yanlış"</x:formula1>
    </x:dataValidation>
    <x:dataValidation type="list" sqref="K2:K401">
      <x:formula1>"Bekliyor,Tamamlandı,Tekrar Yanlış"</x:formula1>
    </x:dataValidation>
    <x:dataValidation type="list" sqref="M2:M401">
      <x:formula1>"Bekliyor,Tamamlandı,Tekrar Yanlış"</x:formula1>
    </x:dataValidation>
    <x:dataValidation type="list" sqref="N2:N401">
      <x:formula1>"Hayır,Evet"</x:formula1>
    </x:dataValidation>
    <x:dataValidation type="list" sqref="O2:O401">
      <x:formula1>"Açık,Kapalı"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52" hidden="0" customWidth="1"/>
    <x:col min="5" max="5" width="36" hidden="0" customWidth="1"/>
    <x:col min="6" max="6" width="14" hidden="0" customWidth="1"/>
    <x:col min="7" max="7" width="16" hidden="0" customWidth="1"/>
    <x:col min="8" max="8" width="44" hidden="0" customWidth="1"/>
  </x:cols>
  <x:sheetData>
    <x:row r="1">
      <x:c r="A1" s="6" t="str">
        <x:v>Orijinal Tarih</x:v>
      </x:c>
      <x:c r="B1" s="6" t="str">
        <x:v>TaskID</x:v>
      </x:c>
      <x:c r="C1" s="6" t="str">
        <x:v>Ders</x:v>
      </x:c>
      <x:c r="D1" s="6" t="str">
        <x:v>Görev</x:v>
      </x:c>
      <x:c r="E1" s="6" t="str">
        <x:v>Eksik Nedeni</x:v>
      </x:c>
      <x:c r="F1" s="6" t="str">
        <x:v>Yeni Tarih</x:v>
      </x:c>
      <x:c r="G1" s="6" t="str">
        <x:v>Durum</x:v>
      </x:c>
      <x:c r="H1" s="6" t="str">
        <x:v>Not</x:v>
      </x:c>
    </x:row>
    <x:row r="2">
      <x:c r="A2" s="12"/>
      <x:c r="B2"/>
      <x:c r="C2"/>
      <x:c r="D2"/>
      <x:c r="E2"/>
      <x:c r="F2" s="12"/>
      <x:c r="G2"/>
      <x:c r="H2"/>
    </x:row>
    <x:row r="3">
      <x:c r="A3" s="12"/>
      <x:c r="B3"/>
      <x:c r="C3"/>
      <x:c r="D3"/>
      <x:c r="E3"/>
      <x:c r="F3" s="12"/>
      <x:c r="G3"/>
      <x:c r="H3"/>
    </x:row>
    <x:row r="4">
      <x:c r="A4" s="12"/>
      <x:c r="B4"/>
      <x:c r="C4"/>
      <x:c r="D4"/>
      <x:c r="E4"/>
      <x:c r="F4" s="12"/>
      <x:c r="G4"/>
      <x:c r="H4"/>
    </x:row>
    <x:row r="5">
      <x:c r="A5" s="12"/>
      <x:c r="B5"/>
      <x:c r="C5"/>
      <x:c r="D5"/>
      <x:c r="E5"/>
      <x:c r="F5" s="12"/>
      <x:c r="G5"/>
      <x:c r="H5"/>
    </x:row>
    <x:row r="6">
      <x:c r="A6" s="12"/>
      <x:c r="B6"/>
      <x:c r="C6"/>
      <x:c r="D6"/>
      <x:c r="E6"/>
      <x:c r="F6" s="12"/>
      <x:c r="G6"/>
      <x:c r="H6"/>
    </x:row>
    <x:row r="7">
      <x:c r="A7" s="12"/>
      <x:c r="B7"/>
      <x:c r="C7"/>
      <x:c r="D7"/>
      <x:c r="E7"/>
      <x:c r="F7" s="12"/>
      <x:c r="G7"/>
      <x:c r="H7"/>
    </x:row>
    <x:row r="8">
      <x:c r="A8" s="12"/>
      <x:c r="B8"/>
      <x:c r="C8"/>
      <x:c r="D8"/>
      <x:c r="E8"/>
      <x:c r="F8" s="12"/>
      <x:c r="G8"/>
      <x:c r="H8"/>
    </x:row>
    <x:row r="9">
      <x:c r="A9" s="12"/>
      <x:c r="B9"/>
      <x:c r="C9"/>
      <x:c r="D9"/>
      <x:c r="E9"/>
      <x:c r="F9" s="12"/>
      <x:c r="G9"/>
      <x:c r="H9"/>
    </x:row>
    <x:row r="10">
      <x:c r="A10" s="12"/>
      <x:c r="B10"/>
      <x:c r="C10"/>
      <x:c r="D10"/>
      <x:c r="E10"/>
      <x:c r="F10" s="12"/>
      <x:c r="G10"/>
      <x:c r="H10"/>
    </x:row>
    <x:row r="11">
      <x:c r="A11" s="12"/>
      <x:c r="B11"/>
      <x:c r="C11"/>
      <x:c r="D11"/>
      <x:c r="E11"/>
      <x:c r="F11" s="12"/>
      <x:c r="G11"/>
      <x:c r="H11"/>
    </x:row>
    <x:row r="12">
      <x:c r="A12" s="12"/>
      <x:c r="B12"/>
      <x:c r="C12"/>
      <x:c r="D12"/>
      <x:c r="E12"/>
      <x:c r="F12" s="12"/>
      <x:c r="G12"/>
      <x:c r="H12"/>
    </x:row>
    <x:row r="13">
      <x:c r="A13" s="12"/>
      <x:c r="B13"/>
      <x:c r="C13"/>
      <x:c r="D13"/>
      <x:c r="E13"/>
      <x:c r="F13" s="12"/>
      <x:c r="G13"/>
      <x:c r="H13"/>
    </x:row>
    <x:row r="14">
      <x:c r="A14" s="12"/>
      <x:c r="B14"/>
      <x:c r="C14"/>
      <x:c r="D14"/>
      <x:c r="E14"/>
      <x:c r="F14" s="12"/>
      <x:c r="G14"/>
      <x:c r="H14"/>
    </x:row>
    <x:row r="15">
      <x:c r="A15" s="12"/>
      <x:c r="B15"/>
      <x:c r="C15"/>
      <x:c r="D15"/>
      <x:c r="E15"/>
      <x:c r="F15" s="12"/>
      <x:c r="G15"/>
      <x:c r="H15"/>
    </x:row>
    <x:row r="16">
      <x:c r="A16" s="12"/>
      <x:c r="B16"/>
      <x:c r="C16"/>
      <x:c r="D16"/>
      <x:c r="E16"/>
      <x:c r="F16" s="12"/>
      <x:c r="G16"/>
      <x:c r="H16"/>
    </x:row>
    <x:row r="17">
      <x:c r="A17" s="12"/>
      <x:c r="B17"/>
      <x:c r="C17"/>
      <x:c r="D17"/>
      <x:c r="E17"/>
      <x:c r="F17" s="12"/>
      <x:c r="G17"/>
      <x:c r="H17"/>
    </x:row>
    <x:row r="18">
      <x:c r="A18" s="12"/>
      <x:c r="B18"/>
      <x:c r="C18"/>
      <x:c r="D18"/>
      <x:c r="E18"/>
      <x:c r="F18" s="12"/>
      <x:c r="G18"/>
      <x:c r="H18"/>
    </x:row>
    <x:row r="19">
      <x:c r="A19" s="12"/>
      <x:c r="B19"/>
      <x:c r="C19"/>
      <x:c r="D19"/>
      <x:c r="E19"/>
      <x:c r="F19" s="12"/>
      <x:c r="G19"/>
      <x:c r="H19"/>
    </x:row>
    <x:row r="20">
      <x:c r="A20" s="12"/>
      <x:c r="B20"/>
      <x:c r="C20"/>
      <x:c r="D20"/>
      <x:c r="E20"/>
      <x:c r="F20" s="12"/>
      <x:c r="G20"/>
      <x:c r="H20"/>
    </x:row>
    <x:row r="21">
      <x:c r="A21" s="12"/>
      <x:c r="B21"/>
      <x:c r="C21"/>
      <x:c r="D21"/>
      <x:c r="E21"/>
      <x:c r="F21" s="12"/>
      <x:c r="G21"/>
      <x:c r="H21"/>
    </x:row>
    <x:row r="22">
      <x:c r="A22" s="12"/>
      <x:c r="B22"/>
      <x:c r="C22"/>
      <x:c r="D22"/>
      <x:c r="E22"/>
      <x:c r="F22" s="12"/>
      <x:c r="G22"/>
      <x:c r="H22"/>
    </x:row>
    <x:row r="23">
      <x:c r="A23" s="12"/>
      <x:c r="B23"/>
      <x:c r="C23"/>
      <x:c r="D23"/>
      <x:c r="E23"/>
      <x:c r="F23" s="12"/>
      <x:c r="G23"/>
      <x:c r="H23"/>
    </x:row>
    <x:row r="24">
      <x:c r="A24" s="12"/>
      <x:c r="B24"/>
      <x:c r="C24"/>
      <x:c r="D24"/>
      <x:c r="E24"/>
      <x:c r="F24" s="12"/>
      <x:c r="G24"/>
      <x:c r="H24"/>
    </x:row>
    <x:row r="25">
      <x:c r="A25" s="12"/>
      <x:c r="B25"/>
      <x:c r="C25"/>
      <x:c r="D25"/>
      <x:c r="E25"/>
      <x:c r="F25" s="12"/>
      <x:c r="G25"/>
      <x:c r="H25"/>
    </x:row>
    <x:row r="26">
      <x:c r="A26" s="12"/>
      <x:c r="B26"/>
      <x:c r="C26"/>
      <x:c r="D26"/>
      <x:c r="E26"/>
      <x:c r="F26" s="12"/>
      <x:c r="G26"/>
      <x:c r="H26"/>
    </x:row>
    <x:row r="27">
      <x:c r="A27" s="12"/>
      <x:c r="B27"/>
      <x:c r="C27"/>
      <x:c r="D27"/>
      <x:c r="E27"/>
      <x:c r="F27" s="12"/>
      <x:c r="G27"/>
      <x:c r="H27"/>
    </x:row>
    <x:row r="28">
      <x:c r="A28" s="12"/>
      <x:c r="B28"/>
      <x:c r="C28"/>
      <x:c r="D28"/>
      <x:c r="E28"/>
      <x:c r="F28" s="12"/>
      <x:c r="G28"/>
      <x:c r="H28"/>
    </x:row>
    <x:row r="29">
      <x:c r="A29" s="12"/>
      <x:c r="B29"/>
      <x:c r="C29"/>
      <x:c r="D29"/>
      <x:c r="E29"/>
      <x:c r="F29" s="12"/>
      <x:c r="G29"/>
      <x:c r="H29"/>
    </x:row>
    <x:row r="30">
      <x:c r="A30" s="12"/>
      <x:c r="B30"/>
      <x:c r="C30"/>
      <x:c r="D30"/>
      <x:c r="E30"/>
      <x:c r="F30" s="12"/>
      <x:c r="G30"/>
      <x:c r="H30"/>
    </x:row>
    <x:row r="31">
      <x:c r="A31" s="12"/>
      <x:c r="B31"/>
      <x:c r="C31"/>
      <x:c r="D31"/>
      <x:c r="E31"/>
      <x:c r="F31" s="12"/>
      <x:c r="G31"/>
      <x:c r="H31"/>
    </x:row>
    <x:row r="32">
      <x:c r="A32" s="12"/>
      <x:c r="B32"/>
      <x:c r="C32"/>
      <x:c r="D32"/>
      <x:c r="E32"/>
      <x:c r="F32" s="12"/>
      <x:c r="G32"/>
      <x:c r="H32"/>
    </x:row>
    <x:row r="33">
      <x:c r="A33" s="12"/>
      <x:c r="B33"/>
      <x:c r="C33"/>
      <x:c r="D33"/>
      <x:c r="E33"/>
      <x:c r="F33" s="12"/>
      <x:c r="G33"/>
      <x:c r="H33"/>
    </x:row>
    <x:row r="34">
      <x:c r="A34" s="12"/>
      <x:c r="B34"/>
      <x:c r="C34"/>
      <x:c r="D34"/>
      <x:c r="E34"/>
      <x:c r="F34" s="12"/>
      <x:c r="G34"/>
      <x:c r="H34"/>
    </x:row>
    <x:row r="35">
      <x:c r="A35" s="12"/>
      <x:c r="B35"/>
      <x:c r="C35"/>
      <x:c r="D35"/>
      <x:c r="E35"/>
      <x:c r="F35" s="12"/>
      <x:c r="G35"/>
      <x:c r="H35"/>
    </x:row>
    <x:row r="36">
      <x:c r="A36" s="12"/>
      <x:c r="B36"/>
      <x:c r="C36"/>
      <x:c r="D36"/>
      <x:c r="E36"/>
      <x:c r="F36" s="12"/>
      <x:c r="G36"/>
      <x:c r="H36"/>
    </x:row>
    <x:row r="37">
      <x:c r="A37" s="12"/>
      <x:c r="B37"/>
      <x:c r="C37"/>
      <x:c r="D37"/>
      <x:c r="E37"/>
      <x:c r="F37" s="12"/>
      <x:c r="G37"/>
      <x:c r="H37"/>
    </x:row>
    <x:row r="38">
      <x:c r="A38" s="12"/>
      <x:c r="B38"/>
      <x:c r="C38"/>
      <x:c r="D38"/>
      <x:c r="E38"/>
      <x:c r="F38" s="12"/>
      <x:c r="G38"/>
      <x:c r="H38"/>
    </x:row>
    <x:row r="39">
      <x:c r="A39" s="12"/>
      <x:c r="B39"/>
      <x:c r="C39"/>
      <x:c r="D39"/>
      <x:c r="E39"/>
      <x:c r="F39" s="12"/>
      <x:c r="G39"/>
      <x:c r="H39"/>
    </x:row>
    <x:row r="40">
      <x:c r="A40" s="12"/>
      <x:c r="B40"/>
      <x:c r="C40"/>
      <x:c r="D40"/>
      <x:c r="E40"/>
      <x:c r="F40" s="12"/>
      <x:c r="G40"/>
      <x:c r="H40"/>
    </x:row>
    <x:row r="41">
      <x:c r="A41" s="12"/>
      <x:c r="B41"/>
      <x:c r="C41"/>
      <x:c r="D41"/>
      <x:c r="E41"/>
      <x:c r="F41" s="12"/>
      <x:c r="G41"/>
      <x:c r="H41"/>
    </x:row>
    <x:row r="42">
      <x:c r="A42" s="12"/>
      <x:c r="B42"/>
      <x:c r="C42"/>
      <x:c r="D42"/>
      <x:c r="E42"/>
      <x:c r="F42" s="12"/>
      <x:c r="G42"/>
      <x:c r="H42"/>
    </x:row>
    <x:row r="43">
      <x:c r="A43" s="12"/>
      <x:c r="B43"/>
      <x:c r="C43"/>
      <x:c r="D43"/>
      <x:c r="E43"/>
      <x:c r="F43" s="12"/>
      <x:c r="G43"/>
      <x:c r="H43"/>
    </x:row>
    <x:row r="44">
      <x:c r="A44" s="12"/>
      <x:c r="B44"/>
      <x:c r="C44"/>
      <x:c r="D44"/>
      <x:c r="E44"/>
      <x:c r="F44" s="12"/>
      <x:c r="G44"/>
      <x:c r="H44"/>
    </x:row>
    <x:row r="45">
      <x:c r="A45" s="12"/>
      <x:c r="B45"/>
      <x:c r="C45"/>
      <x:c r="D45"/>
      <x:c r="E45"/>
      <x:c r="F45" s="12"/>
      <x:c r="G45"/>
      <x:c r="H45"/>
    </x:row>
    <x:row r="46">
      <x:c r="A46" s="12"/>
      <x:c r="B46"/>
      <x:c r="C46"/>
      <x:c r="D46"/>
      <x:c r="E46"/>
      <x:c r="F46" s="12"/>
      <x:c r="G46"/>
      <x:c r="H46"/>
    </x:row>
    <x:row r="47">
      <x:c r="A47" s="12"/>
      <x:c r="B47"/>
      <x:c r="C47"/>
      <x:c r="D47"/>
      <x:c r="E47"/>
      <x:c r="F47" s="12"/>
      <x:c r="G47"/>
      <x:c r="H47"/>
    </x:row>
    <x:row r="48">
      <x:c r="A48" s="12"/>
      <x:c r="B48"/>
      <x:c r="C48"/>
      <x:c r="D48"/>
      <x:c r="E48"/>
      <x:c r="F48" s="12"/>
      <x:c r="G48"/>
      <x:c r="H48"/>
    </x:row>
    <x:row r="49">
      <x:c r="A49" s="12"/>
      <x:c r="B49"/>
      <x:c r="C49"/>
      <x:c r="D49"/>
      <x:c r="E49"/>
      <x:c r="F49" s="12"/>
      <x:c r="G49"/>
      <x:c r="H49"/>
    </x:row>
    <x:row r="50">
      <x:c r="A50" s="12"/>
      <x:c r="B50"/>
      <x:c r="C50"/>
      <x:c r="D50"/>
      <x:c r="E50"/>
      <x:c r="F50" s="12"/>
      <x:c r="G50"/>
      <x:c r="H50"/>
    </x:row>
    <x:row r="51">
      <x:c r="A51" s="12"/>
      <x:c r="B51"/>
      <x:c r="C51"/>
      <x:c r="D51"/>
      <x:c r="E51"/>
      <x:c r="F51" s="12"/>
      <x:c r="G51"/>
      <x:c r="H51"/>
    </x:row>
    <x:row r="52">
      <x:c r="A52" s="12"/>
      <x:c r="B52"/>
      <x:c r="C52"/>
      <x:c r="D52"/>
      <x:c r="E52"/>
      <x:c r="F52" s="12"/>
      <x:c r="G52"/>
      <x:c r="H52"/>
    </x:row>
    <x:row r="53">
      <x:c r="A53" s="12"/>
      <x:c r="B53"/>
      <x:c r="C53"/>
      <x:c r="D53"/>
      <x:c r="E53"/>
      <x:c r="F53" s="12"/>
      <x:c r="G53"/>
      <x:c r="H53"/>
    </x:row>
    <x:row r="54">
      <x:c r="A54" s="12"/>
      <x:c r="B54"/>
      <x:c r="C54"/>
      <x:c r="D54"/>
      <x:c r="E54"/>
      <x:c r="F54" s="12"/>
      <x:c r="G54"/>
      <x:c r="H54"/>
    </x:row>
    <x:row r="55">
      <x:c r="A55" s="12"/>
      <x:c r="B55"/>
      <x:c r="C55"/>
      <x:c r="D55"/>
      <x:c r="E55"/>
      <x:c r="F55" s="12"/>
      <x:c r="G55"/>
      <x:c r="H55"/>
    </x:row>
    <x:row r="56">
      <x:c r="A56" s="12"/>
      <x:c r="B56"/>
      <x:c r="C56"/>
      <x:c r="D56"/>
      <x:c r="E56"/>
      <x:c r="F56" s="12"/>
      <x:c r="G56"/>
      <x:c r="H56"/>
    </x:row>
    <x:row r="57">
      <x:c r="A57" s="12"/>
      <x:c r="B57"/>
      <x:c r="C57"/>
      <x:c r="D57"/>
      <x:c r="E57"/>
      <x:c r="F57" s="12"/>
      <x:c r="G57"/>
      <x:c r="H57"/>
    </x:row>
    <x:row r="58">
      <x:c r="A58" s="12"/>
      <x:c r="B58"/>
      <x:c r="C58"/>
      <x:c r="D58"/>
      <x:c r="E58"/>
      <x:c r="F58" s="12"/>
      <x:c r="G58"/>
      <x:c r="H58"/>
    </x:row>
    <x:row r="59">
      <x:c r="A59" s="12"/>
      <x:c r="B59"/>
      <x:c r="C59"/>
      <x:c r="D59"/>
      <x:c r="E59"/>
      <x:c r="F59" s="12"/>
      <x:c r="G59"/>
      <x:c r="H59"/>
    </x:row>
    <x:row r="60">
      <x:c r="A60" s="12"/>
      <x:c r="B60"/>
      <x:c r="C60"/>
      <x:c r="D60"/>
      <x:c r="E60"/>
      <x:c r="F60" s="12"/>
      <x:c r="G60"/>
      <x:c r="H60"/>
    </x:row>
    <x:row r="61">
      <x:c r="A61" s="12"/>
      <x:c r="B61"/>
      <x:c r="C61"/>
      <x:c r="D61"/>
      <x:c r="E61"/>
      <x:c r="F61" s="12"/>
      <x:c r="G61"/>
      <x:c r="H61"/>
    </x:row>
    <x:row r="62">
      <x:c r="A62" s="12"/>
      <x:c r="B62"/>
      <x:c r="C62"/>
      <x:c r="D62"/>
      <x:c r="E62"/>
      <x:c r="F62" s="12"/>
      <x:c r="G62"/>
      <x:c r="H62"/>
    </x:row>
    <x:row r="63">
      <x:c r="A63" s="12"/>
      <x:c r="B63"/>
      <x:c r="C63"/>
      <x:c r="D63"/>
      <x:c r="E63"/>
      <x:c r="F63" s="12"/>
      <x:c r="G63"/>
      <x:c r="H63"/>
    </x:row>
    <x:row r="64">
      <x:c r="A64" s="12"/>
      <x:c r="B64"/>
      <x:c r="C64"/>
      <x:c r="D64"/>
      <x:c r="E64"/>
      <x:c r="F64" s="12"/>
      <x:c r="G64"/>
      <x:c r="H64"/>
    </x:row>
    <x:row r="65">
      <x:c r="A65" s="12"/>
      <x:c r="B65"/>
      <x:c r="C65"/>
      <x:c r="D65"/>
      <x:c r="E65"/>
      <x:c r="F65" s="12"/>
      <x:c r="G65"/>
      <x:c r="H65"/>
    </x:row>
    <x:row r="66">
      <x:c r="A66" s="12"/>
      <x:c r="B66"/>
      <x:c r="C66"/>
      <x:c r="D66"/>
      <x:c r="E66"/>
      <x:c r="F66" s="12"/>
      <x:c r="G66"/>
      <x:c r="H66"/>
    </x:row>
    <x:row r="67">
      <x:c r="A67" s="12"/>
      <x:c r="B67"/>
      <x:c r="C67"/>
      <x:c r="D67"/>
      <x:c r="E67"/>
      <x:c r="F67" s="12"/>
      <x:c r="G67"/>
      <x:c r="H67"/>
    </x:row>
    <x:row r="68">
      <x:c r="A68" s="12"/>
      <x:c r="B68"/>
      <x:c r="C68"/>
      <x:c r="D68"/>
      <x:c r="E68"/>
      <x:c r="F68" s="12"/>
      <x:c r="G68"/>
      <x:c r="H68"/>
    </x:row>
    <x:row r="69">
      <x:c r="A69" s="12"/>
      <x:c r="B69"/>
      <x:c r="C69"/>
      <x:c r="D69"/>
      <x:c r="E69"/>
      <x:c r="F69" s="12"/>
      <x:c r="G69"/>
      <x:c r="H69"/>
    </x:row>
    <x:row r="70">
      <x:c r="A70" s="12"/>
      <x:c r="B70"/>
      <x:c r="C70"/>
      <x:c r="D70"/>
      <x:c r="E70"/>
      <x:c r="F70" s="12"/>
      <x:c r="G70"/>
      <x:c r="H70"/>
    </x:row>
    <x:row r="71">
      <x:c r="A71" s="12"/>
      <x:c r="B71"/>
      <x:c r="C71"/>
      <x:c r="D71"/>
      <x:c r="E71"/>
      <x:c r="F71" s="12"/>
      <x:c r="G71"/>
      <x:c r="H71"/>
    </x:row>
    <x:row r="72">
      <x:c r="A72" s="12"/>
      <x:c r="B72"/>
      <x:c r="C72"/>
      <x:c r="D72"/>
      <x:c r="E72"/>
      <x:c r="F72" s="12"/>
      <x:c r="G72"/>
      <x:c r="H72"/>
    </x:row>
    <x:row r="73">
      <x:c r="A73" s="12"/>
      <x:c r="B73"/>
      <x:c r="C73"/>
      <x:c r="D73"/>
      <x:c r="E73"/>
      <x:c r="F73" s="12"/>
      <x:c r="G73"/>
      <x:c r="H73"/>
    </x:row>
    <x:row r="74">
      <x:c r="A74" s="12"/>
      <x:c r="B74"/>
      <x:c r="C74"/>
      <x:c r="D74"/>
      <x:c r="E74"/>
      <x:c r="F74" s="12"/>
      <x:c r="G74"/>
      <x:c r="H74"/>
    </x:row>
    <x:row r="75">
      <x:c r="A75" s="12"/>
      <x:c r="B75"/>
      <x:c r="C75"/>
      <x:c r="D75"/>
      <x:c r="E75"/>
      <x:c r="F75" s="12"/>
      <x:c r="G75"/>
      <x:c r="H75"/>
    </x:row>
    <x:row r="76">
      <x:c r="A76" s="12"/>
      <x:c r="B76"/>
      <x:c r="C76"/>
      <x:c r="D76"/>
      <x:c r="E76"/>
      <x:c r="F76" s="12"/>
      <x:c r="G76"/>
      <x:c r="H76"/>
    </x:row>
    <x:row r="77">
      <x:c r="A77" s="12"/>
      <x:c r="B77"/>
      <x:c r="C77"/>
      <x:c r="D77"/>
      <x:c r="E77"/>
      <x:c r="F77" s="12"/>
      <x:c r="G77"/>
      <x:c r="H77"/>
    </x:row>
    <x:row r="78">
      <x:c r="A78" s="12"/>
      <x:c r="B78"/>
      <x:c r="C78"/>
      <x:c r="D78"/>
      <x:c r="E78"/>
      <x:c r="F78" s="12"/>
      <x:c r="G78"/>
      <x:c r="H78"/>
    </x:row>
    <x:row r="79">
      <x:c r="A79" s="12"/>
      <x:c r="B79"/>
      <x:c r="C79"/>
      <x:c r="D79"/>
      <x:c r="E79"/>
      <x:c r="F79" s="12"/>
      <x:c r="G79"/>
      <x:c r="H79"/>
    </x:row>
    <x:row r="80">
      <x:c r="A80" s="12"/>
      <x:c r="B80"/>
      <x:c r="C80"/>
      <x:c r="D80"/>
      <x:c r="E80"/>
      <x:c r="F80" s="12"/>
      <x:c r="G80"/>
      <x:c r="H80"/>
    </x:row>
    <x:row r="81">
      <x:c r="A81" s="12"/>
      <x:c r="B81"/>
      <x:c r="C81"/>
      <x:c r="D81"/>
      <x:c r="E81"/>
      <x:c r="F81" s="12"/>
      <x:c r="G81"/>
      <x:c r="H81"/>
    </x:row>
    <x:row r="82">
      <x:c r="A82" s="12"/>
      <x:c r="B82"/>
      <x:c r="C82"/>
      <x:c r="D82"/>
      <x:c r="E82"/>
      <x:c r="F82" s="12"/>
      <x:c r="G82"/>
      <x:c r="H82"/>
    </x:row>
    <x:row r="83">
      <x:c r="A83" s="12"/>
      <x:c r="B83"/>
      <x:c r="C83"/>
      <x:c r="D83"/>
      <x:c r="E83"/>
      <x:c r="F83" s="12"/>
      <x:c r="G83"/>
      <x:c r="H83"/>
    </x:row>
    <x:row r="84">
      <x:c r="A84" s="12"/>
      <x:c r="B84"/>
      <x:c r="C84"/>
      <x:c r="D84"/>
      <x:c r="E84"/>
      <x:c r="F84" s="12"/>
      <x:c r="G84"/>
      <x:c r="H84"/>
    </x:row>
    <x:row r="85">
      <x:c r="A85" s="12"/>
      <x:c r="B85"/>
      <x:c r="C85"/>
      <x:c r="D85"/>
      <x:c r="E85"/>
      <x:c r="F85" s="12"/>
      <x:c r="G85"/>
      <x:c r="H85"/>
    </x:row>
    <x:row r="86">
      <x:c r="A86" s="12"/>
      <x:c r="B86"/>
      <x:c r="C86"/>
      <x:c r="D86"/>
      <x:c r="E86"/>
      <x:c r="F86" s="12"/>
      <x:c r="G86"/>
      <x:c r="H86"/>
    </x:row>
    <x:row r="87">
      <x:c r="A87" s="12"/>
      <x:c r="B87"/>
      <x:c r="C87"/>
      <x:c r="D87"/>
      <x:c r="E87"/>
      <x:c r="F87" s="12"/>
      <x:c r="G87"/>
      <x:c r="H87"/>
    </x:row>
    <x:row r="88">
      <x:c r="A88" s="12"/>
      <x:c r="B88"/>
      <x:c r="C88"/>
      <x:c r="D88"/>
      <x:c r="E88"/>
      <x:c r="F88" s="12"/>
      <x:c r="G88"/>
      <x:c r="H88"/>
    </x:row>
    <x:row r="89">
      <x:c r="A89" s="12"/>
      <x:c r="B89"/>
      <x:c r="C89"/>
      <x:c r="D89"/>
      <x:c r="E89"/>
      <x:c r="F89" s="12"/>
      <x:c r="G89"/>
      <x:c r="H89"/>
    </x:row>
    <x:row r="90">
      <x:c r="A90" s="12"/>
      <x:c r="B90"/>
      <x:c r="C90"/>
      <x:c r="D90"/>
      <x:c r="E90"/>
      <x:c r="F90" s="12"/>
      <x:c r="G90"/>
      <x:c r="H90"/>
    </x:row>
    <x:row r="91">
      <x:c r="A91" s="12"/>
      <x:c r="B91"/>
      <x:c r="C91"/>
      <x:c r="D91"/>
      <x:c r="E91"/>
      <x:c r="F91" s="12"/>
      <x:c r="G91"/>
      <x:c r="H91"/>
    </x:row>
    <x:row r="92">
      <x:c r="A92" s="12"/>
      <x:c r="B92"/>
      <x:c r="C92"/>
      <x:c r="D92"/>
      <x:c r="E92"/>
      <x:c r="F92" s="12"/>
      <x:c r="G92"/>
      <x:c r="H92"/>
    </x:row>
    <x:row r="93">
      <x:c r="A93" s="12"/>
      <x:c r="B93"/>
      <x:c r="C93"/>
      <x:c r="D93"/>
      <x:c r="E93"/>
      <x:c r="F93" s="12"/>
      <x:c r="G93"/>
      <x:c r="H93"/>
    </x:row>
    <x:row r="94">
      <x:c r="A94" s="12"/>
      <x:c r="B94"/>
      <x:c r="C94"/>
      <x:c r="D94"/>
      <x:c r="E94"/>
      <x:c r="F94" s="12"/>
      <x:c r="G94"/>
      <x:c r="H94"/>
    </x:row>
    <x:row r="95">
      <x:c r="A95" s="12"/>
      <x:c r="B95"/>
      <x:c r="C95"/>
      <x:c r="D95"/>
      <x:c r="E95"/>
      <x:c r="F95" s="12"/>
      <x:c r="G95"/>
      <x:c r="H95"/>
    </x:row>
    <x:row r="96">
      <x:c r="A96" s="12"/>
      <x:c r="B96"/>
      <x:c r="C96"/>
      <x:c r="D96"/>
      <x:c r="E96"/>
      <x:c r="F96" s="12"/>
      <x:c r="G96"/>
      <x:c r="H96"/>
    </x:row>
    <x:row r="97">
      <x:c r="A97" s="12"/>
      <x:c r="B97"/>
      <x:c r="C97"/>
      <x:c r="D97"/>
      <x:c r="E97"/>
      <x:c r="F97" s="12"/>
      <x:c r="G97"/>
      <x:c r="H97"/>
    </x:row>
    <x:row r="98">
      <x:c r="A98" s="12"/>
      <x:c r="B98"/>
      <x:c r="C98"/>
      <x:c r="D98"/>
      <x:c r="E98"/>
      <x:c r="F98" s="12"/>
      <x:c r="G98"/>
      <x:c r="H98"/>
    </x:row>
    <x:row r="99">
      <x:c r="A99" s="12"/>
      <x:c r="B99"/>
      <x:c r="C99"/>
      <x:c r="D99"/>
      <x:c r="E99"/>
      <x:c r="F99" s="12"/>
      <x:c r="G99"/>
      <x:c r="H99"/>
    </x:row>
    <x:row r="100">
      <x:c r="A100" s="12"/>
      <x:c r="B100"/>
      <x:c r="C100"/>
      <x:c r="D100"/>
      <x:c r="E100"/>
      <x:c r="F100" s="12"/>
      <x:c r="G100"/>
      <x:c r="H100"/>
    </x:row>
    <x:row r="101">
      <x:c r="A101" s="12"/>
      <x:c r="B101"/>
      <x:c r="C101"/>
      <x:c r="D101"/>
      <x:c r="E101"/>
      <x:c r="F101" s="12"/>
      <x:c r="G101"/>
      <x:c r="H101"/>
    </x:row>
    <x:row r="102">
      <x:c r="A102" s="12"/>
      <x:c r="B102"/>
      <x:c r="C102"/>
      <x:c r="D102"/>
      <x:c r="E102"/>
      <x:c r="F102" s="12"/>
      <x:c r="G102"/>
      <x:c r="H102"/>
    </x:row>
    <x:row r="103">
      <x:c r="A103" s="12"/>
      <x:c r="B103"/>
      <x:c r="C103"/>
      <x:c r="D103"/>
      <x:c r="E103"/>
      <x:c r="F103" s="12"/>
      <x:c r="G103"/>
      <x:c r="H103"/>
    </x:row>
    <x:row r="104">
      <x:c r="A104" s="12"/>
      <x:c r="B104"/>
      <x:c r="C104"/>
      <x:c r="D104"/>
      <x:c r="E104"/>
      <x:c r="F104" s="12"/>
      <x:c r="G104"/>
      <x:c r="H104"/>
    </x:row>
    <x:row r="105">
      <x:c r="A105" s="12"/>
      <x:c r="B105"/>
      <x:c r="C105"/>
      <x:c r="D105"/>
      <x:c r="E105"/>
      <x:c r="F105" s="12"/>
      <x:c r="G105"/>
      <x:c r="H105"/>
    </x:row>
    <x:row r="106">
      <x:c r="A106" s="12"/>
      <x:c r="B106"/>
      <x:c r="C106"/>
      <x:c r="D106"/>
      <x:c r="E106"/>
      <x:c r="F106" s="12"/>
      <x:c r="G106"/>
      <x:c r="H106"/>
    </x:row>
    <x:row r="107">
      <x:c r="A107" s="12"/>
      <x:c r="B107"/>
      <x:c r="C107"/>
      <x:c r="D107"/>
      <x:c r="E107"/>
      <x:c r="F107" s="12"/>
      <x:c r="G107"/>
      <x:c r="H107"/>
    </x:row>
    <x:row r="108">
      <x:c r="A108" s="12"/>
      <x:c r="B108"/>
      <x:c r="C108"/>
      <x:c r="D108"/>
      <x:c r="E108"/>
      <x:c r="F108" s="12"/>
      <x:c r="G108"/>
      <x:c r="H108"/>
    </x:row>
    <x:row r="109">
      <x:c r="A109" s="12"/>
      <x:c r="B109"/>
      <x:c r="C109"/>
      <x:c r="D109"/>
      <x:c r="E109"/>
      <x:c r="F109" s="12"/>
      <x:c r="G109"/>
      <x:c r="H109"/>
    </x:row>
    <x:row r="110">
      <x:c r="A110" s="12"/>
      <x:c r="B110"/>
      <x:c r="C110"/>
      <x:c r="D110"/>
      <x:c r="E110"/>
      <x:c r="F110" s="12"/>
      <x:c r="G110"/>
      <x:c r="H110"/>
    </x:row>
    <x:row r="111">
      <x:c r="A111" s="12"/>
      <x:c r="B111"/>
      <x:c r="C111"/>
      <x:c r="D111"/>
      <x:c r="E111"/>
      <x:c r="F111" s="12"/>
      <x:c r="G111"/>
      <x:c r="H111"/>
    </x:row>
    <x:row r="112">
      <x:c r="A112" s="12"/>
      <x:c r="B112"/>
      <x:c r="C112"/>
      <x:c r="D112"/>
      <x:c r="E112"/>
      <x:c r="F112" s="12"/>
      <x:c r="G112"/>
      <x:c r="H112"/>
    </x:row>
    <x:row r="113">
      <x:c r="A113" s="12"/>
      <x:c r="B113"/>
      <x:c r="C113"/>
      <x:c r="D113"/>
      <x:c r="E113"/>
      <x:c r="F113" s="12"/>
      <x:c r="G113"/>
      <x:c r="H113"/>
    </x:row>
    <x:row r="114">
      <x:c r="A114" s="12"/>
      <x:c r="B114"/>
      <x:c r="C114"/>
      <x:c r="D114"/>
      <x:c r="E114"/>
      <x:c r="F114" s="12"/>
      <x:c r="G114"/>
      <x:c r="H114"/>
    </x:row>
    <x:row r="115">
      <x:c r="A115" s="12"/>
      <x:c r="B115"/>
      <x:c r="C115"/>
      <x:c r="D115"/>
      <x:c r="E115"/>
      <x:c r="F115" s="12"/>
      <x:c r="G115"/>
      <x:c r="H115"/>
    </x:row>
    <x:row r="116">
      <x:c r="A116" s="12"/>
      <x:c r="B116"/>
      <x:c r="C116"/>
      <x:c r="D116"/>
      <x:c r="E116"/>
      <x:c r="F116" s="12"/>
      <x:c r="G116"/>
      <x:c r="H116"/>
    </x:row>
    <x:row r="117">
      <x:c r="A117" s="12"/>
      <x:c r="B117"/>
      <x:c r="C117"/>
      <x:c r="D117"/>
      <x:c r="E117"/>
      <x:c r="F117" s="12"/>
      <x:c r="G117"/>
      <x:c r="H117"/>
    </x:row>
    <x:row r="118">
      <x:c r="A118" s="12"/>
      <x:c r="B118"/>
      <x:c r="C118"/>
      <x:c r="D118"/>
      <x:c r="E118"/>
      <x:c r="F118" s="12"/>
      <x:c r="G118"/>
      <x:c r="H118"/>
    </x:row>
    <x:row r="119">
      <x:c r="A119" s="12"/>
      <x:c r="B119"/>
      <x:c r="C119"/>
      <x:c r="D119"/>
      <x:c r="E119"/>
      <x:c r="F119" s="12"/>
      <x:c r="G119"/>
      <x:c r="H119"/>
    </x:row>
    <x:row r="120">
      <x:c r="A120" s="12"/>
      <x:c r="B120"/>
      <x:c r="C120"/>
      <x:c r="D120"/>
      <x:c r="E120"/>
      <x:c r="F120" s="12"/>
      <x:c r="G120"/>
      <x:c r="H120"/>
    </x:row>
    <x:row r="121">
      <x:c r="A121" s="12"/>
      <x:c r="B121"/>
      <x:c r="C121"/>
      <x:c r="D121"/>
      <x:c r="E121"/>
      <x:c r="F121" s="12"/>
      <x:c r="G121"/>
      <x:c r="H121"/>
    </x:row>
    <x:row r="122">
      <x:c r="A122" s="12"/>
      <x:c r="B122"/>
      <x:c r="C122"/>
      <x:c r="D122"/>
      <x:c r="E122"/>
      <x:c r="F122" s="12"/>
      <x:c r="G122"/>
      <x:c r="H122"/>
    </x:row>
    <x:row r="123">
      <x:c r="A123" s="12"/>
      <x:c r="B123"/>
      <x:c r="C123"/>
      <x:c r="D123"/>
      <x:c r="E123"/>
      <x:c r="F123" s="12"/>
      <x:c r="G123"/>
      <x:c r="H123"/>
    </x:row>
    <x:row r="124">
      <x:c r="A124" s="12"/>
      <x:c r="B124"/>
      <x:c r="C124"/>
      <x:c r="D124"/>
      <x:c r="E124"/>
      <x:c r="F124" s="12"/>
      <x:c r="G124"/>
      <x:c r="H124"/>
    </x:row>
    <x:row r="125">
      <x:c r="A125" s="12"/>
      <x:c r="B125"/>
      <x:c r="C125"/>
      <x:c r="D125"/>
      <x:c r="E125"/>
      <x:c r="F125" s="12"/>
      <x:c r="G125"/>
      <x:c r="H125"/>
    </x:row>
    <x:row r="126">
      <x:c r="A126" s="12"/>
      <x:c r="B126"/>
      <x:c r="C126"/>
      <x:c r="D126"/>
      <x:c r="E126"/>
      <x:c r="F126" s="12"/>
      <x:c r="G126"/>
      <x:c r="H126"/>
    </x:row>
    <x:row r="127">
      <x:c r="A127" s="12"/>
      <x:c r="B127"/>
      <x:c r="C127"/>
      <x:c r="D127"/>
      <x:c r="E127"/>
      <x:c r="F127" s="12"/>
      <x:c r="G127"/>
      <x:c r="H127"/>
    </x:row>
    <x:row r="128">
      <x:c r="A128" s="12"/>
      <x:c r="B128"/>
      <x:c r="C128"/>
      <x:c r="D128"/>
      <x:c r="E128"/>
      <x:c r="F128" s="12"/>
      <x:c r="G128"/>
      <x:c r="H128"/>
    </x:row>
    <x:row r="129">
      <x:c r="A129" s="12"/>
      <x:c r="B129"/>
      <x:c r="C129"/>
      <x:c r="D129"/>
      <x:c r="E129"/>
      <x:c r="F129" s="12"/>
      <x:c r="G129"/>
      <x:c r="H129"/>
    </x:row>
    <x:row r="130">
      <x:c r="A130" s="12"/>
      <x:c r="B130"/>
      <x:c r="C130"/>
      <x:c r="D130"/>
      <x:c r="E130"/>
      <x:c r="F130" s="12"/>
      <x:c r="G130"/>
      <x:c r="H130"/>
    </x:row>
    <x:row r="131">
      <x:c r="A131" s="12"/>
      <x:c r="B131"/>
      <x:c r="C131"/>
      <x:c r="D131"/>
      <x:c r="E131"/>
      <x:c r="F131" s="12"/>
      <x:c r="G131"/>
      <x:c r="H131"/>
    </x:row>
    <x:row r="132">
      <x:c r="A132" s="12"/>
      <x:c r="B132"/>
      <x:c r="C132"/>
      <x:c r="D132"/>
      <x:c r="E132"/>
      <x:c r="F132" s="12"/>
      <x:c r="G132"/>
      <x:c r="H132"/>
    </x:row>
    <x:row r="133">
      <x:c r="A133" s="12"/>
      <x:c r="B133"/>
      <x:c r="C133"/>
      <x:c r="D133"/>
      <x:c r="E133"/>
      <x:c r="F133" s="12"/>
      <x:c r="G133"/>
      <x:c r="H133"/>
    </x:row>
    <x:row r="134">
      <x:c r="A134" s="12"/>
      <x:c r="B134"/>
      <x:c r="C134"/>
      <x:c r="D134"/>
      <x:c r="E134"/>
      <x:c r="F134" s="12"/>
      <x:c r="G134"/>
      <x:c r="H134"/>
    </x:row>
    <x:row r="135">
      <x:c r="A135" s="12"/>
      <x:c r="B135"/>
      <x:c r="C135"/>
      <x:c r="D135"/>
      <x:c r="E135"/>
      <x:c r="F135" s="12"/>
      <x:c r="G135"/>
      <x:c r="H135"/>
    </x:row>
    <x:row r="136">
      <x:c r="A136" s="12"/>
      <x:c r="B136"/>
      <x:c r="C136"/>
      <x:c r="D136"/>
      <x:c r="E136"/>
      <x:c r="F136" s="12"/>
      <x:c r="G136"/>
      <x:c r="H136"/>
    </x:row>
    <x:row r="137">
      <x:c r="A137" s="12"/>
      <x:c r="B137"/>
      <x:c r="C137"/>
      <x:c r="D137"/>
      <x:c r="E137"/>
      <x:c r="F137" s="12"/>
      <x:c r="G137"/>
      <x:c r="H137"/>
    </x:row>
    <x:row r="138">
      <x:c r="A138" s="12"/>
      <x:c r="B138"/>
      <x:c r="C138"/>
      <x:c r="D138"/>
      <x:c r="E138"/>
      <x:c r="F138" s="12"/>
      <x:c r="G138"/>
      <x:c r="H138"/>
    </x:row>
    <x:row r="139">
      <x:c r="A139" s="12"/>
      <x:c r="B139"/>
      <x:c r="C139"/>
      <x:c r="D139"/>
      <x:c r="E139"/>
      <x:c r="F139" s="12"/>
      <x:c r="G139"/>
      <x:c r="H139"/>
    </x:row>
    <x:row r="140">
      <x:c r="A140" s="12"/>
      <x:c r="B140"/>
      <x:c r="C140"/>
      <x:c r="D140"/>
      <x:c r="E140"/>
      <x:c r="F140" s="12"/>
      <x:c r="G140"/>
      <x:c r="H140"/>
    </x:row>
    <x:row r="141">
      <x:c r="A141" s="12"/>
      <x:c r="B141"/>
      <x:c r="C141"/>
      <x:c r="D141"/>
      <x:c r="E141"/>
      <x:c r="F141" s="12"/>
      <x:c r="G141"/>
      <x:c r="H141"/>
    </x:row>
    <x:row r="142">
      <x:c r="A142" s="12"/>
      <x:c r="B142"/>
      <x:c r="C142"/>
      <x:c r="D142"/>
      <x:c r="E142"/>
      <x:c r="F142" s="12"/>
      <x:c r="G142"/>
      <x:c r="H142"/>
    </x:row>
    <x:row r="143">
      <x:c r="A143" s="12"/>
      <x:c r="B143"/>
      <x:c r="C143"/>
      <x:c r="D143"/>
      <x:c r="E143"/>
      <x:c r="F143" s="12"/>
      <x:c r="G143"/>
      <x:c r="H143"/>
    </x:row>
    <x:row r="144">
      <x:c r="A144" s="12"/>
      <x:c r="B144"/>
      <x:c r="C144"/>
      <x:c r="D144"/>
      <x:c r="E144"/>
      <x:c r="F144" s="12"/>
      <x:c r="G144"/>
      <x:c r="H144"/>
    </x:row>
    <x:row r="145">
      <x:c r="A145" s="12"/>
      <x:c r="B145"/>
      <x:c r="C145"/>
      <x:c r="D145"/>
      <x:c r="E145"/>
      <x:c r="F145" s="12"/>
      <x:c r="G145"/>
      <x:c r="H145"/>
    </x:row>
    <x:row r="146">
      <x:c r="A146" s="12"/>
      <x:c r="B146"/>
      <x:c r="C146"/>
      <x:c r="D146"/>
      <x:c r="E146"/>
      <x:c r="F146" s="12"/>
      <x:c r="G146"/>
      <x:c r="H146"/>
    </x:row>
    <x:row r="147">
      <x:c r="A147" s="12"/>
      <x:c r="B147"/>
      <x:c r="C147"/>
      <x:c r="D147"/>
      <x:c r="E147"/>
      <x:c r="F147" s="12"/>
      <x:c r="G147"/>
      <x:c r="H147"/>
    </x:row>
    <x:row r="148">
      <x:c r="A148" s="12"/>
      <x:c r="B148"/>
      <x:c r="C148"/>
      <x:c r="D148"/>
      <x:c r="E148"/>
      <x:c r="F148" s="12"/>
      <x:c r="G148"/>
      <x:c r="H148"/>
    </x:row>
    <x:row r="149">
      <x:c r="A149" s="12"/>
      <x:c r="B149"/>
      <x:c r="C149"/>
      <x:c r="D149"/>
      <x:c r="E149"/>
      <x:c r="F149" s="12"/>
      <x:c r="G149"/>
      <x:c r="H149"/>
    </x:row>
    <x:row r="150">
      <x:c r="A150" s="12"/>
      <x:c r="B150"/>
      <x:c r="C150"/>
      <x:c r="D150"/>
      <x:c r="E150"/>
      <x:c r="F150" s="12"/>
      <x:c r="G150"/>
      <x:c r="H150"/>
    </x:row>
    <x:row r="151">
      <x:c r="A151" s="12"/>
      <x:c r="B151"/>
      <x:c r="C151"/>
      <x:c r="D151"/>
      <x:c r="E151"/>
      <x:c r="F151" s="12"/>
      <x:c r="G151"/>
      <x:c r="H151"/>
    </x:row>
    <x:row r="152">
      <x:c r="A152" s="12"/>
      <x:c r="B152"/>
      <x:c r="C152"/>
      <x:c r="D152"/>
      <x:c r="E152"/>
      <x:c r="F152" s="12"/>
      <x:c r="G152"/>
      <x:c r="H152"/>
    </x:row>
    <x:row r="153">
      <x:c r="A153" s="12"/>
      <x:c r="B153"/>
      <x:c r="C153"/>
      <x:c r="D153"/>
      <x:c r="E153"/>
      <x:c r="F153" s="12"/>
      <x:c r="G153"/>
      <x:c r="H153"/>
    </x:row>
    <x:row r="154">
      <x:c r="A154" s="12"/>
      <x:c r="B154"/>
      <x:c r="C154"/>
      <x:c r="D154"/>
      <x:c r="E154"/>
      <x:c r="F154" s="12"/>
      <x:c r="G154"/>
      <x:c r="H154"/>
    </x:row>
    <x:row r="155">
      <x:c r="A155" s="12"/>
      <x:c r="B155"/>
      <x:c r="C155"/>
      <x:c r="D155"/>
      <x:c r="E155"/>
      <x:c r="F155" s="12"/>
      <x:c r="G155"/>
      <x:c r="H155"/>
    </x:row>
    <x:row r="156">
      <x:c r="A156" s="12"/>
      <x:c r="B156"/>
      <x:c r="C156"/>
      <x:c r="D156"/>
      <x:c r="E156"/>
      <x:c r="F156" s="12"/>
      <x:c r="G156"/>
      <x:c r="H156"/>
    </x:row>
    <x:row r="157">
      <x:c r="A157" s="12"/>
      <x:c r="B157"/>
      <x:c r="C157"/>
      <x:c r="D157"/>
      <x:c r="E157"/>
      <x:c r="F157" s="12"/>
      <x:c r="G157"/>
      <x:c r="H157"/>
    </x:row>
    <x:row r="158">
      <x:c r="A158" s="12"/>
      <x:c r="B158"/>
      <x:c r="C158"/>
      <x:c r="D158"/>
      <x:c r="E158"/>
      <x:c r="F158" s="12"/>
      <x:c r="G158"/>
      <x:c r="H158"/>
    </x:row>
    <x:row r="159">
      <x:c r="A159" s="12"/>
      <x:c r="B159"/>
      <x:c r="C159"/>
      <x:c r="D159"/>
      <x:c r="E159"/>
      <x:c r="F159" s="12"/>
      <x:c r="G159"/>
      <x:c r="H159"/>
    </x:row>
    <x:row r="160">
      <x:c r="A160" s="12"/>
      <x:c r="B160"/>
      <x:c r="C160"/>
      <x:c r="D160"/>
      <x:c r="E160"/>
      <x:c r="F160" s="12"/>
      <x:c r="G160"/>
      <x:c r="H160"/>
    </x:row>
    <x:row r="161">
      <x:c r="A161" s="12"/>
      <x:c r="B161"/>
      <x:c r="C161"/>
      <x:c r="D161"/>
      <x:c r="E161"/>
      <x:c r="F161" s="12"/>
      <x:c r="G161"/>
      <x:c r="H161"/>
    </x:row>
    <x:row r="162">
      <x:c r="A162" s="12"/>
      <x:c r="B162"/>
      <x:c r="C162"/>
      <x:c r="D162"/>
      <x:c r="E162"/>
      <x:c r="F162" s="12"/>
      <x:c r="G162"/>
      <x:c r="H162"/>
    </x:row>
    <x:row r="163">
      <x:c r="A163" s="12"/>
      <x:c r="B163"/>
      <x:c r="C163"/>
      <x:c r="D163"/>
      <x:c r="E163"/>
      <x:c r="F163" s="12"/>
      <x:c r="G163"/>
      <x:c r="H163"/>
    </x:row>
    <x:row r="164">
      <x:c r="A164" s="12"/>
      <x:c r="B164"/>
      <x:c r="C164"/>
      <x:c r="D164"/>
      <x:c r="E164"/>
      <x:c r="F164" s="12"/>
      <x:c r="G164"/>
      <x:c r="H164"/>
    </x:row>
    <x:row r="165">
      <x:c r="A165" s="12"/>
      <x:c r="B165"/>
      <x:c r="C165"/>
      <x:c r="D165"/>
      <x:c r="E165"/>
      <x:c r="F165" s="12"/>
      <x:c r="G165"/>
      <x:c r="H165"/>
    </x:row>
    <x:row r="166">
      <x:c r="A166" s="12"/>
      <x:c r="B166"/>
      <x:c r="C166"/>
      <x:c r="D166"/>
      <x:c r="E166"/>
      <x:c r="F166" s="12"/>
      <x:c r="G166"/>
      <x:c r="H166"/>
    </x:row>
    <x:row r="167">
      <x:c r="A167" s="12"/>
      <x:c r="B167"/>
      <x:c r="C167"/>
      <x:c r="D167"/>
      <x:c r="E167"/>
      <x:c r="F167" s="12"/>
      <x:c r="G167"/>
      <x:c r="H167"/>
    </x:row>
    <x:row r="168">
      <x:c r="A168" s="12"/>
      <x:c r="B168"/>
      <x:c r="C168"/>
      <x:c r="D168"/>
      <x:c r="E168"/>
      <x:c r="F168" s="12"/>
      <x:c r="G168"/>
      <x:c r="H168"/>
    </x:row>
    <x:row r="169">
      <x:c r="A169" s="12"/>
      <x:c r="B169"/>
      <x:c r="C169"/>
      <x:c r="D169"/>
      <x:c r="E169"/>
      <x:c r="F169" s="12"/>
      <x:c r="G169"/>
      <x:c r="H169"/>
    </x:row>
    <x:row r="170">
      <x:c r="A170" s="12"/>
      <x:c r="B170"/>
      <x:c r="C170"/>
      <x:c r="D170"/>
      <x:c r="E170"/>
      <x:c r="F170" s="12"/>
      <x:c r="G170"/>
      <x:c r="H170"/>
    </x:row>
    <x:row r="171">
      <x:c r="A171" s="12"/>
      <x:c r="B171"/>
      <x:c r="C171"/>
      <x:c r="D171"/>
      <x:c r="E171"/>
      <x:c r="F171" s="12"/>
      <x:c r="G171"/>
      <x:c r="H171"/>
    </x:row>
    <x:row r="172">
      <x:c r="A172" s="12"/>
      <x:c r="B172"/>
      <x:c r="C172"/>
      <x:c r="D172"/>
      <x:c r="E172"/>
      <x:c r="F172" s="12"/>
      <x:c r="G172"/>
      <x:c r="H172"/>
    </x:row>
    <x:row r="173">
      <x:c r="A173" s="12"/>
      <x:c r="B173"/>
      <x:c r="C173"/>
      <x:c r="D173"/>
      <x:c r="E173"/>
      <x:c r="F173" s="12"/>
      <x:c r="G173"/>
      <x:c r="H173"/>
    </x:row>
    <x:row r="174">
      <x:c r="A174" s="12"/>
      <x:c r="B174"/>
      <x:c r="C174"/>
      <x:c r="D174"/>
      <x:c r="E174"/>
      <x:c r="F174" s="12"/>
      <x:c r="G174"/>
      <x:c r="H174"/>
    </x:row>
    <x:row r="175">
      <x:c r="A175" s="12"/>
      <x:c r="B175"/>
      <x:c r="C175"/>
      <x:c r="D175"/>
      <x:c r="E175"/>
      <x:c r="F175" s="12"/>
      <x:c r="G175"/>
      <x:c r="H175"/>
    </x:row>
    <x:row r="176">
      <x:c r="A176" s="12"/>
      <x:c r="B176"/>
      <x:c r="C176"/>
      <x:c r="D176"/>
      <x:c r="E176"/>
      <x:c r="F176" s="12"/>
      <x:c r="G176"/>
      <x:c r="H176"/>
    </x:row>
    <x:row r="177">
      <x:c r="A177" s="12"/>
      <x:c r="B177"/>
      <x:c r="C177"/>
      <x:c r="D177"/>
      <x:c r="E177"/>
      <x:c r="F177" s="12"/>
      <x:c r="G177"/>
      <x:c r="H177"/>
    </x:row>
    <x:row r="178">
      <x:c r="A178" s="12"/>
      <x:c r="B178"/>
      <x:c r="C178"/>
      <x:c r="D178"/>
      <x:c r="E178"/>
      <x:c r="F178" s="12"/>
      <x:c r="G178"/>
      <x:c r="H178"/>
    </x:row>
    <x:row r="179">
      <x:c r="A179" s="12"/>
      <x:c r="B179"/>
      <x:c r="C179"/>
      <x:c r="D179"/>
      <x:c r="E179"/>
      <x:c r="F179" s="12"/>
      <x:c r="G179"/>
      <x:c r="H179"/>
    </x:row>
    <x:row r="180">
      <x:c r="A180" s="12"/>
      <x:c r="B180"/>
      <x:c r="C180"/>
      <x:c r="D180"/>
      <x:c r="E180"/>
      <x:c r="F180" s="12"/>
      <x:c r="G180"/>
      <x:c r="H180"/>
    </x:row>
    <x:row r="181">
      <x:c r="A181" s="12"/>
      <x:c r="B181"/>
      <x:c r="C181"/>
      <x:c r="D181"/>
      <x:c r="E181"/>
      <x:c r="F181" s="12"/>
      <x:c r="G181"/>
      <x:c r="H181"/>
    </x:row>
    <x:row r="182">
      <x:c r="A182" s="12"/>
      <x:c r="B182"/>
      <x:c r="C182"/>
      <x:c r="D182"/>
      <x:c r="E182"/>
      <x:c r="F182" s="12"/>
      <x:c r="G182"/>
      <x:c r="H182"/>
    </x:row>
    <x:row r="183">
      <x:c r="A183" s="12"/>
      <x:c r="B183"/>
      <x:c r="C183"/>
      <x:c r="D183"/>
      <x:c r="E183"/>
      <x:c r="F183" s="12"/>
      <x:c r="G183"/>
      <x:c r="H183"/>
    </x:row>
    <x:row r="184">
      <x:c r="A184" s="12"/>
      <x:c r="B184"/>
      <x:c r="C184"/>
      <x:c r="D184"/>
      <x:c r="E184"/>
      <x:c r="F184" s="12"/>
      <x:c r="G184"/>
      <x:c r="H184"/>
    </x:row>
    <x:row r="185">
      <x:c r="A185" s="12"/>
      <x:c r="B185"/>
      <x:c r="C185"/>
      <x:c r="D185"/>
      <x:c r="E185"/>
      <x:c r="F185" s="12"/>
      <x:c r="G185"/>
      <x:c r="H185"/>
    </x:row>
    <x:row r="186">
      <x:c r="A186" s="12"/>
      <x:c r="B186"/>
      <x:c r="C186"/>
      <x:c r="D186"/>
      <x:c r="E186"/>
      <x:c r="F186" s="12"/>
      <x:c r="G186"/>
      <x:c r="H186"/>
    </x:row>
    <x:row r="187">
      <x:c r="A187" s="12"/>
      <x:c r="B187"/>
      <x:c r="C187"/>
      <x:c r="D187"/>
      <x:c r="E187"/>
      <x:c r="F187" s="12"/>
      <x:c r="G187"/>
      <x:c r="H187"/>
    </x:row>
    <x:row r="188">
      <x:c r="A188" s="12"/>
      <x:c r="B188"/>
      <x:c r="C188"/>
      <x:c r="D188"/>
      <x:c r="E188"/>
      <x:c r="F188" s="12"/>
      <x:c r="G188"/>
      <x:c r="H188"/>
    </x:row>
    <x:row r="189">
      <x:c r="A189" s="12"/>
      <x:c r="B189"/>
      <x:c r="C189"/>
      <x:c r="D189"/>
      <x:c r="E189"/>
      <x:c r="F189" s="12"/>
      <x:c r="G189"/>
      <x:c r="H189"/>
    </x:row>
    <x:row r="190">
      <x:c r="A190" s="12"/>
      <x:c r="B190"/>
      <x:c r="C190"/>
      <x:c r="D190"/>
      <x:c r="E190"/>
      <x:c r="F190" s="12"/>
      <x:c r="G190"/>
      <x:c r="H190"/>
    </x:row>
    <x:row r="191">
      <x:c r="A191" s="12"/>
      <x:c r="B191"/>
      <x:c r="C191"/>
      <x:c r="D191"/>
      <x:c r="E191"/>
      <x:c r="F191" s="12"/>
      <x:c r="G191"/>
      <x:c r="H191"/>
    </x:row>
    <x:row r="192">
      <x:c r="A192" s="12"/>
      <x:c r="B192"/>
      <x:c r="C192"/>
      <x:c r="D192"/>
      <x:c r="E192"/>
      <x:c r="F192" s="12"/>
      <x:c r="G192"/>
      <x:c r="H192"/>
    </x:row>
    <x:row r="193">
      <x:c r="A193" s="12"/>
      <x:c r="B193"/>
      <x:c r="C193"/>
      <x:c r="D193"/>
      <x:c r="E193"/>
      <x:c r="F193" s="12"/>
      <x:c r="G193"/>
      <x:c r="H193"/>
    </x:row>
    <x:row r="194">
      <x:c r="A194" s="12"/>
      <x:c r="B194"/>
      <x:c r="C194"/>
      <x:c r="D194"/>
      <x:c r="E194"/>
      <x:c r="F194" s="12"/>
      <x:c r="G194"/>
      <x:c r="H194"/>
    </x:row>
    <x:row r="195">
      <x:c r="A195" s="12"/>
      <x:c r="B195"/>
      <x:c r="C195"/>
      <x:c r="D195"/>
      <x:c r="E195"/>
      <x:c r="F195" s="12"/>
      <x:c r="G195"/>
      <x:c r="H195"/>
    </x:row>
    <x:row r="196">
      <x:c r="A196" s="12"/>
      <x:c r="B196"/>
      <x:c r="C196"/>
      <x:c r="D196"/>
      <x:c r="E196"/>
      <x:c r="F196" s="12"/>
      <x:c r="G196"/>
      <x:c r="H196"/>
    </x:row>
    <x:row r="197">
      <x:c r="A197" s="12"/>
      <x:c r="B197"/>
      <x:c r="C197"/>
      <x:c r="D197"/>
      <x:c r="E197"/>
      <x:c r="F197" s="12"/>
      <x:c r="G197"/>
      <x:c r="H197"/>
    </x:row>
    <x:row r="198">
      <x:c r="A198" s="12"/>
      <x:c r="B198"/>
      <x:c r="C198"/>
      <x:c r="D198"/>
      <x:c r="E198"/>
      <x:c r="F198" s="12"/>
      <x:c r="G198"/>
      <x:c r="H198"/>
    </x:row>
    <x:row r="199">
      <x:c r="A199" s="12"/>
      <x:c r="B199"/>
      <x:c r="C199"/>
      <x:c r="D199"/>
      <x:c r="E199"/>
      <x:c r="F199" s="12"/>
      <x:c r="G199"/>
      <x:c r="H199"/>
    </x:row>
    <x:row r="200">
      <x:c r="A200" s="12"/>
      <x:c r="B200"/>
      <x:c r="C200"/>
      <x:c r="D200"/>
      <x:c r="E200"/>
      <x:c r="F200" s="12"/>
      <x:c r="G200"/>
      <x:c r="H200"/>
    </x:row>
    <x:row r="201">
      <x:c r="A201" s="12"/>
      <x:c r="B201"/>
      <x:c r="C201"/>
      <x:c r="D201"/>
      <x:c r="E201"/>
      <x:c r="F201" s="12"/>
      <x:c r="G201"/>
      <x:c r="H201"/>
    </x:row>
  </x:sheetData>
  <x:dataValidations count="1">
    <x:dataValidation type="list" sqref="G2:G201">
      <x:formula1>"Bekliyor,Planlandı,Tamamlandı,Mazeret"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62" hidden="0" customWidth="1"/>
  </x:cols>
  <x:sheetData>
    <x:row r="1">
      <x:c r="A1" s="6" t="str">
        <x:v>Ders</x:v>
      </x:c>
      <x:c r="B1" s="6" t="str">
        <x:v>Tür</x:v>
      </x:c>
      <x:c r="C1" s="6" t="str">
        <x:v>Kaynak</x:v>
      </x:c>
      <x:c r="D1" s="6" t="str">
        <x:v>Zorunluluk</x:v>
      </x:c>
      <x:c r="E1" s="6" t="str">
        <x:v>Açılma Kuralı</x:v>
      </x:c>
      <x:c r="F1" s="6" t="str">
        <x:v>31.12 Hedef %</x:v>
      </x:c>
      <x:c r="G1" s="6" t="str">
        <x:v>31.01 Hedef %</x:v>
      </x:c>
      <x:c r="H1" s="6" t="str">
        <x:v>28.02 Hedef %</x:v>
      </x:c>
      <x:c r="I1" s="6" t="str">
        <x:v>31.03 Hedef %</x:v>
      </x:c>
      <x:c r="J1" s="6" t="str">
        <x:v>13.04 Hedef %</x:v>
      </x:c>
      <x:c r="K1" s="6" t="str">
        <x:v>Gerçekleşen %</x:v>
      </x:c>
      <x:c r="L1" s="6" t="str">
        <x:v>Durum</x:v>
      </x:c>
      <x:c r="M1" s="6" t="str">
        <x:v>Not</x:v>
      </x:c>
    </x:row>
    <x:row r="2">
      <x:c r="A2" t="str">
        <x:v>Matematik</x:v>
      </x:c>
      <x:c r="B2" t="str">
        <x:v>Ana Soru Kitabı</x:v>
      </x:c>
      <x:c r="C2" t="str">
        <x:v>MUBA 8. Sınıf Başlangıç Matematik (ISBN 9789756526972)</x:v>
      </x:c>
      <x:c r="D2" t="str">
        <x:v>Zorunlu</x:v>
      </x:c>
      <x:c r="E2" t="str">
        <x:v>—</x:v>
      </x:c>
      <x:c r="F2" s="24" t="n">
        <x:v>0.3</x:v>
      </x:c>
      <x:c r="G2" s="24" t="n">
        <x:v>0.55</x:v>
      </x:c>
      <x:c r="H2" s="24" t="n">
        <x:v>0.75</x:v>
      </x:c>
      <x:c r="I2" s="24" t="n">
        <x:v>0.9</x:v>
      </x:c>
      <x:c r="J2" s="24" t="n">
        <x:v>1</x:v>
      </x:c>
      <x:c r="K2" s="24"/>
      <x:c r="L2" t="str">
        <x:f>IF(K2="","Girilmedi",IF(K2&gt;=1,"Tamamlandı",IF(AND(D2="Zorunlu",TODAY()&gt;DATE(2027,4,13),K2&lt;1),"Gecikmiş","Devam")))</x:f>
        <x:v>Girilmedi</x:v>
      </x:c>
      <x:c r="M2" t="str">
        <x:v>Konu videosu → kitap → MEB. 13 Nisan'da %100 hedef.</x:v>
      </x:c>
    </x:row>
    <x:row r="3">
      <x:c r="A3" t="str">
        <x:v>Matematik</x:v>
      </x:c>
      <x:c r="B3" t="str">
        <x:v>İkinci Aşama</x:v>
      </x:c>
      <x:c r="C3" t="str">
        <x:v>Mozaik 8. Sınıf Matematik</x:v>
      </x:c>
      <x:c r="D3" t="str">
        <x:v>Koşullu</x:v>
      </x:c>
      <x:c r="E3" t="str">
        <x:v>MUBA %100</x:v>
      </x:c>
      <x:c r="F3" s="24" t="n">
        <x:v>0</x:v>
      </x:c>
      <x:c r="G3" s="24" t="n">
        <x:v>0</x:v>
      </x:c>
      <x:c r="H3" s="24" t="n">
        <x:v>0.2</x:v>
      </x:c>
      <x:c r="I3" s="24" t="n">
        <x:v>0.6</x:v>
      </x:c>
      <x:c r="J3" s="24" t="n">
        <x:v>1</x:v>
      </x:c>
      <x:c r="K3" s="24"/>
      <x:c r="L3" t="str">
        <x:f>IF(K3="","Girilmedi",IF(K3&gt;=1,"Tamamlandı",IF(AND(D3="Zorunlu",TODAY()&gt;DATE(2027,4,13),K3&lt;1),"Gecikmiş","Devam")))</x:f>
        <x:v>Girilmedi</x:v>
      </x:c>
      <x:c r="M3" t="str">
        <x:v>MUBA erken biterse açılır; ana planın kalitesini bozacak hacim zorunlu değildir.</x:v>
      </x:c>
    </x:row>
    <x:row r="4">
      <x:c r="A4" t="str">
        <x:v>Türkçe</x:v>
      </x:c>
      <x:c r="B4" t="str">
        <x:v>Dil Bilgisi</x:v>
      </x:c>
      <x:c r="C4" t="str">
        <x:v>Ankara 8. Sınıf Dil Bilgisi Güçlendiren</x:v>
      </x:c>
      <x:c r="D4" t="str">
        <x:v>Zorunlu</x:v>
      </x:c>
      <x:c r="E4" t="str">
        <x:v>—</x:v>
      </x:c>
      <x:c r="F4" s="24" t="n">
        <x:v>0.35</x:v>
      </x:c>
      <x:c r="G4" s="24" t="n">
        <x:v>0.6</x:v>
      </x:c>
      <x:c r="H4" s="24" t="n">
        <x:v>0.8</x:v>
      </x:c>
      <x:c r="I4" s="24" t="n">
        <x:v>0.95</x:v>
      </x:c>
      <x:c r="J4" s="24" t="n">
        <x:v>1</x:v>
      </x:c>
      <x:c r="K4" s="24"/>
      <x:c r="L4" t="str">
        <x:f>IF(K4="","Girilmedi",IF(K4&gt;=1,"Tamamlandı",IF(AND(D4="Zorunlu",TODAY()&gt;DATE(2027,4,13),K4&lt;1),"Gecikmiş","Devam")))</x:f>
        <x:v>Girilmedi</x:v>
      </x:c>
      <x:c r="M4" t="str">
        <x:v>İlgili konu bölümü ardından MEB doğrulaması.</x:v>
      </x:c>
    </x:row>
    <x:row r="5">
      <x:c r="A5" t="str">
        <x:v>Türkçe</x:v>
      </x:c>
      <x:c r="B5" t="str">
        <x:v>Paragraf</x:v>
      </x:c>
      <x:c r="C5" t="str">
        <x:v>Hız 8. Sınıf Türkçe Paragraf (ISBN 9786258394498)</x:v>
      </x:c>
      <x:c r="D5" t="str">
        <x:v>Zorunlu</x:v>
      </x:c>
      <x:c r="E5" t="str">
        <x:v>—</x:v>
      </x:c>
      <x:c r="F5" s="24" t="n">
        <x:v>1</x:v>
      </x:c>
      <x:c r="G5" s="24" t="n">
        <x:v>1</x:v>
      </x:c>
      <x:c r="H5" s="24" t="n">
        <x:v>1</x:v>
      </x:c>
      <x:c r="I5" s="24" t="n">
        <x:v>1</x:v>
      </x:c>
      <x:c r="J5" s="24" t="n">
        <x:v>1</x:v>
      </x:c>
      <x:c r="K5" s="24"/>
      <x:c r="L5" t="str">
        <x:f>IF(K5="","Girilmedi",IF(K5&gt;=1,"Tamamlandı",IF(AND(D5="Zorunlu",TODAY()&gt;DATE(2027,4,13),K5&lt;1),"Gecikmiş","Devam")))</x:f>
        <x:v>Girilmedi</x:v>
      </x:c>
      <x:c r="M5" t="str">
        <x:v>20/gün ile erken biterse MEB/paragraf ve yanlış tekrarına geçilir.</x:v>
      </x:c>
    </x:row>
    <x:row r="6">
      <x:c r="A6" t="str">
        <x:v>Fen</x:v>
      </x:c>
      <x:c r="B6" t="str">
        <x:v>Ana Soru Kitabı</x:v>
      </x:c>
      <x:c r="C6" t="str">
        <x:v>Hız 8. Sınıf Fen (ISBN 9786257514859)</x:v>
      </x:c>
      <x:c r="D6" t="str">
        <x:v>Zorunlu</x:v>
      </x:c>
      <x:c r="E6" t="str">
        <x:v>—</x:v>
      </x:c>
      <x:c r="F6" s="24" t="n">
        <x:v>0.25</x:v>
      </x:c>
      <x:c r="G6" s="24" t="n">
        <x:v>0.45</x:v>
      </x:c>
      <x:c r="H6" s="24" t="n">
        <x:v>0.65</x:v>
      </x:c>
      <x:c r="I6" s="24" t="n">
        <x:v>0.85</x:v>
      </x:c>
      <x:c r="J6" s="24" t="n">
        <x:v>1</x:v>
      </x:c>
      <x:c r="K6" s="24"/>
      <x:c r="L6" t="str">
        <x:f>IF(K6="","Girilmedi",IF(K6&gt;=1,"Tamamlandı",IF(AND(D6="Zorunlu",TODAY()&gt;DATE(2027,4,13),K6&lt;1),"Gecikmiş","Devam")))</x:f>
        <x:v>Girilmedi</x:v>
      </x:c>
      <x:c r="M6" t="str">
        <x:v>Fen Cumartesi ek oturumu bu hedefi destekler.</x:v>
      </x:c>
    </x:row>
    <x:row r="7">
      <x:c r="A7" t="str">
        <x:v>Fen</x:v>
      </x:c>
      <x:c r="B7" t="str">
        <x:v>İkinci Aşama</x:v>
      </x:c>
      <x:c r="C7" t="str">
        <x:v>Mozaik 8. Sınıf Fen</x:v>
      </x:c>
      <x:c r="D7" t="str">
        <x:v>Koşullu</x:v>
      </x:c>
      <x:c r="E7" t="str">
        <x:v>Hız Fen %100</x:v>
      </x:c>
      <x:c r="F7" s="24" t="n">
        <x:v>0</x:v>
      </x:c>
      <x:c r="G7" s="24" t="n">
        <x:v>0</x:v>
      </x:c>
      <x:c r="H7" s="24" t="n">
        <x:v>0</x:v>
      </x:c>
      <x:c r="I7" s="24" t="n">
        <x:v>0.25</x:v>
      </x:c>
      <x:c r="J7" s="24" t="n">
        <x:v>1</x:v>
      </x:c>
      <x:c r="K7" s="24"/>
      <x:c r="L7" t="str">
        <x:f>IF(K7="","Girilmedi",IF(K7&gt;=1,"Tamamlandı",IF(AND(D7="Zorunlu",TODAY()&gt;DATE(2027,4,13),K7&lt;1),"Gecikmiş","Devam")))</x:f>
        <x:v>Girilmedi</x:v>
      </x:c>
      <x:c r="M7" t="str">
        <x:v>Hız erken biterse açılır; 13 Nisan'dan önce ancak gerçekçi ise tamamlanır.</x:v>
      </x:c>
    </x:row>
    <x:row r="8">
      <x:c r="A8" t="str">
        <x:v>İnkılap</x:v>
      </x:c>
      <x:c r="B8" t="str">
        <x:v>Soru Kitabı</x:v>
      </x:c>
      <x:c r="C8" t="str">
        <x:v>Hız 8. Sınıf T.C. İnkılap Tarihi ve Atatürkçülük</x:v>
      </x:c>
      <x:c r="D8" t="str">
        <x:v>Zorunlu</x:v>
      </x:c>
      <x:c r="E8" t="str">
        <x:v>—</x:v>
      </x:c>
      <x:c r="F8" s="24" t="n">
        <x:v>0.25</x:v>
      </x:c>
      <x:c r="G8" s="24" t="n">
        <x:v>0.5</x:v>
      </x:c>
      <x:c r="H8" s="24" t="n">
        <x:v>0.7</x:v>
      </x:c>
      <x:c r="I8" s="24" t="n">
        <x:v>0.9</x:v>
      </x:c>
      <x:c r="J8" s="24" t="n">
        <x:v>1</x:v>
      </x:c>
      <x:c r="K8" s="24"/>
      <x:c r="L8" t="str">
        <x:f>IF(K8="","Girilmedi",IF(K8&gt;=1,"Tamamlandı",IF(AND(D8="Zorunlu",TODAY()&gt;DATE(2027,4,13),K8&lt;1),"Gecikmiş","Devam")))</x:f>
        <x:v>Girilmedi</x:v>
      </x:c>
      <x:c r="M8" t="str"/>
    </x:row>
    <x:row r="9">
      <x:c r="A9" t="str">
        <x:v>Din</x:v>
      </x:c>
      <x:c r="B9" t="str">
        <x:v>Soru Kitabı</x:v>
      </x:c>
      <x:c r="C9" t="str">
        <x:v>Hız 8. Sınıf Din Kültürü ve Ahlak Bilgisi</x:v>
      </x:c>
      <x:c r="D9" t="str">
        <x:v>Zorunlu</x:v>
      </x:c>
      <x:c r="E9" t="str">
        <x:v>—</x:v>
      </x:c>
      <x:c r="F9" s="24" t="n">
        <x:v>0.35</x:v>
      </x:c>
      <x:c r="G9" s="24" t="n">
        <x:v>0.65</x:v>
      </x:c>
      <x:c r="H9" s="24" t="n">
        <x:v>0.85</x:v>
      </x:c>
      <x:c r="I9" s="24" t="n">
        <x:v>1</x:v>
      </x:c>
      <x:c r="J9" s="24" t="n">
        <x:v>1</x:v>
      </x:c>
      <x:c r="K9" s="24"/>
      <x:c r="L9" t="str">
        <x:f>IF(K9="","Girilmedi",IF(K9&gt;=1,"Tamamlandı",IF(AND(D9="Zorunlu",TODAY()&gt;DATE(2027,4,13),K9&lt;1),"Gecikmiş","Devam")))</x:f>
        <x:v>Girilmedi</x:v>
      </x:c>
      <x:c r="M9" t="str"/>
    </x:row>
    <x:row r="10">
      <x:c r="A10" t="str">
        <x:v>İngilizce</x:v>
      </x:c>
      <x:c r="B10" t="str">
        <x:v>Worksheet</x:v>
      </x:c>
      <x:c r="C10" t="str">
        <x:v>More &amp; More 8 Worksheets Notebook</x:v>
      </x:c>
      <x:c r="D10" t="str">
        <x:v>Zorunlu</x:v>
      </x:c>
      <x:c r="E10" t="str">
        <x:v>—</x:v>
      </x:c>
      <x:c r="F10" s="24" t="n">
        <x:v>0.25</x:v>
      </x:c>
      <x:c r="G10" s="24" t="n">
        <x:v>0.55</x:v>
      </x:c>
      <x:c r="H10" s="24" t="n">
        <x:v>0.75</x:v>
      </x:c>
      <x:c r="I10" s="24" t="n">
        <x:v>0.95</x:v>
      </x:c>
      <x:c r="J10" s="24" t="n">
        <x:v>1</x:v>
      </x:c>
      <x:c r="K10" s="24"/>
      <x:c r="L10" t="str">
        <x:f>IF(K10="","Girilmedi",IF(K10&gt;=1,"Tamamlandı",IF(AND(D10="Zorunlu",TODAY()&gt;DATE(2027,4,13),K10&lt;1),"Gecikmiş","Devam")))</x:f>
        <x:v>Girilmedi</x:v>
      </x:c>
      <x:c r="M10" t="str"/>
    </x:row>
    <x:row r="11">
      <x:c r="A11" t="str">
        <x:v>Tüm Dersler</x:v>
      </x:c>
      <x:c r="B11" t="str">
        <x:v>MEB</x:v>
      </x:c>
      <x:c r="C11" t="str">
        <x:v>İlgili resmî MEB soruları</x:v>
      </x:c>
      <x:c r="D11" t="str">
        <x:v>Zorunlu</x:v>
      </x:c>
      <x:c r="E11" t="str">
        <x:v>Konu kitabı sonrası</x:v>
      </x:c>
      <x:c r="F11" s="24" t="n">
        <x:v>0.2</x:v>
      </x:c>
      <x:c r="G11" s="24" t="n">
        <x:v>0.45</x:v>
      </x:c>
      <x:c r="H11" s="24" t="n">
        <x:v>0.7</x:v>
      </x:c>
      <x:c r="I11" s="24" t="n">
        <x:v>0.9</x:v>
      </x:c>
      <x:c r="J11" s="24" t="n">
        <x:v>1</x:v>
      </x:c>
      <x:c r="K11" s="24"/>
      <x:c r="L11" t="str">
        <x:f>IF(K11="","Girilmedi",IF(K11&gt;=1,"Tamamlandı",IF(AND(D11="Zorunlu",TODAY()&gt;DATE(2027,4,13),K11&lt;1),"Gecikmiş","Devam")))</x:f>
        <x:v>Girilmedi</x:v>
      </x:c>
      <x:c r="M11" t="str">
        <x:v>109 konu/ünite için konu sonu doğrulama; yanlışlar +1/+7/+21 tekrar.</x:v>
      </x:c>
    </x:row>
  </x:sheetData>
  <x:conditionalFormatting sqref="L2:L11">
    <x:cfRule type="expression" dxfId="7" priority="1">
      <x:formula>L2="Tamamlandı"</x:formula>
    </x:cfRule>
    <x:cfRule type="expression" dxfId="8" priority="2">
      <x:formula>L2="Gecikmiş"</x:formula>
    </x:cfRule>
  </x:conditionalFormatting>
  <x:dataValidations count="1">
    <x:dataValidation type="decimal" operator="between" sqref="K2:K11">
      <x:formula1>0</x:formula1>
      <x:formula2>1</x:formula2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46" hidden="0" customWidth="1"/>
    <x:col min="4" max="4" width="34" hidden="0" customWidth="1"/>
    <x:col min="5" max="5" width="50" hidden="0" customWidth="1"/>
    <x:col min="6" max="6" width="68" hidden="0" customWidth="1"/>
    <x:col min="7" max="7" width="16" hidden="0" customWidth="1"/>
    <x:col min="8" max="8" width="64" hidden="0" customWidth="1"/>
  </x:cols>
  <x:sheetData>
    <x:row r="1">
      <x:c r="A1" s="6" t="str">
        <x:v>Ders</x:v>
      </x:c>
      <x:c r="B1" s="6" t="str">
        <x:v>Tür</x:v>
      </x:c>
      <x:c r="C1" s="6" t="str">
        <x:v>Kaynak</x:v>
      </x:c>
      <x:c r="D1" s="6" t="str">
        <x:v>ISBN / Kimlik</x:v>
      </x:c>
      <x:c r="E1" s="6" t="str">
        <x:v>Kullanım</x:v>
      </x:c>
      <x:c r="F1" s="6" t="str">
        <x:v>Genel URL</x:v>
      </x:c>
      <x:c r="G1" s="6" t="str">
        <x:v>Durum</x:v>
      </x:c>
      <x:c r="H1" s="6" t="str">
        <x:v>Not</x:v>
      </x:c>
    </x:row>
    <x:row r="2">
      <x:c r="A2" s="14" t="str">
        <x:v>Matematik</x:v>
      </x:c>
      <x:c r="B2" s="14" t="str">
        <x:v>Video Ana</x:v>
      </x:c>
      <x:c r="C2" s="14" t="str">
        <x:v>Hocalara Geldik / TYT Matematik 2024</x:v>
      </x:c>
      <x:c r="D2" s="14" t="str">
        <x:v>PLicNtF7vp6fnfDqrRLH6H7fIbzYT4ct4F</x:v>
      </x:c>
      <x:c r="E2" s="14" t="str">
        <x:v>Sıfırdan temel + LGS gerekli bölümler</x:v>
      </x:c>
      <x:c r="F2" s="14" t="str">
        <x:v>https://www.youtube.com/watch?v=EuJ89QzqrAg&amp;list=PLicNtF7vp6fnfDqrRLH6H7fIbzYT4ct4F&amp;index=11</x:v>
      </x:c>
      <x:c r="G2" s="14" t="str">
        <x:v>Sabit</x:v>
      </x:c>
      <x:c r="H2" s="14" t="str">
        <x:v>İleri TYT: faktöriyel/fonksiyon/permütasyon-kombinasyon/2. derece/parabol/polinom zorunlu değil.</x:v>
      </x:c>
    </x:row>
    <x:row r="3">
      <x:c r="A3" s="14" t="str">
        <x:v>Matematik</x:v>
      </x:c>
      <x:c r="B3" s="14" t="str">
        <x:v>Video Yedek</x:v>
      </x:c>
      <x:c r="C3" s="14" t="str">
        <x:v>Partikül Matematik LGS 2027</x:v>
      </x:c>
      <x:c r="D3" s="14" t="str">
        <x:v>PLHN_SjKO7rCI</x:v>
      </x:c>
      <x:c r="E3" s="14" t="str">
        <x:v>8. sınıf/LGS tamamlayıcı</x:v>
      </x:c>
      <x:c r="F3" s="14" t="str">
        <x:v>https://www.youtube.com/watch?v=Z7exqEHEqQA&amp;list=PLHN_SjKO7rCI&amp;index=3</x:v>
      </x:c>
      <x:c r="G3" s="14" t="str">
        <x:v>Sabit</x:v>
      </x:c>
      <x:c r="H3" s="14" t="str">
        <x:v>Genel playlist linki gösterilir; tekil video çözümleme yok.</x:v>
      </x:c>
    </x:row>
    <x:row r="4">
      <x:c r="A4" s="14" t="str">
        <x:v>Matematik</x:v>
      </x:c>
      <x:c r="B4" s="14" t="str">
        <x:v>Soru Ana</x:v>
      </x:c>
      <x:c r="C4" s="14" t="str">
        <x:v>MUBA 8. Sınıf Başlangıç Matematik (ISBN 9789756526972)</x:v>
      </x:c>
      <x:c r="D4" s="14" t="str">
        <x:v>9789756526972</x:v>
      </x:c>
      <x:c r="E4" s="14" t="str">
        <x:v>Konu kitabı</x:v>
      </x:c>
      <x:c r="F4" s="14" t="str"/>
      <x:c r="G4" s="14" t="str">
        <x:v>Zorunlu</x:v>
      </x:c>
      <x:c r="H4" s="14" t="str">
        <x:v>Konu → kitap → MEB.</x:v>
      </x:c>
    </x:row>
    <x:row r="5">
      <x:c r="A5" s="14" t="str">
        <x:v>Matematik</x:v>
      </x:c>
      <x:c r="B5" s="14" t="str">
        <x:v>Soru 2</x:v>
      </x:c>
      <x:c r="C5" s="14" t="str">
        <x:v>Mozaik 8. Sınıf Matematik</x:v>
      </x:c>
      <x:c r="D5" s="14" t="str"/>
      <x:c r="E5" s="14" t="str">
        <x:v>Ana kitap erken tamamlanırsa ikinci aşama</x:v>
      </x:c>
      <x:c r="F5" s="14" t="str"/>
      <x:c r="G5" s="14" t="str">
        <x:v>Koşullu</x:v>
      </x:c>
      <x:c r="H5" s="14" t="str">
        <x:v>Ana kitabı bitirmeden açma.</x:v>
      </x:c>
    </x:row>
    <x:row r="6">
      <x:c r="A6" s="14" t="str">
        <x:v>Türkçe</x:v>
      </x:c>
      <x:c r="B6" s="14" t="str">
        <x:v>Video</x:v>
      </x:c>
      <x:c r="C6" s="14" t="str">
        <x:v>Hocalara Geldik / TYT Türkçe 2020</x:v>
      </x:c>
      <x:c r="D6" s="14" t="str">
        <x:v>PLIBjFaUoJJ91bz7QQEBlxNJNZka5YQRr6</x:v>
      </x:c>
      <x:c r="E6" s="14" t="str">
        <x:v>Temelden LGS için gerekli bölümler</x:v>
      </x:c>
      <x:c r="F6" s="14" t="str">
        <x:v>https://www.youtube.com/watch?v=VYsPntNKVdw&amp;list=PLIBjFaUoJJ91bz7QQEBlxNJNZka5YQRr6</x:v>
      </x:c>
      <x:c r="G6" s="14" t="str">
        <x:v>Sabit</x:v>
      </x:c>
      <x:c r="H6" s="14" t="str"/>
    </x:row>
    <x:row r="7">
      <x:c r="A7" s="14" t="str">
        <x:v>Türkçe</x:v>
      </x:c>
      <x:c r="B7" s="14" t="str">
        <x:v>Dil Bilgisi</x:v>
      </x:c>
      <x:c r="C7" s="14" t="str">
        <x:v>Ankara 8. Sınıf Dil Bilgisi Güçlendiren</x:v>
      </x:c>
      <x:c r="D7" s="14" t="str"/>
      <x:c r="E7" s="14" t="str">
        <x:v>Konu kitabı</x:v>
      </x:c>
      <x:c r="F7" s="14" t="str"/>
      <x:c r="G7" s="14" t="str">
        <x:v>Zorunlu</x:v>
      </x:c>
      <x:c r="H7" s="14" t="str"/>
    </x:row>
    <x:row r="8">
      <x:c r="A8" s="14" t="str">
        <x:v>Türkçe</x:v>
      </x:c>
      <x:c r="B8" s="14" t="str">
        <x:v>Paragraf</x:v>
      </x:c>
      <x:c r="C8" s="14" t="str">
        <x:v>Hız 8. Sınıf Türkçe Paragraf (ISBN 9786258394498)</x:v>
      </x:c>
      <x:c r="D8" s="14" t="str">
        <x:v>9786258394498</x:v>
      </x:c>
      <x:c r="E8" s="14" t="str">
        <x:v>Her gün minimum 20; mock kampında tam deneme içinde 20 Türkçe</x:v>
      </x:c>
      <x:c r="F8" s="14" t="str"/>
      <x:c r="G8" s="14" t="str">
        <x:v>Zorunlu</x:v>
      </x:c>
      <x:c r="H8" s="14" t="str">
        <x:v>Kitap biterse resmî MEB/paragraf ve yanlış tekrarına geç.</x:v>
      </x:c>
    </x:row>
    <x:row r="9">
      <x:c r="A9" s="14" t="str">
        <x:v>Fen</x:v>
      </x:c>
      <x:c r="B9" s="14" t="str">
        <x:v>Video Konu</x:v>
      </x:c>
      <x:c r="C9" s="14" t="str">
        <x:v>Derslike 8. Sınıf Fen</x:v>
      </x:c>
      <x:c r="D9" s="14" t="str">
        <x:v>PLrQm7mt99FRV_Oe9xFavWzFpCIl7_XiWj</x:v>
      </x:c>
      <x:c r="E9" s="14" t="str">
        <x:v>Konu anlatımı</x:v>
      </x:c>
      <x:c r="F9" s="14" t="str">
        <x:v>https://www.youtube.com/watch?v=AHdk01aR4Ko&amp;list=PLrQm7mt99FRV_Oe9xFavWzFpCIl7_XiWj</x:v>
      </x:c>
      <x:c r="G9" s="14" t="str">
        <x:v>Sabit</x:v>
      </x:c>
      <x:c r="H9" s="14" t="str"/>
    </x:row>
    <x:row r="10">
      <x:c r="A10" s="14" t="str">
        <x:v>Fen</x:v>
      </x:c>
      <x:c r="B10" s="14" t="str">
        <x:v>Video Soru</x:v>
      </x:c>
      <x:c r="C10" s="14" t="str">
        <x:v>Derslike Fen Soru Çözümü</x:v>
      </x:c>
      <x:c r="D10" s="14" t="str">
        <x:v>PLrQm7mt99FRXcBnorCttd31HJEvg0En26</x:v>
      </x:c>
      <x:c r="E10" s="14" t="str">
        <x:v>Konu sonrası soru çözümü</x:v>
      </x:c>
      <x:c r="F10" s="14" t="str">
        <x:v>https://www.youtube.com/watch?v=pQXhWnDZ3vM&amp;list=PLrQm7mt99FRXcBnorCttd31HJEvg0En26&amp;index=23</x:v>
      </x:c>
      <x:c r="G10" s="14" t="str">
        <x:v>Sabit</x:v>
      </x:c>
      <x:c r="H10" s="14" t="str"/>
    </x:row>
    <x:row r="11">
      <x:c r="A11" s="14" t="str">
        <x:v>Fen</x:v>
      </x:c>
      <x:c r="B11" s="14" t="str">
        <x:v>Soru Ana</x:v>
      </x:c>
      <x:c r="C11" s="14" t="str">
        <x:v>Hız 8. Sınıf Fen (ISBN 9786257514859)</x:v>
      </x:c>
      <x:c r="D11" s="14" t="str">
        <x:v>9786257514859</x:v>
      </x:c>
      <x:c r="E11" s="14" t="str">
        <x:v>Konu kitabı</x:v>
      </x:c>
      <x:c r="F11" s="14" t="str"/>
      <x:c r="G11" s="14" t="str">
        <x:v>Zorunlu</x:v>
      </x:c>
      <x:c r="H11" s="14" t="str">
        <x:v>Hibrit değil normal seri.</x:v>
      </x:c>
    </x:row>
    <x:row r="12">
      <x:c r="A12" s="14" t="str">
        <x:v>Fen</x:v>
      </x:c>
      <x:c r="B12" s="14" t="str">
        <x:v>Soru 2</x:v>
      </x:c>
      <x:c r="C12" s="14" t="str">
        <x:v>Mozaik 8. Sınıf Fen</x:v>
      </x:c>
      <x:c r="D12" s="14" t="str"/>
      <x:c r="E12" s="14" t="str">
        <x:v>Ana kitap erken tamamlanırsa ikinci aşama</x:v>
      </x:c>
      <x:c r="F12" s="14" t="str"/>
      <x:c r="G12" s="14" t="str">
        <x:v>Koşullu</x:v>
      </x:c>
      <x:c r="H12" s="14" t="str">
        <x:v>Hız Fen bitmeden açma.</x:v>
      </x:c>
    </x:row>
    <x:row r="13">
      <x:c r="A13" s="14" t="str">
        <x:v>İnkılap</x:v>
      </x:c>
      <x:c r="B13" s="14" t="str">
        <x:v>Video</x:v>
      </x:c>
      <x:c r="C13" s="14" t="str">
        <x:v>Buğra Hoca LGS 2027</x:v>
      </x:c>
      <x:c r="D13" s="14" t="str">
        <x:v>PLsAsBPsriHNbXit4Ra3iuBrk1ZHZWxsOR</x:v>
      </x:c>
      <x:c r="E13" s="14" t="str">
        <x:v>Konu + soru</x:v>
      </x:c>
      <x:c r="F13" s="14" t="str">
        <x:v>https://www.youtube.com/watch?v=MltIX0oKpYU&amp;list=PLsAsBPsriHNbXit4Ra3iuBrk1ZHZWxsOR&amp;index=78</x:v>
      </x:c>
      <x:c r="G13" s="14" t="str">
        <x:v>Sabit</x:v>
      </x:c>
      <x:c r="H13" s="14" t="str">
        <x:v>Yazılı videoları zorunlu değil.</x:v>
      </x:c>
    </x:row>
    <x:row r="14">
      <x:c r="A14" s="14" t="str">
        <x:v>İnkılap</x:v>
      </x:c>
      <x:c r="B14" s="14" t="str">
        <x:v>Soru</x:v>
      </x:c>
      <x:c r="C14" s="14" t="str">
        <x:v>Hız 8. Sınıf T.C. İnkılap Tarihi ve Atatürkçülük</x:v>
      </x:c>
      <x:c r="D14" s="14" t="str"/>
      <x:c r="E14" s="14" t="str">
        <x:v>Konu kitabı</x:v>
      </x:c>
      <x:c r="F14" s="14" t="str"/>
      <x:c r="G14" s="14" t="str">
        <x:v>Zorunlu</x:v>
      </x:c>
      <x:c r="H14" s="14" t="str"/>
    </x:row>
    <x:row r="15">
      <x:c r="A15" s="14" t="str">
        <x:v>Din</x:v>
      </x:c>
      <x:c r="B15" s="14" t="str">
        <x:v>Video</x:v>
      </x:c>
      <x:c r="C15" s="14" t="str">
        <x:v>2027 LGS Din Kültürü Kampı</x:v>
      </x:c>
      <x:c r="D15" s="14" t="str">
        <x:v>PLbRoPq-Zu-SWXGUbVt4t4UWo-4VjsMUo-</x:v>
      </x:c>
      <x:c r="E15" s="14" t="str">
        <x:v>Konu + soru</x:v>
      </x:c>
      <x:c r="F15" s="14" t="str">
        <x:v>https://www.youtube.com/watch?v=wvdOE_75VnA&amp;list=PLbRoPq-Zu-SWXGUbVt4t4UWo-4VjsMUo-&amp;index=2</x:v>
      </x:c>
      <x:c r="G15" s="14" t="str">
        <x:v>Sabit</x:v>
      </x:c>
      <x:c r="H15" s="14" t="str"/>
    </x:row>
    <x:row r="16">
      <x:c r="A16" s="14" t="str">
        <x:v>Din</x:v>
      </x:c>
      <x:c r="B16" s="14" t="str">
        <x:v>Soru</x:v>
      </x:c>
      <x:c r="C16" s="14" t="str">
        <x:v>Hız 8. Sınıf Din Kültürü ve Ahlak Bilgisi</x:v>
      </x:c>
      <x:c r="D16" s="14" t="str"/>
      <x:c r="E16" s="14" t="str">
        <x:v>Konu kitabı</x:v>
      </x:c>
      <x:c r="F16" s="14" t="str"/>
      <x:c r="G16" s="14" t="str">
        <x:v>Zorunlu</x:v>
      </x:c>
      <x:c r="H16" s="14" t="str"/>
    </x:row>
    <x:row r="17">
      <x:c r="A17" s="14" t="str">
        <x:v>İngilizce</x:v>
      </x:c>
      <x:c r="B17" s="14" t="str">
        <x:v>Video</x:v>
      </x:c>
      <x:c r="C17" s="14" t="str">
        <x:v>8. Sınıf İngilizce Playlist</x:v>
      </x:c>
      <x:c r="D17" s="14" t="str">
        <x:v>PLSgpQDrUSYp94WgE9pzpHiOG5FwxnZBrr</x:v>
      </x:c>
      <x:c r="E17" s="14" t="str">
        <x:v>10 ünite</x:v>
      </x:c>
      <x:c r="F17" s="14" t="str">
        <x:v>https://www.youtube.com/watch?v=FaY3dFjZbns&amp;list=PLSgpQDrUSYp94WgE9pzpHiOG5FwxnZBrr</x:v>
      </x:c>
      <x:c r="G17" s="14" t="str">
        <x:v>Sabit</x:v>
      </x:c>
      <x:c r="H17" s="14" t="str"/>
    </x:row>
    <x:row r="18">
      <x:c r="A18" s="14" t="str">
        <x:v>İngilizce</x:v>
      </x:c>
      <x:c r="B18" s="14" t="str">
        <x:v>Soru</x:v>
      </x:c>
      <x:c r="C18" s="14" t="str">
        <x:v>More &amp; More 8 Worksheets Notebook</x:v>
      </x:c>
      <x:c r="D18" s="14" t="str"/>
      <x:c r="E18" s="14" t="str">
        <x:v>Worksheet</x:v>
      </x:c>
      <x:c r="F18" s="14" t="str"/>
      <x:c r="G18" s="14" t="str">
        <x:v>Zorunlu</x:v>
      </x:c>
      <x:c r="H18" s="14" t="str"/>
    </x:row>
    <x:row r="19">
      <x:c r="A19" s="14" t="str">
        <x:v>Tüm Dersler</x:v>
      </x:c>
      <x:c r="B19" s="14" t="str">
        <x:v>MEB 8</x:v>
      </x:c>
      <x:c r="C19" s="14" t="str">
        <x:v>MEB ÖDSGM 8. Sınıf Çalışma Soruları</x:v>
      </x:c>
      <x:c r="D19" s="14" t="str"/>
      <x:c r="E19" s="14" t="str">
        <x:v>Her konu kitabından sonra resmî doğrulama</x:v>
      </x:c>
      <x:c r="F19" s="14" t="str">
        <x:v>https://odsgm.meb.gov.tr/www/8sinif-calisma-sorulari/icerik/1632</x:v>
      </x:c>
      <x:c r="G19" s="14" t="str">
        <x:v>Zorunlu</x:v>
      </x:c>
      <x:c r="H19" s="14" t="str">
        <x:v>Yeni nesil/resmî doğrulama katmanı.</x:v>
      </x:c>
    </x:row>
    <x:row r="20">
      <x:c r="A20" s="14" t="str">
        <x:v>Temel Destek</x:v>
      </x:c>
      <x:c r="B20" s="14" t="str">
        <x:v>MEB 5-7</x:v>
      </x:c>
      <x:c r="C20" s="14" t="str">
        <x:v>MEB resmî temel kazanım/çalışma soruları</x:v>
      </x:c>
      <x:c r="D20" s="14" t="str"/>
      <x:c r="E20" s="14" t="str">
        <x:v>Sıfır temel önkoşullarda</x:v>
      </x:c>
      <x:c r="F20" s="14" t="str">
        <x:v>https://odsgm.meb.gov.tr/www/5-6-7-ve-9-sinif-duzeylerinde-calisma-sorulari-yayimlandi/icerik/775</x:v>
      </x:c>
      <x:c r="G20" s="14" t="str">
        <x:v>Destek</x:v>
      </x:c>
      <x:c r="H20" s="14" t="str">
        <x:v>Seçili video kaynaklarını değiştirmez.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92" hidden="0" customWidth="1"/>
    <x:col min="4" max="4" width="16" hidden="0" customWidth="1"/>
    <x:col min="5" max="5" width="72" hidden="0" customWidth="1"/>
    <x:col min="6" max="6" width="62" hidden="0" customWidth="1"/>
  </x:cols>
  <x:sheetData>
    <x:row r="1">
      <x:c r="A1" s="6" t="str">
        <x:v>Ders</x:v>
      </x:c>
      <x:c r="B1" s="6" t="str">
        <x:v>2026-2027 Durumu</x:v>
      </x:c>
      <x:c r="C1" s="6" t="str">
        <x:v>Resmî 8. Sınıf Kapsam Özeti</x:v>
      </x:c>
      <x:c r="D1" s="6" t="str">
        <x:v>Planla Uyum</x:v>
      </x:c>
      <x:c r="E1" s="6" t="str">
        <x:v>Resmî Kaynak URL</x:v>
      </x:c>
      <x:c r="F1" s="6" t="str">
        <x:v>Koçluk Notu</x:v>
      </x:c>
    </x:row>
    <x:row r="2">
      <x:c r="A2" s="14" t="str">
        <x:v>Genel</x:v>
      </x:c>
      <x:c r="B2" s="14" t="str">
        <x:v>8. sınıfta mevcut/önceki öğretim programı devam ediyor</x:v>
      </x:c>
      <x:c r="C2" s="14" t="str">
        <x:v>2026-2027 TYMM ortaokulda 5, 6 ve 7. sınıflarda; 8. sınıf mevcut programla devam.</x:v>
      </x:c>
      <x:c r="D2" s="14" t="str">
        <x:v>Doğrulandı</x:v>
      </x:c>
      <x:c r="E2" s="14" t="str">
        <x:v>https://tymm.meb.gov.tr/taslak-cerceve-planlari/temel-egitim</x:v>
      </x:c>
      <x:c r="F2" s="14" t="str">
        <x:v>8. sınıf planı yürürlükteki mevcut MEB kapsamına göre korunur.</x:v>
      </x:c>
    </x:row>
    <x:row r="3">
      <x:c r="A3" s="14" t="str">
        <x:v>Matematik</x:v>
      </x:c>
      <x:c r="B3" s="14" t="str">
        <x:v>Mevcut program</x:v>
      </x:c>
      <x:c r="C3" s="14" t="str">
        <x:v>Çarpanlar ve Katlar; Üslü İfadeler; Kareköklü İfadeler; Veri Analizi; Basit Olayların Olma Olasılığı; Cebirsel İfadeler ve Özdeşlikler; Doğrusal Denklemler; Eşitsizlikler; Üçgenler; Eşlik ve Benzerlik; Dönüşüm Geometrisi; Geometrik Cisimler.</x:v>
      </x:c>
      <x:c r="D3" s="14" t="str">
        <x:v>Doğrulandı</x:v>
      </x:c>
      <x:c r="E3" s="14" t="str">
        <x:v>https://mufredat.meb.gov.tr/Dosyalar/201813017165445-MATEMAT%C4%B0K%20%C3%96%C4%9ERET%C4%B0M%20PROGRAMI%202018v.pdf</x:v>
      </x:c>
      <x:c r="F3" s="14" t="str">
        <x:v>Sıfır temelden gelmek için gerekli önkoşullar sabit ana playlistten eklenmiştir.</x:v>
      </x:c>
    </x:row>
    <x:row r="4">
      <x:c r="A4" s="14" t="str">
        <x:v>Türkçe</x:v>
      </x:c>
      <x:c r="B4" s="14" t="str">
        <x:v>Mevcut program</x:v>
      </x:c>
      <x:c r="C4" s="14" t="str">
        <x:v>Okuduğunu anlama/anlam bilgisi; fiilimsiler; cümlenin ögeleri; fiilde çatı; cümle türleri; anlatım bozukluğu; yazım/noktalama; metin, grafik/görsel ve sözel mantık becerileri.</x:v>
      </x:c>
      <x:c r="D4" s="14" t="str">
        <x:v>Doğrulandı</x:v>
      </x:c>
      <x:c r="E4" s="14" t="str">
        <x:v>https://mufredat.meb.gov.tr/Dosyalar/20195716392253-02-T%C3%BCrk%C3%A7e%20%C3%96%C4%9Fretim%20Program%C4%B1%202019.pdf</x:v>
      </x:c>
      <x:c r="F4" s="14" t="str">
        <x:v>Günlük paragraf bağımsızdır; konu kitabı sonrasında MEB doğrulaması yapılır.</x:v>
      </x:c>
    </x:row>
    <x:row r="5">
      <x:c r="A5" s="14" t="str">
        <x:v>Fen</x:v>
      </x:c>
      <x:c r="B5" s="14" t="str">
        <x:v>Mevcut program</x:v>
      </x:c>
      <x:c r="C5" s="14" t="str">
        <x:v>Mevsimler ve İklim; DNA ve Genetik Kod; Basınç; Madde ve Endüstri; Basit Makineler; Enerji Dönüşümleri ve Çevre Bilimi; Elektrik Yükleri ve Elektrik Enerjisi.</x:v>
      </x:c>
      <x:c r="D5" s="14" t="str">
        <x:v>Doğrulandı</x:v>
      </x:c>
      <x:c r="E5" s="14" t="str">
        <x:v>https://mufredat.meb.gov.tr/2019-20ikincidonem.html</x:v>
      </x:c>
      <x:c r="F5" s="14" t="str">
        <x:v>Cumartesi ek Fen oturumu ile konu+MEB kapsamı 22 Mart civarında kapanır.</x:v>
      </x:c>
    </x:row>
    <x:row r="6">
      <x:c r="A6" s="14" t="str">
        <x:v>İnkılap</x:v>
      </x:c>
      <x:c r="B6" s="14" t="str">
        <x:v>Mevcut program</x:v>
      </x:c>
      <x:c r="C6" s="14" t="str">
        <x:v>Bir Kahraman Doğuyor; Millî Uyanış; Millî Bir Destan; Atatürkçülük ve Çağdaşlaşan Türkiye; Demokratikleşme Çabaları; Türk Dış Politikası; Atatürk’ün Ölümü ve Sonrası.</x:v>
      </x:c>
      <x:c r="D6" s="14" t="str">
        <x:v>Doğrulandı</x:v>
      </x:c>
      <x:c r="E6" s="14" t="str">
        <x:v>https://mufredat.meb.gov.tr/2019-20ikincidonem.html</x:v>
      </x:c>
      <x:c r="F6" s="14" t="str">
        <x:v>Yazılı hazırlık içerikleri zorunlu değildir.</x:v>
      </x:c>
    </x:row>
    <x:row r="7">
      <x:c r="A7" s="14" t="str">
        <x:v>Din</x:v>
      </x:c>
      <x:c r="B7" s="14" t="str">
        <x:v>Mevcut program</x:v>
      </x:c>
      <x:c r="C7" s="14" t="str">
        <x:v>Kader İnancı; Zekât ve Sadaka; Din ve Hayat; Hz. Muhammed’in Örnekliği; Kur’an-ı Kerim ve Özellikleri.</x:v>
      </x:c>
      <x:c r="D7" s="14" t="str">
        <x:v>Doğrulandı</x:v>
      </x:c>
      <x:c r="E7" s="14" t="str">
        <x:v>https://mufredat.meb.gov.tr/Dosyalar/20221229134650712-DKAB_%284-8.%20S%C4%B1n%C4%B1f%29_DOP_%202018.pdf</x:v>
      </x:c>
      <x:c r="F7" s="14" t="str">
        <x:v>Konu → kitap → MEB gate.</x:v>
      </x:c>
    </x:row>
    <x:row r="8">
      <x:c r="A8" s="14" t="str">
        <x:v>İngilizce</x:v>
      </x:c>
      <x:c r="B8" s="14" t="str">
        <x:v>Mevcut program</x:v>
      </x:c>
      <x:c r="C8" s="14" t="str">
        <x:v>Friendship; Teen Life; In The Kitchen; On The Phone; The Internet; Adventures; Tourism; Chores; Science; Natural Forces.</x:v>
      </x:c>
      <x:c r="D8" s="14" t="str">
        <x:v>Doğrulandı</x:v>
      </x:c>
      <x:c r="E8" s="14" t="str">
        <x:v>https://mufredat.meb.gov.tr/2019-20ikincidonem.html</x:v>
      </x:c>
      <x:c r="F8" s="14" t="str">
        <x:v>Worksheet + MEB gate.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20" hidden="0" customWidth="1"/>
  </x:cols>
  <x:sheetData>
    <x:row r="1">
      <x:c r="A1" s="6" t="str">
        <x:v>Kural</x:v>
      </x:c>
      <x:c r="B1" s="6" t="str">
        <x:v>Kesin Karar</x:v>
      </x:c>
    </x:row>
    <x:row r="2">
      <x:c r="A2" s="14" t="str">
        <x:v>Ana Deadline</x:v>
      </x:c>
      <x:c r="B2" s="14" t="str">
        <x:v>13.04.2027 gecesi: tüm zorunlu konu anlatımları, zorunlu soru kitaplarındaki ilgili bölümler, konu sonu MEB doğrulamaları ve kritik açık hatalar kapanmış olmalı.</x:v>
      </x:c>
    </x:row>
    <x:row r="3">
      <x:c r="A3" s="14" t="str">
        <x:v>Deneme Kampı</x:v>
      </x:c>
      <x:c r="B3" s="14" t="str">
        <x:v>14.04.2027-12.06.2027 dahil TAM 60 gün = 60 tam LGS denemesi. Erken tam deneme yok.</x:v>
      </x:c>
    </x:row>
    <x:row r="4">
      <x:c r="A4" s="14" t="str">
        <x:v>Geçici Sınav Tarihi</x:v>
      </x:c>
      <x:c r="B4" s="14" t="str">
        <x:v>13.06.2027, 2026 LGS tarihinin 13 Haziran olması referans alınarak geçici çapa olarak kullanılır; 2027 resmî tarih açıklanınca güncellenir.</x:v>
      </x:c>
    </x:row>
    <x:row r="5">
      <x:c r="A5" s="14" t="str">
        <x:v>Öğrenme Sırası</x:v>
      </x:c>
      <x:c r="B5" s="14" t="str">
        <x:v>Konu/video → soru kitabı → ilgili MEB soruları → yanlış çözümünü öğrenme → +1/+7/+21 hata tekrarları → mastery.</x:v>
      </x:c>
    </x:row>
    <x:row r="6">
      <x:c r="A6" s="14" t="str">
        <x:v>Mastery Gate</x:v>
      </x:c>
      <x:c r="B6" s="14" t="str">
        <x:v>MEB doğrulaması kitap konu bölümünden SONRA yapılır. ≥%90 ve açık hata yok = Güçlü; %80-89 = Pekiştirme; &lt;%80 = Zayıf.</x:v>
      </x:c>
    </x:row>
    <x:row r="7">
      <x:c r="A7" s="14" t="str">
        <x:v>Zayıf Konu</x:v>
      </x:c>
      <x:c r="B7" s="14" t="str">
        <x:v>İlgili playlist videosuna kısa dönüş + 20-30 hedefli soru + açık hata tekrarları + gerektiğinde MEB yeniden doğrulama.</x:v>
      </x:c>
    </x:row>
    <x:row r="8">
      <x:c r="A8" s="14" t="str">
        <x:v>Her Gün Matematik (Öğrenme Dönemi)</x:v>
      </x:c>
      <x:c r="B8" s="14" t="str">
        <x:v>Matematik her gün çalışılır. Yeni/tekrar video bloğu + aynı konuya ait kitap/MEB çalışması. Ayrı rastgele Math Benchmark yok.</x:v>
      </x:c>
    </x:row>
    <x:row r="9">
      <x:c r="A9" s="14" t="str">
        <x:v>Matematik Süre</x:v>
      </x:c>
      <x:c r="B9" s="14" t="str">
        <x:v>Konu soru setinin ilk 20 sorusu ileri sayımla ölçülür. Soru hedefi arttığında ek sorular ilk 20 hız metriğine katılmaz.</x:v>
      </x:c>
    </x:row>
    <x:row r="10">
      <x:c r="A10" s="14" t="str">
        <x:v>Her Gün Türkçe (Öğrenme Dönemi)</x:v>
      </x:c>
      <x:c r="B10" s="14" t="str">
        <x:v>20+ paragraf + Türkçe konu/tekrar + ilgili kitap/MEB çalışması.</x:v>
      </x:c>
    </x:row>
    <x:row r="11">
      <x:c r="A11" s="14" t="str">
        <x:v>Paragraf Süre</x:v>
      </x:c>
      <x:c r="B11" s="14" t="str">
        <x:v>İlk 20 paragraf sorusu ileri sayımla ölçülür; D/Y/B+süre. Hedef süre veya geri sayım yok.</x:v>
      </x:c>
    </x:row>
    <x:row r="12">
      <x:c r="A12" s="14" t="str">
        <x:v>3. Ders Döngüsü</x:v>
      </x:c>
      <x:c r="B12" s="14" t="str">
        <x:v>Fen → Din → İnkılap → İngilizce. Döngü tarih/hafta değişiminde sıfırlanmaz.</x:v>
      </x:c>
    </x:row>
    <x:row r="13">
      <x:c r="A13" s="14" t="str">
        <x:v>Fen Ek Teması</x:v>
      </x:c>
      <x:c r="B13" s="14" t="str">
        <x:v>Her Cumartesi öğrenme döneminde ek Fen oturumu vardır; Fen kapsamı ve MEB gate'lerini sınavdan 2 ay önce kapatmayı destekler.</x:v>
      </x:c>
    </x:row>
    <x:row r="14">
      <x:c r="A14" s="14" t="str">
        <x:v>Pazar Kaynak Bloğu</x:v>
      </x:c>
      <x:c r="B14" s="14" t="str">
        <x:v>Her Pazar en geride kalan ZORUNLU soru kaynağına 60 dakika ayrılır. Öğrenilmemiş konuya ileri gidilmez.</x:v>
      </x:c>
    </x:row>
    <x:row r="15">
      <x:c r="A15" s="14" t="str">
        <x:v>MEB'in Rolü</x:v>
      </x:c>
      <x:c r="B15" s="14" t="str">
        <x:v>MEB soruları ayrı yeni nesil/resmî doğrulama katmanıdır; kitap sorularından SONRA konu sonu kontrolü olarak kullanılır.</x:v>
      </x:c>
    </x:row>
    <x:row r="16">
      <x:c r="A16" s="14" t="str">
        <x:v>Yanlış Defteri</x:v>
      </x:c>
      <x:c r="B16" s="14" t="str">
        <x:v>Her yanlış/boş için hata türü ve öğrenilen çözüm kaydedilir. Yanlışlar +1, +7, +21 gün sonra tekrar çözülür.</x:v>
      </x:c>
    </x:row>
    <x:row r="17">
      <x:c r="A17" s="14" t="str">
        <x:v>Telafi</x:v>
      </x:c>
      <x:c r="B17" s="14" t="str">
        <x:v>Eksik görev silinmez ve ertesi güne otomatik yığılmaz; manuel telafi planlanır.</x:v>
      </x:c>
    </x:row>
    <x:row r="18">
      <x:c r="A18" s="14" t="str">
        <x:v>Soru Kaynağı Politikası</x:v>
      </x:c>
      <x:c r="B18" s="14" t="str">
        <x:v>Her derste tek ana soru kaynağı esastır. Matematik/Fen ikinci kitapları yalnız ana kitap tamamlanırsa koşullu ikinci aşamadır.</x:v>
      </x:c>
    </x:row>
    <x:row r="19">
      <x:c r="A19" s="14" t="str">
        <x:v>Video Linkleri</x:v>
      </x:c>
      <x:c r="B19" s="14" t="str">
        <x:v>Uygulama yalnız genel oynatma listesi linklerini gösterir; tekil video ID/URL çözümlemesi yapılmaz.</x:v>
      </x:c>
    </x:row>
    <x:row r="20">
      <x:c r="A20" s="14" t="str">
        <x:v>Video Kaynakları</x:v>
      </x:c>
      <x:c r="B20" s="14" t="str">
        <x:v>Matematik ve Türkçe TYT etiketli listeler temelden başlamak için bilinçli seçimdir; LGS dışı ileri içerik zorunlu değildir.</x:v>
      </x:c>
    </x:row>
    <x:row r="21">
      <x:c r="A21" s="14" t="str">
        <x:v>Deneme Analizi</x:v>
      </x:c>
      <x:c r="B21" s="14" t="str">
        <x:v>Tam deneme ancak analiz+hedefli telafi ile tamamlanmış sayılır. Son 60 gün çalışma konusu denemenin gösterdiği eksiktir.</x:v>
      </x:c>
    </x:row>
    <x:row r="22">
      <x:c r="A22" s="14" t="str">
        <x:v>Son 60 Günde Rutin</x:v>
      </x:c>
      <x:c r="B22" s="14" t="str">
        <x:v>Ayrı günlük Math/paragraf rutini yok; tam deneme zaten 20 Türkçe + 20 Matematik içerir. Ek çalışma yalnız deneme analizinin gerektirdiği eksiklere yapılır.</x:v>
      </x:c>
    </x:row>
    <x:row r="23">
      <x:c r="A23" s="14" t="str">
        <x:v>Yorgunluk</x:v>
      </x:c>
      <x:c r="B23" s="14" t="str">
        <x:v>60/60 hedefi korunur ancak ek çalışma yorgunluk yükselirse azaltılır; uyku ve sınav günü performansı deneme sayısından daha değerlidir.</x:v>
      </x:c>
    </x:row>
    <x:row r="24">
      <x:c r="A24" s="14" t="str">
        <x:v>Uyku</x:v>
      </x:c>
      <x:c r="B24" s="14" t="str">
        <x:v>22:00'de yatakta ve uyku. Uyku planı akademik görev için bozulmaz.</x:v>
      </x:c>
    </x:row>
    <x:row r="25">
      <x:c r="A25" s="14" t="str">
        <x:v>500 Hedefi</x:v>
      </x:c>
      <x:c r="B25" s="14" t="str">
        <x:v>500 puan baskı aracı değil kalite standardıdır. Amaç bilgi, disiplin, hata farkındalığı, transfer ve sınav performansıdır.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76" hidden="0" customWidth="1"/>
  </x:cols>
  <x:sheetData>
    <x:row r="1">
      <x:c r="A1" s="6" t="str">
        <x:v>Ayar</x:v>
      </x:c>
      <x:c r="B1" s="6" t="str">
        <x:v>Değer</x:v>
      </x:c>
      <x:c r="C1" s="6" t="str">
        <x:v>Açıklama</x:v>
      </x:c>
    </x:row>
    <x:row r="2">
      <x:c r="A2" t="str">
        <x:v>Plan Başlangıç</x:v>
      </x:c>
      <x:c r="B2" t="str">
        <x:v>01.10.2026</x:v>
      </x:c>
      <x:c r="C2" t="str"/>
    </x:row>
    <x:row r="3">
      <x:c r="A3" t="str">
        <x:v>Öğrenme/Kaynak Kapanış</x:v>
      </x:c>
      <x:c r="B3" t="str">
        <x:v>13.04.2027</x:v>
      </x:c>
      <x:c r="C3" t="str">
        <x:v>Hard deadline.</x:v>
      </x:c>
    </x:row>
    <x:row r="4">
      <x:c r="A4" t="str">
        <x:v>60 Deneme Başlangıç</x:v>
      </x:c>
      <x:c r="B4" t="str">
        <x:v>14.04.2027</x:v>
      </x:c>
      <x:c r="C4" t="str"/>
    </x:row>
    <x:row r="5">
      <x:c r="A5" t="str">
        <x:v>60 Deneme Bitiş</x:v>
      </x:c>
      <x:c r="B5" t="str">
        <x:v>12.06.2027</x:v>
      </x:c>
      <x:c r="C5" t="str">
        <x:v>60 gün dahil.</x:v>
      </x:c>
    </x:row>
    <x:row r="6">
      <x:c r="A6" t="str">
        <x:v>Geçici LGS 2027 Çıpası</x:v>
      </x:c>
      <x:c r="B6" t="str">
        <x:v>13.06.2027</x:v>
      </x:c>
      <x:c r="C6" t="str">
        <x:v>2026 LGS tarihi baz alınmıştır; resmî 2027 tarihi açıklanınca güncellenecek.</x:v>
      </x:c>
    </x:row>
    <x:row r="7">
      <x:c r="A7" t="str">
        <x:v>Saat Dilimi</x:v>
      </x:c>
      <x:c r="B7" t="str">
        <x:v>Europe/Istanbul</x:v>
      </x:c>
      <x:c r="C7" t="str"/>
    </x:row>
    <x:row r="8">
      <x:c r="A8" t="str">
        <x:v>Hafta İçi Müsaitlik</x:v>
      </x:c>
      <x:c r="B8" t="str">
        <x:v>16:00-22:00</x:v>
      </x:c>
      <x:c r="C8" t="str">
        <x:v>Okul yalnız zaman kısıtıdır.</x:v>
      </x:c>
    </x:row>
    <x:row r="9">
      <x:c r="A9" t="str">
        <x:v>Uyku</x:v>
      </x:c>
      <x:c r="B9" t="str">
        <x:v>22:00</x:v>
      </x:c>
      <x:c r="C9" t="str">
        <x:v>Kesin.</x:v>
      </x:c>
    </x:row>
    <x:row r="10">
      <x:c r="A10" t="str">
        <x:v>Minimum Paragraf (1 Eki-13 Nis)</x:v>
      </x:c>
      <x:c r="B10" t="str">
        <x:v>20</x:v>
      </x:c>
      <x:c r="C10" t="str">
        <x:v>İlk 20 soru ileri sayım.</x:v>
      </x:c>
    </x:row>
    <x:row r="11">
      <x:c r="A11" t="str">
        <x:v>Minimum Matematik (1 Eki-13 Nis)</x:v>
      </x:c>
      <x:c r="B11" t="str">
        <x:v>20</x:v>
      </x:c>
      <x:c r="C11" t="str">
        <x:v>Aynı gün çalışılan konudan; ilk 20 soru ileri sayım.</x:v>
      </x:c>
    </x:row>
    <x:row r="12">
      <x:c r="A12" t="str">
        <x:v>3. Ders Döngüsü</x:v>
      </x:c>
      <x:c r="B12" t="str">
        <x:v>Fen → Din → İnkılap → İngilizce</x:v>
      </x:c>
      <x:c r="C12" t="str">
        <x:v>Kesin.</x:v>
      </x:c>
    </x:row>
    <x:row r="13">
      <x:c r="A13" t="str">
        <x:v>Mastery Güçlü Eşiği</x:v>
      </x:c>
      <x:c r="B13" t="str">
        <x:v>%90</x:v>
      </x:c>
      <x:c r="C13" t="str">
        <x:v>MEB doğruluğu + 0 açık hata.</x:v>
      </x:c>
    </x:row>
    <x:row r="14">
      <x:c r="A14" t="str">
        <x:v>Mastery Pekiştirme</x:v>
      </x:c>
      <x:c r="B14" t="str">
        <x:v>%80-%89</x:v>
      </x:c>
      <x:c r="C14" t="str">
        <x:v>Hedefli soru + hata tekrarları.</x:v>
      </x:c>
    </x:row>
    <x:row r="15">
      <x:c r="A15" t="str">
        <x:v>Mastery Zayıf</x:v>
      </x:c>
      <x:c r="B15" t="str">
        <x:v>&lt;%80</x:v>
      </x:c>
      <x:c r="C15" t="str">
        <x:v>Video dönüşü + 20-30 hedefli soru + yeniden doğrulama.</x:v>
      </x:c>
    </x:row>
    <x:row r="16">
      <x:c r="A16" t="str">
        <x:v>Yanlış Tekrarı</x:v>
      </x:c>
      <x:c r="B16" t="str">
        <x:v>+1 / +7 / +21 gün</x:v>
      </x:c>
      <x:c r="C16" t="str">
        <x:v>Hatalı/boş sorular.</x:v>
      </x:c>
    </x:row>
    <x:row r="17">
      <x:c r="A17" t="str">
        <x:v>Deneme Referans Formatı</x:v>
      </x:c>
      <x:c r="B17" t="str">
        <x:v>75 dk sözel + 45 dk ara + 80 dk sayısal</x:v>
      </x:c>
      <x:c r="C17" t="str">
        <x:v>2026 LGS referansı; 2027 kılavuzuyla doğrulanacak.</x:v>
      </x:c>
    </x:row>
  </x:sheetData>
  <x:pageMargins left="0.7" right="0.7" top="0.75" bottom="0.75" header="0.3" footer="0.3"/>
</x:worksheet>
</file>